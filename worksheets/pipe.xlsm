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4.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defaultThemeVersion="166925"/>
  <mc:AlternateContent xmlns:mc="http://schemas.openxmlformats.org/markup-compatibility/2006">
    <mc:Choice Requires="x15">
      <x15ac:absPath xmlns:x15ac="http://schemas.microsoft.com/office/spreadsheetml/2010/11/ac" url="https://nventco-my.sharepoint.com/personal/e2023355_nventco_com/Documents/Documents/VSCode/Projects/CPQ/CPQ_Automation/worksheets/"/>
    </mc:Choice>
  </mc:AlternateContent>
  <xr:revisionPtr revIDLastSave="0" documentId="10_ncr:20000_{5D7A2C5E-E404-4F6F-B464-E3CE6A863328}" xr6:coauthVersionLast="47" xr6:coauthVersionMax="47" xr10:uidLastSave="{00000000-0000-0000-0000-000000000000}"/>
  <bookViews>
    <workbookView xWindow="-120" yWindow="-120" windowWidth="29040" windowHeight="15720" tabRatio="757" activeTab="3" xr2:uid="{5AE9A327-56C9-4D44-A1D7-B2A946B1E1BB}"/>
  </bookViews>
  <sheets>
    <sheet name="Inputs" sheetId="7" r:id="rId1"/>
    <sheet name="Website Tests" sheetId="34" r:id="rId2"/>
    <sheet name="Testing" sheetId="25" r:id="rId3"/>
    <sheet name="Excel Tests" sheetId="21" r:id="rId4"/>
    <sheet name="Calculations" sheetId="6" r:id="rId5"/>
    <sheet name="Pipe Calcs for Span" sheetId="14" r:id="rId6"/>
    <sheet name="Strut loads" sheetId="4" r:id="rId7"/>
    <sheet name="Pipe weight, hangers, spacing" sheetId="3" r:id="rId8"/>
    <sheet name="Pictures" sheetId="9" state="hidden" r:id="rId9"/>
    <sheet name="Strut loadsAltered" sheetId="13" state="hidden" r:id="rId10"/>
    <sheet name="Hanger_list" sheetId="2" state="hidden" r:id="rId11"/>
    <sheet name="Quoting tool" sheetId="11" state="hidden" r:id="rId12"/>
    <sheet name="Pallet and shipping info" sheetId="12" state="hidden" r:id="rId13"/>
    <sheet name="reference tables" sheetId="5" r:id="rId14"/>
    <sheet name="H-frame item list" sheetId="1" state="hidden" r:id="rId15"/>
  </sheets>
  <functionGroups builtInGroupCount="19"/>
  <definedNames>
    <definedName name="city">Inputs!#REF!</definedName>
    <definedName name="DWGLookup">_xlfn.XLOOKUP(Pictures!$E$2,Pictures!$A$2:$A$6,Pictures!$B$2:$B$6)</definedName>
    <definedName name="ExternalData_1" localSheetId="1">'Website Tests'!$A$1:$P$27</definedName>
    <definedName name="ExternalData_2" localSheetId="1">'Website Tests'!$A$1:$O$6</definedName>
    <definedName name="ExternalData_3" localSheetId="1">'Website Tests'!$A$1:$O$16</definedName>
    <definedName name="state">Inputs!#REF!</definedName>
    <definedName name="street_address">Inputs!#REF!</definedName>
    <definedName name="zip">Inputs!#REF!</definedName>
  </definedNames>
  <calcPr calcId="191028"/>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 i="6" l="1"/>
  <c r="A96" i="14" l="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47" i="14"/>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3" i="14"/>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N84" i="3"/>
  <c r="N83" i="3"/>
  <c r="N78" i="3"/>
  <c r="N66" i="3"/>
  <c r="N60" i="3"/>
  <c r="N48" i="3"/>
  <c r="N43" i="3"/>
  <c r="N30" i="3"/>
  <c r="N26" i="3"/>
  <c r="N25" i="3"/>
  <c r="N12" i="3"/>
  <c r="N8" i="3"/>
  <c r="N6" i="3"/>
  <c r="N111" i="3"/>
  <c r="N122" i="3"/>
  <c r="N123" i="3"/>
  <c r="N130" i="3"/>
  <c r="N131" i="3"/>
  <c r="N141" i="3"/>
  <c r="N142" i="3"/>
  <c r="N143" i="3"/>
  <c r="N150" i="3"/>
  <c r="N151" i="3"/>
  <c r="N152" i="3"/>
  <c r="N163" i="3"/>
  <c r="N164" i="3"/>
  <c r="N172" i="3"/>
  <c r="N173" i="3"/>
  <c r="N185" i="3"/>
  <c r="N186" i="3"/>
  <c r="N194" i="3"/>
  <c r="N195" i="3"/>
  <c r="N206" i="3"/>
  <c r="N207" i="3"/>
  <c r="N214" i="3"/>
  <c r="N215" i="3"/>
  <c r="N220" i="3"/>
  <c r="N221" i="3"/>
  <c r="N225" i="3"/>
  <c r="N226" i="3"/>
  <c r="N232" i="3"/>
  <c r="N233" i="3"/>
  <c r="N236" i="3"/>
  <c r="N237" i="3"/>
  <c r="N238" i="3"/>
  <c r="N241" i="3"/>
  <c r="N242" i="3"/>
  <c r="N243" i="3"/>
  <c r="N103" i="3"/>
  <c r="N37" i="3"/>
  <c r="N55" i="3"/>
  <c r="N73" i="3"/>
  <c r="N90" i="3"/>
  <c r="N91" i="3"/>
  <c r="N101" i="3"/>
  <c r="N102" i="3"/>
  <c r="N109" i="3"/>
  <c r="N110" i="3"/>
  <c r="N120" i="3"/>
  <c r="N121" i="3"/>
  <c r="N128" i="3"/>
  <c r="N129" i="3"/>
  <c r="N139" i="3"/>
  <c r="N140" i="3"/>
  <c r="N148" i="3"/>
  <c r="N149" i="3"/>
  <c r="N161" i="3"/>
  <c r="N162" i="3"/>
  <c r="N170" i="3"/>
  <c r="N171" i="3"/>
  <c r="N178" i="3"/>
  <c r="N179" i="3"/>
  <c r="N183" i="3"/>
  <c r="N184" i="3"/>
  <c r="N192" i="3"/>
  <c r="N193" i="3"/>
  <c r="N200" i="3"/>
  <c r="N201" i="3"/>
  <c r="N203" i="3"/>
  <c r="N204" i="3"/>
  <c r="N205" i="3"/>
  <c r="N211" i="3"/>
  <c r="N212" i="3"/>
  <c r="N213" i="3"/>
  <c r="N218" i="3"/>
  <c r="N219" i="3"/>
  <c r="N222" i="3"/>
  <c r="N223" i="3"/>
  <c r="N224" i="3"/>
  <c r="N229" i="3"/>
  <c r="N230" i="3"/>
  <c r="N231" i="3"/>
  <c r="N19" i="3"/>
  <c r="N4" i="3"/>
  <c r="N22" i="3"/>
  <c r="N32" i="3"/>
  <c r="N33" i="3"/>
  <c r="N39" i="3"/>
  <c r="N50" i="3"/>
  <c r="N57" i="3"/>
  <c r="N67" i="3"/>
  <c r="N74" i="3"/>
  <c r="N85" i="3"/>
  <c r="N15" i="3"/>
  <c r="N13" i="3"/>
  <c r="D2" i="4"/>
  <c r="D3"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B37" i="6"/>
  <c r="E21" i="14" s="1"/>
  <c r="AC2" i="1"/>
  <c r="AC3" i="1"/>
  <c r="AC4" i="1"/>
  <c r="AC5" i="1"/>
  <c r="AC6" i="1"/>
  <c r="AC7" i="1"/>
  <c r="AC8" i="1"/>
  <c r="AC9" i="1"/>
  <c r="AC10" i="1"/>
  <c r="AC11" i="1"/>
  <c r="AC12" i="1"/>
  <c r="AC13" i="1"/>
  <c r="AC14" i="1"/>
  <c r="AC15" i="1"/>
  <c r="AC16" i="1"/>
  <c r="AC17" i="1"/>
  <c r="AC18" i="1"/>
  <c r="AC19" i="1"/>
  <c r="AC20" i="1"/>
  <c r="AC21" i="1"/>
  <c r="AC22" i="1"/>
  <c r="AC23" i="1"/>
  <c r="AC24" i="1"/>
  <c r="AC25" i="1"/>
  <c r="AC26" i="1"/>
  <c r="AC27" i="1"/>
  <c r="AC28" i="1"/>
  <c r="AC29" i="1"/>
  <c r="AC30" i="1"/>
  <c r="AC31" i="1"/>
  <c r="AC32" i="1"/>
  <c r="AC33" i="1"/>
  <c r="AC34" i="1"/>
  <c r="AC35" i="1"/>
  <c r="AC36" i="1"/>
  <c r="AC37" i="1"/>
  <c r="AC38" i="1"/>
  <c r="AC39" i="1"/>
  <c r="AC40" i="1"/>
  <c r="AC41" i="1"/>
  <c r="AC42" i="1"/>
  <c r="AC43" i="1"/>
  <c r="AC44" i="1"/>
  <c r="AC45" i="1"/>
  <c r="AC46" i="1"/>
  <c r="AC47" i="1"/>
  <c r="AC48" i="1"/>
  <c r="AC49" i="1"/>
  <c r="AC50" i="1"/>
  <c r="AC51" i="1"/>
  <c r="AC52" i="1"/>
  <c r="AC53" i="1"/>
  <c r="AC54" i="1"/>
  <c r="AC55" i="1"/>
  <c r="AC56" i="1"/>
  <c r="AC57" i="1"/>
  <c r="AC58" i="1"/>
  <c r="AC59" i="1"/>
  <c r="AC60" i="1"/>
  <c r="AC61" i="1"/>
  <c r="AC62" i="1"/>
  <c r="AC63" i="1"/>
  <c r="AC64" i="1"/>
  <c r="AC65" i="1"/>
  <c r="AC66" i="1"/>
  <c r="AC67" i="1"/>
  <c r="AC68" i="1"/>
  <c r="AC69" i="1"/>
  <c r="AC70" i="1"/>
  <c r="AC71" i="1"/>
  <c r="AC72" i="1"/>
  <c r="AC73" i="1"/>
  <c r="AC74" i="1"/>
  <c r="AC75" i="1"/>
  <c r="AC76" i="1"/>
  <c r="AC77" i="1"/>
  <c r="AC78" i="1"/>
  <c r="AC79" i="1"/>
  <c r="AC80" i="1"/>
  <c r="AC81" i="1"/>
  <c r="AC82" i="1"/>
  <c r="AC83" i="1"/>
  <c r="AC84" i="1"/>
  <c r="AC85" i="1"/>
  <c r="AC86" i="1"/>
  <c r="AC87" i="1"/>
  <c r="AC88" i="1"/>
  <c r="AC89" i="1"/>
  <c r="AC90" i="1"/>
  <c r="AC91" i="1"/>
  <c r="AC92" i="1"/>
  <c r="AC93" i="1"/>
  <c r="AC94" i="1"/>
  <c r="AC95" i="1"/>
  <c r="AC96" i="1"/>
  <c r="AC97" i="1"/>
  <c r="AC98" i="1"/>
  <c r="AC99" i="1"/>
  <c r="AC100" i="1"/>
  <c r="AC101" i="1"/>
  <c r="AC102" i="1"/>
  <c r="AC103" i="1"/>
  <c r="AC104" i="1"/>
  <c r="AC105" i="1"/>
  <c r="AC106" i="1"/>
  <c r="AC107" i="1"/>
  <c r="AC108" i="1"/>
  <c r="AC109" i="1"/>
  <c r="AC110" i="1"/>
  <c r="AC111" i="1"/>
  <c r="AC112" i="1"/>
  <c r="AC113" i="1"/>
  <c r="AC114" i="1"/>
  <c r="AC115" i="1"/>
  <c r="AC116" i="1"/>
  <c r="AC117" i="1"/>
  <c r="AC118" i="1"/>
  <c r="AC119" i="1"/>
  <c r="AC120" i="1"/>
  <c r="AC121" i="1"/>
  <c r="AC122" i="1"/>
  <c r="AC123" i="1"/>
  <c r="AC124" i="1"/>
  <c r="AC125" i="1"/>
  <c r="AC126" i="1"/>
  <c r="AC127" i="1"/>
  <c r="AC128" i="1"/>
  <c r="AC129" i="1"/>
  <c r="AC130" i="1"/>
  <c r="AC131" i="1"/>
  <c r="AC132" i="1"/>
  <c r="AC133" i="1"/>
  <c r="AC134" i="1"/>
  <c r="AC135" i="1"/>
  <c r="AC136" i="1"/>
  <c r="AC137" i="1"/>
  <c r="AC138" i="1"/>
  <c r="AC139" i="1"/>
  <c r="AC140" i="1"/>
  <c r="AC141" i="1"/>
  <c r="AC142" i="1"/>
  <c r="AC143" i="1"/>
  <c r="AC144" i="1"/>
  <c r="AC145" i="1"/>
  <c r="AC146" i="1"/>
  <c r="AC147" i="1"/>
  <c r="AC148" i="1"/>
  <c r="AC149" i="1"/>
  <c r="AC150" i="1"/>
  <c r="AC151" i="1"/>
  <c r="AC152" i="1"/>
  <c r="AC153" i="1"/>
  <c r="AC154" i="1"/>
  <c r="AC155" i="1"/>
  <c r="AC156" i="1"/>
  <c r="AC157" i="1"/>
  <c r="AC158" i="1"/>
  <c r="AC159" i="1"/>
  <c r="AC160" i="1"/>
  <c r="AC161" i="1"/>
  <c r="AC162" i="1"/>
  <c r="AC163" i="1"/>
  <c r="AC164" i="1"/>
  <c r="AC165" i="1"/>
  <c r="AC166" i="1"/>
  <c r="AC167" i="1"/>
  <c r="AC168" i="1"/>
  <c r="AC169" i="1"/>
  <c r="AC170" i="1"/>
  <c r="AC171" i="1"/>
  <c r="AC172" i="1"/>
  <c r="AC173" i="1"/>
  <c r="AC174" i="1"/>
  <c r="AC175" i="1"/>
  <c r="AC176" i="1"/>
  <c r="AC177" i="1"/>
  <c r="AC178" i="1"/>
  <c r="AC179" i="1"/>
  <c r="AC180" i="1"/>
  <c r="AC181" i="1"/>
  <c r="AC182" i="1"/>
  <c r="AC183" i="1"/>
  <c r="AC184" i="1"/>
  <c r="AC185" i="1"/>
  <c r="AC186" i="1"/>
  <c r="AC187" i="1"/>
  <c r="AC188" i="1"/>
  <c r="AC189" i="1"/>
  <c r="AC190" i="1"/>
  <c r="AC191" i="1"/>
  <c r="AC192" i="1"/>
  <c r="AC193" i="1"/>
  <c r="AC194" i="1"/>
  <c r="AC195" i="1"/>
  <c r="AC196" i="1"/>
  <c r="AC197" i="1"/>
  <c r="AC198" i="1"/>
  <c r="AC199" i="1"/>
  <c r="AC200" i="1"/>
  <c r="AC201" i="1"/>
  <c r="AC202" i="1"/>
  <c r="AC203" i="1"/>
  <c r="AC204" i="1"/>
  <c r="AC205" i="1"/>
  <c r="AC206" i="1"/>
  <c r="AC207" i="1"/>
  <c r="AC208" i="1"/>
  <c r="AC209" i="1"/>
  <c r="AC210" i="1"/>
  <c r="AC211" i="1"/>
  <c r="AC212" i="1"/>
  <c r="AC213" i="1"/>
  <c r="AC214" i="1"/>
  <c r="AC215" i="1"/>
  <c r="AC216" i="1"/>
  <c r="AC217" i="1"/>
  <c r="AC218" i="1"/>
  <c r="AC219" i="1"/>
  <c r="AC220" i="1"/>
  <c r="AC221" i="1"/>
  <c r="AC222" i="1"/>
  <c r="AC223" i="1"/>
  <c r="AC224" i="1"/>
  <c r="AC225" i="1"/>
  <c r="AC226" i="1"/>
  <c r="AC227" i="1"/>
  <c r="AC228" i="1"/>
  <c r="AC229" i="1"/>
  <c r="AC230" i="1"/>
  <c r="AC231" i="1"/>
  <c r="AC232" i="1"/>
  <c r="AC233" i="1"/>
  <c r="AC234" i="1"/>
  <c r="AC235" i="1"/>
  <c r="AC236" i="1"/>
  <c r="AC237" i="1"/>
  <c r="AC238" i="1"/>
  <c r="AC239" i="1"/>
  <c r="AC240" i="1"/>
  <c r="AC241" i="1"/>
  <c r="AB2" i="1"/>
  <c r="AB6" i="1"/>
  <c r="AB10" i="1"/>
  <c r="AB14" i="1"/>
  <c r="AB15" i="1"/>
  <c r="AB16" i="1"/>
  <c r="AB17" i="1"/>
  <c r="AB18" i="1"/>
  <c r="AB19" i="1"/>
  <c r="AB20" i="1"/>
  <c r="AB21" i="1"/>
  <c r="AB22" i="1"/>
  <c r="AB23" i="1"/>
  <c r="AB24" i="1"/>
  <c r="AB25" i="1"/>
  <c r="AB26" i="1"/>
  <c r="AB30" i="1"/>
  <c r="AB34" i="1"/>
  <c r="AB38" i="1"/>
  <c r="AB39" i="1"/>
  <c r="AB40" i="1"/>
  <c r="AB41" i="1"/>
  <c r="AB42" i="1"/>
  <c r="AB43" i="1"/>
  <c r="AB44" i="1"/>
  <c r="AB45" i="1"/>
  <c r="AB46" i="1"/>
  <c r="AB47" i="1"/>
  <c r="AB48" i="1"/>
  <c r="AB49" i="1"/>
  <c r="AB50" i="1"/>
  <c r="AB54" i="1"/>
  <c r="AB58" i="1"/>
  <c r="AB62" i="1"/>
  <c r="AB63" i="1"/>
  <c r="AB64" i="1"/>
  <c r="AB65" i="1"/>
  <c r="AB66" i="1"/>
  <c r="AB67" i="1"/>
  <c r="AB68" i="1"/>
  <c r="AB69" i="1"/>
  <c r="AB70" i="1"/>
  <c r="AB71" i="1"/>
  <c r="AB72" i="1"/>
  <c r="AB73" i="1"/>
  <c r="AB74" i="1"/>
  <c r="AB78" i="1"/>
  <c r="AB82" i="1"/>
  <c r="AB86" i="1"/>
  <c r="AB87" i="1"/>
  <c r="AB88" i="1"/>
  <c r="AB89" i="1"/>
  <c r="AB90" i="1"/>
  <c r="AB91" i="1"/>
  <c r="AB92" i="1"/>
  <c r="AB93" i="1"/>
  <c r="AB94" i="1"/>
  <c r="AB95" i="1"/>
  <c r="AB96" i="1"/>
  <c r="AB97" i="1"/>
  <c r="AB98" i="1"/>
  <c r="AB102" i="1"/>
  <c r="AB106" i="1"/>
  <c r="AB110" i="1"/>
  <c r="AB111" i="1"/>
  <c r="AB112" i="1"/>
  <c r="AB113" i="1"/>
  <c r="AB114" i="1"/>
  <c r="AB115" i="1"/>
  <c r="AB116" i="1"/>
  <c r="AB117" i="1"/>
  <c r="AB118" i="1"/>
  <c r="AB119" i="1"/>
  <c r="AB120" i="1"/>
  <c r="AB121" i="1"/>
  <c r="AB122" i="1"/>
  <c r="AB126" i="1"/>
  <c r="AB130" i="1"/>
  <c r="AB134" i="1"/>
  <c r="AB135" i="1"/>
  <c r="AB136" i="1"/>
  <c r="AB137" i="1"/>
  <c r="AB138" i="1"/>
  <c r="AB139" i="1"/>
  <c r="AB140" i="1"/>
  <c r="AB141" i="1"/>
  <c r="AB142" i="1"/>
  <c r="AB143" i="1"/>
  <c r="AB144" i="1"/>
  <c r="AB145" i="1"/>
  <c r="AB146" i="1"/>
  <c r="AB150" i="1"/>
  <c r="AB154" i="1"/>
  <c r="AB158" i="1"/>
  <c r="AB159" i="1"/>
  <c r="AB160" i="1"/>
  <c r="AB161" i="1"/>
  <c r="AB162" i="1"/>
  <c r="AB163" i="1"/>
  <c r="AB164" i="1"/>
  <c r="AB165" i="1"/>
  <c r="AB166" i="1"/>
  <c r="AB167" i="1"/>
  <c r="AB168" i="1"/>
  <c r="AB169" i="1"/>
  <c r="AB170" i="1"/>
  <c r="AB174" i="1"/>
  <c r="AB178" i="1"/>
  <c r="AB182" i="1"/>
  <c r="AB183" i="1"/>
  <c r="AB184" i="1"/>
  <c r="AB185" i="1"/>
  <c r="AB186" i="1"/>
  <c r="AB187" i="1"/>
  <c r="AB188" i="1"/>
  <c r="AB189" i="1"/>
  <c r="AB190" i="1"/>
  <c r="AB191" i="1"/>
  <c r="AB192" i="1"/>
  <c r="AB193" i="1"/>
  <c r="AB194" i="1"/>
  <c r="AB198" i="1"/>
  <c r="AB202" i="1"/>
  <c r="AB206" i="1"/>
  <c r="AB207" i="1"/>
  <c r="AB208" i="1"/>
  <c r="AB209" i="1"/>
  <c r="AB210" i="1"/>
  <c r="AB211" i="1"/>
  <c r="AB212" i="1"/>
  <c r="AB213" i="1"/>
  <c r="AB214" i="1"/>
  <c r="AB215" i="1"/>
  <c r="AB216" i="1"/>
  <c r="AB217" i="1"/>
  <c r="AB218" i="1"/>
  <c r="AB222" i="1"/>
  <c r="AB226" i="1"/>
  <c r="AB230" i="1"/>
  <c r="AB231" i="1"/>
  <c r="AB232" i="1"/>
  <c r="AB233" i="1"/>
  <c r="AB234" i="1"/>
  <c r="AB235" i="1"/>
  <c r="AB236" i="1"/>
  <c r="AB237" i="1"/>
  <c r="AB238" i="1"/>
  <c r="AB239" i="1"/>
  <c r="AB240" i="1"/>
  <c r="AB241" i="1"/>
  <c r="C11" i="7"/>
  <c r="Y2" i="1"/>
  <c r="Y3" i="1"/>
  <c r="Y4" i="1"/>
  <c r="Y5" i="1"/>
  <c r="Y6" i="1"/>
  <c r="Y7" i="1"/>
  <c r="Y8" i="1"/>
  <c r="Y9" i="1"/>
  <c r="Y10" i="1"/>
  <c r="Y11" i="1"/>
  <c r="Y12"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F3" i="2"/>
  <c r="F4" i="2"/>
  <c r="F5" i="2"/>
  <c r="I5" i="2" s="1"/>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2" i="2"/>
  <c r="B4" i="2"/>
  <c r="H4" i="2"/>
  <c r="I4" i="2"/>
  <c r="J4" i="2"/>
  <c r="B5" i="2"/>
  <c r="H5" i="2"/>
  <c r="J5" i="2"/>
  <c r="J6" i="2" s="1"/>
  <c r="J7" i="2" s="1"/>
  <c r="B6" i="2"/>
  <c r="I6" i="2"/>
  <c r="H6" i="2"/>
  <c r="B7" i="2"/>
  <c r="H7" i="2"/>
  <c r="B8" i="2"/>
  <c r="H8" i="2"/>
  <c r="B9" i="2"/>
  <c r="H9" i="2"/>
  <c r="B10" i="2"/>
  <c r="H10" i="2"/>
  <c r="B11" i="2"/>
  <c r="H11" i="2"/>
  <c r="J3" i="2"/>
  <c r="B2" i="2"/>
  <c r="B12" i="2"/>
  <c r="U3" i="1"/>
  <c r="U4" i="1"/>
  <c r="U5" i="1"/>
  <c r="U6" i="1"/>
  <c r="U7" i="1"/>
  <c r="U8" i="1"/>
  <c r="U9" i="1"/>
  <c r="U10" i="1"/>
  <c r="U11" i="1"/>
  <c r="U12" i="1"/>
  <c r="U13" i="1"/>
  <c r="U14" i="1"/>
  <c r="U15" i="1"/>
  <c r="U16" i="1"/>
  <c r="U17" i="1"/>
  <c r="U18" i="1"/>
  <c r="U19" i="1"/>
  <c r="U20" i="1"/>
  <c r="U21" i="1"/>
  <c r="U22" i="1"/>
  <c r="U23" i="1"/>
  <c r="U24" i="1"/>
  <c r="U25" i="1"/>
  <c r="U26" i="1"/>
  <c r="U27" i="1"/>
  <c r="U28" i="1"/>
  <c r="U29" i="1"/>
  <c r="U30" i="1"/>
  <c r="U31" i="1"/>
  <c r="U32" i="1"/>
  <c r="U33" i="1"/>
  <c r="U34" i="1"/>
  <c r="U35" i="1"/>
  <c r="U36" i="1"/>
  <c r="U37" i="1"/>
  <c r="U38" i="1"/>
  <c r="U39" i="1"/>
  <c r="U40" i="1"/>
  <c r="U41" i="1"/>
  <c r="U42" i="1"/>
  <c r="U43" i="1"/>
  <c r="U44" i="1"/>
  <c r="U45" i="1"/>
  <c r="U46" i="1"/>
  <c r="U47" i="1"/>
  <c r="U48" i="1"/>
  <c r="U49" i="1"/>
  <c r="U50" i="1"/>
  <c r="U51" i="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6" i="1"/>
  <c r="U137" i="1"/>
  <c r="U138" i="1"/>
  <c r="U139" i="1"/>
  <c r="U140" i="1"/>
  <c r="U141" i="1"/>
  <c r="U142" i="1"/>
  <c r="U143" i="1"/>
  <c r="U144" i="1"/>
  <c r="U145" i="1"/>
  <c r="U146" i="1"/>
  <c r="U147" i="1"/>
  <c r="U148" i="1"/>
  <c r="U149" i="1"/>
  <c r="U150" i="1"/>
  <c r="U151" i="1"/>
  <c r="U152" i="1"/>
  <c r="U153" i="1"/>
  <c r="U154" i="1"/>
  <c r="U155" i="1"/>
  <c r="U156" i="1"/>
  <c r="U157" i="1"/>
  <c r="U158" i="1"/>
  <c r="U159" i="1"/>
  <c r="U160" i="1"/>
  <c r="U161" i="1"/>
  <c r="U162" i="1"/>
  <c r="U163" i="1"/>
  <c r="U164" i="1"/>
  <c r="U165" i="1"/>
  <c r="U166" i="1"/>
  <c r="U167" i="1"/>
  <c r="U168" i="1"/>
  <c r="U169" i="1"/>
  <c r="U170" i="1"/>
  <c r="U171" i="1"/>
  <c r="U172" i="1"/>
  <c r="U173" i="1"/>
  <c r="U174" i="1"/>
  <c r="U175" i="1"/>
  <c r="U176" i="1"/>
  <c r="U177" i="1"/>
  <c r="U178" i="1"/>
  <c r="U179" i="1"/>
  <c r="U180" i="1"/>
  <c r="U181" i="1"/>
  <c r="U182" i="1"/>
  <c r="U183" i="1"/>
  <c r="U184" i="1"/>
  <c r="U185" i="1"/>
  <c r="U186" i="1"/>
  <c r="U187" i="1"/>
  <c r="U188" i="1"/>
  <c r="U189" i="1"/>
  <c r="U190" i="1"/>
  <c r="U191" i="1"/>
  <c r="U192" i="1"/>
  <c r="U193" i="1"/>
  <c r="U194" i="1"/>
  <c r="U195" i="1"/>
  <c r="U196" i="1"/>
  <c r="U197" i="1"/>
  <c r="U198" i="1"/>
  <c r="U199" i="1"/>
  <c r="U200" i="1"/>
  <c r="U201" i="1"/>
  <c r="U202" i="1"/>
  <c r="U203" i="1"/>
  <c r="U204" i="1"/>
  <c r="U205" i="1"/>
  <c r="U206" i="1"/>
  <c r="U207" i="1"/>
  <c r="U208" i="1"/>
  <c r="U209" i="1"/>
  <c r="U210" i="1"/>
  <c r="U211" i="1"/>
  <c r="U212" i="1"/>
  <c r="U213" i="1"/>
  <c r="U214" i="1"/>
  <c r="U215" i="1"/>
  <c r="U216" i="1"/>
  <c r="U217" i="1"/>
  <c r="U218" i="1"/>
  <c r="U219" i="1"/>
  <c r="U220" i="1"/>
  <c r="U221" i="1"/>
  <c r="U222" i="1"/>
  <c r="U223" i="1"/>
  <c r="U224" i="1"/>
  <c r="U225" i="1"/>
  <c r="U226" i="1"/>
  <c r="U227" i="1"/>
  <c r="U228" i="1"/>
  <c r="U229" i="1"/>
  <c r="U230" i="1"/>
  <c r="U231" i="1"/>
  <c r="U232" i="1"/>
  <c r="U233" i="1"/>
  <c r="U234" i="1"/>
  <c r="U235" i="1"/>
  <c r="U236" i="1"/>
  <c r="U237" i="1"/>
  <c r="U238" i="1"/>
  <c r="U239" i="1"/>
  <c r="U240" i="1"/>
  <c r="U241" i="1"/>
  <c r="U2" i="1"/>
  <c r="E2" i="9"/>
  <c r="W3" i="1"/>
  <c r="W4" i="1" s="1"/>
  <c r="F13" i="11"/>
  <c r="F14" i="11"/>
  <c r="F15" i="11"/>
  <c r="F16" i="11"/>
  <c r="C1" i="11"/>
  <c r="D11" i="7"/>
  <c r="B33" i="6"/>
  <c r="B19" i="7"/>
  <c r="B18" i="7"/>
  <c r="B15" i="7"/>
  <c r="K16" i="7"/>
  <c r="B7" i="6"/>
  <c r="B25" i="6"/>
  <c r="B14" i="6"/>
  <c r="B13" i="6"/>
  <c r="B10" i="6"/>
  <c r="B22" i="6"/>
  <c r="B24" i="6"/>
  <c r="L256" i="3" s="1"/>
  <c r="B21" i="6"/>
  <c r="J256" i="3" s="1"/>
  <c r="B11" i="6"/>
  <c r="C117" i="3" s="1"/>
  <c r="B12" i="6"/>
  <c r="L255" i="3" s="1"/>
  <c r="B9" i="6"/>
  <c r="B117" i="3" s="1"/>
  <c r="B3" i="6"/>
  <c r="B4" i="6"/>
  <c r="B5" i="6"/>
  <c r="B2" i="6"/>
  <c r="B8" i="6" s="1"/>
  <c r="A12" i="7"/>
  <c r="A22" i="7"/>
  <c r="B25" i="7"/>
  <c r="B23" i="7"/>
  <c r="B24" i="7"/>
  <c r="B22" i="7"/>
  <c r="B13" i="7"/>
  <c r="B14" i="7"/>
  <c r="B16" i="7"/>
  <c r="B17" i="7"/>
  <c r="B12" i="7"/>
  <c r="R239" i="3" l="1"/>
  <c r="R236" i="3"/>
  <c r="B15" i="6"/>
  <c r="E14" i="14"/>
  <c r="E35" i="14"/>
  <c r="E36" i="14"/>
  <c r="E34" i="14"/>
  <c r="E37" i="14"/>
  <c r="E38" i="14"/>
  <c r="E39" i="14"/>
  <c r="E3" i="14"/>
  <c r="E12" i="14"/>
  <c r="E13" i="14"/>
  <c r="E15" i="14"/>
  <c r="E16" i="14"/>
  <c r="E22" i="14"/>
  <c r="B36" i="6"/>
  <c r="G29" i="4" s="1"/>
  <c r="H29" i="4" s="1"/>
  <c r="E23" i="14"/>
  <c r="E24" i="14"/>
  <c r="E2" i="14"/>
  <c r="E26" i="14"/>
  <c r="E11" i="14"/>
  <c r="E25" i="14"/>
  <c r="E10" i="14"/>
  <c r="E27" i="14"/>
  <c r="E9" i="14"/>
  <c r="E28" i="14"/>
  <c r="E8" i="14"/>
  <c r="E29" i="14"/>
  <c r="E7" i="14"/>
  <c r="E30" i="14"/>
  <c r="E6" i="14"/>
  <c r="E31" i="14"/>
  <c r="E5" i="14"/>
  <c r="E32" i="14"/>
  <c r="E4" i="14"/>
  <c r="E33" i="14"/>
  <c r="E17" i="14"/>
  <c r="E18" i="14"/>
  <c r="E41" i="14"/>
  <c r="E19" i="14"/>
  <c r="E42" i="14"/>
  <c r="E40" i="14"/>
  <c r="E20" i="14"/>
  <c r="I8" i="2"/>
  <c r="I7" i="2"/>
  <c r="J8" i="2"/>
  <c r="J9" i="2" s="1"/>
  <c r="J10" i="2" s="1"/>
  <c r="W5" i="1"/>
  <c r="Q236" i="3"/>
  <c r="P236" i="3"/>
  <c r="Q239" i="3"/>
  <c r="F117" i="3"/>
  <c r="J255" i="3"/>
  <c r="K255" i="3"/>
  <c r="A119" i="3" a="1"/>
  <c r="S236" i="3" l="1" a="1"/>
  <c r="S236" i="3" s="1"/>
  <c r="M255" i="3" a="1"/>
  <c r="M255" i="3" s="1"/>
  <c r="A119" i="3"/>
  <c r="I9" i="2"/>
  <c r="J11" i="2"/>
  <c r="I10" i="2"/>
  <c r="W6" i="1"/>
  <c r="B41" i="2"/>
  <c r="B40" i="2"/>
  <c r="B39" i="2"/>
  <c r="B38" i="2"/>
  <c r="B37" i="2"/>
  <c r="B36" i="2"/>
  <c r="B35" i="2"/>
  <c r="B34" i="2"/>
  <c r="B33" i="2"/>
  <c r="B32" i="2"/>
  <c r="B31" i="2"/>
  <c r="B30" i="2"/>
  <c r="B29" i="2"/>
  <c r="B28" i="2"/>
  <c r="B27" i="2"/>
  <c r="B26" i="2"/>
  <c r="B25" i="2"/>
  <c r="B24" i="2"/>
  <c r="B23" i="2"/>
  <c r="B22" i="2"/>
  <c r="B21" i="2"/>
  <c r="B20" i="2"/>
  <c r="B19" i="2"/>
  <c r="B18" i="2"/>
  <c r="B17" i="2"/>
  <c r="B16" i="2"/>
  <c r="B15" i="2"/>
  <c r="B14" i="2"/>
  <c r="B13" i="2"/>
  <c r="B3" i="2"/>
  <c r="N241" i="1"/>
  <c r="M241" i="1" s="1"/>
  <c r="L241" i="1"/>
  <c r="G241" i="1"/>
  <c r="S241" i="1" s="1"/>
  <c r="D241" i="1"/>
  <c r="C241" i="1"/>
  <c r="N240" i="1"/>
  <c r="M240" i="1" s="1"/>
  <c r="L240" i="1"/>
  <c r="G240" i="1"/>
  <c r="S240" i="1" s="1"/>
  <c r="D240" i="1"/>
  <c r="C240" i="1"/>
  <c r="N239" i="1"/>
  <c r="M239" i="1" s="1"/>
  <c r="L239" i="1"/>
  <c r="Z239" i="1" s="1"/>
  <c r="G239" i="1"/>
  <c r="S239" i="1" s="1"/>
  <c r="D239" i="1"/>
  <c r="C239" i="1"/>
  <c r="N238" i="1"/>
  <c r="M238" i="1" s="1"/>
  <c r="L238" i="1"/>
  <c r="Z238" i="1" s="1"/>
  <c r="G238" i="1"/>
  <c r="S238" i="1" s="1"/>
  <c r="D238" i="1"/>
  <c r="C238" i="1"/>
  <c r="N237" i="1"/>
  <c r="M237" i="1" s="1"/>
  <c r="L237" i="1"/>
  <c r="G237" i="1"/>
  <c r="S237" i="1" s="1"/>
  <c r="D237" i="1"/>
  <c r="C237" i="1"/>
  <c r="N236" i="1"/>
  <c r="L236" i="1"/>
  <c r="G236" i="1"/>
  <c r="S236" i="1" s="1"/>
  <c r="D236" i="1"/>
  <c r="C236" i="1"/>
  <c r="N235" i="1"/>
  <c r="M235" i="1" s="1"/>
  <c r="L235" i="1"/>
  <c r="G235" i="1"/>
  <c r="S235" i="1" s="1"/>
  <c r="D235" i="1"/>
  <c r="C235" i="1"/>
  <c r="N234" i="1"/>
  <c r="M234" i="1" s="1"/>
  <c r="L234" i="1"/>
  <c r="G234" i="1"/>
  <c r="S234" i="1" s="1"/>
  <c r="D234" i="1"/>
  <c r="C234" i="1"/>
  <c r="N233" i="1"/>
  <c r="M233" i="1" s="1"/>
  <c r="L233" i="1"/>
  <c r="G233" i="1"/>
  <c r="S233" i="1" s="1"/>
  <c r="D233" i="1"/>
  <c r="C233" i="1"/>
  <c r="N232" i="1"/>
  <c r="L232" i="1"/>
  <c r="G232" i="1"/>
  <c r="S232" i="1" s="1"/>
  <c r="D232" i="1"/>
  <c r="C232" i="1"/>
  <c r="N231" i="1"/>
  <c r="M231" i="1" s="1"/>
  <c r="L231" i="1"/>
  <c r="G231" i="1"/>
  <c r="S231" i="1" s="1"/>
  <c r="D231" i="1"/>
  <c r="C231" i="1"/>
  <c r="N230" i="1"/>
  <c r="M230" i="1" s="1"/>
  <c r="L230" i="1"/>
  <c r="Z230" i="1" s="1"/>
  <c r="G230" i="1"/>
  <c r="S230" i="1" s="1"/>
  <c r="D230" i="1"/>
  <c r="C230" i="1"/>
  <c r="N229" i="1"/>
  <c r="M229" i="1" s="1"/>
  <c r="L229" i="1"/>
  <c r="C229" i="1"/>
  <c r="N228" i="1"/>
  <c r="M228" i="1" s="1"/>
  <c r="L228" i="1"/>
  <c r="C228" i="1"/>
  <c r="N227" i="1"/>
  <c r="M227" i="1" s="1"/>
  <c r="L227" i="1"/>
  <c r="F227" i="1"/>
  <c r="AB227" i="1" s="1"/>
  <c r="C227" i="1"/>
  <c r="N226" i="1"/>
  <c r="M226" i="1" s="1"/>
  <c r="L226" i="1"/>
  <c r="G226" i="1"/>
  <c r="S226" i="1" s="1"/>
  <c r="D226" i="1"/>
  <c r="C226" i="1"/>
  <c r="N225" i="1"/>
  <c r="M225" i="1" s="1"/>
  <c r="L225" i="1"/>
  <c r="C225" i="1"/>
  <c r="N224" i="1"/>
  <c r="M224" i="1" s="1"/>
  <c r="L224" i="1"/>
  <c r="C224" i="1"/>
  <c r="N223" i="1"/>
  <c r="M223" i="1" s="1"/>
  <c r="L223" i="1"/>
  <c r="F223" i="1"/>
  <c r="C223" i="1"/>
  <c r="N222" i="1"/>
  <c r="M222" i="1" s="1"/>
  <c r="L222" i="1"/>
  <c r="G222" i="1"/>
  <c r="S222" i="1" s="1"/>
  <c r="D222" i="1"/>
  <c r="C222" i="1"/>
  <c r="N221" i="1"/>
  <c r="M221" i="1" s="1"/>
  <c r="L221" i="1"/>
  <c r="C221" i="1"/>
  <c r="N220" i="1"/>
  <c r="M220" i="1" s="1"/>
  <c r="L220" i="1"/>
  <c r="C220" i="1"/>
  <c r="N219" i="1"/>
  <c r="M219" i="1" s="1"/>
  <c r="L219" i="1"/>
  <c r="F219" i="1"/>
  <c r="C219" i="1"/>
  <c r="N218" i="1"/>
  <c r="M218" i="1" s="1"/>
  <c r="L218" i="1"/>
  <c r="G218" i="1"/>
  <c r="S218" i="1" s="1"/>
  <c r="D218" i="1"/>
  <c r="C218" i="1"/>
  <c r="N217" i="1"/>
  <c r="L217" i="1"/>
  <c r="G217" i="1"/>
  <c r="S217" i="1" s="1"/>
  <c r="D217" i="1"/>
  <c r="C217" i="1"/>
  <c r="N216" i="1"/>
  <c r="M216" i="1" s="1"/>
  <c r="L216" i="1"/>
  <c r="G216" i="1"/>
  <c r="S216" i="1" s="1"/>
  <c r="D216" i="1"/>
  <c r="C216" i="1"/>
  <c r="N215" i="1"/>
  <c r="M215" i="1" s="1"/>
  <c r="L215" i="1"/>
  <c r="G215" i="1"/>
  <c r="S215" i="1" s="1"/>
  <c r="D215" i="1"/>
  <c r="C215" i="1"/>
  <c r="N214" i="1"/>
  <c r="M214" i="1" s="1"/>
  <c r="L214" i="1"/>
  <c r="G214" i="1"/>
  <c r="S214" i="1" s="1"/>
  <c r="D214" i="1"/>
  <c r="C214" i="1"/>
  <c r="N213" i="1"/>
  <c r="M213" i="1" s="1"/>
  <c r="L213" i="1"/>
  <c r="G213" i="1"/>
  <c r="S213" i="1" s="1"/>
  <c r="D213" i="1"/>
  <c r="C213" i="1"/>
  <c r="N212" i="1"/>
  <c r="M212" i="1" s="1"/>
  <c r="L212" i="1"/>
  <c r="G212" i="1"/>
  <c r="S212" i="1" s="1"/>
  <c r="D212" i="1"/>
  <c r="C212" i="1"/>
  <c r="N211" i="1"/>
  <c r="M211" i="1" s="1"/>
  <c r="L211" i="1"/>
  <c r="Z211" i="1" s="1"/>
  <c r="G211" i="1"/>
  <c r="S211" i="1" s="1"/>
  <c r="D211" i="1"/>
  <c r="C211" i="1"/>
  <c r="N210" i="1"/>
  <c r="M210" i="1" s="1"/>
  <c r="L210" i="1"/>
  <c r="Z210" i="1" s="1"/>
  <c r="G210" i="1"/>
  <c r="S210" i="1" s="1"/>
  <c r="D210" i="1"/>
  <c r="C210" i="1"/>
  <c r="N209" i="1"/>
  <c r="M209" i="1" s="1"/>
  <c r="L209" i="1"/>
  <c r="G209" i="1"/>
  <c r="S209" i="1" s="1"/>
  <c r="D209" i="1"/>
  <c r="C209" i="1"/>
  <c r="N208" i="1"/>
  <c r="M208" i="1" s="1"/>
  <c r="L208" i="1"/>
  <c r="G208" i="1"/>
  <c r="S208" i="1" s="1"/>
  <c r="D208" i="1"/>
  <c r="C208" i="1"/>
  <c r="N207" i="1"/>
  <c r="L207" i="1"/>
  <c r="G207" i="1"/>
  <c r="S207" i="1" s="1"/>
  <c r="D207" i="1"/>
  <c r="C207" i="1"/>
  <c r="N206" i="1"/>
  <c r="M206" i="1" s="1"/>
  <c r="L206" i="1"/>
  <c r="G206" i="1"/>
  <c r="S206" i="1" s="1"/>
  <c r="D206" i="1"/>
  <c r="C206" i="1"/>
  <c r="N205" i="1"/>
  <c r="M205" i="1" s="1"/>
  <c r="L205" i="1"/>
  <c r="C205" i="1"/>
  <c r="N204" i="1"/>
  <c r="M204" i="1" s="1"/>
  <c r="L204" i="1"/>
  <c r="C204" i="1"/>
  <c r="N203" i="1"/>
  <c r="L203" i="1"/>
  <c r="F203" i="1"/>
  <c r="AB203" i="1" s="1"/>
  <c r="C203" i="1"/>
  <c r="N202" i="1"/>
  <c r="M202" i="1" s="1"/>
  <c r="L202" i="1"/>
  <c r="G202" i="1"/>
  <c r="S202" i="1" s="1"/>
  <c r="D202" i="1"/>
  <c r="C202" i="1"/>
  <c r="N201" i="1"/>
  <c r="M201" i="1" s="1"/>
  <c r="L201" i="1"/>
  <c r="C201" i="1"/>
  <c r="N200" i="1"/>
  <c r="M200" i="1" s="1"/>
  <c r="L200" i="1"/>
  <c r="C200" i="1"/>
  <c r="N199" i="1"/>
  <c r="M199" i="1" s="1"/>
  <c r="L199" i="1"/>
  <c r="F199" i="1"/>
  <c r="C199" i="1"/>
  <c r="N198" i="1"/>
  <c r="L198" i="1"/>
  <c r="G198" i="1"/>
  <c r="S198" i="1" s="1"/>
  <c r="D198" i="1"/>
  <c r="C198" i="1"/>
  <c r="N197" i="1"/>
  <c r="M197" i="1" s="1"/>
  <c r="L197" i="1"/>
  <c r="C197" i="1"/>
  <c r="N196" i="1"/>
  <c r="M196" i="1" s="1"/>
  <c r="L196" i="1"/>
  <c r="C196" i="1"/>
  <c r="N195" i="1"/>
  <c r="M195" i="1" s="1"/>
  <c r="L195" i="1"/>
  <c r="Z195" i="1" s="1"/>
  <c r="F195" i="1"/>
  <c r="C195" i="1"/>
  <c r="N194" i="1"/>
  <c r="M194" i="1" s="1"/>
  <c r="L194" i="1"/>
  <c r="G194" i="1"/>
  <c r="S194" i="1" s="1"/>
  <c r="D194" i="1"/>
  <c r="C194" i="1"/>
  <c r="N193" i="1"/>
  <c r="M193" i="1" s="1"/>
  <c r="L193" i="1"/>
  <c r="G193" i="1"/>
  <c r="S193" i="1" s="1"/>
  <c r="D193" i="1"/>
  <c r="C193" i="1"/>
  <c r="N192" i="1"/>
  <c r="M192" i="1" s="1"/>
  <c r="L192" i="1"/>
  <c r="G192" i="1"/>
  <c r="S192" i="1" s="1"/>
  <c r="D192" i="1"/>
  <c r="C192" i="1"/>
  <c r="N191" i="1"/>
  <c r="L191" i="1"/>
  <c r="G191" i="1"/>
  <c r="S191" i="1" s="1"/>
  <c r="D191" i="1"/>
  <c r="C191" i="1"/>
  <c r="N190" i="1"/>
  <c r="L190" i="1"/>
  <c r="Z190" i="1" s="1"/>
  <c r="G190" i="1"/>
  <c r="S190" i="1" s="1"/>
  <c r="D190" i="1"/>
  <c r="C190" i="1"/>
  <c r="N189" i="1"/>
  <c r="M189" i="1" s="1"/>
  <c r="L189" i="1"/>
  <c r="G189" i="1"/>
  <c r="S189" i="1" s="1"/>
  <c r="D189" i="1"/>
  <c r="C189" i="1"/>
  <c r="N188" i="1"/>
  <c r="M188" i="1" s="1"/>
  <c r="L188" i="1"/>
  <c r="G188" i="1"/>
  <c r="S188" i="1" s="1"/>
  <c r="D188" i="1"/>
  <c r="C188" i="1"/>
  <c r="N187" i="1"/>
  <c r="M187" i="1" s="1"/>
  <c r="L187" i="1"/>
  <c r="G187" i="1"/>
  <c r="S187" i="1" s="1"/>
  <c r="D187" i="1"/>
  <c r="C187" i="1"/>
  <c r="N186" i="1"/>
  <c r="M186" i="1" s="1"/>
  <c r="L186" i="1"/>
  <c r="G186" i="1"/>
  <c r="S186" i="1" s="1"/>
  <c r="D186" i="1"/>
  <c r="C186" i="1"/>
  <c r="N185" i="1"/>
  <c r="L185" i="1"/>
  <c r="G185" i="1"/>
  <c r="S185" i="1" s="1"/>
  <c r="D185" i="1"/>
  <c r="C185" i="1"/>
  <c r="N184" i="1"/>
  <c r="M184" i="1" s="1"/>
  <c r="L184" i="1"/>
  <c r="G184" i="1"/>
  <c r="S184" i="1" s="1"/>
  <c r="D184" i="1"/>
  <c r="C184" i="1"/>
  <c r="N183" i="1"/>
  <c r="M183" i="1" s="1"/>
  <c r="L183" i="1"/>
  <c r="Z183" i="1" s="1"/>
  <c r="G183" i="1"/>
  <c r="S183" i="1" s="1"/>
  <c r="D183" i="1"/>
  <c r="C183" i="1"/>
  <c r="N182" i="1"/>
  <c r="M182" i="1" s="1"/>
  <c r="L182" i="1"/>
  <c r="Z182" i="1" s="1"/>
  <c r="G182" i="1"/>
  <c r="S182" i="1" s="1"/>
  <c r="D182" i="1"/>
  <c r="C182" i="1"/>
  <c r="N181" i="1"/>
  <c r="M181" i="1" s="1"/>
  <c r="L181" i="1"/>
  <c r="C181" i="1"/>
  <c r="N180" i="1"/>
  <c r="M180" i="1" s="1"/>
  <c r="L180" i="1"/>
  <c r="C180" i="1"/>
  <c r="N179" i="1"/>
  <c r="M179" i="1" s="1"/>
  <c r="L179" i="1"/>
  <c r="F179" i="1"/>
  <c r="C179" i="1"/>
  <c r="N178" i="1"/>
  <c r="M178" i="1" s="1"/>
  <c r="L178" i="1"/>
  <c r="G178" i="1"/>
  <c r="S178" i="1" s="1"/>
  <c r="D178" i="1"/>
  <c r="C178" i="1"/>
  <c r="N177" i="1"/>
  <c r="M177" i="1" s="1"/>
  <c r="L177" i="1"/>
  <c r="C177" i="1"/>
  <c r="N176" i="1"/>
  <c r="M176" i="1" s="1"/>
  <c r="L176" i="1"/>
  <c r="C176" i="1"/>
  <c r="N175" i="1"/>
  <c r="M175" i="1" s="1"/>
  <c r="L175" i="1"/>
  <c r="F175" i="1"/>
  <c r="C175" i="1"/>
  <c r="N174" i="1"/>
  <c r="M174" i="1" s="1"/>
  <c r="L174" i="1"/>
  <c r="G174" i="1"/>
  <c r="S174" i="1" s="1"/>
  <c r="D174" i="1"/>
  <c r="C174" i="1"/>
  <c r="N173" i="1"/>
  <c r="M173" i="1" s="1"/>
  <c r="L173" i="1"/>
  <c r="C173" i="1"/>
  <c r="N172" i="1"/>
  <c r="M172" i="1" s="1"/>
  <c r="L172" i="1"/>
  <c r="Z172" i="1" s="1"/>
  <c r="C172" i="1"/>
  <c r="N171" i="1"/>
  <c r="M171" i="1" s="1"/>
  <c r="L171" i="1"/>
  <c r="F171" i="1"/>
  <c r="C171" i="1"/>
  <c r="N170" i="1"/>
  <c r="M170" i="1" s="1"/>
  <c r="L170" i="1"/>
  <c r="G170" i="1"/>
  <c r="S170" i="1" s="1"/>
  <c r="D170" i="1"/>
  <c r="C170" i="1"/>
  <c r="N169" i="1"/>
  <c r="M169" i="1" s="1"/>
  <c r="L169" i="1"/>
  <c r="G169" i="1"/>
  <c r="S169" i="1" s="1"/>
  <c r="D169" i="1"/>
  <c r="C169" i="1"/>
  <c r="N168" i="1"/>
  <c r="M168" i="1" s="1"/>
  <c r="L168" i="1"/>
  <c r="G168" i="1"/>
  <c r="S168" i="1" s="1"/>
  <c r="D168" i="1"/>
  <c r="C168" i="1"/>
  <c r="N167" i="1"/>
  <c r="M167" i="1" s="1"/>
  <c r="L167" i="1"/>
  <c r="G167" i="1"/>
  <c r="S167" i="1" s="1"/>
  <c r="D167" i="1"/>
  <c r="C167" i="1"/>
  <c r="N166" i="1"/>
  <c r="M166" i="1" s="1"/>
  <c r="L166" i="1"/>
  <c r="G166" i="1"/>
  <c r="S166" i="1" s="1"/>
  <c r="D166" i="1"/>
  <c r="C166" i="1"/>
  <c r="N165" i="1"/>
  <c r="M165" i="1" s="1"/>
  <c r="L165" i="1"/>
  <c r="G165" i="1"/>
  <c r="S165" i="1" s="1"/>
  <c r="D165" i="1"/>
  <c r="C165" i="1"/>
  <c r="N164" i="1"/>
  <c r="M164" i="1" s="1"/>
  <c r="L164" i="1"/>
  <c r="G164" i="1"/>
  <c r="S164" i="1" s="1"/>
  <c r="D164" i="1"/>
  <c r="C164" i="1"/>
  <c r="N163" i="1"/>
  <c r="M163" i="1" s="1"/>
  <c r="L163" i="1"/>
  <c r="G163" i="1"/>
  <c r="S163" i="1" s="1"/>
  <c r="D163" i="1"/>
  <c r="C163" i="1"/>
  <c r="N162" i="1"/>
  <c r="M162" i="1" s="1"/>
  <c r="L162" i="1"/>
  <c r="G162" i="1"/>
  <c r="S162" i="1" s="1"/>
  <c r="D162" i="1"/>
  <c r="C162" i="1"/>
  <c r="N161" i="1"/>
  <c r="M161" i="1" s="1"/>
  <c r="L161" i="1"/>
  <c r="G161" i="1"/>
  <c r="S161" i="1" s="1"/>
  <c r="D161" i="1"/>
  <c r="C161" i="1"/>
  <c r="N160" i="1"/>
  <c r="M160" i="1" s="1"/>
  <c r="L160" i="1"/>
  <c r="G160" i="1"/>
  <c r="S160" i="1" s="1"/>
  <c r="D160" i="1"/>
  <c r="C160" i="1"/>
  <c r="N159" i="1"/>
  <c r="M159" i="1" s="1"/>
  <c r="L159" i="1"/>
  <c r="G159" i="1"/>
  <c r="S159" i="1" s="1"/>
  <c r="D159" i="1"/>
  <c r="C159" i="1"/>
  <c r="N158" i="1"/>
  <c r="M158" i="1" s="1"/>
  <c r="L158" i="1"/>
  <c r="G158" i="1"/>
  <c r="S158" i="1" s="1"/>
  <c r="D158" i="1"/>
  <c r="C158" i="1"/>
  <c r="N157" i="1"/>
  <c r="M157" i="1" s="1"/>
  <c r="L157" i="1"/>
  <c r="C157" i="1"/>
  <c r="N156" i="1"/>
  <c r="M156" i="1" s="1"/>
  <c r="L156" i="1"/>
  <c r="C156" i="1"/>
  <c r="N155" i="1"/>
  <c r="M155" i="1" s="1"/>
  <c r="L155" i="1"/>
  <c r="F155" i="1"/>
  <c r="AB155" i="1" s="1"/>
  <c r="C155" i="1"/>
  <c r="N154" i="1"/>
  <c r="M154" i="1" s="1"/>
  <c r="L154" i="1"/>
  <c r="G154" i="1"/>
  <c r="S154" i="1" s="1"/>
  <c r="D154" i="1"/>
  <c r="C154" i="1"/>
  <c r="N153" i="1"/>
  <c r="M153" i="1" s="1"/>
  <c r="L153" i="1"/>
  <c r="C153" i="1"/>
  <c r="N152" i="1"/>
  <c r="M152" i="1" s="1"/>
  <c r="L152" i="1"/>
  <c r="C152" i="1"/>
  <c r="N151" i="1"/>
  <c r="M151" i="1" s="1"/>
  <c r="L151" i="1"/>
  <c r="Z151" i="1" s="1"/>
  <c r="F151" i="1"/>
  <c r="C151" i="1"/>
  <c r="N150" i="1"/>
  <c r="M150" i="1" s="1"/>
  <c r="L150" i="1"/>
  <c r="G150" i="1"/>
  <c r="S150" i="1" s="1"/>
  <c r="D150" i="1"/>
  <c r="C150" i="1"/>
  <c r="N149" i="1"/>
  <c r="M149" i="1" s="1"/>
  <c r="L149" i="1"/>
  <c r="C149" i="1"/>
  <c r="N148" i="1"/>
  <c r="M148" i="1" s="1"/>
  <c r="L148" i="1"/>
  <c r="C148" i="1"/>
  <c r="N147" i="1"/>
  <c r="M147" i="1" s="1"/>
  <c r="L147" i="1"/>
  <c r="F147" i="1"/>
  <c r="C147" i="1"/>
  <c r="N146" i="1"/>
  <c r="M146" i="1" s="1"/>
  <c r="L146" i="1"/>
  <c r="G146" i="1"/>
  <c r="S146" i="1" s="1"/>
  <c r="D146" i="1"/>
  <c r="C146" i="1"/>
  <c r="N145" i="1"/>
  <c r="M145" i="1" s="1"/>
  <c r="L145" i="1"/>
  <c r="G145" i="1"/>
  <c r="S145" i="1" s="1"/>
  <c r="D145" i="1"/>
  <c r="C145" i="1"/>
  <c r="N144" i="1"/>
  <c r="M144" i="1" s="1"/>
  <c r="L144" i="1"/>
  <c r="G144" i="1"/>
  <c r="S144" i="1" s="1"/>
  <c r="D144" i="1"/>
  <c r="C144" i="1"/>
  <c r="N143" i="1"/>
  <c r="M143" i="1" s="1"/>
  <c r="L143" i="1"/>
  <c r="G143" i="1"/>
  <c r="S143" i="1" s="1"/>
  <c r="D143" i="1"/>
  <c r="C143" i="1"/>
  <c r="N142" i="1"/>
  <c r="M142" i="1" s="1"/>
  <c r="L142" i="1"/>
  <c r="G142" i="1"/>
  <c r="S142" i="1" s="1"/>
  <c r="D142" i="1"/>
  <c r="C142" i="1"/>
  <c r="N141" i="1"/>
  <c r="M141" i="1" s="1"/>
  <c r="L141" i="1"/>
  <c r="G141" i="1"/>
  <c r="S141" i="1" s="1"/>
  <c r="D141" i="1"/>
  <c r="C141" i="1"/>
  <c r="N140" i="1"/>
  <c r="M140" i="1" s="1"/>
  <c r="L140" i="1"/>
  <c r="G140" i="1"/>
  <c r="S140" i="1" s="1"/>
  <c r="D140" i="1"/>
  <c r="C140" i="1"/>
  <c r="N139" i="1"/>
  <c r="M139" i="1" s="1"/>
  <c r="L139" i="1"/>
  <c r="G139" i="1"/>
  <c r="S139" i="1" s="1"/>
  <c r="D139" i="1"/>
  <c r="C139" i="1"/>
  <c r="N138" i="1"/>
  <c r="M138" i="1" s="1"/>
  <c r="L138" i="1"/>
  <c r="Z138" i="1" s="1"/>
  <c r="G138" i="1"/>
  <c r="S138" i="1" s="1"/>
  <c r="D138" i="1"/>
  <c r="C138" i="1"/>
  <c r="N137" i="1"/>
  <c r="M137" i="1" s="1"/>
  <c r="L137" i="1"/>
  <c r="Z137" i="1" s="1"/>
  <c r="G137" i="1"/>
  <c r="S137" i="1" s="1"/>
  <c r="D137" i="1"/>
  <c r="C137" i="1"/>
  <c r="N136" i="1"/>
  <c r="M136" i="1" s="1"/>
  <c r="L136" i="1"/>
  <c r="G136" i="1"/>
  <c r="S136" i="1" s="1"/>
  <c r="D136" i="1"/>
  <c r="C136" i="1"/>
  <c r="N135" i="1"/>
  <c r="M135" i="1" s="1"/>
  <c r="L135" i="1"/>
  <c r="G135" i="1"/>
  <c r="S135" i="1" s="1"/>
  <c r="D135" i="1"/>
  <c r="C135" i="1"/>
  <c r="N134" i="1"/>
  <c r="M134" i="1" s="1"/>
  <c r="L134" i="1"/>
  <c r="G134" i="1"/>
  <c r="S134" i="1" s="1"/>
  <c r="D134" i="1"/>
  <c r="C134" i="1"/>
  <c r="N133" i="1"/>
  <c r="M133" i="1" s="1"/>
  <c r="L133" i="1"/>
  <c r="C133" i="1"/>
  <c r="N132" i="1"/>
  <c r="M132" i="1" s="1"/>
  <c r="L132" i="1"/>
  <c r="C132" i="1"/>
  <c r="N131" i="1"/>
  <c r="M131" i="1" s="1"/>
  <c r="L131" i="1"/>
  <c r="F131" i="1"/>
  <c r="C131" i="1"/>
  <c r="N130" i="1"/>
  <c r="M130" i="1" s="1"/>
  <c r="L130" i="1"/>
  <c r="G130" i="1"/>
  <c r="S130" i="1" s="1"/>
  <c r="D130" i="1"/>
  <c r="C130" i="1"/>
  <c r="N129" i="1"/>
  <c r="M129" i="1" s="1"/>
  <c r="L129" i="1"/>
  <c r="C129" i="1"/>
  <c r="N128" i="1"/>
  <c r="M128" i="1" s="1"/>
  <c r="L128" i="1"/>
  <c r="C128" i="1"/>
  <c r="N127" i="1"/>
  <c r="M127" i="1" s="1"/>
  <c r="L127" i="1"/>
  <c r="F127" i="1"/>
  <c r="AB127" i="1" s="1"/>
  <c r="C127" i="1"/>
  <c r="N126" i="1"/>
  <c r="M126" i="1" s="1"/>
  <c r="L126" i="1"/>
  <c r="G126" i="1"/>
  <c r="S126" i="1" s="1"/>
  <c r="D126" i="1"/>
  <c r="C126" i="1"/>
  <c r="N125" i="1"/>
  <c r="M125" i="1" s="1"/>
  <c r="L125" i="1"/>
  <c r="C125" i="1"/>
  <c r="N124" i="1"/>
  <c r="M124" i="1" s="1"/>
  <c r="L124" i="1"/>
  <c r="C124" i="1"/>
  <c r="N123" i="1"/>
  <c r="M123" i="1" s="1"/>
  <c r="L123" i="1"/>
  <c r="F123" i="1"/>
  <c r="AB123" i="1" s="1"/>
  <c r="C123" i="1"/>
  <c r="N122" i="1"/>
  <c r="M122" i="1" s="1"/>
  <c r="L122" i="1"/>
  <c r="G122" i="1"/>
  <c r="S122" i="1" s="1"/>
  <c r="D122" i="1"/>
  <c r="C122" i="1"/>
  <c r="N121" i="1"/>
  <c r="M121" i="1" s="1"/>
  <c r="L121" i="1"/>
  <c r="G121" i="1"/>
  <c r="S121" i="1" s="1"/>
  <c r="D121" i="1"/>
  <c r="C121" i="1"/>
  <c r="N120" i="1"/>
  <c r="M120" i="1" s="1"/>
  <c r="L120" i="1"/>
  <c r="G120" i="1"/>
  <c r="S120" i="1" s="1"/>
  <c r="D120" i="1"/>
  <c r="C120" i="1"/>
  <c r="N119" i="1"/>
  <c r="M119" i="1" s="1"/>
  <c r="L119" i="1"/>
  <c r="G119" i="1"/>
  <c r="S119" i="1" s="1"/>
  <c r="D119" i="1"/>
  <c r="C119" i="1"/>
  <c r="N118" i="1"/>
  <c r="M118" i="1" s="1"/>
  <c r="L118" i="1"/>
  <c r="G118" i="1"/>
  <c r="S118" i="1" s="1"/>
  <c r="D118" i="1"/>
  <c r="C118" i="1"/>
  <c r="N117" i="1"/>
  <c r="L117" i="1"/>
  <c r="G117" i="1"/>
  <c r="S117" i="1" s="1"/>
  <c r="D117" i="1"/>
  <c r="C117" i="1"/>
  <c r="N116" i="1"/>
  <c r="M116" i="1" s="1"/>
  <c r="L116" i="1"/>
  <c r="G116" i="1"/>
  <c r="S116" i="1" s="1"/>
  <c r="D116" i="1"/>
  <c r="C116" i="1"/>
  <c r="N115" i="1"/>
  <c r="M115" i="1" s="1"/>
  <c r="L115" i="1"/>
  <c r="G115" i="1"/>
  <c r="S115" i="1" s="1"/>
  <c r="D115" i="1"/>
  <c r="C115" i="1"/>
  <c r="N114" i="1"/>
  <c r="M114" i="1" s="1"/>
  <c r="L114" i="1"/>
  <c r="G114" i="1"/>
  <c r="S114" i="1" s="1"/>
  <c r="D114" i="1"/>
  <c r="C114" i="1"/>
  <c r="N113" i="1"/>
  <c r="M113" i="1" s="1"/>
  <c r="L113" i="1"/>
  <c r="G113" i="1"/>
  <c r="S113" i="1" s="1"/>
  <c r="D113" i="1"/>
  <c r="C113" i="1"/>
  <c r="N112" i="1"/>
  <c r="L112" i="1"/>
  <c r="G112" i="1"/>
  <c r="S112" i="1" s="1"/>
  <c r="D112" i="1"/>
  <c r="C112" i="1"/>
  <c r="N111" i="1"/>
  <c r="M111" i="1" s="1"/>
  <c r="L111" i="1"/>
  <c r="G111" i="1"/>
  <c r="S111" i="1" s="1"/>
  <c r="D111" i="1"/>
  <c r="C111" i="1"/>
  <c r="N110" i="1"/>
  <c r="L110" i="1"/>
  <c r="G110" i="1"/>
  <c r="S110" i="1" s="1"/>
  <c r="D110" i="1"/>
  <c r="C110" i="1"/>
  <c r="N109" i="1"/>
  <c r="M109" i="1" s="1"/>
  <c r="L109" i="1"/>
  <c r="C109" i="1"/>
  <c r="N108" i="1"/>
  <c r="M108" i="1" s="1"/>
  <c r="L108" i="1"/>
  <c r="C108" i="1"/>
  <c r="N107" i="1"/>
  <c r="M107" i="1" s="1"/>
  <c r="L107" i="1"/>
  <c r="Z107" i="1" s="1"/>
  <c r="F107" i="1"/>
  <c r="AB107" i="1" s="1"/>
  <c r="C107" i="1"/>
  <c r="N106" i="1"/>
  <c r="M106" i="1" s="1"/>
  <c r="L106" i="1"/>
  <c r="G106" i="1"/>
  <c r="S106" i="1" s="1"/>
  <c r="D106" i="1"/>
  <c r="C106" i="1"/>
  <c r="N105" i="1"/>
  <c r="M105" i="1" s="1"/>
  <c r="L105" i="1"/>
  <c r="C105" i="1"/>
  <c r="N104" i="1"/>
  <c r="M104" i="1" s="1"/>
  <c r="L104" i="1"/>
  <c r="C104" i="1"/>
  <c r="N103" i="1"/>
  <c r="M103" i="1" s="1"/>
  <c r="L103" i="1"/>
  <c r="F103" i="1"/>
  <c r="AB103" i="1" s="1"/>
  <c r="C103" i="1"/>
  <c r="N102" i="1"/>
  <c r="M102" i="1" s="1"/>
  <c r="L102" i="1"/>
  <c r="Z102" i="1" s="1"/>
  <c r="G102" i="1"/>
  <c r="S102" i="1" s="1"/>
  <c r="D102" i="1"/>
  <c r="C102" i="1"/>
  <c r="N101" i="1"/>
  <c r="M101" i="1" s="1"/>
  <c r="L101" i="1"/>
  <c r="C101" i="1"/>
  <c r="N100" i="1"/>
  <c r="M100" i="1" s="1"/>
  <c r="L100" i="1"/>
  <c r="C100" i="1"/>
  <c r="N99" i="1"/>
  <c r="M99" i="1" s="1"/>
  <c r="L99" i="1"/>
  <c r="F99" i="1"/>
  <c r="C99" i="1"/>
  <c r="N98" i="1"/>
  <c r="M98" i="1" s="1"/>
  <c r="L98" i="1"/>
  <c r="G98" i="1"/>
  <c r="S98" i="1" s="1"/>
  <c r="D98" i="1"/>
  <c r="C98" i="1"/>
  <c r="N97" i="1"/>
  <c r="M97" i="1" s="1"/>
  <c r="L97" i="1"/>
  <c r="G97" i="1"/>
  <c r="S97" i="1" s="1"/>
  <c r="D97" i="1"/>
  <c r="C97" i="1"/>
  <c r="N96" i="1"/>
  <c r="M96" i="1" s="1"/>
  <c r="L96" i="1"/>
  <c r="G96" i="1"/>
  <c r="S96" i="1" s="1"/>
  <c r="D96" i="1"/>
  <c r="C96" i="1"/>
  <c r="N95" i="1"/>
  <c r="M95" i="1" s="1"/>
  <c r="L95" i="1"/>
  <c r="G95" i="1"/>
  <c r="S95" i="1" s="1"/>
  <c r="D95" i="1"/>
  <c r="C95" i="1"/>
  <c r="N94" i="1"/>
  <c r="M94" i="1" s="1"/>
  <c r="L94" i="1"/>
  <c r="G94" i="1"/>
  <c r="S94" i="1" s="1"/>
  <c r="D94" i="1"/>
  <c r="C94" i="1"/>
  <c r="N93" i="1"/>
  <c r="M93" i="1" s="1"/>
  <c r="L93" i="1"/>
  <c r="G93" i="1"/>
  <c r="S93" i="1" s="1"/>
  <c r="D93" i="1"/>
  <c r="C93" i="1"/>
  <c r="N92" i="1"/>
  <c r="M92" i="1" s="1"/>
  <c r="L92" i="1"/>
  <c r="G92" i="1"/>
  <c r="S92" i="1" s="1"/>
  <c r="D92" i="1"/>
  <c r="C92" i="1"/>
  <c r="N91" i="1"/>
  <c r="M91" i="1" s="1"/>
  <c r="L91" i="1"/>
  <c r="Z91" i="1" s="1"/>
  <c r="G91" i="1"/>
  <c r="S91" i="1" s="1"/>
  <c r="D91" i="1"/>
  <c r="C91" i="1"/>
  <c r="N90" i="1"/>
  <c r="L90" i="1"/>
  <c r="G90" i="1"/>
  <c r="S90" i="1" s="1"/>
  <c r="D90" i="1"/>
  <c r="C90" i="1"/>
  <c r="N89" i="1"/>
  <c r="M89" i="1" s="1"/>
  <c r="L89" i="1"/>
  <c r="G89" i="1"/>
  <c r="S89" i="1" s="1"/>
  <c r="D89" i="1"/>
  <c r="C89" i="1"/>
  <c r="N88" i="1"/>
  <c r="M88" i="1" s="1"/>
  <c r="L88" i="1"/>
  <c r="G88" i="1"/>
  <c r="S88" i="1" s="1"/>
  <c r="D88" i="1"/>
  <c r="C88" i="1"/>
  <c r="N87" i="1"/>
  <c r="M87" i="1" s="1"/>
  <c r="L87" i="1"/>
  <c r="G87" i="1"/>
  <c r="S87" i="1" s="1"/>
  <c r="D87" i="1"/>
  <c r="C87" i="1"/>
  <c r="N86" i="1"/>
  <c r="M86" i="1" s="1"/>
  <c r="L86" i="1"/>
  <c r="G86" i="1"/>
  <c r="S86" i="1" s="1"/>
  <c r="D86" i="1"/>
  <c r="C86" i="1"/>
  <c r="N85" i="1"/>
  <c r="M85" i="1" s="1"/>
  <c r="L85" i="1"/>
  <c r="C85" i="1"/>
  <c r="N84" i="1"/>
  <c r="M84" i="1" s="1"/>
  <c r="L84" i="1"/>
  <c r="C84" i="1"/>
  <c r="N83" i="1"/>
  <c r="M83" i="1" s="1"/>
  <c r="L83" i="1"/>
  <c r="F83" i="1"/>
  <c r="C83" i="1"/>
  <c r="N82" i="1"/>
  <c r="M82" i="1" s="1"/>
  <c r="L82" i="1"/>
  <c r="G82" i="1"/>
  <c r="S82" i="1" s="1"/>
  <c r="D82" i="1"/>
  <c r="C82" i="1"/>
  <c r="N81" i="1"/>
  <c r="M81" i="1" s="1"/>
  <c r="L81" i="1"/>
  <c r="C81" i="1"/>
  <c r="N80" i="1"/>
  <c r="M80" i="1" s="1"/>
  <c r="L80" i="1"/>
  <c r="Z80" i="1" s="1"/>
  <c r="C80" i="1"/>
  <c r="N79" i="1"/>
  <c r="M79" i="1" s="1"/>
  <c r="L79" i="1"/>
  <c r="F79" i="1"/>
  <c r="C79" i="1"/>
  <c r="N78" i="1"/>
  <c r="L78" i="1"/>
  <c r="G78" i="1"/>
  <c r="S78" i="1" s="1"/>
  <c r="D78" i="1"/>
  <c r="C78" i="1"/>
  <c r="N77" i="1"/>
  <c r="M77" i="1" s="1"/>
  <c r="L77" i="1"/>
  <c r="C77" i="1"/>
  <c r="N76" i="1"/>
  <c r="M76" i="1" s="1"/>
  <c r="L76" i="1"/>
  <c r="C76" i="1"/>
  <c r="N75" i="1"/>
  <c r="M75" i="1" s="1"/>
  <c r="L75" i="1"/>
  <c r="F75" i="1"/>
  <c r="C75" i="1"/>
  <c r="N74" i="1"/>
  <c r="M74" i="1" s="1"/>
  <c r="L74" i="1"/>
  <c r="G74" i="1"/>
  <c r="S74" i="1" s="1"/>
  <c r="D74" i="1"/>
  <c r="C74" i="1"/>
  <c r="N73" i="1"/>
  <c r="M73" i="1" s="1"/>
  <c r="L73" i="1"/>
  <c r="G73" i="1"/>
  <c r="S73" i="1" s="1"/>
  <c r="D73" i="1"/>
  <c r="C73" i="1"/>
  <c r="N72" i="1"/>
  <c r="M72" i="1" s="1"/>
  <c r="L72" i="1"/>
  <c r="G72" i="1"/>
  <c r="S72" i="1" s="1"/>
  <c r="D72" i="1"/>
  <c r="C72" i="1"/>
  <c r="N71" i="1"/>
  <c r="M71" i="1" s="1"/>
  <c r="L71" i="1"/>
  <c r="G71" i="1"/>
  <c r="S71" i="1" s="1"/>
  <c r="D71" i="1"/>
  <c r="C71" i="1"/>
  <c r="N70" i="1"/>
  <c r="M70" i="1" s="1"/>
  <c r="L70" i="1"/>
  <c r="G70" i="1"/>
  <c r="S70" i="1" s="1"/>
  <c r="D70" i="1"/>
  <c r="C70" i="1"/>
  <c r="N69" i="1"/>
  <c r="L69" i="1"/>
  <c r="G69" i="1"/>
  <c r="S69" i="1" s="1"/>
  <c r="D69" i="1"/>
  <c r="C69" i="1"/>
  <c r="N68" i="1"/>
  <c r="M68" i="1" s="1"/>
  <c r="L68" i="1"/>
  <c r="G68" i="1"/>
  <c r="S68" i="1" s="1"/>
  <c r="D68" i="1"/>
  <c r="C68" i="1"/>
  <c r="N67" i="1"/>
  <c r="M67" i="1" s="1"/>
  <c r="L67" i="1"/>
  <c r="G67" i="1"/>
  <c r="S67" i="1" s="1"/>
  <c r="D67" i="1"/>
  <c r="C67" i="1"/>
  <c r="N66" i="1"/>
  <c r="M66" i="1" s="1"/>
  <c r="L66" i="1"/>
  <c r="G66" i="1"/>
  <c r="S66" i="1" s="1"/>
  <c r="D66" i="1"/>
  <c r="C66" i="1"/>
  <c r="N65" i="1"/>
  <c r="M65" i="1" s="1"/>
  <c r="L65" i="1"/>
  <c r="G65" i="1"/>
  <c r="S65" i="1" s="1"/>
  <c r="D65" i="1"/>
  <c r="C65" i="1"/>
  <c r="N64" i="1"/>
  <c r="M64" i="1" s="1"/>
  <c r="L64" i="1"/>
  <c r="G64" i="1"/>
  <c r="S64" i="1" s="1"/>
  <c r="D64" i="1"/>
  <c r="C64" i="1"/>
  <c r="N63" i="1"/>
  <c r="M63" i="1" s="1"/>
  <c r="L63" i="1"/>
  <c r="G63" i="1"/>
  <c r="S63" i="1" s="1"/>
  <c r="D63" i="1"/>
  <c r="C63" i="1"/>
  <c r="N62" i="1"/>
  <c r="M62" i="1" s="1"/>
  <c r="L62" i="1"/>
  <c r="G62" i="1"/>
  <c r="S62" i="1" s="1"/>
  <c r="D62" i="1"/>
  <c r="C62" i="1"/>
  <c r="N61" i="1"/>
  <c r="M61" i="1" s="1"/>
  <c r="L61" i="1"/>
  <c r="C61" i="1"/>
  <c r="N60" i="1"/>
  <c r="M60" i="1" s="1"/>
  <c r="L60" i="1"/>
  <c r="C60" i="1"/>
  <c r="N59" i="1"/>
  <c r="M59" i="1" s="1"/>
  <c r="L59" i="1"/>
  <c r="F59" i="1"/>
  <c r="C59" i="1"/>
  <c r="N58" i="1"/>
  <c r="M58" i="1" s="1"/>
  <c r="L58" i="1"/>
  <c r="G58" i="1"/>
  <c r="S58" i="1" s="1"/>
  <c r="D58" i="1"/>
  <c r="C58" i="1"/>
  <c r="N57" i="1"/>
  <c r="M57" i="1" s="1"/>
  <c r="L57" i="1"/>
  <c r="C57" i="1"/>
  <c r="N56" i="1"/>
  <c r="M56" i="1" s="1"/>
  <c r="L56" i="1"/>
  <c r="C56" i="1"/>
  <c r="N55" i="1"/>
  <c r="M55" i="1" s="1"/>
  <c r="L55" i="1"/>
  <c r="F55" i="1"/>
  <c r="AB55" i="1" s="1"/>
  <c r="C55" i="1"/>
  <c r="N54" i="1"/>
  <c r="M54" i="1" s="1"/>
  <c r="L54" i="1"/>
  <c r="G54" i="1"/>
  <c r="S54" i="1" s="1"/>
  <c r="D54" i="1"/>
  <c r="C54" i="1"/>
  <c r="N53" i="1"/>
  <c r="M53" i="1" s="1"/>
  <c r="L53" i="1"/>
  <c r="C53" i="1"/>
  <c r="N52" i="1"/>
  <c r="M52" i="1" s="1"/>
  <c r="L52" i="1"/>
  <c r="Z52" i="1" s="1"/>
  <c r="C52" i="1"/>
  <c r="N51" i="1"/>
  <c r="M51" i="1" s="1"/>
  <c r="L51" i="1"/>
  <c r="Z51" i="1" s="1"/>
  <c r="F51" i="1"/>
  <c r="C51" i="1"/>
  <c r="N50" i="1"/>
  <c r="L50" i="1"/>
  <c r="G50" i="1"/>
  <c r="S50" i="1" s="1"/>
  <c r="D50" i="1"/>
  <c r="C50" i="1"/>
  <c r="N49" i="1"/>
  <c r="M49" i="1" s="1"/>
  <c r="L49" i="1"/>
  <c r="G49" i="1"/>
  <c r="S49" i="1" s="1"/>
  <c r="D49" i="1"/>
  <c r="C49" i="1"/>
  <c r="N48" i="1"/>
  <c r="M48" i="1" s="1"/>
  <c r="L48" i="1"/>
  <c r="G48" i="1"/>
  <c r="S48" i="1" s="1"/>
  <c r="D48" i="1"/>
  <c r="C48" i="1"/>
  <c r="N47" i="1"/>
  <c r="M47" i="1" s="1"/>
  <c r="L47" i="1"/>
  <c r="Z47" i="1" s="1"/>
  <c r="G47" i="1"/>
  <c r="S47" i="1" s="1"/>
  <c r="D47" i="1"/>
  <c r="C47" i="1"/>
  <c r="N46" i="1"/>
  <c r="M46" i="1" s="1"/>
  <c r="L46" i="1"/>
  <c r="G46" i="1"/>
  <c r="S46" i="1" s="1"/>
  <c r="D46" i="1"/>
  <c r="C46" i="1"/>
  <c r="N45" i="1"/>
  <c r="M45" i="1" s="1"/>
  <c r="L45" i="1"/>
  <c r="G45" i="1"/>
  <c r="S45" i="1" s="1"/>
  <c r="D45" i="1"/>
  <c r="C45" i="1"/>
  <c r="N44" i="1"/>
  <c r="M44" i="1" s="1"/>
  <c r="L44" i="1"/>
  <c r="G44" i="1"/>
  <c r="S44" i="1" s="1"/>
  <c r="D44" i="1"/>
  <c r="C44" i="1"/>
  <c r="N43" i="1"/>
  <c r="M43" i="1" s="1"/>
  <c r="L43" i="1"/>
  <c r="G43" i="1"/>
  <c r="S43" i="1" s="1"/>
  <c r="D43" i="1"/>
  <c r="C43" i="1"/>
  <c r="N42" i="1"/>
  <c r="L42" i="1"/>
  <c r="G42" i="1"/>
  <c r="S42" i="1" s="1"/>
  <c r="D42" i="1"/>
  <c r="C42" i="1"/>
  <c r="N41" i="1"/>
  <c r="M41" i="1" s="1"/>
  <c r="L41" i="1"/>
  <c r="G41" i="1"/>
  <c r="S41" i="1" s="1"/>
  <c r="D41" i="1"/>
  <c r="C41" i="1"/>
  <c r="N40" i="1"/>
  <c r="M40" i="1" s="1"/>
  <c r="L40" i="1"/>
  <c r="G40" i="1"/>
  <c r="S40" i="1" s="1"/>
  <c r="D40" i="1"/>
  <c r="C40" i="1"/>
  <c r="N39" i="1"/>
  <c r="M39" i="1" s="1"/>
  <c r="L39" i="1"/>
  <c r="G39" i="1"/>
  <c r="S39" i="1" s="1"/>
  <c r="D39" i="1"/>
  <c r="C39" i="1"/>
  <c r="N38" i="1"/>
  <c r="M38" i="1" s="1"/>
  <c r="L38" i="1"/>
  <c r="Z38" i="1" s="1"/>
  <c r="G38" i="1"/>
  <c r="S38" i="1" s="1"/>
  <c r="D38" i="1"/>
  <c r="C38" i="1"/>
  <c r="N37" i="1"/>
  <c r="M37" i="1" s="1"/>
  <c r="L37" i="1"/>
  <c r="C37" i="1"/>
  <c r="N36" i="1"/>
  <c r="M36" i="1" s="1"/>
  <c r="L36" i="1"/>
  <c r="Z36" i="1" s="1"/>
  <c r="C36" i="1"/>
  <c r="N35" i="1"/>
  <c r="M35" i="1" s="1"/>
  <c r="L35" i="1"/>
  <c r="Z35" i="1" s="1"/>
  <c r="F35" i="1"/>
  <c r="C35" i="1"/>
  <c r="N34" i="1"/>
  <c r="M34" i="1" s="1"/>
  <c r="L34" i="1"/>
  <c r="G34" i="1"/>
  <c r="S34" i="1" s="1"/>
  <c r="D34" i="1"/>
  <c r="C34" i="1"/>
  <c r="N33" i="1"/>
  <c r="M33" i="1" s="1"/>
  <c r="L33" i="1"/>
  <c r="C33" i="1"/>
  <c r="N32" i="1"/>
  <c r="M32" i="1" s="1"/>
  <c r="L32" i="1"/>
  <c r="C32" i="1"/>
  <c r="N31" i="1"/>
  <c r="M31" i="1" s="1"/>
  <c r="L31" i="1"/>
  <c r="F31" i="1"/>
  <c r="C31" i="1"/>
  <c r="N30" i="1"/>
  <c r="M30" i="1" s="1"/>
  <c r="L30" i="1"/>
  <c r="G30" i="1"/>
  <c r="S30" i="1" s="1"/>
  <c r="D30" i="1"/>
  <c r="C30" i="1"/>
  <c r="N29" i="1"/>
  <c r="M29" i="1" s="1"/>
  <c r="L29" i="1"/>
  <c r="C29" i="1"/>
  <c r="N28" i="1"/>
  <c r="M28" i="1" s="1"/>
  <c r="L28" i="1"/>
  <c r="C28" i="1"/>
  <c r="N27" i="1"/>
  <c r="M27" i="1" s="1"/>
  <c r="L27" i="1"/>
  <c r="F27" i="1"/>
  <c r="AB27" i="1" s="1"/>
  <c r="C27" i="1"/>
  <c r="N26" i="1"/>
  <c r="M26" i="1" s="1"/>
  <c r="L26" i="1"/>
  <c r="G26" i="1"/>
  <c r="S26" i="1" s="1"/>
  <c r="D26" i="1"/>
  <c r="C26" i="1"/>
  <c r="N25" i="1"/>
  <c r="M25" i="1" s="1"/>
  <c r="L25" i="1"/>
  <c r="G25" i="1"/>
  <c r="S25" i="1" s="1"/>
  <c r="D25" i="1"/>
  <c r="C25" i="1"/>
  <c r="N24" i="1"/>
  <c r="M24" i="1" s="1"/>
  <c r="L24" i="1"/>
  <c r="G24" i="1"/>
  <c r="S24" i="1" s="1"/>
  <c r="D24" i="1"/>
  <c r="C24" i="1"/>
  <c r="N23" i="1"/>
  <c r="L23" i="1"/>
  <c r="G23" i="1"/>
  <c r="S23" i="1" s="1"/>
  <c r="D23" i="1"/>
  <c r="C23" i="1"/>
  <c r="N22" i="1"/>
  <c r="M22" i="1" s="1"/>
  <c r="L22" i="1"/>
  <c r="G22" i="1"/>
  <c r="S22" i="1" s="1"/>
  <c r="D22" i="1"/>
  <c r="C22" i="1"/>
  <c r="N21" i="1"/>
  <c r="M21" i="1" s="1"/>
  <c r="L21" i="1"/>
  <c r="G21" i="1"/>
  <c r="S21" i="1" s="1"/>
  <c r="D21" i="1"/>
  <c r="C21" i="1"/>
  <c r="N20" i="1"/>
  <c r="M20" i="1" s="1"/>
  <c r="L20" i="1"/>
  <c r="G20" i="1"/>
  <c r="S20" i="1" s="1"/>
  <c r="D20" i="1"/>
  <c r="C20" i="1"/>
  <c r="N19" i="1"/>
  <c r="M19" i="1" s="1"/>
  <c r="L19" i="1"/>
  <c r="G19" i="1"/>
  <c r="S19" i="1" s="1"/>
  <c r="D19" i="1"/>
  <c r="C19" i="1"/>
  <c r="N18" i="1"/>
  <c r="M18" i="1" s="1"/>
  <c r="L18" i="1"/>
  <c r="Z18" i="1" s="1"/>
  <c r="G18" i="1"/>
  <c r="S18" i="1" s="1"/>
  <c r="D18" i="1"/>
  <c r="C18" i="1"/>
  <c r="N17" i="1"/>
  <c r="M17" i="1" s="1"/>
  <c r="L17" i="1"/>
  <c r="G17" i="1"/>
  <c r="S17" i="1" s="1"/>
  <c r="D17" i="1"/>
  <c r="C17" i="1"/>
  <c r="N16" i="1"/>
  <c r="M16" i="1" s="1"/>
  <c r="L16" i="1"/>
  <c r="G16" i="1"/>
  <c r="S16" i="1" s="1"/>
  <c r="D16" i="1"/>
  <c r="C16" i="1"/>
  <c r="N15" i="1"/>
  <c r="M15" i="1" s="1"/>
  <c r="L15" i="1"/>
  <c r="G15" i="1"/>
  <c r="S15" i="1" s="1"/>
  <c r="D15" i="1"/>
  <c r="C15" i="1"/>
  <c r="N14" i="1"/>
  <c r="M14" i="1" s="1"/>
  <c r="L14" i="1"/>
  <c r="G14" i="1"/>
  <c r="S14" i="1" s="1"/>
  <c r="D14" i="1"/>
  <c r="C14" i="1"/>
  <c r="N13" i="1"/>
  <c r="M13" i="1" s="1"/>
  <c r="L13" i="1"/>
  <c r="C13" i="1"/>
  <c r="N12" i="1"/>
  <c r="M12" i="1" s="1"/>
  <c r="L12" i="1"/>
  <c r="C12" i="1"/>
  <c r="N11" i="1"/>
  <c r="M11" i="1" s="1"/>
  <c r="L11" i="1"/>
  <c r="F11" i="1"/>
  <c r="C11" i="1"/>
  <c r="N10" i="1"/>
  <c r="M10" i="1" s="1"/>
  <c r="L10" i="1"/>
  <c r="G10" i="1"/>
  <c r="S10" i="1" s="1"/>
  <c r="D10" i="1"/>
  <c r="C10" i="1"/>
  <c r="N9" i="1"/>
  <c r="M9" i="1" s="1"/>
  <c r="L9" i="1"/>
  <c r="C9" i="1"/>
  <c r="N8" i="1"/>
  <c r="M8" i="1" s="1"/>
  <c r="L8" i="1"/>
  <c r="C8" i="1"/>
  <c r="N7" i="1"/>
  <c r="M7" i="1" s="1"/>
  <c r="L7" i="1"/>
  <c r="Z7" i="1" s="1"/>
  <c r="F7" i="1"/>
  <c r="C7" i="1"/>
  <c r="N6" i="1"/>
  <c r="M6" i="1" s="1"/>
  <c r="L6" i="1"/>
  <c r="G6" i="1"/>
  <c r="S6" i="1" s="1"/>
  <c r="D6" i="1"/>
  <c r="C6" i="1"/>
  <c r="N5" i="1"/>
  <c r="M5" i="1" s="1"/>
  <c r="L5" i="1"/>
  <c r="C5" i="1"/>
  <c r="N4" i="1"/>
  <c r="M4" i="1" s="1"/>
  <c r="L4" i="1"/>
  <c r="C4" i="1"/>
  <c r="N3" i="1"/>
  <c r="M3" i="1" s="1"/>
  <c r="L3" i="1"/>
  <c r="F3" i="1"/>
  <c r="C3" i="1"/>
  <c r="N2" i="1"/>
  <c r="M2" i="1" s="1"/>
  <c r="L2" i="1"/>
  <c r="G2" i="1"/>
  <c r="S2" i="1" s="1"/>
  <c r="D2" i="1"/>
  <c r="C2" i="1"/>
  <c r="B16" i="6" l="1"/>
  <c r="B17" i="6"/>
  <c r="A44" i="2" a="1"/>
  <c r="A44" i="2" s="1"/>
  <c r="F176" i="1"/>
  <c r="AB175" i="1"/>
  <c r="F8" i="1"/>
  <c r="AB7" i="1"/>
  <c r="F36" i="1"/>
  <c r="AB36" i="1" s="1"/>
  <c r="AB35" i="1"/>
  <c r="F172" i="1"/>
  <c r="AB171" i="1"/>
  <c r="F200" i="1"/>
  <c r="AB200" i="1" s="1"/>
  <c r="AB199" i="1"/>
  <c r="G147" i="1"/>
  <c r="S147" i="1" s="1"/>
  <c r="AB147" i="1"/>
  <c r="D3" i="1"/>
  <c r="AB3" i="1"/>
  <c r="F196" i="1"/>
  <c r="AB196" i="1" s="1"/>
  <c r="AB195" i="1"/>
  <c r="D223" i="1"/>
  <c r="AB223" i="1"/>
  <c r="D31" i="1"/>
  <c r="AB31" i="1"/>
  <c r="D83" i="1"/>
  <c r="AB83" i="1"/>
  <c r="Z217" i="1"/>
  <c r="D219" i="1"/>
  <c r="AB219" i="1"/>
  <c r="Z223" i="1"/>
  <c r="F12" i="1"/>
  <c r="AB12" i="1" s="1"/>
  <c r="AB11" i="1"/>
  <c r="F52" i="1"/>
  <c r="AB52" i="1" s="1"/>
  <c r="AB51" i="1"/>
  <c r="G79" i="1"/>
  <c r="S79" i="1" s="1"/>
  <c r="AB79" i="1"/>
  <c r="D75" i="1"/>
  <c r="AB75" i="1"/>
  <c r="G131" i="1"/>
  <c r="S131" i="1" s="1"/>
  <c r="AB131" i="1"/>
  <c r="G59" i="1"/>
  <c r="S59" i="1" s="1"/>
  <c r="AB59" i="1"/>
  <c r="Z89" i="1"/>
  <c r="Z97" i="1"/>
  <c r="D99" i="1"/>
  <c r="AB99" i="1"/>
  <c r="F152" i="1"/>
  <c r="AB151" i="1"/>
  <c r="D179" i="1"/>
  <c r="AB179" i="1"/>
  <c r="Z130" i="1"/>
  <c r="Z27" i="1"/>
  <c r="Z55" i="1"/>
  <c r="Z68" i="1"/>
  <c r="Z77" i="1"/>
  <c r="Z83" i="1"/>
  <c r="Z103" i="1"/>
  <c r="Z116" i="1"/>
  <c r="Z125" i="1"/>
  <c r="Z135" i="1"/>
  <c r="Z143" i="1"/>
  <c r="Z208" i="1"/>
  <c r="Z216" i="1"/>
  <c r="Z235" i="1"/>
  <c r="Q37" i="1"/>
  <c r="Z37" i="1"/>
  <c r="Q64" i="1"/>
  <c r="Z64" i="1"/>
  <c r="Q108" i="1"/>
  <c r="Z108" i="1"/>
  <c r="Q173" i="1"/>
  <c r="Z173" i="1"/>
  <c r="Q179" i="1"/>
  <c r="Z179" i="1"/>
  <c r="K191" i="1"/>
  <c r="Z191" i="1"/>
  <c r="Q201" i="1"/>
  <c r="Z201" i="1"/>
  <c r="Q218" i="1"/>
  <c r="Z218" i="1"/>
  <c r="Q229" i="1"/>
  <c r="Z229" i="1"/>
  <c r="O237" i="1"/>
  <c r="P237" i="1" s="1"/>
  <c r="Z237" i="1"/>
  <c r="Q5" i="1"/>
  <c r="Z5" i="1"/>
  <c r="Z11" i="1"/>
  <c r="Q15" i="1"/>
  <c r="Z15" i="1"/>
  <c r="K23" i="1"/>
  <c r="Z23" i="1"/>
  <c r="Q33" i="1"/>
  <c r="Z33" i="1"/>
  <c r="O42" i="1"/>
  <c r="P42" i="1" s="1"/>
  <c r="Z42" i="1"/>
  <c r="Z50" i="1"/>
  <c r="Q61" i="1"/>
  <c r="Z61" i="1"/>
  <c r="Q69" i="1"/>
  <c r="Z69" i="1"/>
  <c r="Q76" i="1"/>
  <c r="Z76" i="1"/>
  <c r="K78" i="1"/>
  <c r="Z78" i="1"/>
  <c r="K88" i="1"/>
  <c r="Z88" i="1"/>
  <c r="Q96" i="1"/>
  <c r="Z96" i="1"/>
  <c r="Z104" i="1"/>
  <c r="K106" i="1"/>
  <c r="Z106" i="1"/>
  <c r="K115" i="1"/>
  <c r="Z115" i="1"/>
  <c r="Q132" i="1"/>
  <c r="Z132" i="1"/>
  <c r="O134" i="1"/>
  <c r="P134" i="1" s="1"/>
  <c r="Z134" i="1"/>
  <c r="Z142" i="1"/>
  <c r="Q147" i="1"/>
  <c r="Z147" i="1"/>
  <c r="Z161" i="1"/>
  <c r="K169" i="1"/>
  <c r="Z169" i="1"/>
  <c r="Z175" i="1"/>
  <c r="Z188" i="1"/>
  <c r="Q197" i="1"/>
  <c r="Z197" i="1"/>
  <c r="Q203" i="1"/>
  <c r="Z203" i="1"/>
  <c r="K207" i="1"/>
  <c r="Z207" i="1"/>
  <c r="K215" i="1"/>
  <c r="Z215" i="1"/>
  <c r="Q225" i="1"/>
  <c r="Z225" i="1"/>
  <c r="K234" i="1"/>
  <c r="Z234" i="1"/>
  <c r="Q9" i="1"/>
  <c r="Z9" i="1"/>
  <c r="O118" i="1"/>
  <c r="P118" i="1" s="1"/>
  <c r="Z118" i="1"/>
  <c r="O145" i="1"/>
  <c r="P145" i="1" s="1"/>
  <c r="Z145" i="1"/>
  <c r="Q57" i="1"/>
  <c r="Z57" i="1"/>
  <c r="K74" i="1"/>
  <c r="Z74" i="1"/>
  <c r="O139" i="1"/>
  <c r="P139" i="1" s="1"/>
  <c r="Z139" i="1"/>
  <c r="Q156" i="1"/>
  <c r="Z156" i="1"/>
  <c r="K158" i="1"/>
  <c r="Z158" i="1"/>
  <c r="K166" i="1"/>
  <c r="Z166" i="1"/>
  <c r="Q171" i="1"/>
  <c r="Z171" i="1"/>
  <c r="K185" i="1"/>
  <c r="Z185" i="1"/>
  <c r="Q193" i="1"/>
  <c r="Z193" i="1"/>
  <c r="Q199" i="1"/>
  <c r="Z199" i="1"/>
  <c r="O212" i="1"/>
  <c r="P212" i="1" s="1"/>
  <c r="Z212" i="1"/>
  <c r="Q221" i="1"/>
  <c r="Z221" i="1"/>
  <c r="Q227" i="1"/>
  <c r="Z227" i="1"/>
  <c r="K231" i="1"/>
  <c r="Z231" i="1"/>
  <c r="Q3" i="1"/>
  <c r="Z3" i="1"/>
  <c r="Z17" i="1"/>
  <c r="Z25" i="1"/>
  <c r="Z31" i="1"/>
  <c r="O44" i="1"/>
  <c r="P44" i="1" s="1"/>
  <c r="Z44" i="1"/>
  <c r="Q53" i="1"/>
  <c r="Z53" i="1"/>
  <c r="Z59" i="1"/>
  <c r="Z63" i="1"/>
  <c r="Z71" i="1"/>
  <c r="Q81" i="1"/>
  <c r="Z81" i="1"/>
  <c r="K90" i="1"/>
  <c r="Z90" i="1"/>
  <c r="K98" i="1"/>
  <c r="Z98" i="1"/>
  <c r="Q109" i="1"/>
  <c r="Z109" i="1"/>
  <c r="K117" i="1"/>
  <c r="Z117" i="1"/>
  <c r="Z124" i="1"/>
  <c r="K126" i="1"/>
  <c r="Z126" i="1"/>
  <c r="Z136" i="1"/>
  <c r="K144" i="1"/>
  <c r="Z144" i="1"/>
  <c r="Q152" i="1"/>
  <c r="Z152" i="1"/>
  <c r="Z154" i="1"/>
  <c r="Z163" i="1"/>
  <c r="Q180" i="1"/>
  <c r="Z180" i="1"/>
  <c r="K209" i="1"/>
  <c r="Z209" i="1"/>
  <c r="Q236" i="1"/>
  <c r="Z236" i="1"/>
  <c r="O26" i="1"/>
  <c r="P26" i="1" s="1"/>
  <c r="Z26" i="1"/>
  <c r="K45" i="1"/>
  <c r="Z45" i="1"/>
  <c r="K72" i="1"/>
  <c r="Z72" i="1"/>
  <c r="Q100" i="1"/>
  <c r="Z100" i="1"/>
  <c r="Q176" i="1"/>
  <c r="Z176" i="1"/>
  <c r="O178" i="1"/>
  <c r="P178" i="1" s="1"/>
  <c r="Z178" i="1"/>
  <c r="O187" i="1"/>
  <c r="P187" i="1" s="1"/>
  <c r="Z187" i="1"/>
  <c r="Q204" i="1"/>
  <c r="Z204" i="1"/>
  <c r="O206" i="1"/>
  <c r="P206" i="1" s="1"/>
  <c r="Z206" i="1"/>
  <c r="K214" i="1"/>
  <c r="Z214" i="1"/>
  <c r="Z219" i="1"/>
  <c r="K233" i="1"/>
  <c r="Z233" i="1"/>
  <c r="K241" i="1"/>
  <c r="Z241" i="1"/>
  <c r="Q123" i="1"/>
  <c r="Z123" i="1"/>
  <c r="K66" i="1"/>
  <c r="Z66" i="1"/>
  <c r="Q85" i="1"/>
  <c r="Z85" i="1"/>
  <c r="Q14" i="1"/>
  <c r="Z14" i="1"/>
  <c r="K41" i="1"/>
  <c r="Z41" i="1"/>
  <c r="K49" i="1"/>
  <c r="Z49" i="1"/>
  <c r="O95" i="1"/>
  <c r="P95" i="1" s="1"/>
  <c r="Z95" i="1"/>
  <c r="K122" i="1"/>
  <c r="Z122" i="1"/>
  <c r="O141" i="1"/>
  <c r="P141" i="1" s="1"/>
  <c r="Z141" i="1"/>
  <c r="Q148" i="1"/>
  <c r="Z148" i="1"/>
  <c r="K150" i="1"/>
  <c r="Z150" i="1"/>
  <c r="K19" i="1"/>
  <c r="Z19" i="1"/>
  <c r="K46" i="1"/>
  <c r="Z46" i="1"/>
  <c r="K65" i="1"/>
  <c r="Z65" i="1"/>
  <c r="K73" i="1"/>
  <c r="Z73" i="1"/>
  <c r="Q79" i="1"/>
  <c r="Z79" i="1"/>
  <c r="O92" i="1"/>
  <c r="P92" i="1" s="1"/>
  <c r="Z92" i="1"/>
  <c r="Q101" i="1"/>
  <c r="Z101" i="1"/>
  <c r="K111" i="1"/>
  <c r="Z111" i="1"/>
  <c r="O119" i="1"/>
  <c r="P119" i="1" s="1"/>
  <c r="Z119" i="1"/>
  <c r="Q129" i="1"/>
  <c r="Z129" i="1"/>
  <c r="K146" i="1"/>
  <c r="Z146" i="1"/>
  <c r="Q157" i="1"/>
  <c r="Z157" i="1"/>
  <c r="K165" i="1"/>
  <c r="Z165" i="1"/>
  <c r="K174" i="1"/>
  <c r="Z174" i="1"/>
  <c r="K184" i="1"/>
  <c r="Z184" i="1"/>
  <c r="K192" i="1"/>
  <c r="Z192" i="1"/>
  <c r="Q200" i="1"/>
  <c r="Z200" i="1"/>
  <c r="K202" i="1"/>
  <c r="Z202" i="1"/>
  <c r="Q228" i="1"/>
  <c r="Z228" i="1"/>
  <c r="O110" i="1"/>
  <c r="P110" i="1" s="1"/>
  <c r="Z110" i="1"/>
  <c r="O164" i="1"/>
  <c r="P164" i="1" s="1"/>
  <c r="Z164" i="1"/>
  <c r="K20" i="1"/>
  <c r="Z20" i="1"/>
  <c r="Q39" i="1"/>
  <c r="Z39" i="1"/>
  <c r="K112" i="1"/>
  <c r="Z112" i="1"/>
  <c r="Q12" i="1"/>
  <c r="Z12" i="1"/>
  <c r="K22" i="1"/>
  <c r="Z22" i="1"/>
  <c r="Q87" i="1"/>
  <c r="Z87" i="1"/>
  <c r="Q105" i="1"/>
  <c r="Z105" i="1"/>
  <c r="O114" i="1"/>
  <c r="P114" i="1" s="1"/>
  <c r="Z114" i="1"/>
  <c r="Q133" i="1"/>
  <c r="Z133" i="1"/>
  <c r="K160" i="1"/>
  <c r="Z160" i="1"/>
  <c r="K168" i="1"/>
  <c r="Z168" i="1"/>
  <c r="Q8" i="1"/>
  <c r="Z8" i="1"/>
  <c r="Q10" i="1"/>
  <c r="Z10" i="1"/>
  <c r="Q4" i="1"/>
  <c r="Z4" i="1"/>
  <c r="O6" i="1"/>
  <c r="P6" i="1" s="1"/>
  <c r="Z6" i="1"/>
  <c r="O16" i="1"/>
  <c r="P16" i="1" s="1"/>
  <c r="Z16" i="1"/>
  <c r="Z24" i="1"/>
  <c r="Q32" i="1"/>
  <c r="Z32" i="1"/>
  <c r="O34" i="1"/>
  <c r="P34" i="1" s="1"/>
  <c r="Z34" i="1"/>
  <c r="Z43" i="1"/>
  <c r="Q60" i="1"/>
  <c r="Z60" i="1"/>
  <c r="O62" i="1"/>
  <c r="P62" i="1" s="1"/>
  <c r="Z62" i="1"/>
  <c r="K70" i="1"/>
  <c r="Z70" i="1"/>
  <c r="Q75" i="1"/>
  <c r="Z75" i="1"/>
  <c r="Q131" i="1"/>
  <c r="Z131" i="1"/>
  <c r="Q153" i="1"/>
  <c r="Z153" i="1"/>
  <c r="K162" i="1"/>
  <c r="Z162" i="1"/>
  <c r="Q170" i="1"/>
  <c r="Z170" i="1"/>
  <c r="Q181" i="1"/>
  <c r="Z181" i="1"/>
  <c r="Q189" i="1"/>
  <c r="Z189" i="1"/>
  <c r="Q196" i="1"/>
  <c r="Z196" i="1"/>
  <c r="K198" i="1"/>
  <c r="Z198" i="1"/>
  <c r="Q224" i="1"/>
  <c r="Z224" i="1"/>
  <c r="K226" i="1"/>
  <c r="Z226" i="1"/>
  <c r="Q54" i="1"/>
  <c r="Z54" i="1"/>
  <c r="Q82" i="1"/>
  <c r="Z82" i="1"/>
  <c r="Q29" i="1"/>
  <c r="Z29" i="1"/>
  <c r="O93" i="1"/>
  <c r="P93" i="1" s="1"/>
  <c r="Z93" i="1"/>
  <c r="O120" i="1"/>
  <c r="P120" i="1" s="1"/>
  <c r="Z120" i="1"/>
  <c r="Q128" i="1"/>
  <c r="Z128" i="1"/>
  <c r="K2" i="1"/>
  <c r="Z2" i="1"/>
  <c r="Q13" i="1"/>
  <c r="Z13" i="1"/>
  <c r="O21" i="1"/>
  <c r="P21" i="1" s="1"/>
  <c r="Z21" i="1"/>
  <c r="Z28" i="1"/>
  <c r="K30" i="1"/>
  <c r="Z30" i="1"/>
  <c r="O40" i="1"/>
  <c r="P40" i="1" s="1"/>
  <c r="Z40" i="1"/>
  <c r="O48" i="1"/>
  <c r="P48" i="1" s="1"/>
  <c r="Z48" i="1"/>
  <c r="Z56" i="1"/>
  <c r="O58" i="1"/>
  <c r="P58" i="1" s="1"/>
  <c r="Z58" i="1"/>
  <c r="Q67" i="1"/>
  <c r="Z67" i="1"/>
  <c r="Z84" i="1"/>
  <c r="K86" i="1"/>
  <c r="Z86" i="1"/>
  <c r="Q94" i="1"/>
  <c r="Z94" i="1"/>
  <c r="Q99" i="1"/>
  <c r="Z99" i="1"/>
  <c r="K113" i="1"/>
  <c r="Z113" i="1"/>
  <c r="K121" i="1"/>
  <c r="Z121" i="1"/>
  <c r="Q127" i="1"/>
  <c r="Z127" i="1"/>
  <c r="K140" i="1"/>
  <c r="Z140" i="1"/>
  <c r="Q149" i="1"/>
  <c r="Z149" i="1"/>
  <c r="Q155" i="1"/>
  <c r="Z155" i="1"/>
  <c r="K159" i="1"/>
  <c r="Z159" i="1"/>
  <c r="O167" i="1"/>
  <c r="P167" i="1" s="1"/>
  <c r="Z167" i="1"/>
  <c r="Q177" i="1"/>
  <c r="Z177" i="1"/>
  <c r="O186" i="1"/>
  <c r="P186" i="1" s="1"/>
  <c r="Z186" i="1"/>
  <c r="Z194" i="1"/>
  <c r="Q205" i="1"/>
  <c r="Z205" i="1"/>
  <c r="K213" i="1"/>
  <c r="Z213" i="1"/>
  <c r="Q220" i="1"/>
  <c r="Z220" i="1"/>
  <c r="K222" i="1"/>
  <c r="Z222" i="1"/>
  <c r="K232" i="1"/>
  <c r="Z232" i="1"/>
  <c r="K240" i="1"/>
  <c r="Z240" i="1"/>
  <c r="K36" i="1"/>
  <c r="K48" i="1"/>
  <c r="Q78" i="1"/>
  <c r="O106" i="1"/>
  <c r="P106" i="1" s="1"/>
  <c r="K58" i="1"/>
  <c r="O90" i="1"/>
  <c r="P90" i="1" s="1"/>
  <c r="O207" i="1"/>
  <c r="P207" i="1" s="1"/>
  <c r="K203" i="1"/>
  <c r="I11" i="2"/>
  <c r="J12" i="2"/>
  <c r="Q106" i="1"/>
  <c r="O165" i="1"/>
  <c r="P165" i="1" s="1"/>
  <c r="G83" i="1"/>
  <c r="S83" i="1" s="1"/>
  <c r="O88" i="1"/>
  <c r="P88" i="1" s="1"/>
  <c r="Q117" i="1"/>
  <c r="O218" i="1"/>
  <c r="P218" i="1" s="1"/>
  <c r="K227" i="1"/>
  <c r="K99" i="1"/>
  <c r="Q234" i="1"/>
  <c r="K96" i="1"/>
  <c r="K6" i="1"/>
  <c r="O122" i="1"/>
  <c r="P122" i="1" s="1"/>
  <c r="G31" i="1"/>
  <c r="O126" i="1"/>
  <c r="P126" i="1" s="1"/>
  <c r="O171" i="1"/>
  <c r="P171" i="1" s="1"/>
  <c r="G175" i="1"/>
  <c r="S175" i="1" s="1"/>
  <c r="F180" i="1"/>
  <c r="D11" i="1"/>
  <c r="D151" i="1"/>
  <c r="K52" i="1"/>
  <c r="K62" i="1"/>
  <c r="O98" i="1"/>
  <c r="P98" i="1" s="1"/>
  <c r="O169" i="1"/>
  <c r="P169" i="1" s="1"/>
  <c r="O170" i="1"/>
  <c r="P170" i="1" s="1"/>
  <c r="K172" i="1"/>
  <c r="Q113" i="1"/>
  <c r="Q146" i="1"/>
  <c r="O159" i="1"/>
  <c r="P159" i="1" s="1"/>
  <c r="Q169" i="1"/>
  <c r="Q187" i="1"/>
  <c r="O193" i="1"/>
  <c r="P193" i="1" s="1"/>
  <c r="O227" i="1"/>
  <c r="P227" i="1" s="1"/>
  <c r="G203" i="1"/>
  <c r="S203" i="1" s="1"/>
  <c r="O78" i="1"/>
  <c r="P78" i="1" s="1"/>
  <c r="G99" i="1"/>
  <c r="Q112" i="1"/>
  <c r="F228" i="1"/>
  <c r="W7" i="1"/>
  <c r="R2" i="1"/>
  <c r="R16" i="1"/>
  <c r="R95" i="1"/>
  <c r="R130" i="1"/>
  <c r="T130" i="1" s="1"/>
  <c r="R143" i="1"/>
  <c r="T143" i="1" s="1"/>
  <c r="R147" i="1"/>
  <c r="T147" i="1" s="1"/>
  <c r="R165" i="1"/>
  <c r="R166" i="1"/>
  <c r="T166" i="1" s="1"/>
  <c r="R189" i="1"/>
  <c r="R207" i="1"/>
  <c r="T207" i="1" s="1"/>
  <c r="R218" i="1"/>
  <c r="T218" i="1" s="1"/>
  <c r="Q6" i="1"/>
  <c r="K10" i="1"/>
  <c r="K15" i="1"/>
  <c r="R20" i="1"/>
  <c r="R23" i="1"/>
  <c r="T23" i="1" s="1"/>
  <c r="K26" i="1"/>
  <c r="R44" i="1"/>
  <c r="R48" i="1"/>
  <c r="G51" i="1"/>
  <c r="S51" i="1" s="1"/>
  <c r="R63" i="1"/>
  <c r="R79" i="1"/>
  <c r="R87" i="1"/>
  <c r="Q90" i="1"/>
  <c r="K94" i="1"/>
  <c r="R102" i="1"/>
  <c r="T102" i="1" s="1"/>
  <c r="R106" i="1"/>
  <c r="T106" i="1" s="1"/>
  <c r="O111" i="1"/>
  <c r="P111" i="1" s="1"/>
  <c r="O117" i="1"/>
  <c r="P117" i="1" s="1"/>
  <c r="R139" i="1"/>
  <c r="T139" i="1" s="1"/>
  <c r="O144" i="1"/>
  <c r="P144" i="1" s="1"/>
  <c r="R161" i="1"/>
  <c r="T161" i="1" s="1"/>
  <c r="R185" i="1"/>
  <c r="T185" i="1" s="1"/>
  <c r="O191" i="1"/>
  <c r="P191" i="1" s="1"/>
  <c r="G195" i="1"/>
  <c r="S195" i="1" s="1"/>
  <c r="O209" i="1"/>
  <c r="P209" i="1" s="1"/>
  <c r="R211" i="1"/>
  <c r="T211" i="1" s="1"/>
  <c r="R214" i="1"/>
  <c r="T214" i="1" s="1"/>
  <c r="K218" i="1"/>
  <c r="G219" i="1"/>
  <c r="S219" i="1" s="1"/>
  <c r="R234" i="1"/>
  <c r="T234" i="1" s="1"/>
  <c r="R235" i="1"/>
  <c r="T235" i="1" s="1"/>
  <c r="R241" i="1"/>
  <c r="R15" i="1"/>
  <c r="T15" i="1" s="1"/>
  <c r="R67" i="1"/>
  <c r="R88" i="1"/>
  <c r="R41" i="1"/>
  <c r="R164" i="1"/>
  <c r="Q172" i="1"/>
  <c r="R182" i="1"/>
  <c r="T182" i="1" s="1"/>
  <c r="K195" i="1"/>
  <c r="Q215" i="1"/>
  <c r="R230" i="1"/>
  <c r="T230" i="1" s="1"/>
  <c r="O231" i="1"/>
  <c r="P231" i="1" s="1"/>
  <c r="R238" i="1"/>
  <c r="T238" i="1" s="1"/>
  <c r="R10" i="1"/>
  <c r="R26" i="1"/>
  <c r="T26" i="1" s="1"/>
  <c r="R19" i="1"/>
  <c r="R62" i="1"/>
  <c r="O64" i="1"/>
  <c r="P64" i="1" s="1"/>
  <c r="R73" i="1"/>
  <c r="T73" i="1" s="1"/>
  <c r="R98" i="1"/>
  <c r="T98" i="1" s="1"/>
  <c r="R114" i="1"/>
  <c r="Q134" i="1"/>
  <c r="R136" i="1"/>
  <c r="T136" i="1" s="1"/>
  <c r="R25" i="1"/>
  <c r="T25" i="1" s="1"/>
  <c r="R30" i="1"/>
  <c r="O55" i="1"/>
  <c r="P55" i="1" s="1"/>
  <c r="R66" i="1"/>
  <c r="R78" i="1"/>
  <c r="T78" i="1" s="1"/>
  <c r="F84" i="1"/>
  <c r="R86" i="1"/>
  <c r="T86" i="1" s="1"/>
  <c r="R92" i="1"/>
  <c r="R113" i="1"/>
  <c r="T113" i="1" s="1"/>
  <c r="O115" i="1"/>
  <c r="P115" i="1" s="1"/>
  <c r="R120" i="1"/>
  <c r="O131" i="1"/>
  <c r="P131" i="1" s="1"/>
  <c r="R141" i="1"/>
  <c r="R159" i="1"/>
  <c r="R160" i="1"/>
  <c r="R163" i="1"/>
  <c r="T163" i="1" s="1"/>
  <c r="R169" i="1"/>
  <c r="T169" i="1" s="1"/>
  <c r="R170" i="1"/>
  <c r="T170" i="1" s="1"/>
  <c r="R174" i="1"/>
  <c r="K179" i="1"/>
  <c r="R188" i="1"/>
  <c r="T188" i="1" s="1"/>
  <c r="Q191" i="1"/>
  <c r="R194" i="1"/>
  <c r="R202" i="1"/>
  <c r="R206" i="1"/>
  <c r="T206" i="1" s="1"/>
  <c r="R217" i="1"/>
  <c r="T217" i="1" s="1"/>
  <c r="R237" i="1"/>
  <c r="O51" i="1"/>
  <c r="P51" i="1" s="1"/>
  <c r="R70" i="1"/>
  <c r="O74" i="1"/>
  <c r="P74" i="1" s="1"/>
  <c r="R93" i="1"/>
  <c r="R142" i="1"/>
  <c r="T142" i="1" s="1"/>
  <c r="R146" i="1"/>
  <c r="R14" i="1"/>
  <c r="R40" i="1"/>
  <c r="T40" i="1" s="1"/>
  <c r="R6" i="1"/>
  <c r="R22" i="1"/>
  <c r="R39" i="1"/>
  <c r="K40" i="1"/>
  <c r="R43" i="1"/>
  <c r="T43" i="1" s="1"/>
  <c r="R47" i="1"/>
  <c r="T47" i="1" s="1"/>
  <c r="R50" i="1"/>
  <c r="T50" i="1" s="1"/>
  <c r="R69" i="1"/>
  <c r="O87" i="1"/>
  <c r="P87" i="1" s="1"/>
  <c r="Q88" i="1"/>
  <c r="R90" i="1"/>
  <c r="T90" i="1" s="1"/>
  <c r="R91" i="1"/>
  <c r="T91" i="1" s="1"/>
  <c r="R97" i="1"/>
  <c r="R112" i="1"/>
  <c r="T112" i="1" s="1"/>
  <c r="Q115" i="1"/>
  <c r="R119" i="1"/>
  <c r="R138" i="1"/>
  <c r="T138" i="1" s="1"/>
  <c r="K141" i="1"/>
  <c r="G151" i="1"/>
  <c r="S151" i="1" s="1"/>
  <c r="F173" i="1"/>
  <c r="O173" i="1" s="1"/>
  <c r="P173" i="1" s="1"/>
  <c r="O175" i="1"/>
  <c r="P175" i="1" s="1"/>
  <c r="R184" i="1"/>
  <c r="O185" i="1"/>
  <c r="P185" i="1" s="1"/>
  <c r="R187" i="1"/>
  <c r="T187" i="1" s="1"/>
  <c r="O189" i="1"/>
  <c r="P189" i="1" s="1"/>
  <c r="R191" i="1"/>
  <c r="R193" i="1"/>
  <c r="T193" i="1" s="1"/>
  <c r="Q207" i="1"/>
  <c r="R210" i="1"/>
  <c r="T210" i="1" s="1"/>
  <c r="R213" i="1"/>
  <c r="O214" i="1"/>
  <c r="P214" i="1" s="1"/>
  <c r="Q231" i="1"/>
  <c r="R233" i="1"/>
  <c r="T233" i="1" s="1"/>
  <c r="R240" i="1"/>
  <c r="R71" i="1"/>
  <c r="T71" i="1" s="1"/>
  <c r="R94" i="1"/>
  <c r="T94" i="1" s="1"/>
  <c r="R18" i="1"/>
  <c r="T18" i="1" s="1"/>
  <c r="R46" i="1"/>
  <c r="R72" i="1"/>
  <c r="T72" i="1" s="1"/>
  <c r="R96" i="1"/>
  <c r="R111" i="1"/>
  <c r="T111" i="1" s="1"/>
  <c r="R117" i="1"/>
  <c r="T117" i="1" s="1"/>
  <c r="R118" i="1"/>
  <c r="T118" i="1" s="1"/>
  <c r="R122" i="1"/>
  <c r="F132" i="1"/>
  <c r="R135" i="1"/>
  <c r="R144" i="1"/>
  <c r="T144" i="1" s="1"/>
  <c r="R145" i="1"/>
  <c r="T145" i="1" s="1"/>
  <c r="R150" i="1"/>
  <c r="T150" i="1" s="1"/>
  <c r="K193" i="1"/>
  <c r="R209" i="1"/>
  <c r="T209" i="1" s="1"/>
  <c r="F220" i="1"/>
  <c r="R222" i="1"/>
  <c r="T222" i="1" s="1"/>
  <c r="G3" i="1"/>
  <c r="S3" i="1" s="1"/>
  <c r="R21" i="1"/>
  <c r="R24" i="1"/>
  <c r="T24" i="1" s="1"/>
  <c r="R34" i="1"/>
  <c r="T34" i="1" s="1"/>
  <c r="R38" i="1"/>
  <c r="T38" i="1" s="1"/>
  <c r="R54" i="1"/>
  <c r="R59" i="1"/>
  <c r="T59" i="1" s="1"/>
  <c r="R64" i="1"/>
  <c r="R65" i="1"/>
  <c r="R68" i="1"/>
  <c r="T68" i="1" s="1"/>
  <c r="R82" i="1"/>
  <c r="T82" i="1" s="1"/>
  <c r="R110" i="1"/>
  <c r="T110" i="1" s="1"/>
  <c r="R126" i="1"/>
  <c r="R131" i="1"/>
  <c r="R140" i="1"/>
  <c r="T140" i="1" s="1"/>
  <c r="R158" i="1"/>
  <c r="T158" i="1" s="1"/>
  <c r="R162" i="1"/>
  <c r="R168" i="1"/>
  <c r="T168" i="1" s="1"/>
  <c r="R178" i="1"/>
  <c r="T178" i="1" s="1"/>
  <c r="R198" i="1"/>
  <c r="R212" i="1"/>
  <c r="T212" i="1" s="1"/>
  <c r="R216" i="1"/>
  <c r="T216" i="1" s="1"/>
  <c r="R226" i="1"/>
  <c r="R236" i="1"/>
  <c r="T236" i="1" s="1"/>
  <c r="R121" i="1"/>
  <c r="T121" i="1" s="1"/>
  <c r="K3" i="1"/>
  <c r="O11" i="1"/>
  <c r="P11" i="1" s="1"/>
  <c r="R17" i="1"/>
  <c r="K27" i="1"/>
  <c r="R42" i="1"/>
  <c r="T42" i="1" s="1"/>
  <c r="R45" i="1"/>
  <c r="T45" i="1" s="1"/>
  <c r="R49" i="1"/>
  <c r="R58" i="1"/>
  <c r="T58" i="1" s="1"/>
  <c r="K64" i="1"/>
  <c r="O69" i="1"/>
  <c r="P69" i="1" s="1"/>
  <c r="R74" i="1"/>
  <c r="T74" i="1" s="1"/>
  <c r="R89" i="1"/>
  <c r="T89" i="1" s="1"/>
  <c r="K110" i="1"/>
  <c r="O112" i="1"/>
  <c r="P112" i="1" s="1"/>
  <c r="R115" i="1"/>
  <c r="T115" i="1" s="1"/>
  <c r="R116" i="1"/>
  <c r="M117" i="1"/>
  <c r="K131" i="1"/>
  <c r="R134" i="1"/>
  <c r="T134" i="1" s="1"/>
  <c r="R137" i="1"/>
  <c r="T137" i="1" s="1"/>
  <c r="Q141" i="1"/>
  <c r="R154" i="1"/>
  <c r="R167" i="1"/>
  <c r="R183" i="1"/>
  <c r="T183" i="1" s="1"/>
  <c r="R186" i="1"/>
  <c r="T186" i="1" s="1"/>
  <c r="R190" i="1"/>
  <c r="T190" i="1" s="1"/>
  <c r="M191" i="1"/>
  <c r="R192" i="1"/>
  <c r="T192" i="1" s="1"/>
  <c r="D195" i="1"/>
  <c r="R208" i="1"/>
  <c r="T208" i="1" s="1"/>
  <c r="R215" i="1"/>
  <c r="T215" i="1" s="1"/>
  <c r="R231" i="1"/>
  <c r="T231" i="1" s="1"/>
  <c r="R232" i="1"/>
  <c r="T232" i="1" s="1"/>
  <c r="R239" i="1"/>
  <c r="T239" i="1" s="1"/>
  <c r="D7" i="1"/>
  <c r="K18" i="1"/>
  <c r="O23" i="1"/>
  <c r="P23" i="1" s="1"/>
  <c r="O30" i="1"/>
  <c r="P30" i="1" s="1"/>
  <c r="O36" i="1"/>
  <c r="P36" i="1" s="1"/>
  <c r="K50" i="1"/>
  <c r="Q50" i="1"/>
  <c r="F104" i="1"/>
  <c r="G103" i="1"/>
  <c r="S103" i="1" s="1"/>
  <c r="D103" i="1"/>
  <c r="K188" i="1"/>
  <c r="Q188" i="1"/>
  <c r="M232" i="1"/>
  <c r="M90" i="1"/>
  <c r="D35" i="1"/>
  <c r="K35" i="1"/>
  <c r="Q23" i="1"/>
  <c r="G35" i="1"/>
  <c r="S35" i="1" s="1"/>
  <c r="Q36" i="1"/>
  <c r="Q45" i="1"/>
  <c r="O50" i="1"/>
  <c r="P50" i="1" s="1"/>
  <c r="Q51" i="1"/>
  <c r="O66" i="1"/>
  <c r="P66" i="1" s="1"/>
  <c r="O67" i="1"/>
  <c r="P67" i="1" s="1"/>
  <c r="O188" i="1"/>
  <c r="P188" i="1" s="1"/>
  <c r="Q136" i="1"/>
  <c r="O136" i="1"/>
  <c r="P136" i="1" s="1"/>
  <c r="K136" i="1"/>
  <c r="O3" i="1"/>
  <c r="P3" i="1" s="1"/>
  <c r="K7" i="1"/>
  <c r="O15" i="1"/>
  <c r="P15" i="1" s="1"/>
  <c r="K39" i="1"/>
  <c r="O39" i="1"/>
  <c r="P39" i="1" s="1"/>
  <c r="O82" i="1"/>
  <c r="P82" i="1" s="1"/>
  <c r="K82" i="1"/>
  <c r="Q84" i="1"/>
  <c r="Q138" i="1"/>
  <c r="O138" i="1"/>
  <c r="P138" i="1" s="1"/>
  <c r="K138" i="1"/>
  <c r="Q183" i="1"/>
  <c r="O183" i="1"/>
  <c r="P183" i="1" s="1"/>
  <c r="K183" i="1"/>
  <c r="K217" i="1"/>
  <c r="O217" i="1"/>
  <c r="P217" i="1" s="1"/>
  <c r="M207" i="1"/>
  <c r="Q26" i="1"/>
  <c r="Q30" i="1"/>
  <c r="O45" i="1"/>
  <c r="P45" i="1" s="1"/>
  <c r="F56" i="1"/>
  <c r="K55" i="1"/>
  <c r="K210" i="1"/>
  <c r="Q210" i="1"/>
  <c r="O210" i="1"/>
  <c r="P210" i="1" s="1"/>
  <c r="O24" i="1"/>
  <c r="P24" i="1" s="1"/>
  <c r="Q24" i="1"/>
  <c r="K42" i="1"/>
  <c r="Q42" i="1"/>
  <c r="K47" i="1"/>
  <c r="Q47" i="1"/>
  <c r="O47" i="1"/>
  <c r="P47" i="1" s="1"/>
  <c r="O54" i="1"/>
  <c r="P54" i="1" s="1"/>
  <c r="D59" i="1"/>
  <c r="K59" i="1"/>
  <c r="Q72" i="1"/>
  <c r="O72" i="1"/>
  <c r="P72" i="1" s="1"/>
  <c r="O14" i="1"/>
  <c r="P14" i="1" s="1"/>
  <c r="O18" i="1"/>
  <c r="P18" i="1" s="1"/>
  <c r="Q11" i="1"/>
  <c r="O20" i="1"/>
  <c r="P20" i="1" s="1"/>
  <c r="F4" i="1"/>
  <c r="O7" i="1"/>
  <c r="P7" i="1" s="1"/>
  <c r="O10" i="1"/>
  <c r="P10" i="1" s="1"/>
  <c r="Q16" i="1"/>
  <c r="Q18" i="1"/>
  <c r="Q20" i="1"/>
  <c r="F37" i="1"/>
  <c r="K38" i="1"/>
  <c r="Q40" i="1"/>
  <c r="O43" i="1"/>
  <c r="P43" i="1" s="1"/>
  <c r="Q43" i="1"/>
  <c r="G55" i="1"/>
  <c r="S55" i="1" s="1"/>
  <c r="K69" i="1"/>
  <c r="O70" i="1"/>
  <c r="P70" i="1" s="1"/>
  <c r="Q70" i="1"/>
  <c r="Q102" i="1"/>
  <c r="O102" i="1"/>
  <c r="P102" i="1" s="1"/>
  <c r="K102" i="1"/>
  <c r="K190" i="1"/>
  <c r="O190" i="1"/>
  <c r="P190" i="1" s="1"/>
  <c r="O200" i="1"/>
  <c r="P200" i="1" s="1"/>
  <c r="D200" i="1"/>
  <c r="K24" i="1"/>
  <c r="D36" i="1"/>
  <c r="K51" i="1"/>
  <c r="K54" i="1"/>
  <c r="O63" i="1"/>
  <c r="P63" i="1" s="1"/>
  <c r="K67" i="1"/>
  <c r="O107" i="1"/>
  <c r="P107" i="1" s="1"/>
  <c r="Q107" i="1"/>
  <c r="K182" i="1"/>
  <c r="O182" i="1"/>
  <c r="P182" i="1" s="1"/>
  <c r="M190" i="1"/>
  <c r="M198" i="1"/>
  <c r="K212" i="1"/>
  <c r="Q212" i="1"/>
  <c r="Q93" i="1"/>
  <c r="O96" i="1"/>
  <c r="P96" i="1" s="1"/>
  <c r="Q98" i="1"/>
  <c r="Q120" i="1"/>
  <c r="Q144" i="1"/>
  <c r="O146" i="1"/>
  <c r="P146" i="1" s="1"/>
  <c r="O150" i="1"/>
  <c r="P150" i="1" s="1"/>
  <c r="K151" i="1"/>
  <c r="O152" i="1"/>
  <c r="P152" i="1" s="1"/>
  <c r="O160" i="1"/>
  <c r="P160" i="1" s="1"/>
  <c r="Q162" i="1"/>
  <c r="Q165" i="1"/>
  <c r="Q167" i="1"/>
  <c r="Q48" i="1"/>
  <c r="D51" i="1"/>
  <c r="Q126" i="1"/>
  <c r="D131" i="1"/>
  <c r="Q150" i="1"/>
  <c r="Q160" i="1"/>
  <c r="K186" i="1"/>
  <c r="O203" i="1"/>
  <c r="P203" i="1" s="1"/>
  <c r="K219" i="1"/>
  <c r="K236" i="1"/>
  <c r="K237" i="1"/>
  <c r="K239" i="1"/>
  <c r="O241" i="1"/>
  <c r="P241" i="1" s="1"/>
  <c r="Q58" i="1"/>
  <c r="K92" i="1"/>
  <c r="K93" i="1"/>
  <c r="F100" i="1"/>
  <c r="K103" i="1"/>
  <c r="M110" i="1"/>
  <c r="K118" i="1"/>
  <c r="K119" i="1"/>
  <c r="K120" i="1"/>
  <c r="K170" i="1"/>
  <c r="D175" i="1"/>
  <c r="K167" i="1"/>
  <c r="O215" i="1"/>
  <c r="P215" i="1" s="1"/>
  <c r="D203" i="1"/>
  <c r="F204" i="1"/>
  <c r="O234" i="1"/>
  <c r="P234" i="1" s="1"/>
  <c r="O236" i="1"/>
  <c r="P236" i="1" s="1"/>
  <c r="O239" i="1"/>
  <c r="P239" i="1" s="1"/>
  <c r="O162" i="1"/>
  <c r="P162" i="1" s="1"/>
  <c r="K175" i="1"/>
  <c r="Q185" i="1"/>
  <c r="O199" i="1"/>
  <c r="P199" i="1" s="1"/>
  <c r="O233" i="1"/>
  <c r="P233" i="1" s="1"/>
  <c r="Q237" i="1"/>
  <c r="Q239" i="1"/>
  <c r="F13" i="1"/>
  <c r="O12" i="1"/>
  <c r="P12" i="1" s="1"/>
  <c r="D12" i="1"/>
  <c r="K12" i="1"/>
  <c r="G12" i="1"/>
  <c r="S12" i="1" s="1"/>
  <c r="Q17" i="1"/>
  <c r="Q25" i="1"/>
  <c r="K25" i="1"/>
  <c r="Q56" i="1"/>
  <c r="G8" i="1"/>
  <c r="S8" i="1" s="1"/>
  <c r="G27" i="1"/>
  <c r="S27" i="1" s="1"/>
  <c r="Q7" i="1"/>
  <c r="K8" i="1"/>
  <c r="G11" i="1"/>
  <c r="S11" i="1" s="1"/>
  <c r="O46" i="1"/>
  <c r="P46" i="1" s="1"/>
  <c r="Q46" i="1"/>
  <c r="O52" i="1"/>
  <c r="P52" i="1" s="1"/>
  <c r="Q52" i="1"/>
  <c r="Q80" i="1"/>
  <c r="Q83" i="1"/>
  <c r="O83" i="1"/>
  <c r="P83" i="1" s="1"/>
  <c r="K83" i="1"/>
  <c r="K79" i="1"/>
  <c r="D79" i="1"/>
  <c r="F80" i="1"/>
  <c r="AB80" i="1" s="1"/>
  <c r="O79" i="1"/>
  <c r="P79" i="1" s="1"/>
  <c r="O2" i="1"/>
  <c r="P2" i="1" s="1"/>
  <c r="G7" i="1"/>
  <c r="S7" i="1" s="1"/>
  <c r="K11" i="1"/>
  <c r="K16" i="1"/>
  <c r="O17" i="1"/>
  <c r="P17" i="1" s="1"/>
  <c r="O25" i="1"/>
  <c r="P25" i="1" s="1"/>
  <c r="O27" i="1"/>
  <c r="P27" i="1" s="1"/>
  <c r="Q34" i="1"/>
  <c r="Q35" i="1"/>
  <c r="O35" i="1"/>
  <c r="P35" i="1" s="1"/>
  <c r="O65" i="1"/>
  <c r="P65" i="1" s="1"/>
  <c r="Q65" i="1"/>
  <c r="Q77" i="1"/>
  <c r="O121" i="1"/>
  <c r="P121" i="1" s="1"/>
  <c r="Q121" i="1"/>
  <c r="Q154" i="1"/>
  <c r="O154" i="1"/>
  <c r="P154" i="1" s="1"/>
  <c r="K154" i="1"/>
  <c r="Q208" i="1"/>
  <c r="O208" i="1"/>
  <c r="P208" i="1" s="1"/>
  <c r="K208" i="1"/>
  <c r="O31" i="1"/>
  <c r="P31" i="1" s="1"/>
  <c r="Q31" i="1"/>
  <c r="K14" i="1"/>
  <c r="Q21" i="1"/>
  <c r="Q22" i="1"/>
  <c r="O22" i="1"/>
  <c r="P22" i="1" s="1"/>
  <c r="Q28" i="1"/>
  <c r="Q41" i="1"/>
  <c r="O41" i="1"/>
  <c r="P41" i="1" s="1"/>
  <c r="K43" i="1"/>
  <c r="Q68" i="1"/>
  <c r="O68" i="1"/>
  <c r="P68" i="1" s="1"/>
  <c r="K68" i="1"/>
  <c r="K75" i="1"/>
  <c r="G75" i="1"/>
  <c r="S75" i="1" s="1"/>
  <c r="F76" i="1"/>
  <c r="O75" i="1"/>
  <c r="P75" i="1" s="1"/>
  <c r="F28" i="1"/>
  <c r="D27" i="1"/>
  <c r="O19" i="1"/>
  <c r="P19" i="1" s="1"/>
  <c r="Q19" i="1"/>
  <c r="M42" i="1"/>
  <c r="O59" i="1"/>
  <c r="P59" i="1" s="1"/>
  <c r="Q59" i="1"/>
  <c r="M50" i="1"/>
  <c r="Q104" i="1"/>
  <c r="O8" i="1"/>
  <c r="P8" i="1" s="1"/>
  <c r="F9" i="1"/>
  <c r="AB9" i="1" s="1"/>
  <c r="M23" i="1"/>
  <c r="Q27" i="1"/>
  <c r="D52" i="1"/>
  <c r="F53" i="1"/>
  <c r="AB53" i="1" s="1"/>
  <c r="G52" i="1"/>
  <c r="S52" i="1" s="1"/>
  <c r="Q2" i="1"/>
  <c r="K17" i="1"/>
  <c r="K21" i="1"/>
  <c r="K31" i="1"/>
  <c r="K34" i="1"/>
  <c r="O38" i="1"/>
  <c r="P38" i="1" s="1"/>
  <c r="Q38" i="1"/>
  <c r="Q44" i="1"/>
  <c r="K44" i="1"/>
  <c r="Q49" i="1"/>
  <c r="O49" i="1"/>
  <c r="P49" i="1" s="1"/>
  <c r="O73" i="1"/>
  <c r="P73" i="1" s="1"/>
  <c r="Q73" i="1"/>
  <c r="O86" i="1"/>
  <c r="P86" i="1" s="1"/>
  <c r="Q86" i="1"/>
  <c r="Q89" i="1"/>
  <c r="K89" i="1"/>
  <c r="O89" i="1"/>
  <c r="P89" i="1" s="1"/>
  <c r="O130" i="1"/>
  <c r="P130" i="1" s="1"/>
  <c r="Q130" i="1"/>
  <c r="K130" i="1"/>
  <c r="K143" i="1"/>
  <c r="Q143" i="1"/>
  <c r="O143" i="1"/>
  <c r="P143" i="1" s="1"/>
  <c r="D55" i="1"/>
  <c r="K63" i="1"/>
  <c r="M69" i="1"/>
  <c r="K71" i="1"/>
  <c r="M78" i="1"/>
  <c r="O91" i="1"/>
  <c r="P91" i="1" s="1"/>
  <c r="Q91" i="1"/>
  <c r="K107" i="1"/>
  <c r="K123" i="1"/>
  <c r="G123" i="1"/>
  <c r="S123" i="1" s="1"/>
  <c r="F124" i="1"/>
  <c r="O123" i="1"/>
  <c r="P123" i="1" s="1"/>
  <c r="Q55" i="1"/>
  <c r="Q62" i="1"/>
  <c r="Q97" i="1"/>
  <c r="O97" i="1"/>
  <c r="P97" i="1" s="1"/>
  <c r="K97" i="1"/>
  <c r="O103" i="1"/>
  <c r="P103" i="1" s="1"/>
  <c r="Q103" i="1"/>
  <c r="D147" i="1"/>
  <c r="F148" i="1"/>
  <c r="K147" i="1"/>
  <c r="O147" i="1"/>
  <c r="P147" i="1" s="1"/>
  <c r="O71" i="1"/>
  <c r="P71" i="1" s="1"/>
  <c r="F128" i="1"/>
  <c r="AB128" i="1" s="1"/>
  <c r="K127" i="1"/>
  <c r="D127" i="1"/>
  <c r="O127" i="1"/>
  <c r="P127" i="1" s="1"/>
  <c r="Q66" i="1"/>
  <c r="Q74" i="1"/>
  <c r="K87" i="1"/>
  <c r="M112" i="1"/>
  <c r="O113" i="1"/>
  <c r="P113" i="1" s="1"/>
  <c r="G127" i="1"/>
  <c r="S127" i="1" s="1"/>
  <c r="O142" i="1"/>
  <c r="P142" i="1" s="1"/>
  <c r="Q142" i="1"/>
  <c r="K142" i="1"/>
  <c r="O158" i="1"/>
  <c r="P158" i="1" s="1"/>
  <c r="Q158" i="1"/>
  <c r="F32" i="1"/>
  <c r="AB32" i="1" s="1"/>
  <c r="G36" i="1"/>
  <c r="S36" i="1" s="1"/>
  <c r="F60" i="1"/>
  <c r="AB60" i="1" s="1"/>
  <c r="Q63" i="1"/>
  <c r="Q71" i="1"/>
  <c r="O94" i="1"/>
  <c r="P94" i="1" s="1"/>
  <c r="O99" i="1"/>
  <c r="P99" i="1" s="1"/>
  <c r="K114" i="1"/>
  <c r="Q114" i="1"/>
  <c r="Q125" i="1"/>
  <c r="K135" i="1"/>
  <c r="Q135" i="1"/>
  <c r="O135" i="1"/>
  <c r="P135" i="1" s="1"/>
  <c r="Q137" i="1"/>
  <c r="O137" i="1"/>
  <c r="P137" i="1" s="1"/>
  <c r="K137" i="1"/>
  <c r="K91" i="1"/>
  <c r="K95" i="1"/>
  <c r="Q95" i="1"/>
  <c r="D107" i="1"/>
  <c r="F108" i="1"/>
  <c r="AB108" i="1" s="1"/>
  <c r="G107" i="1"/>
  <c r="S107" i="1" s="1"/>
  <c r="Q116" i="1"/>
  <c r="O116" i="1"/>
  <c r="P116" i="1" s="1"/>
  <c r="K116" i="1"/>
  <c r="D123" i="1"/>
  <c r="Q145" i="1"/>
  <c r="K145" i="1"/>
  <c r="Q161" i="1"/>
  <c r="O161" i="1"/>
  <c r="P161" i="1" s="1"/>
  <c r="K161" i="1"/>
  <c r="O163" i="1"/>
  <c r="P163" i="1" s="1"/>
  <c r="Q163" i="1"/>
  <c r="K196" i="1"/>
  <c r="G196" i="1"/>
  <c r="S196" i="1" s="1"/>
  <c r="O196" i="1"/>
  <c r="P196" i="1" s="1"/>
  <c r="M217" i="1"/>
  <c r="Q110" i="1"/>
  <c r="Q118" i="1"/>
  <c r="Q124" i="1"/>
  <c r="K176" i="1"/>
  <c r="O176" i="1"/>
  <c r="P176" i="1" s="1"/>
  <c r="F177" i="1"/>
  <c r="AB177" i="1" s="1"/>
  <c r="G176" i="1"/>
  <c r="S176" i="1" s="1"/>
  <c r="Q216" i="1"/>
  <c r="O216" i="1"/>
  <c r="P216" i="1" s="1"/>
  <c r="K216" i="1"/>
  <c r="M236" i="1"/>
  <c r="K238" i="1"/>
  <c r="Q238" i="1"/>
  <c r="O238" i="1"/>
  <c r="P238" i="1" s="1"/>
  <c r="Q139" i="1"/>
  <c r="Q140" i="1"/>
  <c r="D152" i="1"/>
  <c r="K152" i="1"/>
  <c r="D155" i="1"/>
  <c r="F156" i="1"/>
  <c r="AB156" i="1" s="1"/>
  <c r="G155" i="1"/>
  <c r="S155" i="1" s="1"/>
  <c r="O166" i="1"/>
  <c r="P166" i="1" s="1"/>
  <c r="Q166" i="1"/>
  <c r="O194" i="1"/>
  <c r="P194" i="1" s="1"/>
  <c r="Q194" i="1"/>
  <c r="K194" i="1"/>
  <c r="F197" i="1"/>
  <c r="AB197" i="1" s="1"/>
  <c r="Q122" i="1"/>
  <c r="K155" i="1"/>
  <c r="M185" i="1"/>
  <c r="Q92" i="1"/>
  <c r="Q111" i="1"/>
  <c r="Q119" i="1"/>
  <c r="O155" i="1"/>
  <c r="P155" i="1" s="1"/>
  <c r="Q168" i="1"/>
  <c r="O168" i="1"/>
  <c r="P168" i="1" s="1"/>
  <c r="D196" i="1"/>
  <c r="K134" i="1"/>
  <c r="K139" i="1"/>
  <c r="O140" i="1"/>
  <c r="P140" i="1" s="1"/>
  <c r="O151" i="1"/>
  <c r="P151" i="1" s="1"/>
  <c r="Q151" i="1"/>
  <c r="G152" i="1"/>
  <c r="S152" i="1" s="1"/>
  <c r="K163" i="1"/>
  <c r="K164" i="1"/>
  <c r="K171" i="1"/>
  <c r="G171" i="1"/>
  <c r="S171" i="1" s="1"/>
  <c r="D171" i="1"/>
  <c r="Q184" i="1"/>
  <c r="O184" i="1"/>
  <c r="P184" i="1" s="1"/>
  <c r="K189" i="1"/>
  <c r="Q192" i="1"/>
  <c r="O192" i="1"/>
  <c r="P192" i="1" s="1"/>
  <c r="K211" i="1"/>
  <c r="Q211" i="1"/>
  <c r="O211" i="1"/>
  <c r="P211" i="1" s="1"/>
  <c r="Q235" i="1"/>
  <c r="O235" i="1"/>
  <c r="P235" i="1" s="1"/>
  <c r="G172" i="1"/>
  <c r="S172" i="1" s="1"/>
  <c r="Q174" i="1"/>
  <c r="O174" i="1"/>
  <c r="P174" i="1" s="1"/>
  <c r="K178" i="1"/>
  <c r="G179" i="1"/>
  <c r="S179" i="1" s="1"/>
  <c r="K206" i="1"/>
  <c r="Q206" i="1"/>
  <c r="Q213" i="1"/>
  <c r="O213" i="1"/>
  <c r="P213" i="1" s="1"/>
  <c r="Q202" i="1"/>
  <c r="O202" i="1"/>
  <c r="P202" i="1" s="1"/>
  <c r="Q240" i="1"/>
  <c r="O240" i="1"/>
  <c r="P240" i="1" s="1"/>
  <c r="Q159" i="1"/>
  <c r="O172" i="1"/>
  <c r="P172" i="1" s="1"/>
  <c r="Q178" i="1"/>
  <c r="O179" i="1"/>
  <c r="P179" i="1" s="1"/>
  <c r="K187" i="1"/>
  <c r="Q195" i="1"/>
  <c r="O195" i="1"/>
  <c r="P195" i="1" s="1"/>
  <c r="Q222" i="1"/>
  <c r="O222" i="1"/>
  <c r="P222" i="1" s="1"/>
  <c r="K223" i="1"/>
  <c r="Q223" i="1"/>
  <c r="O223" i="1"/>
  <c r="P223" i="1" s="1"/>
  <c r="Q226" i="1"/>
  <c r="O226" i="1"/>
  <c r="P226" i="1" s="1"/>
  <c r="K230" i="1"/>
  <c r="Q230" i="1"/>
  <c r="O230" i="1"/>
  <c r="P230" i="1" s="1"/>
  <c r="Q164" i="1"/>
  <c r="Q186" i="1"/>
  <c r="K199" i="1"/>
  <c r="K200" i="1"/>
  <c r="G200" i="1"/>
  <c r="S200" i="1" s="1"/>
  <c r="F201" i="1"/>
  <c r="AB201" i="1" s="1"/>
  <c r="M203" i="1"/>
  <c r="Q219" i="1"/>
  <c r="O219" i="1"/>
  <c r="P219" i="1" s="1"/>
  <c r="Q232" i="1"/>
  <c r="O232" i="1"/>
  <c r="P232" i="1" s="1"/>
  <c r="Q198" i="1"/>
  <c r="O198" i="1"/>
  <c r="P198" i="1" s="1"/>
  <c r="K235" i="1"/>
  <c r="Q175" i="1"/>
  <c r="Q182" i="1"/>
  <c r="Q190" i="1"/>
  <c r="D199" i="1"/>
  <c r="Q209" i="1"/>
  <c r="Q217" i="1"/>
  <c r="F224" i="1"/>
  <c r="AB224" i="1" s="1"/>
  <c r="D227" i="1"/>
  <c r="Q214" i="1"/>
  <c r="Q233" i="1"/>
  <c r="Q241" i="1"/>
  <c r="G199" i="1"/>
  <c r="S199" i="1" s="1"/>
  <c r="G227" i="1"/>
  <c r="S227" i="1" s="1"/>
  <c r="G223" i="1"/>
  <c r="S223" i="1" s="1"/>
  <c r="B19" i="6" l="1"/>
  <c r="B20" i="6" s="1"/>
  <c r="B26" i="6"/>
  <c r="B23" i="6"/>
  <c r="B18" i="6"/>
  <c r="G173" i="1"/>
  <c r="S173" i="1" s="1"/>
  <c r="T30" i="1"/>
  <c r="T226" i="1"/>
  <c r="T159" i="1"/>
  <c r="O28" i="1"/>
  <c r="P28" i="1" s="1"/>
  <c r="AB28" i="1"/>
  <c r="D84" i="1"/>
  <c r="AB84" i="1"/>
  <c r="T41" i="1"/>
  <c r="T20" i="1"/>
  <c r="D172" i="1"/>
  <c r="AB172" i="1"/>
  <c r="T191" i="1"/>
  <c r="T141" i="1"/>
  <c r="F229" i="1"/>
  <c r="G229" i="1" s="1"/>
  <c r="S229" i="1" s="1"/>
  <c r="AB228" i="1"/>
  <c r="O37" i="1"/>
  <c r="P37" i="1" s="1"/>
  <c r="AB37" i="1"/>
  <c r="O13" i="1"/>
  <c r="P13" i="1" s="1"/>
  <c r="AB13" i="1"/>
  <c r="O76" i="1"/>
  <c r="P76" i="1" s="1"/>
  <c r="AB76" i="1"/>
  <c r="O56" i="1"/>
  <c r="P56" i="1" s="1"/>
  <c r="AB56" i="1"/>
  <c r="T67" i="1"/>
  <c r="O204" i="1"/>
  <c r="P204" i="1" s="1"/>
  <c r="AB204" i="1"/>
  <c r="T126" i="1"/>
  <c r="G104" i="1"/>
  <c r="S104" i="1" s="1"/>
  <c r="AB104" i="1"/>
  <c r="T96" i="1"/>
  <c r="T69" i="1"/>
  <c r="T237" i="1"/>
  <c r="T174" i="1"/>
  <c r="D220" i="1"/>
  <c r="AB220" i="1"/>
  <c r="D173" i="1"/>
  <c r="AB173" i="1"/>
  <c r="O148" i="1"/>
  <c r="P148" i="1" s="1"/>
  <c r="AB148" i="1"/>
  <c r="K100" i="1"/>
  <c r="AB100" i="1"/>
  <c r="T48" i="1"/>
  <c r="F153" i="1"/>
  <c r="AB152" i="1"/>
  <c r="D8" i="1"/>
  <c r="AB8" i="1"/>
  <c r="T135" i="1"/>
  <c r="T46" i="1"/>
  <c r="D180" i="1"/>
  <c r="AB180" i="1"/>
  <c r="G4" i="1"/>
  <c r="S4" i="1" s="1"/>
  <c r="AB4" i="1"/>
  <c r="K173" i="1"/>
  <c r="O124" i="1"/>
  <c r="P124" i="1" s="1"/>
  <c r="AB124" i="1"/>
  <c r="K4" i="1"/>
  <c r="T64" i="1"/>
  <c r="F133" i="1"/>
  <c r="D133" i="1" s="1"/>
  <c r="AB132" i="1"/>
  <c r="T97" i="1"/>
  <c r="T202" i="1"/>
  <c r="R203" i="1"/>
  <c r="T203" i="1" s="1"/>
  <c r="D176" i="1"/>
  <c r="AB176" i="1"/>
  <c r="T119" i="1"/>
  <c r="O228" i="1"/>
  <c r="P228" i="1" s="1"/>
  <c r="T14" i="1"/>
  <c r="T241" i="1"/>
  <c r="T116" i="1"/>
  <c r="T213" i="1"/>
  <c r="T19" i="1"/>
  <c r="T44" i="1"/>
  <c r="T16" i="1"/>
  <c r="T154" i="1"/>
  <c r="T122" i="1"/>
  <c r="T164" i="1"/>
  <c r="T2" i="1"/>
  <c r="V2" i="1" s="1"/>
  <c r="T131" i="1"/>
  <c r="T114" i="1"/>
  <c r="T240" i="1"/>
  <c r="T88" i="1"/>
  <c r="T79" i="1"/>
  <c r="T165" i="1"/>
  <c r="T120" i="1"/>
  <c r="T162" i="1"/>
  <c r="T21" i="1"/>
  <c r="T62" i="1"/>
  <c r="T167" i="1"/>
  <c r="T49" i="1"/>
  <c r="T65" i="1"/>
  <c r="T184" i="1"/>
  <c r="T146" i="1"/>
  <c r="T95" i="1"/>
  <c r="G180" i="1"/>
  <c r="S180" i="1" s="1"/>
  <c r="T93" i="1"/>
  <c r="T194" i="1"/>
  <c r="T160" i="1"/>
  <c r="T10" i="1"/>
  <c r="T189" i="1"/>
  <c r="T92" i="1"/>
  <c r="T54" i="1"/>
  <c r="T39" i="1"/>
  <c r="T87" i="1"/>
  <c r="T17" i="1"/>
  <c r="T198" i="1"/>
  <c r="T22" i="1"/>
  <c r="T70" i="1"/>
  <c r="R83" i="1"/>
  <c r="T83" i="1" s="1"/>
  <c r="T6" i="1"/>
  <c r="V6" i="1" s="1"/>
  <c r="T66" i="1"/>
  <c r="T63" i="1"/>
  <c r="R175" i="1"/>
  <c r="T175" i="1" s="1"/>
  <c r="F205" i="1"/>
  <c r="G204" i="1"/>
  <c r="S204" i="1" s="1"/>
  <c r="S31" i="1"/>
  <c r="K228" i="1"/>
  <c r="R99" i="1"/>
  <c r="S99" i="1"/>
  <c r="F85" i="1"/>
  <c r="G84" i="1"/>
  <c r="S84" i="1" s="1"/>
  <c r="K84" i="1"/>
  <c r="D132" i="1"/>
  <c r="G228" i="1"/>
  <c r="S228" i="1" s="1"/>
  <c r="O132" i="1"/>
  <c r="P132" i="1" s="1"/>
  <c r="O133" i="1"/>
  <c r="P133" i="1" s="1"/>
  <c r="R31" i="1"/>
  <c r="G100" i="1"/>
  <c r="D228" i="1"/>
  <c r="G132" i="1"/>
  <c r="K132" i="1"/>
  <c r="K180" i="1"/>
  <c r="O180" i="1"/>
  <c r="P180" i="1" s="1"/>
  <c r="F181" i="1"/>
  <c r="F101" i="1"/>
  <c r="O220" i="1"/>
  <c r="P220" i="1" s="1"/>
  <c r="F221" i="1"/>
  <c r="O4" i="1"/>
  <c r="P4" i="1" s="1"/>
  <c r="K220" i="1"/>
  <c r="O84" i="1"/>
  <c r="P84" i="1" s="1"/>
  <c r="G220" i="1"/>
  <c r="R220" i="1" s="1"/>
  <c r="W8" i="1"/>
  <c r="R171" i="1"/>
  <c r="T171" i="1" s="1"/>
  <c r="R36" i="1"/>
  <c r="T36" i="1" s="1"/>
  <c r="R151" i="1"/>
  <c r="T151" i="1" s="1"/>
  <c r="R155" i="1"/>
  <c r="T155" i="1" s="1"/>
  <c r="K56" i="1"/>
  <c r="R11" i="1"/>
  <c r="T11" i="1" s="1"/>
  <c r="R103" i="1"/>
  <c r="T103" i="1" s="1"/>
  <c r="R195" i="1"/>
  <c r="T195" i="1" s="1"/>
  <c r="R152" i="1"/>
  <c r="T152" i="1" s="1"/>
  <c r="R176" i="1"/>
  <c r="T176" i="1" s="1"/>
  <c r="R196" i="1"/>
  <c r="T196" i="1" s="1"/>
  <c r="R107" i="1"/>
  <c r="T107" i="1" s="1"/>
  <c r="D100" i="1"/>
  <c r="R35" i="1"/>
  <c r="T35" i="1" s="1"/>
  <c r="R219" i="1"/>
  <c r="T219" i="1" s="1"/>
  <c r="R3" i="1"/>
  <c r="T3" i="1" s="1"/>
  <c r="V3" i="1" s="1"/>
  <c r="R51" i="1"/>
  <c r="T51" i="1" s="1"/>
  <c r="R55" i="1"/>
  <c r="T55" i="1" s="1"/>
  <c r="R104" i="1"/>
  <c r="T104" i="1" s="1"/>
  <c r="R27" i="1"/>
  <c r="T27" i="1" s="1"/>
  <c r="R8" i="1"/>
  <c r="T8" i="1" s="1"/>
  <c r="G133" i="1"/>
  <c r="S133" i="1" s="1"/>
  <c r="R223" i="1"/>
  <c r="T223" i="1" s="1"/>
  <c r="R199" i="1"/>
  <c r="T199" i="1" s="1"/>
  <c r="R75" i="1"/>
  <c r="T75" i="1" s="1"/>
  <c r="R12" i="1"/>
  <c r="T12" i="1" s="1"/>
  <c r="R123" i="1"/>
  <c r="T123" i="1" s="1"/>
  <c r="R52" i="1"/>
  <c r="T52" i="1" s="1"/>
  <c r="D104" i="1"/>
  <c r="R172" i="1"/>
  <c r="T172" i="1" s="1"/>
  <c r="R228" i="1"/>
  <c r="T228" i="1" s="1"/>
  <c r="R227" i="1"/>
  <c r="T227" i="1" s="1"/>
  <c r="R200" i="1"/>
  <c r="T200" i="1" s="1"/>
  <c r="R179" i="1"/>
  <c r="T179" i="1" s="1"/>
  <c r="R173" i="1"/>
  <c r="T173" i="1" s="1"/>
  <c r="R127" i="1"/>
  <c r="T127" i="1" s="1"/>
  <c r="O100" i="1"/>
  <c r="P100" i="1" s="1"/>
  <c r="R7" i="1"/>
  <c r="T7" i="1" s="1"/>
  <c r="V7" i="1" s="1"/>
  <c r="F57" i="1"/>
  <c r="K104" i="1"/>
  <c r="G56" i="1"/>
  <c r="S56" i="1" s="1"/>
  <c r="K204" i="1"/>
  <c r="D204" i="1"/>
  <c r="K37" i="1"/>
  <c r="G37" i="1"/>
  <c r="S37" i="1" s="1"/>
  <c r="D37" i="1"/>
  <c r="F105" i="1"/>
  <c r="O104" i="1"/>
  <c r="P104" i="1" s="1"/>
  <c r="D56" i="1"/>
  <c r="F5" i="1"/>
  <c r="AB5" i="1" s="1"/>
  <c r="D4" i="1"/>
  <c r="G128" i="1"/>
  <c r="S128" i="1" s="1"/>
  <c r="D128" i="1"/>
  <c r="O128" i="1"/>
  <c r="P128" i="1" s="1"/>
  <c r="K128" i="1"/>
  <c r="F129" i="1"/>
  <c r="AB129" i="1" s="1"/>
  <c r="D80" i="1"/>
  <c r="F81" i="1"/>
  <c r="AB81" i="1" s="1"/>
  <c r="G80" i="1"/>
  <c r="S80" i="1" s="1"/>
  <c r="K80" i="1"/>
  <c r="O80" i="1"/>
  <c r="P80" i="1" s="1"/>
  <c r="K224" i="1"/>
  <c r="G224" i="1"/>
  <c r="S224" i="1" s="1"/>
  <c r="O224" i="1"/>
  <c r="P224" i="1" s="1"/>
  <c r="F225" i="1"/>
  <c r="AB225" i="1" s="1"/>
  <c r="D224" i="1"/>
  <c r="G156" i="1"/>
  <c r="S156" i="1" s="1"/>
  <c r="F157" i="1"/>
  <c r="AB157" i="1" s="1"/>
  <c r="K156" i="1"/>
  <c r="D156" i="1"/>
  <c r="O156" i="1"/>
  <c r="P156" i="1" s="1"/>
  <c r="D148" i="1"/>
  <c r="F149" i="1"/>
  <c r="AB149" i="1" s="1"/>
  <c r="G148" i="1"/>
  <c r="S148" i="1" s="1"/>
  <c r="K148" i="1"/>
  <c r="G9" i="1"/>
  <c r="S9" i="1" s="1"/>
  <c r="D9" i="1"/>
  <c r="K9" i="1"/>
  <c r="O9" i="1"/>
  <c r="P9" i="1" s="1"/>
  <c r="F77" i="1"/>
  <c r="AB77" i="1" s="1"/>
  <c r="D76" i="1"/>
  <c r="K76" i="1"/>
  <c r="G76" i="1"/>
  <c r="S76" i="1" s="1"/>
  <c r="D177" i="1"/>
  <c r="K177" i="1"/>
  <c r="G177" i="1"/>
  <c r="S177" i="1" s="1"/>
  <c r="G60" i="1"/>
  <c r="S60" i="1" s="1"/>
  <c r="D60" i="1"/>
  <c r="F61" i="1"/>
  <c r="AB61" i="1" s="1"/>
  <c r="O60" i="1"/>
  <c r="P60" i="1" s="1"/>
  <c r="K60" i="1"/>
  <c r="O177" i="1"/>
  <c r="P177" i="1" s="1"/>
  <c r="D229" i="1"/>
  <c r="D28" i="1"/>
  <c r="F29" i="1"/>
  <c r="AB29" i="1" s="1"/>
  <c r="G28" i="1"/>
  <c r="S28" i="1" s="1"/>
  <c r="K28" i="1"/>
  <c r="G53" i="1"/>
  <c r="S53" i="1" s="1"/>
  <c r="D53" i="1"/>
  <c r="K53" i="1"/>
  <c r="O53" i="1"/>
  <c r="P53" i="1" s="1"/>
  <c r="D205" i="1"/>
  <c r="K205" i="1"/>
  <c r="G205" i="1"/>
  <c r="S205" i="1" s="1"/>
  <c r="K197" i="1"/>
  <c r="O197" i="1"/>
  <c r="P197" i="1" s="1"/>
  <c r="G197" i="1"/>
  <c r="S197" i="1" s="1"/>
  <c r="D197" i="1"/>
  <c r="G108" i="1"/>
  <c r="S108" i="1" s="1"/>
  <c r="D108" i="1"/>
  <c r="F109" i="1"/>
  <c r="AB109" i="1" s="1"/>
  <c r="O108" i="1"/>
  <c r="P108" i="1" s="1"/>
  <c r="K108" i="1"/>
  <c r="O201" i="1"/>
  <c r="P201" i="1" s="1"/>
  <c r="G201" i="1"/>
  <c r="S201" i="1" s="1"/>
  <c r="D201" i="1"/>
  <c r="K201" i="1"/>
  <c r="G32" i="1"/>
  <c r="S32" i="1" s="1"/>
  <c r="D32" i="1"/>
  <c r="K32" i="1"/>
  <c r="F33" i="1"/>
  <c r="AB33" i="1" s="1"/>
  <c r="O32" i="1"/>
  <c r="P32" i="1" s="1"/>
  <c r="F125" i="1"/>
  <c r="AB125" i="1" s="1"/>
  <c r="D124" i="1"/>
  <c r="K124" i="1"/>
  <c r="G124" i="1"/>
  <c r="S124" i="1" s="1"/>
  <c r="K13" i="1"/>
  <c r="G13" i="1"/>
  <c r="S13" i="1" s="1"/>
  <c r="D13" i="1"/>
  <c r="B27" i="6" l="1"/>
  <c r="P239" i="3"/>
  <c r="S239" i="3" s="1" a="1"/>
  <c r="S239" i="3" s="1"/>
  <c r="S241" i="3" s="1"/>
  <c r="G117" i="3"/>
  <c r="E119" i="3" s="1" a="1"/>
  <c r="E119" i="3" s="1"/>
  <c r="B29" i="6" s="1"/>
  <c r="K256" i="3"/>
  <c r="M256" i="3" s="1" a="1"/>
  <c r="M256" i="3" s="1"/>
  <c r="B28" i="6" s="1"/>
  <c r="B31" i="6" s="1"/>
  <c r="B32" i="6" s="1"/>
  <c r="R180" i="1"/>
  <c r="T180" i="1" s="1"/>
  <c r="K229" i="1"/>
  <c r="T31" i="1"/>
  <c r="R4" i="1"/>
  <c r="T4" i="1" s="1"/>
  <c r="V4" i="1" s="1"/>
  <c r="AB153" i="1"/>
  <c r="K153" i="1"/>
  <c r="O153" i="1"/>
  <c r="P153" i="1" s="1"/>
  <c r="G153" i="1"/>
  <c r="D153" i="1"/>
  <c r="K105" i="1"/>
  <c r="AB105" i="1"/>
  <c r="O205" i="1"/>
  <c r="P205" i="1" s="1"/>
  <c r="AB205" i="1"/>
  <c r="K133" i="1"/>
  <c r="AB133" i="1"/>
  <c r="D85" i="1"/>
  <c r="AB85" i="1"/>
  <c r="G101" i="1"/>
  <c r="S101" i="1" s="1"/>
  <c r="AB101" i="1"/>
  <c r="D57" i="1"/>
  <c r="AB57" i="1"/>
  <c r="D181" i="1"/>
  <c r="AB181" i="1"/>
  <c r="T99" i="1"/>
  <c r="O229" i="1"/>
  <c r="P229" i="1" s="1"/>
  <c r="AB229" i="1"/>
  <c r="D221" i="1"/>
  <c r="AB221" i="1"/>
  <c r="D105" i="1"/>
  <c r="R204" i="1"/>
  <c r="T204" i="1" s="1"/>
  <c r="G181" i="1"/>
  <c r="S181" i="1" s="1"/>
  <c r="O181" i="1"/>
  <c r="P181" i="1" s="1"/>
  <c r="K181" i="1"/>
  <c r="G85" i="1"/>
  <c r="S85" i="1" s="1"/>
  <c r="R84" i="1"/>
  <c r="T84" i="1" s="1"/>
  <c r="R132" i="1"/>
  <c r="T132" i="1" s="1"/>
  <c r="S132" i="1"/>
  <c r="K85" i="1"/>
  <c r="R100" i="1"/>
  <c r="S100" i="1"/>
  <c r="S220" i="1"/>
  <c r="T220" i="1" s="1"/>
  <c r="O85" i="1"/>
  <c r="P85" i="1" s="1"/>
  <c r="G105" i="1"/>
  <c r="S105" i="1" s="1"/>
  <c r="K221" i="1"/>
  <c r="G221" i="1"/>
  <c r="S221" i="1" s="1"/>
  <c r="O221" i="1"/>
  <c r="P221" i="1" s="1"/>
  <c r="O105" i="1"/>
  <c r="P105" i="1" s="1"/>
  <c r="O101" i="1"/>
  <c r="P101" i="1" s="1"/>
  <c r="K101" i="1"/>
  <c r="G57" i="1"/>
  <c r="S57" i="1" s="1"/>
  <c r="D101" i="1"/>
  <c r="K57" i="1"/>
  <c r="W9" i="1"/>
  <c r="V8" i="1"/>
  <c r="R205" i="1"/>
  <c r="T205" i="1" s="1"/>
  <c r="R9" i="1"/>
  <c r="T9" i="1" s="1"/>
  <c r="R60" i="1"/>
  <c r="T60" i="1" s="1"/>
  <c r="R76" i="1"/>
  <c r="T76" i="1" s="1"/>
  <c r="R80" i="1"/>
  <c r="T80" i="1" s="1"/>
  <c r="R128" i="1"/>
  <c r="T128" i="1" s="1"/>
  <c r="R201" i="1"/>
  <c r="T201" i="1" s="1"/>
  <c r="R37" i="1"/>
  <c r="T37" i="1" s="1"/>
  <c r="R28" i="1"/>
  <c r="T28" i="1" s="1"/>
  <c r="R108" i="1"/>
  <c r="T108" i="1" s="1"/>
  <c r="R56" i="1"/>
  <c r="T56" i="1" s="1"/>
  <c r="R156" i="1"/>
  <c r="T156" i="1" s="1"/>
  <c r="R197" i="1"/>
  <c r="T197" i="1" s="1"/>
  <c r="R177" i="1"/>
  <c r="T177" i="1" s="1"/>
  <c r="R32" i="1"/>
  <c r="T32" i="1" s="1"/>
  <c r="O57" i="1"/>
  <c r="P57" i="1" s="1"/>
  <c r="R148" i="1"/>
  <c r="T148" i="1" s="1"/>
  <c r="R224" i="1"/>
  <c r="T224" i="1" s="1"/>
  <c r="R124" i="1"/>
  <c r="T124" i="1" s="1"/>
  <c r="R13" i="1"/>
  <c r="T13" i="1" s="1"/>
  <c r="R53" i="1"/>
  <c r="T53" i="1" s="1"/>
  <c r="R229" i="1"/>
  <c r="T229" i="1" s="1"/>
  <c r="R133" i="1"/>
  <c r="T133" i="1" s="1"/>
  <c r="O5" i="1"/>
  <c r="P5" i="1" s="1"/>
  <c r="D5" i="1"/>
  <c r="K5" i="1"/>
  <c r="G5" i="1"/>
  <c r="S5" i="1" s="1"/>
  <c r="G81" i="1"/>
  <c r="S81" i="1" s="1"/>
  <c r="D81" i="1"/>
  <c r="K81" i="1"/>
  <c r="O81" i="1"/>
  <c r="P81" i="1" s="1"/>
  <c r="G149" i="1"/>
  <c r="S149" i="1" s="1"/>
  <c r="D149" i="1"/>
  <c r="O149" i="1"/>
  <c r="P149" i="1" s="1"/>
  <c r="K149" i="1"/>
  <c r="D125" i="1"/>
  <c r="K125" i="1"/>
  <c r="G125" i="1"/>
  <c r="S125" i="1" s="1"/>
  <c r="O125" i="1"/>
  <c r="P125" i="1" s="1"/>
  <c r="D77" i="1"/>
  <c r="K77" i="1"/>
  <c r="G77" i="1"/>
  <c r="S77" i="1" s="1"/>
  <c r="O77" i="1"/>
  <c r="P77" i="1" s="1"/>
  <c r="K109" i="1"/>
  <c r="G109" i="1"/>
  <c r="S109" i="1" s="1"/>
  <c r="D109" i="1"/>
  <c r="O109" i="1"/>
  <c r="P109" i="1" s="1"/>
  <c r="K61" i="1"/>
  <c r="G61" i="1"/>
  <c r="S61" i="1" s="1"/>
  <c r="D61" i="1"/>
  <c r="O61" i="1"/>
  <c r="P61" i="1" s="1"/>
  <c r="K129" i="1"/>
  <c r="G129" i="1"/>
  <c r="S129" i="1" s="1"/>
  <c r="O129" i="1"/>
  <c r="P129" i="1" s="1"/>
  <c r="D129" i="1"/>
  <c r="K33" i="1"/>
  <c r="G33" i="1"/>
  <c r="S33" i="1" s="1"/>
  <c r="D33" i="1"/>
  <c r="O33" i="1"/>
  <c r="P33" i="1" s="1"/>
  <c r="K29" i="1"/>
  <c r="G29" i="1"/>
  <c r="S29" i="1" s="1"/>
  <c r="O29" i="1"/>
  <c r="P29" i="1" s="1"/>
  <c r="D29" i="1"/>
  <c r="K157" i="1"/>
  <c r="G157" i="1"/>
  <c r="S157" i="1" s="1"/>
  <c r="D157" i="1"/>
  <c r="O157" i="1"/>
  <c r="P157" i="1" s="1"/>
  <c r="O225" i="1"/>
  <c r="P225" i="1" s="1"/>
  <c r="K225" i="1"/>
  <c r="D225" i="1"/>
  <c r="G225" i="1"/>
  <c r="S225" i="1" s="1"/>
  <c r="B30" i="6" l="1"/>
  <c r="B34" i="6" s="1"/>
  <c r="B35" i="6"/>
  <c r="L44" i="2" a="1"/>
  <c r="L44" i="2" s="1"/>
  <c r="B146" i="14"/>
  <c r="B95" i="14"/>
  <c r="B96" i="14" s="1"/>
  <c r="B97" i="14" s="1"/>
  <c r="B98" i="14" s="1"/>
  <c r="B99" i="14" s="1"/>
  <c r="B100" i="14" s="1"/>
  <c r="B101" i="14" s="1"/>
  <c r="B102" i="14" s="1"/>
  <c r="B103" i="14" s="1"/>
  <c r="B104" i="14" s="1"/>
  <c r="B105" i="14" s="1"/>
  <c r="B106" i="14" s="1"/>
  <c r="B107" i="14" s="1"/>
  <c r="B108" i="14" s="1"/>
  <c r="B109" i="14" s="1"/>
  <c r="B110" i="14" s="1"/>
  <c r="B111" i="14" s="1"/>
  <c r="B112" i="14" s="1"/>
  <c r="B113" i="14" s="1"/>
  <c r="B114" i="14" s="1"/>
  <c r="B115" i="14" s="1"/>
  <c r="B116" i="14" s="1"/>
  <c r="B117" i="14" s="1"/>
  <c r="B118" i="14" s="1"/>
  <c r="B119" i="14" s="1"/>
  <c r="B120" i="14" s="1"/>
  <c r="B121" i="14" s="1"/>
  <c r="B122" i="14" s="1"/>
  <c r="B123" i="14" s="1"/>
  <c r="B124" i="14" s="1"/>
  <c r="B125" i="14" s="1"/>
  <c r="B126" i="14" s="1"/>
  <c r="B127" i="14" s="1"/>
  <c r="B128" i="14" s="1"/>
  <c r="B129" i="14" s="1"/>
  <c r="B130" i="14" s="1"/>
  <c r="B131" i="14" s="1"/>
  <c r="B132" i="14" s="1"/>
  <c r="B133" i="14" s="1"/>
  <c r="B134" i="14" s="1"/>
  <c r="B135" i="14" s="1"/>
  <c r="B136" i="14" s="1"/>
  <c r="B137" i="14" s="1"/>
  <c r="B138" i="14" s="1"/>
  <c r="B139" i="14" s="1"/>
  <c r="B140" i="14" s="1"/>
  <c r="B141" i="14" s="1"/>
  <c r="B142" i="14" s="1"/>
  <c r="B46" i="14"/>
  <c r="B2" i="14"/>
  <c r="B3" i="14" s="1"/>
  <c r="B4" i="14" s="1"/>
  <c r="B5" i="14" s="1"/>
  <c r="B6" i="14" s="1"/>
  <c r="B7" i="14" s="1"/>
  <c r="B8" i="14" s="1"/>
  <c r="B9" i="14" s="1"/>
  <c r="B10" i="14" s="1"/>
  <c r="B11" i="14" s="1"/>
  <c r="B12" i="14" s="1"/>
  <c r="L14" i="4"/>
  <c r="L11" i="4" s="1" a="1"/>
  <c r="L11" i="4" s="1"/>
  <c r="I29" i="4"/>
  <c r="T100" i="1"/>
  <c r="R101" i="1"/>
  <c r="T101" i="1" s="1"/>
  <c r="R85" i="1"/>
  <c r="T85" i="1" s="1"/>
  <c r="S153" i="1"/>
  <c r="R153" i="1"/>
  <c r="T153" i="1" s="1"/>
  <c r="R181" i="1"/>
  <c r="T181" i="1" s="1"/>
  <c r="R105" i="1"/>
  <c r="T105" i="1" s="1"/>
  <c r="R221" i="1"/>
  <c r="T221" i="1" s="1"/>
  <c r="R57" i="1"/>
  <c r="T57" i="1" s="1"/>
  <c r="W10" i="1"/>
  <c r="V9" i="1"/>
  <c r="R129" i="1"/>
  <c r="T129" i="1" s="1"/>
  <c r="R225" i="1"/>
  <c r="T225" i="1" s="1"/>
  <c r="R157" i="1"/>
  <c r="T157" i="1" s="1"/>
  <c r="R109" i="1"/>
  <c r="T109" i="1" s="1"/>
  <c r="R149" i="1"/>
  <c r="T149" i="1" s="1"/>
  <c r="R33" i="1"/>
  <c r="T33" i="1" s="1"/>
  <c r="R125" i="1"/>
  <c r="T125" i="1" s="1"/>
  <c r="R5" i="1"/>
  <c r="T5" i="1" s="1"/>
  <c r="V5" i="1" s="1"/>
  <c r="R61" i="1"/>
  <c r="T61" i="1" s="1"/>
  <c r="R29" i="1"/>
  <c r="T29" i="1" s="1"/>
  <c r="R77" i="1"/>
  <c r="T77" i="1" s="1"/>
  <c r="R81" i="1"/>
  <c r="T81" i="1" s="1"/>
  <c r="J13" i="2"/>
  <c r="C16" i="14" l="1"/>
  <c r="C134" i="14"/>
  <c r="C53" i="14"/>
  <c r="C46" i="14"/>
  <c r="D46" i="14" s="1"/>
  <c r="C50" i="14"/>
  <c r="C19" i="14"/>
  <c r="C133" i="14"/>
  <c r="C82" i="14"/>
  <c r="C41" i="14"/>
  <c r="C90" i="14"/>
  <c r="C135" i="14"/>
  <c r="C97" i="14"/>
  <c r="D97" i="14" s="1"/>
  <c r="C132" i="14"/>
  <c r="C48" i="14"/>
  <c r="C89" i="14"/>
  <c r="C120" i="14"/>
  <c r="C20" i="14"/>
  <c r="C59" i="14"/>
  <c r="C123" i="14"/>
  <c r="C32" i="14"/>
  <c r="C66" i="14"/>
  <c r="C91" i="14"/>
  <c r="C23" i="14"/>
  <c r="C64" i="14"/>
  <c r="C13" i="14"/>
  <c r="C70" i="14"/>
  <c r="C30" i="14"/>
  <c r="C99" i="14"/>
  <c r="D99" i="14" s="1"/>
  <c r="C122" i="14"/>
  <c r="C110" i="14"/>
  <c r="C79" i="14"/>
  <c r="C130" i="14"/>
  <c r="C29" i="14"/>
  <c r="C68" i="14"/>
  <c r="C56" i="14"/>
  <c r="C39" i="14"/>
  <c r="C88" i="14"/>
  <c r="C25" i="14"/>
  <c r="C137" i="14"/>
  <c r="C51" i="14"/>
  <c r="C77" i="14"/>
  <c r="C111" i="14"/>
  <c r="C116" i="14"/>
  <c r="C107" i="14"/>
  <c r="D107" i="14" s="1"/>
  <c r="C136" i="14"/>
  <c r="C113" i="14"/>
  <c r="C73" i="14"/>
  <c r="C129" i="14"/>
  <c r="C33" i="14"/>
  <c r="C128" i="14"/>
  <c r="C36" i="14"/>
  <c r="C121" i="14"/>
  <c r="C61" i="14"/>
  <c r="C125" i="14"/>
  <c r="C100" i="14"/>
  <c r="D100" i="14" s="1"/>
  <c r="C114" i="14"/>
  <c r="C112" i="14"/>
  <c r="C57" i="14"/>
  <c r="C37" i="14"/>
  <c r="C47" i="14"/>
  <c r="C105" i="14"/>
  <c r="D105" i="14" s="1"/>
  <c r="C80" i="14"/>
  <c r="C27" i="14"/>
  <c r="C65" i="14"/>
  <c r="C142" i="14"/>
  <c r="C131" i="14"/>
  <c r="C71" i="14"/>
  <c r="C76" i="14"/>
  <c r="C149" i="14"/>
  <c r="C7" i="14"/>
  <c r="D7" i="14" s="1"/>
  <c r="F7" i="14" s="1"/>
  <c r="C42" i="14"/>
  <c r="C141" i="14"/>
  <c r="C63" i="14"/>
  <c r="C15" i="14"/>
  <c r="C117" i="14"/>
  <c r="C2" i="14"/>
  <c r="D2" i="14" s="1"/>
  <c r="F2" i="14" s="1"/>
  <c r="C5" i="14"/>
  <c r="D5" i="14" s="1"/>
  <c r="F5" i="14" s="1"/>
  <c r="C140" i="14"/>
  <c r="C28" i="14"/>
  <c r="C21" i="14"/>
  <c r="C87" i="14"/>
  <c r="C96" i="14"/>
  <c r="D96" i="14" s="1"/>
  <c r="C69" i="14"/>
  <c r="C52" i="14"/>
  <c r="C109" i="14"/>
  <c r="C119" i="14"/>
  <c r="C86" i="14"/>
  <c r="C95" i="14"/>
  <c r="D95" i="14" s="1"/>
  <c r="C118" i="14"/>
  <c r="C12" i="14"/>
  <c r="D12" i="14" s="1"/>
  <c r="F12" i="14" s="1"/>
  <c r="C10" i="14"/>
  <c r="D10" i="14" s="1"/>
  <c r="F10" i="14" s="1"/>
  <c r="C40" i="14"/>
  <c r="C83" i="14"/>
  <c r="C85" i="14"/>
  <c r="C62" i="14"/>
  <c r="C18" i="14"/>
  <c r="C55" i="14"/>
  <c r="C84" i="14"/>
  <c r="C126" i="14"/>
  <c r="C74" i="14"/>
  <c r="C104" i="14"/>
  <c r="D104" i="14" s="1"/>
  <c r="C115" i="14"/>
  <c r="C102" i="14"/>
  <c r="D102" i="14" s="1"/>
  <c r="C49" i="14"/>
  <c r="C139" i="14"/>
  <c r="C72" i="14"/>
  <c r="C138" i="14"/>
  <c r="C124" i="14"/>
  <c r="C101" i="14"/>
  <c r="D101" i="14" s="1"/>
  <c r="C26" i="14"/>
  <c r="C11" i="14"/>
  <c r="D11" i="14" s="1"/>
  <c r="F11" i="14" s="1"/>
  <c r="C17" i="14"/>
  <c r="C108" i="14"/>
  <c r="C98" i="14"/>
  <c r="D98" i="14" s="1"/>
  <c r="C60" i="14"/>
  <c r="C81" i="14"/>
  <c r="C67" i="14"/>
  <c r="C8" i="14"/>
  <c r="D8" i="14" s="1"/>
  <c r="F8" i="14" s="1"/>
  <c r="C78" i="14"/>
  <c r="C103" i="14"/>
  <c r="D103" i="14" s="1"/>
  <c r="C127" i="14"/>
  <c r="C9" i="14"/>
  <c r="D9" i="14" s="1"/>
  <c r="F9" i="14" s="1"/>
  <c r="C22" i="14"/>
  <c r="C38" i="14"/>
  <c r="C24" i="14"/>
  <c r="C34" i="14"/>
  <c r="C3" i="14"/>
  <c r="D3" i="14" s="1"/>
  <c r="F3" i="14" s="1"/>
  <c r="C31" i="14"/>
  <c r="C75" i="14"/>
  <c r="C54" i="14"/>
  <c r="C58" i="14"/>
  <c r="C6" i="14"/>
  <c r="D6" i="14" s="1"/>
  <c r="F6" i="14" s="1"/>
  <c r="C14" i="14"/>
  <c r="C4" i="14"/>
  <c r="D4" i="14" s="1"/>
  <c r="F4" i="14" s="1"/>
  <c r="C35" i="14"/>
  <c r="C106" i="14"/>
  <c r="D106" i="14" s="1"/>
  <c r="B47" i="14"/>
  <c r="B48" i="14" s="1"/>
  <c r="A41" i="4"/>
  <c r="B41" i="4" s="1"/>
  <c r="D41" i="4" s="1"/>
  <c r="R44" i="13" a="1"/>
  <c r="R44" i="13" s="1"/>
  <c r="N44" i="13" a="1"/>
  <c r="N44" i="13" s="1"/>
  <c r="V44" i="13" a="1"/>
  <c r="V44" i="13" s="1"/>
  <c r="E44" i="13" a="1"/>
  <c r="E44" i="13" s="1"/>
  <c r="J44" i="13" a="1"/>
  <c r="J44" i="13" s="1"/>
  <c r="B13" i="14"/>
  <c r="E46" i="14"/>
  <c r="E79" i="14"/>
  <c r="E78" i="14"/>
  <c r="E77" i="14"/>
  <c r="E76" i="14"/>
  <c r="E75" i="14"/>
  <c r="E74" i="14"/>
  <c r="E73" i="14"/>
  <c r="E72" i="14"/>
  <c r="E71" i="14"/>
  <c r="E70" i="14"/>
  <c r="E69" i="14"/>
  <c r="E68" i="14"/>
  <c r="E91" i="14"/>
  <c r="E67" i="14"/>
  <c r="E66" i="14"/>
  <c r="E65" i="14"/>
  <c r="E90" i="14"/>
  <c r="E89" i="14"/>
  <c r="E88" i="14"/>
  <c r="E64" i="14"/>
  <c r="E87" i="14"/>
  <c r="E63" i="14"/>
  <c r="E86" i="14"/>
  <c r="E62" i="14"/>
  <c r="E61" i="14"/>
  <c r="E85" i="14"/>
  <c r="E84" i="14"/>
  <c r="E60" i="14"/>
  <c r="E59" i="14"/>
  <c r="E83" i="14"/>
  <c r="E82" i="14"/>
  <c r="E58" i="14"/>
  <c r="E56" i="14"/>
  <c r="E81" i="14"/>
  <c r="E57" i="14"/>
  <c r="E80" i="14"/>
  <c r="E50" i="14"/>
  <c r="E48" i="14"/>
  <c r="E47" i="14"/>
  <c r="E53" i="14"/>
  <c r="E49" i="14"/>
  <c r="E51" i="14"/>
  <c r="E55" i="14"/>
  <c r="E52" i="14"/>
  <c r="E54" i="14"/>
  <c r="W11" i="1"/>
  <c r="V10" i="1"/>
  <c r="J14" i="2"/>
  <c r="D47" i="14" l="1"/>
  <c r="F47" i="14" s="1"/>
  <c r="F29" i="13"/>
  <c r="H29" i="13"/>
  <c r="G29" i="13"/>
  <c r="J29" i="13" s="1"/>
  <c r="B49" i="14"/>
  <c r="B50" i="14" s="1"/>
  <c r="B51" i="14" s="1"/>
  <c r="B52" i="14" s="1"/>
  <c r="B53" i="14" s="1"/>
  <c r="B54" i="14" s="1"/>
  <c r="B55" i="14" s="1"/>
  <c r="B56" i="14" s="1"/>
  <c r="B57" i="14" s="1"/>
  <c r="D48" i="14"/>
  <c r="F48" i="14" s="1"/>
  <c r="E134" i="14"/>
  <c r="E121" i="14"/>
  <c r="E107" i="14"/>
  <c r="E114" i="14"/>
  <c r="E108" i="14"/>
  <c r="E138" i="14"/>
  <c r="E109" i="14"/>
  <c r="E112" i="14"/>
  <c r="E135" i="14"/>
  <c r="E101" i="14"/>
  <c r="E111" i="14"/>
  <c r="E99" i="14"/>
  <c r="E117" i="14"/>
  <c r="E123" i="14"/>
  <c r="E118" i="14"/>
  <c r="E139" i="14"/>
  <c r="E136" i="14"/>
  <c r="E110" i="14"/>
  <c r="E102" i="14"/>
  <c r="E104" i="14"/>
  <c r="E131" i="14"/>
  <c r="E129" i="14"/>
  <c r="E128" i="14"/>
  <c r="E103" i="14"/>
  <c r="E119" i="14"/>
  <c r="E95" i="14"/>
  <c r="E133" i="14"/>
  <c r="E132" i="14"/>
  <c r="E96" i="14"/>
  <c r="E130" i="14"/>
  <c r="E120" i="14"/>
  <c r="E127" i="14"/>
  <c r="E141" i="14"/>
  <c r="E125" i="14"/>
  <c r="E124" i="14"/>
  <c r="E106" i="14"/>
  <c r="E105" i="14"/>
  <c r="E97" i="14"/>
  <c r="E98" i="14"/>
  <c r="E100" i="14"/>
  <c r="E142" i="14"/>
  <c r="E116" i="14"/>
  <c r="E126" i="14"/>
  <c r="E115" i="14"/>
  <c r="E137" i="14"/>
  <c r="E113" i="14"/>
  <c r="E122" i="14"/>
  <c r="E140" i="14"/>
  <c r="F46" i="14"/>
  <c r="B14" i="14"/>
  <c r="D13" i="14"/>
  <c r="F13" i="14" s="1"/>
  <c r="D108" i="14"/>
  <c r="W12" i="1"/>
  <c r="V11" i="1"/>
  <c r="J15" i="2"/>
  <c r="D53" i="14" l="1"/>
  <c r="F53" i="14" s="1"/>
  <c r="D49" i="14"/>
  <c r="F49" i="14" s="1"/>
  <c r="D56" i="14"/>
  <c r="F56" i="14" s="1"/>
  <c r="D50" i="14"/>
  <c r="F50" i="14" s="1"/>
  <c r="D54" i="14"/>
  <c r="F54" i="14" s="1"/>
  <c r="D52" i="14"/>
  <c r="F52" i="14" s="1"/>
  <c r="B58" i="14"/>
  <c r="D57" i="14"/>
  <c r="F57" i="14" s="1"/>
  <c r="D55" i="14"/>
  <c r="F55" i="14" s="1"/>
  <c r="D51" i="14"/>
  <c r="F51" i="14" s="1"/>
  <c r="B15" i="14"/>
  <c r="D14" i="14"/>
  <c r="F14" i="14" s="1"/>
  <c r="D109" i="14"/>
  <c r="W13" i="1"/>
  <c r="V12" i="1"/>
  <c r="J16" i="2"/>
  <c r="B16" i="14" l="1"/>
  <c r="D15" i="14"/>
  <c r="F15" i="14" s="1"/>
  <c r="B59" i="14"/>
  <c r="D58" i="14"/>
  <c r="F58" i="14" s="1"/>
  <c r="D110" i="14"/>
  <c r="F110" i="14" s="1"/>
  <c r="W14" i="1"/>
  <c r="V13" i="1"/>
  <c r="J17" i="2"/>
  <c r="B60" i="14" l="1"/>
  <c r="D59" i="14"/>
  <c r="F59" i="14" s="1"/>
  <c r="B17" i="14"/>
  <c r="D16" i="14"/>
  <c r="F16" i="14" s="1"/>
  <c r="D111" i="14"/>
  <c r="F111" i="14" s="1"/>
  <c r="W15" i="1"/>
  <c r="V14" i="1"/>
  <c r="J18" i="2"/>
  <c r="B18" i="14" l="1"/>
  <c r="D17" i="14"/>
  <c r="F17" i="14" s="1"/>
  <c r="B61" i="14"/>
  <c r="D60" i="14"/>
  <c r="F60" i="14" s="1"/>
  <c r="D112" i="14"/>
  <c r="F112" i="14" s="1"/>
  <c r="W16" i="1"/>
  <c r="V15" i="1"/>
  <c r="J19" i="2"/>
  <c r="B62" i="14" l="1"/>
  <c r="D61" i="14"/>
  <c r="F61" i="14" s="1"/>
  <c r="B19" i="14"/>
  <c r="D18" i="14"/>
  <c r="F18" i="14" s="1"/>
  <c r="D113" i="14"/>
  <c r="F113" i="14" s="1"/>
  <c r="W17" i="1"/>
  <c r="V16" i="1"/>
  <c r="J20" i="2"/>
  <c r="B20" i="14" l="1"/>
  <c r="D19" i="14"/>
  <c r="F19" i="14" s="1"/>
  <c r="B63" i="14"/>
  <c r="D62" i="14"/>
  <c r="F62" i="14" s="1"/>
  <c r="D114" i="14"/>
  <c r="F114" i="14" s="1"/>
  <c r="W18" i="1"/>
  <c r="V17" i="1"/>
  <c r="J21" i="2"/>
  <c r="B64" i="14" l="1"/>
  <c r="D63" i="14"/>
  <c r="F63" i="14" s="1"/>
  <c r="B21" i="14"/>
  <c r="D20" i="14"/>
  <c r="F20" i="14" s="1"/>
  <c r="D115" i="14"/>
  <c r="F115" i="14" s="1"/>
  <c r="W19" i="1"/>
  <c r="V18" i="1"/>
  <c r="J22" i="2"/>
  <c r="B22" i="14" l="1"/>
  <c r="D21" i="14"/>
  <c r="F21" i="14" s="1"/>
  <c r="B65" i="14"/>
  <c r="D64" i="14"/>
  <c r="F64" i="14" s="1"/>
  <c r="D116" i="14"/>
  <c r="F116" i="14" s="1"/>
  <c r="W20" i="1"/>
  <c r="V19" i="1"/>
  <c r="J23" i="2"/>
  <c r="B66" i="14" l="1"/>
  <c r="D65" i="14"/>
  <c r="F65" i="14" s="1"/>
  <c r="B23" i="14"/>
  <c r="D22" i="14"/>
  <c r="F22" i="14" s="1"/>
  <c r="D117" i="14"/>
  <c r="F117" i="14" s="1"/>
  <c r="W21" i="1"/>
  <c r="V20" i="1"/>
  <c r="J24" i="2"/>
  <c r="B24" i="14" l="1"/>
  <c r="D23" i="14"/>
  <c r="F23" i="14" s="1"/>
  <c r="B67" i="14"/>
  <c r="D66" i="14"/>
  <c r="F66" i="14" s="1"/>
  <c r="D118" i="14"/>
  <c r="F118" i="14" s="1"/>
  <c r="W22" i="1"/>
  <c r="V21" i="1"/>
  <c r="J25" i="2"/>
  <c r="B68" i="14" l="1"/>
  <c r="D67" i="14"/>
  <c r="F67" i="14" s="1"/>
  <c r="B25" i="14"/>
  <c r="D24" i="14"/>
  <c r="F24" i="14" s="1"/>
  <c r="D119" i="14"/>
  <c r="F119" i="14" s="1"/>
  <c r="W23" i="1"/>
  <c r="V22" i="1"/>
  <c r="J26" i="2"/>
  <c r="B26" i="14" l="1"/>
  <c r="D25" i="14"/>
  <c r="F25" i="14" s="1"/>
  <c r="B69" i="14"/>
  <c r="D68" i="14"/>
  <c r="F68" i="14" s="1"/>
  <c r="D120" i="14"/>
  <c r="F120" i="14" s="1"/>
  <c r="W24" i="1"/>
  <c r="V23" i="1"/>
  <c r="J27" i="2"/>
  <c r="B70" i="14" l="1"/>
  <c r="D69" i="14"/>
  <c r="F69" i="14" s="1"/>
  <c r="B27" i="14"/>
  <c r="D26" i="14"/>
  <c r="F26" i="14" s="1"/>
  <c r="D121" i="14"/>
  <c r="F121" i="14" s="1"/>
  <c r="W25" i="1"/>
  <c r="V24" i="1"/>
  <c r="J28" i="2"/>
  <c r="B28" i="14" l="1"/>
  <c r="D27" i="14"/>
  <c r="F27" i="14" s="1"/>
  <c r="B71" i="14"/>
  <c r="D70" i="14"/>
  <c r="F70" i="14" s="1"/>
  <c r="D122" i="14"/>
  <c r="F122" i="14" s="1"/>
  <c r="W26" i="1"/>
  <c r="V25" i="1"/>
  <c r="J29" i="2"/>
  <c r="B72" i="14" l="1"/>
  <c r="D71" i="14"/>
  <c r="F71" i="14" s="1"/>
  <c r="B29" i="14"/>
  <c r="D28" i="14"/>
  <c r="F28" i="14" s="1"/>
  <c r="D123" i="14"/>
  <c r="F123" i="14" s="1"/>
  <c r="W27" i="1"/>
  <c r="V26" i="1"/>
  <c r="J30" i="2"/>
  <c r="B30" i="14" l="1"/>
  <c r="D29" i="14"/>
  <c r="F29" i="14" s="1"/>
  <c r="B73" i="14"/>
  <c r="D72" i="14"/>
  <c r="F72" i="14" s="1"/>
  <c r="D124" i="14"/>
  <c r="F124" i="14" s="1"/>
  <c r="W28" i="1"/>
  <c r="V27" i="1"/>
  <c r="J31" i="2"/>
  <c r="B74" i="14" l="1"/>
  <c r="D73" i="14"/>
  <c r="F73" i="14" s="1"/>
  <c r="B31" i="14"/>
  <c r="D30" i="14"/>
  <c r="F30" i="14" s="1"/>
  <c r="D125" i="14"/>
  <c r="F125" i="14" s="1"/>
  <c r="W29" i="1"/>
  <c r="V28" i="1"/>
  <c r="J32" i="2"/>
  <c r="B32" i="14" l="1"/>
  <c r="D31" i="14"/>
  <c r="F31" i="14" s="1"/>
  <c r="B75" i="14"/>
  <c r="D74" i="14"/>
  <c r="F74" i="14" s="1"/>
  <c r="D126" i="14"/>
  <c r="F126" i="14" s="1"/>
  <c r="W30" i="1"/>
  <c r="V29" i="1"/>
  <c r="J33" i="2"/>
  <c r="B76" i="14" l="1"/>
  <c r="D75" i="14"/>
  <c r="F75" i="14" s="1"/>
  <c r="B33" i="14"/>
  <c r="D32" i="14"/>
  <c r="F32" i="14" s="1"/>
  <c r="D127" i="14"/>
  <c r="F127" i="14" s="1"/>
  <c r="W31" i="1"/>
  <c r="V30" i="1"/>
  <c r="J34" i="2"/>
  <c r="B34" i="14" l="1"/>
  <c r="D33" i="14"/>
  <c r="F33" i="14" s="1"/>
  <c r="B77" i="14"/>
  <c r="D76" i="14"/>
  <c r="F76" i="14" s="1"/>
  <c r="D128" i="14"/>
  <c r="F128" i="14" s="1"/>
  <c r="W32" i="1"/>
  <c r="V31" i="1"/>
  <c r="J35" i="2"/>
  <c r="B78" i="14" l="1"/>
  <c r="D77" i="14"/>
  <c r="F77" i="14" s="1"/>
  <c r="B35" i="14"/>
  <c r="D34" i="14"/>
  <c r="F34" i="14" s="1"/>
  <c r="D129" i="14"/>
  <c r="F129" i="14" s="1"/>
  <c r="W33" i="1"/>
  <c r="V32" i="1"/>
  <c r="J36" i="2"/>
  <c r="B36" i="14" l="1"/>
  <c r="D35" i="14"/>
  <c r="F35" i="14" s="1"/>
  <c r="B79" i="14"/>
  <c r="D78" i="14"/>
  <c r="F78" i="14" s="1"/>
  <c r="D130" i="14"/>
  <c r="F130" i="14" s="1"/>
  <c r="W34" i="1"/>
  <c r="V33" i="1"/>
  <c r="J37" i="2"/>
  <c r="B80" i="14" l="1"/>
  <c r="D79" i="14"/>
  <c r="F79" i="14" s="1"/>
  <c r="B37" i="14"/>
  <c r="D36" i="14"/>
  <c r="F36" i="14" s="1"/>
  <c r="D131" i="14"/>
  <c r="F131" i="14" s="1"/>
  <c r="W35" i="1"/>
  <c r="V34" i="1"/>
  <c r="J38" i="2"/>
  <c r="B38" i="14" l="1"/>
  <c r="D37" i="14"/>
  <c r="F37" i="14" s="1"/>
  <c r="B81" i="14"/>
  <c r="D80" i="14"/>
  <c r="F80" i="14" s="1"/>
  <c r="D132" i="14"/>
  <c r="F132" i="14" s="1"/>
  <c r="W36" i="1"/>
  <c r="V35" i="1"/>
  <c r="J39" i="2"/>
  <c r="B82" i="14" l="1"/>
  <c r="D81" i="14"/>
  <c r="F81" i="14" s="1"/>
  <c r="B39" i="14"/>
  <c r="D38" i="14"/>
  <c r="F38" i="14" s="1"/>
  <c r="D133" i="14"/>
  <c r="F133" i="14" s="1"/>
  <c r="W37" i="1"/>
  <c r="V36" i="1"/>
  <c r="J40" i="2"/>
  <c r="B40" i="14" l="1"/>
  <c r="D39" i="14"/>
  <c r="F39" i="14" s="1"/>
  <c r="B83" i="14"/>
  <c r="D82" i="14"/>
  <c r="F82" i="14" s="1"/>
  <c r="D134" i="14"/>
  <c r="F134" i="14" s="1"/>
  <c r="W38" i="1"/>
  <c r="V37" i="1"/>
  <c r="J41" i="2"/>
  <c r="B84" i="14" l="1"/>
  <c r="D83" i="14"/>
  <c r="F83" i="14" s="1"/>
  <c r="B41" i="14"/>
  <c r="D40" i="14"/>
  <c r="F40" i="14" s="1"/>
  <c r="D135" i="14"/>
  <c r="F135" i="14" s="1"/>
  <c r="W39" i="1"/>
  <c r="V38" i="1"/>
  <c r="B42" i="14" l="1"/>
  <c r="D42" i="14" s="1"/>
  <c r="F42" i="14" s="1"/>
  <c r="D41" i="14"/>
  <c r="F41" i="14" s="1"/>
  <c r="B85" i="14"/>
  <c r="D84" i="14"/>
  <c r="F84" i="14" s="1"/>
  <c r="D136" i="14"/>
  <c r="F136" i="14" s="1"/>
  <c r="W40" i="1"/>
  <c r="V39" i="1"/>
  <c r="B43" i="14" l="1"/>
  <c r="D43" i="14"/>
  <c r="B86" i="14"/>
  <c r="D85" i="14"/>
  <c r="F85" i="14" s="1"/>
  <c r="D137" i="14"/>
  <c r="F137" i="14" s="1"/>
  <c r="W41" i="1"/>
  <c r="V40" i="1"/>
  <c r="B87" i="14" l="1"/>
  <c r="D86" i="14"/>
  <c r="F86" i="14" s="1"/>
  <c r="D138" i="14"/>
  <c r="F138" i="14" s="1"/>
  <c r="W42" i="1"/>
  <c r="V41" i="1"/>
  <c r="B88" i="14" l="1"/>
  <c r="D87" i="14"/>
  <c r="F87" i="14" s="1"/>
  <c r="D139" i="14"/>
  <c r="F139" i="14" s="1"/>
  <c r="W43" i="1"/>
  <c r="V42" i="1"/>
  <c r="B89" i="14" l="1"/>
  <c r="D88" i="14"/>
  <c r="F88" i="14" s="1"/>
  <c r="D140" i="14"/>
  <c r="F140" i="14" s="1"/>
  <c r="W44" i="1"/>
  <c r="V43" i="1"/>
  <c r="B90" i="14" l="1"/>
  <c r="D89" i="14"/>
  <c r="F89" i="14" s="1"/>
  <c r="D142" i="14"/>
  <c r="F142" i="14" s="1"/>
  <c r="D141" i="14"/>
  <c r="F141" i="14" s="1"/>
  <c r="W45" i="1"/>
  <c r="V44" i="1"/>
  <c r="B91" i="14" l="1"/>
  <c r="D91" i="14" s="1"/>
  <c r="F91" i="14" s="1"/>
  <c r="D90" i="14"/>
  <c r="F90" i="14" s="1"/>
  <c r="W46" i="1"/>
  <c r="V45" i="1"/>
  <c r="D92" i="14" l="1"/>
  <c r="B92" i="14"/>
  <c r="W47" i="1"/>
  <c r="V46" i="1"/>
  <c r="W48" i="1" l="1"/>
  <c r="V47" i="1"/>
  <c r="W49" i="1" l="1"/>
  <c r="V48" i="1"/>
  <c r="W50" i="1" l="1"/>
  <c r="V49" i="1"/>
  <c r="W51" i="1" l="1"/>
  <c r="V50" i="1"/>
  <c r="W52" i="1" l="1"/>
  <c r="V51" i="1"/>
  <c r="W53" i="1" l="1"/>
  <c r="V52" i="1"/>
  <c r="W54" i="1" l="1"/>
  <c r="V53" i="1"/>
  <c r="W55" i="1" l="1"/>
  <c r="V54" i="1"/>
  <c r="W56" i="1" l="1"/>
  <c r="V55" i="1"/>
  <c r="W57" i="1" l="1"/>
  <c r="V56" i="1"/>
  <c r="W58" i="1" l="1"/>
  <c r="V57" i="1"/>
  <c r="W59" i="1" l="1"/>
  <c r="V58" i="1"/>
  <c r="W60" i="1" l="1"/>
  <c r="V59" i="1"/>
  <c r="W61" i="1" l="1"/>
  <c r="V60" i="1"/>
  <c r="W62" i="1" l="1"/>
  <c r="V61" i="1"/>
  <c r="W63" i="1" l="1"/>
  <c r="V62" i="1"/>
  <c r="W64" i="1" l="1"/>
  <c r="V63" i="1"/>
  <c r="W65" i="1" l="1"/>
  <c r="V64" i="1"/>
  <c r="W66" i="1" l="1"/>
  <c r="V65" i="1"/>
  <c r="W67" i="1" l="1"/>
  <c r="V66" i="1"/>
  <c r="W68" i="1" l="1"/>
  <c r="V67" i="1"/>
  <c r="W69" i="1" l="1"/>
  <c r="V68" i="1"/>
  <c r="W70" i="1" l="1"/>
  <c r="V69" i="1"/>
  <c r="W71" i="1" l="1"/>
  <c r="V70" i="1"/>
  <c r="W72" i="1" l="1"/>
  <c r="V71" i="1"/>
  <c r="W73" i="1" l="1"/>
  <c r="V72" i="1"/>
  <c r="W74" i="1" l="1"/>
  <c r="V73" i="1"/>
  <c r="W75" i="1" l="1"/>
  <c r="V74" i="1"/>
  <c r="W76" i="1" l="1"/>
  <c r="V75" i="1"/>
  <c r="W77" i="1" l="1"/>
  <c r="V76" i="1"/>
  <c r="W78" i="1" l="1"/>
  <c r="V77" i="1"/>
  <c r="W79" i="1" l="1"/>
  <c r="V78" i="1"/>
  <c r="W80" i="1" l="1"/>
  <c r="V79" i="1"/>
  <c r="W81" i="1" l="1"/>
  <c r="V80" i="1"/>
  <c r="W82" i="1" l="1"/>
  <c r="V81" i="1"/>
  <c r="W83" i="1" l="1"/>
  <c r="V82" i="1"/>
  <c r="W84" i="1" l="1"/>
  <c r="V83" i="1"/>
  <c r="W85" i="1" l="1"/>
  <c r="V84" i="1"/>
  <c r="W86" i="1" l="1"/>
  <c r="V85" i="1"/>
  <c r="W87" i="1" l="1"/>
  <c r="V86" i="1"/>
  <c r="W88" i="1" l="1"/>
  <c r="V87" i="1"/>
  <c r="W89" i="1" l="1"/>
  <c r="V88" i="1"/>
  <c r="W90" i="1" l="1"/>
  <c r="V89" i="1"/>
  <c r="W91" i="1" l="1"/>
  <c r="V90" i="1"/>
  <c r="W92" i="1" l="1"/>
  <c r="V91" i="1"/>
  <c r="W93" i="1" l="1"/>
  <c r="V92" i="1"/>
  <c r="W94" i="1" l="1"/>
  <c r="V93" i="1"/>
  <c r="W95" i="1" l="1"/>
  <c r="V94" i="1"/>
  <c r="W96" i="1" l="1"/>
  <c r="V95" i="1"/>
  <c r="W97" i="1" l="1"/>
  <c r="V96" i="1"/>
  <c r="W98" i="1" l="1"/>
  <c r="V97" i="1"/>
  <c r="W99" i="1" l="1"/>
  <c r="V98" i="1"/>
  <c r="W100" i="1" l="1"/>
  <c r="V99" i="1"/>
  <c r="W101" i="1" l="1"/>
  <c r="V100" i="1"/>
  <c r="W102" i="1" l="1"/>
  <c r="V101" i="1"/>
  <c r="W103" i="1" l="1"/>
  <c r="V102" i="1"/>
  <c r="W104" i="1" l="1"/>
  <c r="V103" i="1"/>
  <c r="W105" i="1" l="1"/>
  <c r="V104" i="1"/>
  <c r="W106" i="1" l="1"/>
  <c r="V105" i="1"/>
  <c r="W107" i="1" l="1"/>
  <c r="V106" i="1"/>
  <c r="W108" i="1" l="1"/>
  <c r="V107" i="1"/>
  <c r="W109" i="1" l="1"/>
  <c r="V108" i="1"/>
  <c r="W110" i="1" l="1"/>
  <c r="V109" i="1"/>
  <c r="W111" i="1" l="1"/>
  <c r="V110" i="1"/>
  <c r="W112" i="1" l="1"/>
  <c r="V111" i="1"/>
  <c r="W113" i="1" l="1"/>
  <c r="V112" i="1"/>
  <c r="W114" i="1" l="1"/>
  <c r="V113" i="1"/>
  <c r="W115" i="1" l="1"/>
  <c r="V114" i="1"/>
  <c r="W116" i="1" l="1"/>
  <c r="V115" i="1"/>
  <c r="W117" i="1" l="1"/>
  <c r="V116" i="1"/>
  <c r="W118" i="1" l="1"/>
  <c r="V117" i="1"/>
  <c r="W119" i="1" l="1"/>
  <c r="V118" i="1"/>
  <c r="W120" i="1" l="1"/>
  <c r="V119" i="1"/>
  <c r="W121" i="1" l="1"/>
  <c r="V120" i="1"/>
  <c r="W122" i="1" l="1"/>
  <c r="V121" i="1"/>
  <c r="W123" i="1" l="1"/>
  <c r="V122" i="1"/>
  <c r="W124" i="1" l="1"/>
  <c r="V123" i="1"/>
  <c r="W125" i="1" l="1"/>
  <c r="V124" i="1"/>
  <c r="W126" i="1" l="1"/>
  <c r="V125" i="1"/>
  <c r="W127" i="1" l="1"/>
  <c r="V126" i="1"/>
  <c r="W128" i="1" l="1"/>
  <c r="V127" i="1"/>
  <c r="W129" i="1" l="1"/>
  <c r="V128" i="1"/>
  <c r="W130" i="1" l="1"/>
  <c r="V129" i="1"/>
  <c r="W131" i="1" l="1"/>
  <c r="V130" i="1"/>
  <c r="W132" i="1" l="1"/>
  <c r="V131" i="1"/>
  <c r="W133" i="1" l="1"/>
  <c r="V132" i="1"/>
  <c r="W134" i="1" l="1"/>
  <c r="V133" i="1"/>
  <c r="W135" i="1" l="1"/>
  <c r="V134" i="1"/>
  <c r="W136" i="1" l="1"/>
  <c r="V135" i="1"/>
  <c r="W137" i="1" l="1"/>
  <c r="V136" i="1"/>
  <c r="W138" i="1" l="1"/>
  <c r="V137" i="1"/>
  <c r="W139" i="1" l="1"/>
  <c r="V138" i="1"/>
  <c r="W140" i="1" l="1"/>
  <c r="V139" i="1"/>
  <c r="W141" i="1" l="1"/>
  <c r="V140" i="1"/>
  <c r="W142" i="1" l="1"/>
  <c r="V141" i="1"/>
  <c r="W143" i="1" l="1"/>
  <c r="V142" i="1"/>
  <c r="W144" i="1" l="1"/>
  <c r="V143" i="1"/>
  <c r="W145" i="1" l="1"/>
  <c r="V144" i="1"/>
  <c r="W146" i="1" l="1"/>
  <c r="V145" i="1"/>
  <c r="W147" i="1" l="1"/>
  <c r="V146" i="1"/>
  <c r="W148" i="1" l="1"/>
  <c r="V147" i="1"/>
  <c r="W149" i="1" l="1"/>
  <c r="V148" i="1"/>
  <c r="W150" i="1" l="1"/>
  <c r="V149" i="1"/>
  <c r="W151" i="1" l="1"/>
  <c r="V150" i="1"/>
  <c r="W152" i="1" l="1"/>
  <c r="V151" i="1"/>
  <c r="W153" i="1" l="1"/>
  <c r="V152" i="1"/>
  <c r="W154" i="1" l="1"/>
  <c r="V153" i="1"/>
  <c r="W155" i="1" l="1"/>
  <c r="V154" i="1"/>
  <c r="W156" i="1" l="1"/>
  <c r="V155" i="1"/>
  <c r="W157" i="1" l="1"/>
  <c r="V156" i="1"/>
  <c r="W158" i="1" l="1"/>
  <c r="V157" i="1"/>
  <c r="W159" i="1" l="1"/>
  <c r="V158" i="1"/>
  <c r="W160" i="1" l="1"/>
  <c r="V159" i="1"/>
  <c r="W161" i="1" l="1"/>
  <c r="V160" i="1"/>
  <c r="W162" i="1" l="1"/>
  <c r="V161" i="1"/>
  <c r="W163" i="1" l="1"/>
  <c r="V162" i="1"/>
  <c r="W164" i="1" l="1"/>
  <c r="V163" i="1"/>
  <c r="W165" i="1" l="1"/>
  <c r="V164" i="1"/>
  <c r="W166" i="1" l="1"/>
  <c r="V165" i="1"/>
  <c r="W167" i="1" l="1"/>
  <c r="V166" i="1"/>
  <c r="W168" i="1" l="1"/>
  <c r="V167" i="1"/>
  <c r="W169" i="1" l="1"/>
  <c r="V168" i="1"/>
  <c r="W170" i="1" l="1"/>
  <c r="V169" i="1"/>
  <c r="W171" i="1" l="1"/>
  <c r="V170" i="1"/>
  <c r="W172" i="1" l="1"/>
  <c r="V171" i="1"/>
  <c r="W173" i="1" l="1"/>
  <c r="V172" i="1"/>
  <c r="W174" i="1" l="1"/>
  <c r="V173" i="1"/>
  <c r="W175" i="1" l="1"/>
  <c r="V174" i="1"/>
  <c r="W176" i="1" l="1"/>
  <c r="V175" i="1"/>
  <c r="W177" i="1" l="1"/>
  <c r="V176" i="1"/>
  <c r="W178" i="1" l="1"/>
  <c r="V177" i="1"/>
  <c r="W179" i="1" l="1"/>
  <c r="V178" i="1"/>
  <c r="W180" i="1" l="1"/>
  <c r="V179" i="1"/>
  <c r="W181" i="1" l="1"/>
  <c r="V180" i="1"/>
  <c r="W182" i="1" l="1"/>
  <c r="V181" i="1"/>
  <c r="W183" i="1" l="1"/>
  <c r="V182" i="1"/>
  <c r="W184" i="1" l="1"/>
  <c r="V183" i="1"/>
  <c r="W185" i="1" l="1"/>
  <c r="V184" i="1"/>
  <c r="W186" i="1" l="1"/>
  <c r="V185" i="1"/>
  <c r="W187" i="1" l="1"/>
  <c r="V186" i="1"/>
  <c r="W188" i="1" l="1"/>
  <c r="V187" i="1"/>
  <c r="W189" i="1" l="1"/>
  <c r="V188" i="1"/>
  <c r="W190" i="1" l="1"/>
  <c r="V189" i="1"/>
  <c r="W191" i="1" l="1"/>
  <c r="V190" i="1"/>
  <c r="W192" i="1" l="1"/>
  <c r="V191" i="1"/>
  <c r="W193" i="1" l="1"/>
  <c r="V192" i="1"/>
  <c r="W194" i="1" l="1"/>
  <c r="V193" i="1"/>
  <c r="W195" i="1" l="1"/>
  <c r="V194" i="1"/>
  <c r="W196" i="1" l="1"/>
  <c r="V195" i="1"/>
  <c r="W197" i="1" l="1"/>
  <c r="V196" i="1"/>
  <c r="W198" i="1" l="1"/>
  <c r="V197" i="1"/>
  <c r="W199" i="1" l="1"/>
  <c r="V198" i="1"/>
  <c r="W200" i="1" l="1"/>
  <c r="V199" i="1"/>
  <c r="W201" i="1" l="1"/>
  <c r="V200" i="1"/>
  <c r="W202" i="1" l="1"/>
  <c r="V201" i="1"/>
  <c r="W203" i="1" l="1"/>
  <c r="V202" i="1"/>
  <c r="W204" i="1" l="1"/>
  <c r="V203" i="1"/>
  <c r="W205" i="1" l="1"/>
  <c r="V204" i="1"/>
  <c r="W206" i="1" l="1"/>
  <c r="V205" i="1"/>
  <c r="W207" i="1" l="1"/>
  <c r="V206" i="1"/>
  <c r="W208" i="1" l="1"/>
  <c r="V207" i="1"/>
  <c r="W209" i="1" l="1"/>
  <c r="V208" i="1"/>
  <c r="W210" i="1" l="1"/>
  <c r="V209" i="1"/>
  <c r="W211" i="1" l="1"/>
  <c r="V210" i="1"/>
  <c r="W212" i="1" l="1"/>
  <c r="V211" i="1"/>
  <c r="W213" i="1" l="1"/>
  <c r="V212" i="1"/>
  <c r="W214" i="1" l="1"/>
  <c r="V213" i="1"/>
  <c r="W215" i="1" l="1"/>
  <c r="V214" i="1"/>
  <c r="W216" i="1" l="1"/>
  <c r="V215" i="1"/>
  <c r="W217" i="1" l="1"/>
  <c r="V216" i="1"/>
  <c r="W218" i="1" l="1"/>
  <c r="V217" i="1"/>
  <c r="W219" i="1" l="1"/>
  <c r="V218" i="1"/>
  <c r="W220" i="1" l="1"/>
  <c r="V219" i="1"/>
  <c r="W221" i="1" l="1"/>
  <c r="V220" i="1"/>
  <c r="W222" i="1" l="1"/>
  <c r="V221" i="1"/>
  <c r="W223" i="1" l="1"/>
  <c r="V222" i="1"/>
  <c r="W224" i="1" l="1"/>
  <c r="V223" i="1"/>
  <c r="W225" i="1" l="1"/>
  <c r="V224" i="1"/>
  <c r="W226" i="1" l="1"/>
  <c r="V225" i="1"/>
  <c r="W227" i="1" l="1"/>
  <c r="V226" i="1"/>
  <c r="W228" i="1" l="1"/>
  <c r="V227" i="1"/>
  <c r="W229" i="1" l="1"/>
  <c r="V228" i="1"/>
  <c r="W230" i="1" l="1"/>
  <c r="V229" i="1"/>
  <c r="W231" i="1" l="1"/>
  <c r="V230" i="1"/>
  <c r="W232" i="1" l="1"/>
  <c r="V231" i="1"/>
  <c r="W233" i="1" l="1"/>
  <c r="V232" i="1"/>
  <c r="W234" i="1" l="1"/>
  <c r="V233" i="1"/>
  <c r="W235" i="1" l="1"/>
  <c r="V234" i="1"/>
  <c r="W236" i="1" l="1"/>
  <c r="V235" i="1"/>
  <c r="W237" i="1" l="1"/>
  <c r="V236" i="1"/>
  <c r="W238" i="1" l="1"/>
  <c r="V237" i="1"/>
  <c r="W239" i="1" l="1"/>
  <c r="V238" i="1"/>
  <c r="W240" i="1" l="1"/>
  <c r="V239" i="1"/>
  <c r="W241" i="1" l="1"/>
  <c r="V240" i="1"/>
  <c r="V241" i="1" l="1"/>
  <c r="H41" i="2" l="1"/>
  <c r="I41" i="2" s="1"/>
  <c r="H40" i="2"/>
  <c r="I40" i="2" s="1"/>
  <c r="H39" i="2"/>
  <c r="I39" i="2" s="1"/>
  <c r="E8" i="11"/>
  <c r="I38" i="2"/>
  <c r="H38" i="2"/>
  <c r="H37" i="2"/>
  <c r="I37" i="2" s="1"/>
  <c r="I36" i="2"/>
  <c r="H36" i="2"/>
  <c r="H35" i="2"/>
  <c r="I35" i="2" s="1"/>
  <c r="H34" i="2"/>
  <c r="I34" i="2" s="1"/>
  <c r="I33" i="2"/>
  <c r="H33" i="2"/>
  <c r="H32" i="2"/>
  <c r="I32" i="2" s="1"/>
  <c r="H31" i="2"/>
  <c r="I31" i="2" s="1"/>
  <c r="H30" i="2"/>
  <c r="I30" i="2" s="1"/>
  <c r="I29" i="2"/>
  <c r="H29" i="2"/>
  <c r="H28" i="2"/>
  <c r="I28" i="2" s="1"/>
  <c r="H27" i="2"/>
  <c r="I27" i="2" s="1"/>
  <c r="H26" i="2"/>
  <c r="I26" i="2" s="1"/>
  <c r="I25" i="2"/>
  <c r="H25" i="2"/>
  <c r="H24" i="2"/>
  <c r="I24" i="2" s="1"/>
  <c r="H23" i="2"/>
  <c r="I23" i="2" s="1"/>
  <c r="H22" i="2"/>
  <c r="I22" i="2" s="1"/>
  <c r="I21" i="2"/>
  <c r="H21" i="2"/>
  <c r="H20" i="2"/>
  <c r="I20" i="2" s="1"/>
  <c r="H19" i="2"/>
  <c r="I19" i="2" s="1"/>
  <c r="H18" i="2"/>
  <c r="I18" i="2" s="1"/>
  <c r="I17" i="2"/>
  <c r="H17" i="2"/>
  <c r="H16" i="2"/>
  <c r="I16" i="2" s="1"/>
  <c r="H15" i="2"/>
  <c r="I15" i="2"/>
  <c r="H14" i="2"/>
  <c r="I14" i="2" s="1"/>
  <c r="I13" i="2"/>
  <c r="H13" i="2"/>
  <c r="H12" i="2"/>
  <c r="I12" i="2" s="1"/>
  <c r="H3" i="2"/>
  <c r="I3" i="2" s="1"/>
  <c r="I2" i="2"/>
  <c r="E9" i="11" l="1"/>
  <c r="C8" i="11" l="1"/>
  <c r="B8" i="11"/>
  <c r="B9" i="11"/>
  <c r="C9" i="11"/>
  <c r="K17" i="7"/>
  <c r="Z44" i="13" l="1" a="1"/>
  <c r="Z44" i="13" s="1"/>
  <c r="AD44" i="13" a="1"/>
  <c r="AD44" i="13" s="1"/>
  <c r="AP44" i="13" a="1"/>
  <c r="AP44" i="13" s="1"/>
  <c r="AH44" i="13" a="1"/>
  <c r="AH44" i="13" s="1"/>
  <c r="AL44" i="13" a="1"/>
  <c r="AL44" i="13" s="1"/>
  <c r="G32" i="13" l="1"/>
  <c r="J32" i="13" s="1"/>
  <c r="H32" i="13"/>
  <c r="F32" i="13"/>
  <c r="K18" i="7"/>
  <c r="F108" i="14" l="1"/>
  <c r="F105" i="14"/>
  <c r="F107" i="14"/>
  <c r="F106" i="14"/>
  <c r="F109" i="14"/>
  <c r="F104" i="14"/>
  <c r="F100" i="14"/>
  <c r="F95" i="14"/>
  <c r="F97" i="14"/>
  <c r="F99" i="14"/>
  <c r="F102" i="14"/>
  <c r="F103" i="14"/>
  <c r="F96" i="14"/>
  <c r="F98" i="14"/>
  <c r="F101" i="14"/>
  <c r="K19" i="7"/>
  <c r="B143" i="14" l="1"/>
  <c r="D143" i="14"/>
  <c r="B149" i="14" l="1"/>
  <c r="B38" i="6" s="1"/>
  <c r="D149" i="14" l="1"/>
  <c r="K13" i="7"/>
  <c r="A245" i="1" a="1"/>
  <c r="G6" i="9" l="1"/>
  <c r="K14" i="7"/>
  <c r="G5" i="9"/>
  <c r="G3" i="9"/>
  <c r="A245" i="1"/>
  <c r="K15" i="7"/>
  <c r="G2" i="9"/>
  <c r="B7" i="11" l="1"/>
  <c r="E4" i="7"/>
  <c r="D7" i="11" l="1"/>
  <c r="E7" i="11"/>
  <c r="C7" i="11"/>
  <c r="D8" i="11" l="1"/>
  <c r="D9" i="11"/>
  <c r="F9" i="11" s="1"/>
  <c r="F7" i="11"/>
  <c r="F8" i="11" l="1"/>
  <c r="F17" i="11" s="1"/>
  <c r="D19"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McLean, Daniel</author>
  </authors>
  <commentList>
    <comment ref="B6" authorId="0" shapeId="0" xr:uid="{8C2E4279-6333-4082-AAF7-8F620AFF6065}">
      <text>
        <r>
          <rPr>
            <sz val="9"/>
            <color indexed="81"/>
            <rFont val="Tahoma"/>
            <family val="2"/>
          </rPr>
          <t>If nothing is entered here we will calculate spacing based on weights and max spacing per codes</t>
        </r>
      </text>
    </comment>
    <comment ref="T6" authorId="0" shapeId="0" xr:uid="{D690B1CD-6A83-47C7-B5D5-23002F7F79C7}">
      <text>
        <r>
          <rPr>
            <sz val="9"/>
            <color indexed="81"/>
            <rFont val="Tahoma"/>
            <family val="2"/>
          </rPr>
          <t>If nothing is entered here we will calculate spacing based on weights and max spacing per codes</t>
        </r>
      </text>
    </comment>
    <comment ref="B7" authorId="0" shapeId="0" xr:uid="{6A07C32D-79EF-48E2-8AE0-AD0083006A01}">
      <text>
        <r>
          <rPr>
            <sz val="9"/>
            <color indexed="81"/>
            <rFont val="Tahoma"/>
            <family val="2"/>
          </rPr>
          <t>This refers to the required height of the utility off of the deck</t>
        </r>
      </text>
    </comment>
    <comment ref="T7" authorId="0" shapeId="0" xr:uid="{4C05A8CF-66F5-49A8-8421-2D94C39523A6}">
      <text>
        <r>
          <rPr>
            <sz val="9"/>
            <color indexed="81"/>
            <rFont val="Tahoma"/>
            <family val="2"/>
          </rPr>
          <t>This refers to the required height of the utility off of the deck</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1E24884-3BE2-4448-BF94-A775CD68D7F5}" name="Connection" type="6" refreshedVersion="0" background="1">
    <textPr sourceFile="">
      <textFields>
        <textField/>
      </textFields>
    </textPr>
  </connection>
  <connection id="2" xr16:uid="{E53C9AAD-2BE9-4EC2-962C-1DD3FFBA36EC}" name="Connection1" type="6" refreshedVersion="0" background="1">
    <textPr sourceFile="">
      <textFields>
        <textField/>
      </textFields>
    </textPr>
  </connection>
  <connection id="3" xr16:uid="{9C213F65-2CED-4C76-BE55-F013AFBD6C8D}" name="Connection2" type="6" refreshedVersion="0" background="1">
    <textPr sourceFile="">
      <textFields>
        <textField/>
      </textFields>
    </textPr>
  </connection>
  <connection id="4" xr16:uid="{2C459734-9136-480E-AD2E-4629181BD758}" name="Connection3" type="6" refreshedVersion="0" background="1">
    <textPr sourceFile="">
      <textFields>
        <textField/>
      </textFields>
    </textPr>
  </connection>
  <connection id="5" xr16:uid="{A7657032-7C9A-4606-B617-B5A429E06085}" name="Connection4" type="6" refreshedVersion="0" background="1">
    <textPr sourceFile="">
      <textFields>
        <textField/>
      </textFields>
    </textPr>
  </connection>
  <connection id="6" xr16:uid="{949EE4FE-76FB-4CA6-B529-AF8AE24190DF}" name="Connection5" type="6" refreshedVersion="0" background="1">
    <textPr sourceFile="">
      <textFields>
        <textField/>
      </textFields>
    </textPr>
  </connection>
  <connection id="7" xr16:uid="{0DB533EC-4778-4042-8B03-75341DDFD8DF}" name="pipe" type="6" refreshedVersion="8" background="1" saveData="1">
    <textPr prompt="0" sourceFile="C:\Users\E2023355\OneDrive - nVent Management Company\Documents\VSCode\Projects\CPQ\CPQ_Automation\output\pipe.csv" tab="0" comma="1">
      <textFields>
        <textField/>
      </textFields>
    </textPr>
  </connection>
  <connection id="8" xr16:uid="{30D483ED-ED58-44D3-BAE1-0FBDBB9220DD}" name="pipe1" type="6" refreshedVersion="8" background="1" saveData="1">
    <textPr prompt="0" sourceFile="C:\Users\E2023355\OneDrive - nVent Management Company\Documents\VSCode\Projects\CPQ\CPQ_Automation\output\pipe.csv" tab="0" comma="1">
      <textFields>
        <textField/>
      </textFields>
    </textPr>
  </connection>
  <connection id="9" xr16:uid="{33FB16E6-4675-4C1A-B565-E0B7E6461861}" name="pipe2" type="6" refreshedVersion="8" background="1" saveData="1">
    <textPr prompt="0" sourceFile="C:\Users\E2023355\OneDrive - nVent Management Company\Documents\VSCode\Projects\CPQ\CPQ_Automation\output\pipe.csv" tab="0" comma="1">
      <textFields>
        <textField/>
      </textFields>
    </textPr>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<sst xmlns="http://schemas.openxmlformats.org/spreadsheetml/2006/main" count="2847" uniqueCount="827">
  <si>
    <t>Header</t>
  </si>
  <si>
    <t>Job name</t>
  </si>
  <si>
    <t>Unit ID</t>
  </si>
  <si>
    <t>Job address</t>
  </si>
  <si>
    <t>City</t>
  </si>
  <si>
    <t>State</t>
  </si>
  <si>
    <t>Zip code</t>
  </si>
  <si>
    <t>Packaging / shipment type</t>
  </si>
  <si>
    <t>Condensed</t>
  </si>
  <si>
    <t>What do you need to support?</t>
  </si>
  <si>
    <t>Pipe</t>
  </si>
  <si>
    <t>What is the total length you need to run? (in feet)</t>
  </si>
  <si>
    <t>What is the total length you need to run?</t>
  </si>
  <si>
    <t>If specific support spacing is required enter here in feet</t>
  </si>
  <si>
    <t>What height do you need this off of the roof deck? (inches)</t>
  </si>
  <si>
    <t>How many total elbows and branches (include horizontal and vertical)</t>
  </si>
  <si>
    <t>What is the expected snow load in lb/sq ft? (0 for no snow)</t>
  </si>
  <si>
    <t>Link for snow loads</t>
  </si>
  <si>
    <t>Pipe type 1</t>
  </si>
  <si>
    <t>Pipe type 2</t>
  </si>
  <si>
    <t>Iron - Schedule 80</t>
  </si>
  <si>
    <t>Summary</t>
  </si>
  <si>
    <t>What material is the pipe?</t>
  </si>
  <si>
    <t>Water</t>
  </si>
  <si>
    <t>Gas</t>
  </si>
  <si>
    <t>Frames required</t>
  </si>
  <si>
    <t>What are you running in the pipe?</t>
  </si>
  <si>
    <t>Height of the vertical pieces in inches (A in drawing)</t>
  </si>
  <si>
    <t>What size is the pipe?</t>
  </si>
  <si>
    <t>Width of the frame in inches (B in drawing)</t>
  </si>
  <si>
    <t>What is the pipe insulation wall thickness? (choose 0 for no insulation)</t>
  </si>
  <si>
    <t>yoke roller</t>
  </si>
  <si>
    <t>Distance from bottom of utility to the deck in inches (C in drawing)</t>
  </si>
  <si>
    <t>What type of hanger is required for this pipe?</t>
  </si>
  <si>
    <t>Standard spacing between frames (ft)</t>
  </si>
  <si>
    <t>How many of this pipe do you need supported side by side?</t>
  </si>
  <si>
    <t>Cross piece strut style</t>
  </si>
  <si>
    <t>Do you need to run other pipe configurations on the same frame? (2 max)</t>
  </si>
  <si>
    <t>Number of extra vertical supports</t>
  </si>
  <si>
    <t>What is the required spacing between pipes? (default is 6 inches)</t>
  </si>
  <si>
    <t>What is the height of the duct? (inches)</t>
  </si>
  <si>
    <t>What is the width of the duct? (inches)</t>
  </si>
  <si>
    <t>What shape is the duct?</t>
  </si>
  <si>
    <t>What is the gauge of the duct?</t>
  </si>
  <si>
    <t>What is the insulation density in lbs/cu ft? (leave blank for no insulation)</t>
  </si>
  <si>
    <t>What is the insulation thickness in inches? (leave blank for no insulation)</t>
  </si>
  <si>
    <t>Is a top piece required to prevent uplift of duct?</t>
  </si>
  <si>
    <t>What length are the duct segments?</t>
  </si>
  <si>
    <t>Enter lbs/ft here to override calculated weight per foot</t>
  </si>
  <si>
    <t>Calculated weight (lbs/ft)</t>
  </si>
  <si>
    <t>Add total weight</t>
  </si>
  <si>
    <t>What is the weight per foot of this?</t>
  </si>
  <si>
    <t>Utility</t>
  </si>
  <si>
    <t>What is the width? (inches)</t>
  </si>
  <si>
    <t>CADDY frames weight</t>
  </si>
  <si>
    <t>What is the height? (inches)</t>
  </si>
  <si>
    <t>Is a second cross-piece required to prevent uplift?</t>
  </si>
  <si>
    <t>Input</t>
  </si>
  <si>
    <t>notes</t>
  </si>
  <si>
    <t>input</t>
  </si>
  <si>
    <t>Total elbows and branches</t>
  </si>
  <si>
    <t>Snow load with shape factor (lb/sq ft)</t>
  </si>
  <si>
    <t>calc using shape factor of .55 if pipe or round duct</t>
  </si>
  <si>
    <t>Pipe type 1 material</t>
  </si>
  <si>
    <t>Pipe type 1 contents</t>
  </si>
  <si>
    <t>Pipe type 1 size</t>
  </si>
  <si>
    <t>Pipe type 1 insulation thickness</t>
  </si>
  <si>
    <t>Pipe type 1 hanger type</t>
  </si>
  <si>
    <t>Pipe type 1 quantity</t>
  </si>
  <si>
    <t>Pipe type 1 hanger quantity</t>
  </si>
  <si>
    <t>Pipe type 1 hanger size</t>
  </si>
  <si>
    <t>calc</t>
  </si>
  <si>
    <t>Pipe type 1 weight per foot</t>
  </si>
  <si>
    <t>Pipe type 1 weight at quantity</t>
  </si>
  <si>
    <t>Pipe type 1 effective snow load per foot</t>
  </si>
  <si>
    <t>Pipe type 2 material</t>
  </si>
  <si>
    <t>Pipe type 2 contents</t>
  </si>
  <si>
    <t>Pipe type 2 size</t>
  </si>
  <si>
    <t>Pipe type 2 insulation thickness</t>
  </si>
  <si>
    <t>Pipe type 2 hanger type</t>
  </si>
  <si>
    <t>Pipe type 2 quantity</t>
  </si>
  <si>
    <t>Pipe type 2 hanger quantity</t>
  </si>
  <si>
    <t>Pipe type 2 hanger size</t>
  </si>
  <si>
    <t>Pipe type 2 weight per foot</t>
  </si>
  <si>
    <t>Pipe type 2 weight at quantity</t>
  </si>
  <si>
    <t>Pipe spacing</t>
  </si>
  <si>
    <t>Total pipe weight to support incl snow load (lb/ft)</t>
  </si>
  <si>
    <t>width required to accommodate all pipes (inches)</t>
  </si>
  <si>
    <t>Height required</t>
  </si>
  <si>
    <t>Max weight capacity of post bases</t>
  </si>
  <si>
    <t>calc based on 750lb load capcity per base</t>
  </si>
  <si>
    <t>Quantity of frames required for pipes</t>
  </si>
  <si>
    <t>Spacing to use</t>
  </si>
  <si>
    <t>Iteration</t>
  </si>
  <si>
    <t>Spacing Along Length</t>
  </si>
  <si>
    <t>Weight Per Ft of Run</t>
  </si>
  <si>
    <t>Weight to Support</t>
  </si>
  <si>
    <t>Load Rating for Support (for base)</t>
  </si>
  <si>
    <t>Condition</t>
  </si>
  <si>
    <t>max span for support (bases)</t>
  </si>
  <si>
    <t>Load Rating for Column</t>
  </si>
  <si>
    <t>max span column</t>
  </si>
  <si>
    <t>Beam Span</t>
  </si>
  <si>
    <t>max span horizontal beam</t>
  </si>
  <si>
    <t xml:space="preserve"> </t>
  </si>
  <si>
    <t>min(compare 4 spacings)</t>
  </si>
  <si>
    <t>tell them what is the driver</t>
  </si>
  <si>
    <t>Quote for:</t>
  </si>
  <si>
    <t>Quote by:</t>
  </si>
  <si>
    <t>Quote date:</t>
  </si>
  <si>
    <t>Line</t>
  </si>
  <si>
    <t>Item number</t>
  </si>
  <si>
    <t>Description</t>
  </si>
  <si>
    <t>Quantity</t>
  </si>
  <si>
    <t>Price ea</t>
  </si>
  <si>
    <t>Extended price</t>
  </si>
  <si>
    <t xml:space="preserve">Subtotal = </t>
  </si>
  <si>
    <t>Freight</t>
  </si>
  <si>
    <t>Number of pallets</t>
  </si>
  <si>
    <t>Total weight</t>
  </si>
  <si>
    <t>Estimated charge</t>
  </si>
  <si>
    <t>Utility name</t>
  </si>
  <si>
    <t>Pipe material</t>
  </si>
  <si>
    <t>Hanger type</t>
  </si>
  <si>
    <t>Contents of pipe</t>
  </si>
  <si>
    <t>Pipe sizes</t>
  </si>
  <si>
    <t>Copper pipe insulation thickness</t>
  </si>
  <si>
    <t>Iron pipe insulation thickness</t>
  </si>
  <si>
    <t>Pipe quantity</t>
  </si>
  <si>
    <t>Snow loads</t>
  </si>
  <si>
    <t>Shipment method</t>
  </si>
  <si>
    <t>Duct</t>
  </si>
  <si>
    <t>Iron - Schedule 40</t>
  </si>
  <si>
    <t>No insulation</t>
  </si>
  <si>
    <t>clevis hanger</t>
  </si>
  <si>
    <t>Full prefab</t>
  </si>
  <si>
    <t>Other</t>
  </si>
  <si>
    <t>Copper - type K</t>
  </si>
  <si>
    <t>strut clamp</t>
  </si>
  <si>
    <t>Copper - type L</t>
  </si>
  <si>
    <t>CPVC - Schedule 40</t>
  </si>
  <si>
    <t>CPVC - Schedule 80</t>
  </si>
  <si>
    <t>Height (in)</t>
  </si>
  <si>
    <t>Width (in)</t>
  </si>
  <si>
    <t>Strut height (in)</t>
  </si>
  <si>
    <t>Width between uprights (in)</t>
  </si>
  <si>
    <t>Width between brackets</t>
  </si>
  <si>
    <t>Extra supports</t>
  </si>
  <si>
    <t>Cross piece style</t>
  </si>
  <si>
    <t>cross piece quantity</t>
  </si>
  <si>
    <t>Distance between strut</t>
  </si>
  <si>
    <t>Number of feet</t>
  </si>
  <si>
    <t>Number of bolts</t>
  </si>
  <si>
    <t>number of L-brackets</t>
  </si>
  <si>
    <t>Total feet of strut</t>
  </si>
  <si>
    <t>Sticks of strut required</t>
  </si>
  <si>
    <t>Number of cuts required</t>
  </si>
  <si>
    <t>Bottom cross piece cost</t>
  </si>
  <si>
    <t>Top cross piece cost</t>
  </si>
  <si>
    <t>Material Cost (est)</t>
  </si>
  <si>
    <t>Labor Cost</t>
  </si>
  <si>
    <t>Price (est)</t>
  </si>
  <si>
    <t>Margin</t>
  </si>
  <si>
    <t>Fabrication type</t>
  </si>
  <si>
    <t>Vertical strut cost</t>
  </si>
  <si>
    <t>Component costs</t>
  </si>
  <si>
    <t>lookup</t>
  </si>
  <si>
    <t>4x6 pallet</t>
  </si>
  <si>
    <t>4x8 pallet</t>
  </si>
  <si>
    <t>size</t>
  </si>
  <si>
    <t>Strut cost</t>
  </si>
  <si>
    <t>unit pricing</t>
  </si>
  <si>
    <t>Component</t>
  </si>
  <si>
    <t>Current cost</t>
  </si>
  <si>
    <t>A1</t>
  </si>
  <si>
    <t>Standard 24x20 H-frame</t>
  </si>
  <si>
    <t>A12</t>
  </si>
  <si>
    <t>H-frame for Duct</t>
  </si>
  <si>
    <t>PHB</t>
  </si>
  <si>
    <t>A2</t>
  </si>
  <si>
    <t>Standard 36x20 H-frame</t>
  </si>
  <si>
    <t>A12A</t>
  </si>
  <si>
    <t>H-Frame for Duct w/ Added Top</t>
  </si>
  <si>
    <t>HFRMHDW</t>
  </si>
  <si>
    <t>A3</t>
  </si>
  <si>
    <t>Standard 48x20 H-frame</t>
  </si>
  <si>
    <t>D12</t>
  </si>
  <si>
    <t>H-Frame w/ Clevis</t>
  </si>
  <si>
    <t>A4</t>
  </si>
  <si>
    <t>Standard 72x20 H-frame</t>
  </si>
  <si>
    <t>H-Frame w/ 3rd leg w/ Clevis</t>
  </si>
  <si>
    <t>A5</t>
  </si>
  <si>
    <t>Standard 24x36 H-frame</t>
  </si>
  <si>
    <t>H-Frame w/ 3rd leg</t>
  </si>
  <si>
    <t>A6</t>
  </si>
  <si>
    <t>Standard 36x36 H-frame</t>
  </si>
  <si>
    <t>H-Frame w/ 4th leg</t>
  </si>
  <si>
    <t>A7</t>
  </si>
  <si>
    <t>Standard 48x36 H-frame</t>
  </si>
  <si>
    <t>A8</t>
  </si>
  <si>
    <t>Standard 72x36 H-frame</t>
  </si>
  <si>
    <t>A9</t>
  </si>
  <si>
    <t>Standard 24x48 H-frame</t>
  </si>
  <si>
    <t>A10</t>
  </si>
  <si>
    <t>Standard 36x48 H-frame</t>
  </si>
  <si>
    <t>A11</t>
  </si>
  <si>
    <t>Standard 48x48 H-frame</t>
  </si>
  <si>
    <t>Standard 72x48 H-frame</t>
  </si>
  <si>
    <t>A13</t>
  </si>
  <si>
    <t>Standard 24x60 H-frame</t>
  </si>
  <si>
    <t>A14</t>
  </si>
  <si>
    <t>Standard 36x60 H-frame</t>
  </si>
  <si>
    <t>A15</t>
  </si>
  <si>
    <t>Standard 48x60 H-frame</t>
  </si>
  <si>
    <t>A16</t>
  </si>
  <si>
    <t>Standard 72x60 H-frame</t>
  </si>
  <si>
    <t>A17</t>
  </si>
  <si>
    <t>Standard 24x72 H-frame</t>
  </si>
  <si>
    <t>A18</t>
  </si>
  <si>
    <t>Standard 36x72 H-frame</t>
  </si>
  <si>
    <t>A19</t>
  </si>
  <si>
    <t>Standard 48x72 H-frame</t>
  </si>
  <si>
    <t>A20</t>
  </si>
  <si>
    <t>Standard 72x72 H-frame</t>
  </si>
  <si>
    <t>A21</t>
  </si>
  <si>
    <t>Standard 24x84 H-frame</t>
  </si>
  <si>
    <t>A22</t>
  </si>
  <si>
    <t>Standard 36x84 H-frame</t>
  </si>
  <si>
    <t>A23</t>
  </si>
  <si>
    <t>Standard 48x84 H-frame</t>
  </si>
  <si>
    <t>A24</t>
  </si>
  <si>
    <t>Standard 72x84 H-frame</t>
  </si>
  <si>
    <t>A25</t>
  </si>
  <si>
    <t>Enclosed duct 24x20 H-frame</t>
  </si>
  <si>
    <t>A26</t>
  </si>
  <si>
    <t>Enclosed duct 36x20 H-frame</t>
  </si>
  <si>
    <t>A27</t>
  </si>
  <si>
    <t>Enclosed duct 48x20 H-frame</t>
  </si>
  <si>
    <t>A28</t>
  </si>
  <si>
    <t>Enclosed duct 72x20 H-frame</t>
  </si>
  <si>
    <t>A29</t>
  </si>
  <si>
    <t>Enclosed duct 24x36 H-frame</t>
  </si>
  <si>
    <t>A30</t>
  </si>
  <si>
    <t>Enclosed duct 36x36 H-frame</t>
  </si>
  <si>
    <t>A31</t>
  </si>
  <si>
    <t>Enclosed duct 48x36 H-frame</t>
  </si>
  <si>
    <t>A32</t>
  </si>
  <si>
    <t>Enclosed duct 72x36 H-frame</t>
  </si>
  <si>
    <t>A33</t>
  </si>
  <si>
    <t>Enclosed duct 24x48 H-frame</t>
  </si>
  <si>
    <t>A34</t>
  </si>
  <si>
    <t>Enclosed duct 36x48 H-frame</t>
  </si>
  <si>
    <t>A35</t>
  </si>
  <si>
    <t>Enclosed duct 48x48 H-frame</t>
  </si>
  <si>
    <t>A36</t>
  </si>
  <si>
    <t>Enclosed duct 72x48 H-frame</t>
  </si>
  <si>
    <t>A37</t>
  </si>
  <si>
    <t>Enclosed duct 24x60 H-frame</t>
  </si>
  <si>
    <t>A38</t>
  </si>
  <si>
    <t>Enclosed duct 36x60 H-frame</t>
  </si>
  <si>
    <t>A39</t>
  </si>
  <si>
    <t>Enclosed duct 48x60 H-frame</t>
  </si>
  <si>
    <t>A40</t>
  </si>
  <si>
    <t>Enclosed duct 72x60 H-frame</t>
  </si>
  <si>
    <t>A41</t>
  </si>
  <si>
    <t>Enclosed duct 24x72 H-frame</t>
  </si>
  <si>
    <t>A42</t>
  </si>
  <si>
    <t>Enclosed duct 36x72 H-frame</t>
  </si>
  <si>
    <t>A43</t>
  </si>
  <si>
    <t>Enclosed duct 48x72 H-frame</t>
  </si>
  <si>
    <t>A44</t>
  </si>
  <si>
    <t>Enclosed duct 72x72 H-frame</t>
  </si>
  <si>
    <t>A45</t>
  </si>
  <si>
    <t>Enclosed duct 24x84 H-frame</t>
  </si>
  <si>
    <t>A46</t>
  </si>
  <si>
    <t>Enclosed duct 36x84 H-frame</t>
  </si>
  <si>
    <t>A47</t>
  </si>
  <si>
    <t>Enclosed duct 48x84 H-frame</t>
  </si>
  <si>
    <t>A48</t>
  </si>
  <si>
    <t>Enclosed duct 72x84 H-frame</t>
  </si>
  <si>
    <t>A49</t>
  </si>
  <si>
    <t>1 Addditional support 24x20 H-frame</t>
  </si>
  <si>
    <t>A50</t>
  </si>
  <si>
    <t>1 Addditional support 36x20 H-frame</t>
  </si>
  <si>
    <t>A51</t>
  </si>
  <si>
    <t>1 Addditional support 48x20 H-frame</t>
  </si>
  <si>
    <t>A52</t>
  </si>
  <si>
    <t>1 Addditional support 72x20 H-frame</t>
  </si>
  <si>
    <t>A53</t>
  </si>
  <si>
    <t>1 Addditional support 24x36 H-frame</t>
  </si>
  <si>
    <t>A54</t>
  </si>
  <si>
    <t>1 Addditional support 36x36 H-frame</t>
  </si>
  <si>
    <t>A55</t>
  </si>
  <si>
    <t>1 Addditional support 48x36 H-frame</t>
  </si>
  <si>
    <t>A56</t>
  </si>
  <si>
    <t>1 Addditional support 72x36 H-frame</t>
  </si>
  <si>
    <t>A57</t>
  </si>
  <si>
    <t>1 Addditional support 24x48 H-frame</t>
  </si>
  <si>
    <t>A58</t>
  </si>
  <si>
    <t>1 Addditional support 36x48 H-frame</t>
  </si>
  <si>
    <t>A59</t>
  </si>
  <si>
    <t>1 Addditional support 48x48 H-frame</t>
  </si>
  <si>
    <t>A60</t>
  </si>
  <si>
    <t>1 Addditional support 72x48 H-frame</t>
  </si>
  <si>
    <t>A61</t>
  </si>
  <si>
    <t>1 Addditional support 24x60 H-frame</t>
  </si>
  <si>
    <t>A62</t>
  </si>
  <si>
    <t>1 Addditional support 36x60 H-frame</t>
  </si>
  <si>
    <t>A63</t>
  </si>
  <si>
    <t>1 Addditional support 48x60 H-frame</t>
  </si>
  <si>
    <t>A64</t>
  </si>
  <si>
    <t>1 Addditional support 72x60 H-frame</t>
  </si>
  <si>
    <t>A65</t>
  </si>
  <si>
    <t>1 Addditional support 24x72 H-frame</t>
  </si>
  <si>
    <t>A66</t>
  </si>
  <si>
    <t>1 Addditional support 36x72 H-frame</t>
  </si>
  <si>
    <t>A67</t>
  </si>
  <si>
    <t>1 Addditional support 48x72 H-frame</t>
  </si>
  <si>
    <t>A68</t>
  </si>
  <si>
    <t>1 Addditional support 72x72 H-frame</t>
  </si>
  <si>
    <t>A69</t>
  </si>
  <si>
    <t>1 Addditional support 24x84 H-frame</t>
  </si>
  <si>
    <t>A70</t>
  </si>
  <si>
    <t>1 Addditional support 36x84 H-frame</t>
  </si>
  <si>
    <t>A71</t>
  </si>
  <si>
    <t>1 Addditional support 48x84 H-frame</t>
  </si>
  <si>
    <t>A72</t>
  </si>
  <si>
    <t>1 Addditional support 72x84 H-frame</t>
  </si>
  <si>
    <t>A73</t>
  </si>
  <si>
    <t>2 Addditional support 24x20 H-frame</t>
  </si>
  <si>
    <t>A74</t>
  </si>
  <si>
    <t>2 Addditional support 36x20 H-frame</t>
  </si>
  <si>
    <t>A75</t>
  </si>
  <si>
    <t>2 Addditional support 48x20 H-frame</t>
  </si>
  <si>
    <t>A76</t>
  </si>
  <si>
    <t>2 Addditional support 72x20 H-frame</t>
  </si>
  <si>
    <t>A77</t>
  </si>
  <si>
    <t>2 Addditional support 24x36 H-frame</t>
  </si>
  <si>
    <t>A78</t>
  </si>
  <si>
    <t>2 Addditional support 36x36 H-frame</t>
  </si>
  <si>
    <t>A79</t>
  </si>
  <si>
    <t>2 Addditional support 48x36 H-frame</t>
  </si>
  <si>
    <t>A80</t>
  </si>
  <si>
    <t>2 Addditional support 72x36 H-frame</t>
  </si>
  <si>
    <t>A81</t>
  </si>
  <si>
    <t>2 Addditional support 24x48 H-frame</t>
  </si>
  <si>
    <t>A82</t>
  </si>
  <si>
    <t>2 Addditional support 36x48 H-frame</t>
  </si>
  <si>
    <t>A83</t>
  </si>
  <si>
    <t>2 Addditional support 48x48 H-frame</t>
  </si>
  <si>
    <t>A84</t>
  </si>
  <si>
    <t>2 Addditional support 72x48 H-frame</t>
  </si>
  <si>
    <t>A85</t>
  </si>
  <si>
    <t>2 Addditional support 24x60 H-frame</t>
  </si>
  <si>
    <t>A86</t>
  </si>
  <si>
    <t>2 Addditional support 36x60 H-frame</t>
  </si>
  <si>
    <t>A87</t>
  </si>
  <si>
    <t>2 Addditional support 48x60 H-frame</t>
  </si>
  <si>
    <t>A88</t>
  </si>
  <si>
    <t>2 Addditional support 72x60 H-frame</t>
  </si>
  <si>
    <t>A89</t>
  </si>
  <si>
    <t>2 Addditional support 24x72 H-frame</t>
  </si>
  <si>
    <t>A90</t>
  </si>
  <si>
    <t>2 Addditional support 36x72 H-frame</t>
  </si>
  <si>
    <t>A91</t>
  </si>
  <si>
    <t>2 Addditional support 48x72 H-frame</t>
  </si>
  <si>
    <t>A92</t>
  </si>
  <si>
    <t>2 Addditional support 72x72 H-frame</t>
  </si>
  <si>
    <t>A93</t>
  </si>
  <si>
    <t>2 Addditional support 24x84 H-frame</t>
  </si>
  <si>
    <t>A94</t>
  </si>
  <si>
    <t>2 Addditional support 36x84 H-frame</t>
  </si>
  <si>
    <t>A95</t>
  </si>
  <si>
    <t>2 Addditional support 48x84 H-frame</t>
  </si>
  <si>
    <t>A96</t>
  </si>
  <si>
    <t>2 Addditional support 72x84 H-frame</t>
  </si>
  <si>
    <t>A97</t>
  </si>
  <si>
    <t>Standard 24x20 H-frame with heavy duty horizontal</t>
  </si>
  <si>
    <t>A98</t>
  </si>
  <si>
    <t>Standard 36x20 H-frame with heavy duty horizontal</t>
  </si>
  <si>
    <t>A99</t>
  </si>
  <si>
    <t>Standard 48x20 H-frame with heavy duty horizontal</t>
  </si>
  <si>
    <t>A100</t>
  </si>
  <si>
    <t>Standard 72x20 H-frame with heavy duty horizontal</t>
  </si>
  <si>
    <t>A101</t>
  </si>
  <si>
    <t>Standard 24x36 H-frame with heavy duty horizontal</t>
  </si>
  <si>
    <t>A102</t>
  </si>
  <si>
    <t>Standard 36x36 H-frame with heavy duty horizontal</t>
  </si>
  <si>
    <t>A103</t>
  </si>
  <si>
    <t>Standard 48x36 H-frame with heavy duty horizontal</t>
  </si>
  <si>
    <t>A104</t>
  </si>
  <si>
    <t>Standard 72x36 H-frame with heavy duty horizontal</t>
  </si>
  <si>
    <t>A105</t>
  </si>
  <si>
    <t>Standard 24x48 H-frame with heavy duty horizontal</t>
  </si>
  <si>
    <t>A106</t>
  </si>
  <si>
    <t>Standard 36x48 H-frame with heavy duty horizontal</t>
  </si>
  <si>
    <t>A107</t>
  </si>
  <si>
    <t>Standard 48x48 H-frame with heavy duty horizontal</t>
  </si>
  <si>
    <t>A108</t>
  </si>
  <si>
    <t>Standard 72x48 H-frame with heavy duty horizontal</t>
  </si>
  <si>
    <t>A109</t>
  </si>
  <si>
    <t>Standard 24x60 H-frame with heavy duty horizontal</t>
  </si>
  <si>
    <t>A110</t>
  </si>
  <si>
    <t>Standard 36x60 H-frame with heavy duty horizontal</t>
  </si>
  <si>
    <t>A111</t>
  </si>
  <si>
    <t>Standard 48x60 H-frame with heavy duty horizontal</t>
  </si>
  <si>
    <t>A112</t>
  </si>
  <si>
    <t>Standard 72x60 H-frame with heavy duty horizontal</t>
  </si>
  <si>
    <t>A113</t>
  </si>
  <si>
    <t>Standard 24x72 H-frame with heavy duty horizontal</t>
  </si>
  <si>
    <t>A114</t>
  </si>
  <si>
    <t>Standard 36x72 H-frame with heavy duty horizontal</t>
  </si>
  <si>
    <t>A115</t>
  </si>
  <si>
    <t>Standard 48x72 H-frame with heavy duty horizontal</t>
  </si>
  <si>
    <t>A116</t>
  </si>
  <si>
    <t>Standard 72x72 H-frame with heavy duty horizontal</t>
  </si>
  <si>
    <t>A117</t>
  </si>
  <si>
    <t>Standard 24x84 H-frame with heavy duty horizontal</t>
  </si>
  <si>
    <t>A118</t>
  </si>
  <si>
    <t>Standard 36x84 H-frame with heavy duty horizontal</t>
  </si>
  <si>
    <t>A119</t>
  </si>
  <si>
    <t>Standard 48x84 H-frame with heavy duty horizontal</t>
  </si>
  <si>
    <t>A120</t>
  </si>
  <si>
    <t>Standard 72x84 H-frame with heavy duty horizontal</t>
  </si>
  <si>
    <t>A121</t>
  </si>
  <si>
    <t>1 extra support 24x20 H-frame with heavy duty horizontal</t>
  </si>
  <si>
    <t>A122</t>
  </si>
  <si>
    <t>1 extra support 36x20 H-frame with heavy duty horizontal</t>
  </si>
  <si>
    <t>A123</t>
  </si>
  <si>
    <t>1 extra support 48x20 H-frame with heavy duty horizontal</t>
  </si>
  <si>
    <t>A124</t>
  </si>
  <si>
    <t>1 extra support 72x20 H-frame with heavy duty horizontal</t>
  </si>
  <si>
    <t>A125</t>
  </si>
  <si>
    <t>1 extra support 24x36 H-frame with heavy duty horizontal</t>
  </si>
  <si>
    <t>A126</t>
  </si>
  <si>
    <t>1 extra support 36x36 H-frame with heavy duty horizontal</t>
  </si>
  <si>
    <t>A127</t>
  </si>
  <si>
    <t>1 extra support 48x36 H-frame with heavy duty horizontal</t>
  </si>
  <si>
    <t>A128</t>
  </si>
  <si>
    <t>1 extra support 72x36 H-frame with heavy duty horizontal</t>
  </si>
  <si>
    <t>A129</t>
  </si>
  <si>
    <t>1 extra support 24x48 H-frame with heavy duty horizontal</t>
  </si>
  <si>
    <t>A130</t>
  </si>
  <si>
    <t>1 extra support 36x48 H-frame with heavy duty horizontal</t>
  </si>
  <si>
    <t>A131</t>
  </si>
  <si>
    <t>1 extra support 48x48 H-frame with heavy duty horizontal</t>
  </si>
  <si>
    <t>A132</t>
  </si>
  <si>
    <t>1 extra support 72x48 H-frame with heavy duty horizontal</t>
  </si>
  <si>
    <t>A133</t>
  </si>
  <si>
    <t>1 extra support 24x60 H-frame with heavy duty horizontal</t>
  </si>
  <si>
    <t>A134</t>
  </si>
  <si>
    <t>1 extra support 36x60 H-frame with heavy duty horizontal</t>
  </si>
  <si>
    <t>A135</t>
  </si>
  <si>
    <t>1 extra support 48x60 H-frame with heavy duty horizontal</t>
  </si>
  <si>
    <t>A136</t>
  </si>
  <si>
    <t>1 extra support 72x60 H-frame with heavy duty horizontal</t>
  </si>
  <si>
    <t>A137</t>
  </si>
  <si>
    <t>1 extra support 24x72 H-frame with heavy duty horizontal</t>
  </si>
  <si>
    <t>A138</t>
  </si>
  <si>
    <t>1 extra support 36x72 H-frame with heavy duty horizontal</t>
  </si>
  <si>
    <t>A139</t>
  </si>
  <si>
    <t>1 extra support 48x72 H-frame with heavy duty horizontal</t>
  </si>
  <si>
    <t>A140</t>
  </si>
  <si>
    <t>1 extra support 72x72 H-frame with heavy duty horizontal</t>
  </si>
  <si>
    <t>A141</t>
  </si>
  <si>
    <t>1 extra support 24x84 H-frame with heavy duty horizontal</t>
  </si>
  <si>
    <t>A142</t>
  </si>
  <si>
    <t>1 extra support 36x84 H-frame with heavy duty horizontal</t>
  </si>
  <si>
    <t>A143</t>
  </si>
  <si>
    <t>1 extra support 48x84 H-frame with heavy duty horizontal</t>
  </si>
  <si>
    <t>A144</t>
  </si>
  <si>
    <t>1 extra support 72x84 H-frame with heavy duty horizontal</t>
  </si>
  <si>
    <t>A145</t>
  </si>
  <si>
    <t>2 extra support 24x20 H-frame with heavy duty horizontal</t>
  </si>
  <si>
    <t>A146</t>
  </si>
  <si>
    <t>2 extra support 36x20 H-frame with heavy duty horizontal</t>
  </si>
  <si>
    <t>A147</t>
  </si>
  <si>
    <t>2 extra support 48x20 H-frame with heavy duty horizontal</t>
  </si>
  <si>
    <t>A148</t>
  </si>
  <si>
    <t>2 extra support 72x20 H-frame with heavy duty horizontal</t>
  </si>
  <si>
    <t>A149</t>
  </si>
  <si>
    <t>2 extra support 24x36 H-frame with heavy duty horizontal</t>
  </si>
  <si>
    <t>A150</t>
  </si>
  <si>
    <t>2 extra support 36x36 H-frame with heavy duty horizontal</t>
  </si>
  <si>
    <t>A151</t>
  </si>
  <si>
    <t>2 extra support 48x36 H-frame with heavy duty horizontal</t>
  </si>
  <si>
    <t>A152</t>
  </si>
  <si>
    <t>2 extra support 72x36 H-frame with heavy duty horizontal</t>
  </si>
  <si>
    <t>A153</t>
  </si>
  <si>
    <t>2 extra support 24x48 H-frame with heavy duty horizontal</t>
  </si>
  <si>
    <t>A154</t>
  </si>
  <si>
    <t>2 extra support 36x48 H-frame with heavy duty horizontal</t>
  </si>
  <si>
    <t>A155</t>
  </si>
  <si>
    <t>2 extra support 48x48 H-frame with heavy duty horizontal</t>
  </si>
  <si>
    <t>A156</t>
  </si>
  <si>
    <t>2 extra support 72x48 H-frame with heavy duty horizontal</t>
  </si>
  <si>
    <t>A157</t>
  </si>
  <si>
    <t>2 extra support 24x60 H-frame with heavy duty horizontal</t>
  </si>
  <si>
    <t>A158</t>
  </si>
  <si>
    <t>2 extra support 36x60 H-frame with heavy duty horizontal</t>
  </si>
  <si>
    <t>A159</t>
  </si>
  <si>
    <t>2 extra support 48x60 H-frame with heavy duty horizontal</t>
  </si>
  <si>
    <t>A160</t>
  </si>
  <si>
    <t>2 extra support 72x60 H-frame with heavy duty horizontal</t>
  </si>
  <si>
    <t>A161</t>
  </si>
  <si>
    <t>2 extra support 24x72 H-frame with heavy duty horizontal</t>
  </si>
  <si>
    <t>A162</t>
  </si>
  <si>
    <t>2 extra support 36x72 H-frame with heavy duty horizontal</t>
  </si>
  <si>
    <t>A163</t>
  </si>
  <si>
    <t>2 extra support 48x72 H-frame with heavy duty horizontal</t>
  </si>
  <si>
    <t>A164</t>
  </si>
  <si>
    <t>2 extra support 72x72 H-frame with heavy duty horizontal</t>
  </si>
  <si>
    <t>A165</t>
  </si>
  <si>
    <t>2 extra support 24x84 H-frame with heavy duty horizontal</t>
  </si>
  <si>
    <t>A166</t>
  </si>
  <si>
    <t>2 extra support 36x84 H-frame with heavy duty horizontal</t>
  </si>
  <si>
    <t>A167</t>
  </si>
  <si>
    <t>2 extra support 48x84 H-frame with heavy duty horizontal</t>
  </si>
  <si>
    <t>A168</t>
  </si>
  <si>
    <t>2 extra support 72x84 H-frame with heavy duty horizontal</t>
  </si>
  <si>
    <t>A169</t>
  </si>
  <si>
    <t>Standard 24x20 H-frame with medium duty horizontal</t>
  </si>
  <si>
    <t>A170</t>
  </si>
  <si>
    <t>Standard 36x20 H-frame with medium duty horizontal</t>
  </si>
  <si>
    <t>A171</t>
  </si>
  <si>
    <t>Standard 48x20 H-frame with medium duty horizontal</t>
  </si>
  <si>
    <t>A172</t>
  </si>
  <si>
    <t>Standard 72x20 H-frame with medium duty horizontal</t>
  </si>
  <si>
    <t>A173</t>
  </si>
  <si>
    <t>Standard 24x36 H-frame with medium duty horizontal</t>
  </si>
  <si>
    <t>A174</t>
  </si>
  <si>
    <t>Standard 36x36 H-frame with medium duty horizontal</t>
  </si>
  <si>
    <t>A175</t>
  </si>
  <si>
    <t>Standard 48x36 H-frame with medium duty horizontal</t>
  </si>
  <si>
    <t>A176</t>
  </si>
  <si>
    <t>Standard 72x36 H-frame with medium duty horizontal</t>
  </si>
  <si>
    <t>A177</t>
  </si>
  <si>
    <t>Standard 24x48 H-frame with medium duty horizontal</t>
  </si>
  <si>
    <t>A178</t>
  </si>
  <si>
    <t>Standard 36x48 H-frame with medium duty horizontal</t>
  </si>
  <si>
    <t>A179</t>
  </si>
  <si>
    <t>Standard 48x48 H-frame with medium duty horizontal</t>
  </si>
  <si>
    <t>A180</t>
  </si>
  <si>
    <t>Standard 72x48 H-frame with medium duty horizontal</t>
  </si>
  <si>
    <t>A181</t>
  </si>
  <si>
    <t>Standard 24x60 H-frame with medium duty horizontal</t>
  </si>
  <si>
    <t>A182</t>
  </si>
  <si>
    <t>Standard 36x60 H-frame with medium duty horizontal</t>
  </si>
  <si>
    <t>A183</t>
  </si>
  <si>
    <t>Standard 48x60 H-frame with medium duty horizontal</t>
  </si>
  <si>
    <t>A184</t>
  </si>
  <si>
    <t>Standard 72x60 H-frame with medium duty horizontal</t>
  </si>
  <si>
    <t>A185</t>
  </si>
  <si>
    <t>Standard 24x72 H-frame with medium duty horizontal</t>
  </si>
  <si>
    <t>A186</t>
  </si>
  <si>
    <t>Standard 36x72 H-frame with medium duty horizontal</t>
  </si>
  <si>
    <t>A187</t>
  </si>
  <si>
    <t>Standard 48x72 H-frame with medium duty horizontal</t>
  </si>
  <si>
    <t>A188</t>
  </si>
  <si>
    <t>Standard 72x72 H-frame with medium duty horizontal</t>
  </si>
  <si>
    <t>A189</t>
  </si>
  <si>
    <t>Standard 24x84 H-frame with medium duty horizontal</t>
  </si>
  <si>
    <t>A190</t>
  </si>
  <si>
    <t>Standard 36x84 H-frame with medium duty horizontal</t>
  </si>
  <si>
    <t>A191</t>
  </si>
  <si>
    <t>Standard 48x84 H-frame with medium duty horizontal</t>
  </si>
  <si>
    <t>A192</t>
  </si>
  <si>
    <t>Standard 72x84 H-frame with medium duty horizontal</t>
  </si>
  <si>
    <t>A193</t>
  </si>
  <si>
    <t>1 extra support 24x20 H-frame with medium duty horizontal</t>
  </si>
  <si>
    <t>A194</t>
  </si>
  <si>
    <t>1 extra support 36x20 H-frame with medium duty horizontal</t>
  </si>
  <si>
    <t>A195</t>
  </si>
  <si>
    <t>1 extra support 48x20 H-frame with medium duty horizontal</t>
  </si>
  <si>
    <t>A196</t>
  </si>
  <si>
    <t>1 extra support 72x20 H-frame with medium duty horizontal</t>
  </si>
  <si>
    <t>A197</t>
  </si>
  <si>
    <t>1 extra support 24x36 H-frame with medium duty horizontal</t>
  </si>
  <si>
    <t>A198</t>
  </si>
  <si>
    <t>1 extra support 36x36 H-frame with medium duty horizontal</t>
  </si>
  <si>
    <t>A199</t>
  </si>
  <si>
    <t>1 extra support 48x36 H-frame with medium duty horizontal</t>
  </si>
  <si>
    <t>A200</t>
  </si>
  <si>
    <t>1 extra support 72x36 H-frame with medium duty horizontal</t>
  </si>
  <si>
    <t>A201</t>
  </si>
  <si>
    <t>1 extra support 24x48 H-frame with medium duty horizontal</t>
  </si>
  <si>
    <t>A202</t>
  </si>
  <si>
    <t>1 extra support 36x48 H-frame with medium duty horizontal</t>
  </si>
  <si>
    <t>A203</t>
  </si>
  <si>
    <t>1 extra support 48x48 H-frame with medium duty horizontal</t>
  </si>
  <si>
    <t>A204</t>
  </si>
  <si>
    <t>1 extra support 72x48 H-frame with medium duty horizontal</t>
  </si>
  <si>
    <t>A205</t>
  </si>
  <si>
    <t>1 extra support 24x60 H-frame with medium duty horizontal</t>
  </si>
  <si>
    <t>A206</t>
  </si>
  <si>
    <t>1 extra support 36x60 H-frame with medium duty horizontal</t>
  </si>
  <si>
    <t>A207</t>
  </si>
  <si>
    <t>1 extra support 48x60 H-frame with medium duty horizontal</t>
  </si>
  <si>
    <t>A208</t>
  </si>
  <si>
    <t>1 extra support 72x60 H-frame with medium duty horizontal</t>
  </si>
  <si>
    <t>A209</t>
  </si>
  <si>
    <t>1 extra support 24x72 H-frame with medium duty horizontal</t>
  </si>
  <si>
    <t>A210</t>
  </si>
  <si>
    <t>1 extra support 36x72 H-frame with medium duty horizontal</t>
  </si>
  <si>
    <t>A211</t>
  </si>
  <si>
    <t>1 extra support 48x72 H-frame with medium duty horizontal</t>
  </si>
  <si>
    <t>A212</t>
  </si>
  <si>
    <t>1 extra support 72x72 H-frame with medium duty horizontal</t>
  </si>
  <si>
    <t>A213</t>
  </si>
  <si>
    <t>1 extra support 24x84 H-frame with medium duty horizontal</t>
  </si>
  <si>
    <t>A214</t>
  </si>
  <si>
    <t>1 extra support 36x84 H-frame with medium duty horizontal</t>
  </si>
  <si>
    <t>A215</t>
  </si>
  <si>
    <t>1 extra support 48x84 H-frame with medium duty horizontal</t>
  </si>
  <si>
    <t>A216</t>
  </si>
  <si>
    <t>1 extra support 72x84 H-frame with medium duty horizontal</t>
  </si>
  <si>
    <t>A217</t>
  </si>
  <si>
    <t>2 extra support 24x20 H-frame with medium duty horizontal</t>
  </si>
  <si>
    <t>A218</t>
  </si>
  <si>
    <t>2 extra support 36x20 H-frame with medium duty horizontal</t>
  </si>
  <si>
    <t>A219</t>
  </si>
  <si>
    <t>2 extra support 48x20 H-frame with medium duty horizontal</t>
  </si>
  <si>
    <t>A220</t>
  </si>
  <si>
    <t>2 extra support 72x20 H-frame with medium duty horizontal</t>
  </si>
  <si>
    <t>A221</t>
  </si>
  <si>
    <t>2 extra support 24x36 H-frame with medium duty horizontal</t>
  </si>
  <si>
    <t>A222</t>
  </si>
  <si>
    <t>2 extra support 36x36 H-frame with medium duty horizontal</t>
  </si>
  <si>
    <t>A223</t>
  </si>
  <si>
    <t>2 extra support 48x36 H-frame with medium duty horizontal</t>
  </si>
  <si>
    <t>A224</t>
  </si>
  <si>
    <t>2 extra support 72x36 H-frame with medium duty horizontal</t>
  </si>
  <si>
    <t>A225</t>
  </si>
  <si>
    <t>2 extra support 24x48 H-frame with medium duty horizontal</t>
  </si>
  <si>
    <t>A226</t>
  </si>
  <si>
    <t>2 extra support 36x48 H-frame with medium duty horizontal</t>
  </si>
  <si>
    <t>A227</t>
  </si>
  <si>
    <t>2 extra support 48x48 H-frame with medium duty horizontal</t>
  </si>
  <si>
    <t>A228</t>
  </si>
  <si>
    <t>2 extra support 72x48 H-frame with medium duty horizontal</t>
  </si>
  <si>
    <t>A229</t>
  </si>
  <si>
    <t>2 extra support 24x60 H-frame with medium duty horizontal</t>
  </si>
  <si>
    <t>A230</t>
  </si>
  <si>
    <t>2 extra support 36x60 H-frame with medium duty horizontal</t>
  </si>
  <si>
    <t>A231</t>
  </si>
  <si>
    <t>2 extra support 48x60 H-frame with medium duty horizontal</t>
  </si>
  <si>
    <t>A232</t>
  </si>
  <si>
    <t>2 extra support 72x60 H-frame with medium duty horizontal</t>
  </si>
  <si>
    <t>A233</t>
  </si>
  <si>
    <t>2 extra support 24x72 H-frame with medium duty horizontal</t>
  </si>
  <si>
    <t>A234</t>
  </si>
  <si>
    <t>2 extra support 36x72 H-frame with medium duty horizontal</t>
  </si>
  <si>
    <t>A235</t>
  </si>
  <si>
    <t>2 extra support 48x72 H-frame with medium duty horizontal</t>
  </si>
  <si>
    <t>A236</t>
  </si>
  <si>
    <t>2 extra support 72x72 H-frame with medium duty horizontal</t>
  </si>
  <si>
    <t>A237</t>
  </si>
  <si>
    <t>2 extra support 24x84 H-frame with medium duty horizontal</t>
  </si>
  <si>
    <t>A238</t>
  </si>
  <si>
    <t>2 extra support 36x84 H-frame with medium duty horizontal</t>
  </si>
  <si>
    <t>A239</t>
  </si>
  <si>
    <t>2 extra support 48x84 H-frame with medium duty horizontal</t>
  </si>
  <si>
    <t>A240</t>
  </si>
  <si>
    <t>2 extra support 72x84 H-frame with medium duty horizontal</t>
  </si>
  <si>
    <t>Fully Assembled Units</t>
  </si>
  <si>
    <t xml:space="preserve">Weight of Assembled Unit </t>
  </si>
  <si>
    <t>Height</t>
  </si>
  <si>
    <t>Width</t>
  </si>
  <si>
    <t>4’ x 6’ Pallet</t>
  </si>
  <si>
    <t>4’ x 8’ Pallet</t>
  </si>
  <si>
    <t>Standard H-frame</t>
  </si>
  <si>
    <t>Enclosed duct H-frame</t>
  </si>
  <si>
    <t>1 Additional support H-frame</t>
  </si>
  <si>
    <t>2 Additional support H-frame</t>
  </si>
  <si>
    <t>Standard H-frame with heavy duty horizontal</t>
  </si>
  <si>
    <t>1 extra support H-frame with heavy duty horizontal</t>
  </si>
  <si>
    <t>2 extra support H-frame with heavy duty horizontal</t>
  </si>
  <si>
    <t>Standard H-frame with medium duty horizontal</t>
  </si>
  <si>
    <t>1 extra support H-frame with medium duty horizontal</t>
  </si>
  <si>
    <t>2 extra support H-frame with medium duty horizontal</t>
  </si>
  <si>
    <t xml:space="preserve">4'x 6' </t>
  </si>
  <si>
    <t xml:space="preserve">4'x8' </t>
  </si>
  <si>
    <t>24”</t>
  </si>
  <si>
    <t>x</t>
  </si>
  <si>
    <t>20”</t>
  </si>
  <si>
    <t>36”</t>
  </si>
  <si>
    <t>48”</t>
  </si>
  <si>
    <t>72”</t>
  </si>
  <si>
    <t>60”</t>
  </si>
  <si>
    <t>x]</t>
  </si>
  <si>
    <t>84”</t>
  </si>
  <si>
    <t>* Based on AS 200 Unistrut Wt./Ft. 1.94 lb</t>
  </si>
  <si>
    <t xml:space="preserve">*** weights are in pounds (lbs) </t>
  </si>
  <si>
    <t>** Weight includes Caddy 2 legged base unit weight 11 lbs.</t>
  </si>
  <si>
    <t>****Total weight with fully assembled parts and crate</t>
  </si>
  <si>
    <t>*** 4’ x 6’ pallet weight is 100 lbs. / 4’ x 8’ pallet is 110 lbs.</t>
  </si>
  <si>
    <t xml:space="preserve">***** Weight does NOT include accessories ie clevis hangers or supports </t>
  </si>
  <si>
    <t>Hanger size (in)</t>
  </si>
  <si>
    <t>Rod diameter (3/8 =1, 1/2" =2)</t>
  </si>
  <si>
    <t>Rod &amp; hardware cost</t>
  </si>
  <si>
    <t>Clevis cost</t>
  </si>
  <si>
    <t>Labor cost</t>
  </si>
  <si>
    <t>Price</t>
  </si>
  <si>
    <t>margin</t>
  </si>
  <si>
    <t>Rod size</t>
  </si>
  <si>
    <t>Unit price</t>
  </si>
  <si>
    <t>Nut/washer size</t>
  </si>
  <si>
    <t>H1</t>
  </si>
  <si>
    <t>H2</t>
  </si>
  <si>
    <t>H3</t>
  </si>
  <si>
    <t>H4</t>
  </si>
  <si>
    <t>H5</t>
  </si>
  <si>
    <t>H6</t>
  </si>
  <si>
    <t>H7</t>
  </si>
  <si>
    <t>H8</t>
  </si>
  <si>
    <t>H9</t>
  </si>
  <si>
    <t>in table means correctly matched with rod type</t>
  </si>
  <si>
    <t>H10</t>
  </si>
  <si>
    <t>H11</t>
  </si>
  <si>
    <t>H12</t>
  </si>
  <si>
    <t>H13</t>
  </si>
  <si>
    <t>H14</t>
  </si>
  <si>
    <t>H15</t>
  </si>
  <si>
    <t>H16</t>
  </si>
  <si>
    <t>H17</t>
  </si>
  <si>
    <t>H18</t>
  </si>
  <si>
    <t>H19</t>
  </si>
  <si>
    <t>H20</t>
  </si>
  <si>
    <t>H21</t>
  </si>
  <si>
    <t>H22</t>
  </si>
  <si>
    <t>H23</t>
  </si>
  <si>
    <t>H24</t>
  </si>
  <si>
    <t>H25</t>
  </si>
  <si>
    <t>H26</t>
  </si>
  <si>
    <t>H27</t>
  </si>
  <si>
    <t>H28</t>
  </si>
  <si>
    <t>H29</t>
  </si>
  <si>
    <t>H30</t>
  </si>
  <si>
    <t>H31</t>
  </si>
  <si>
    <t>H32</t>
  </si>
  <si>
    <t>H33</t>
  </si>
  <si>
    <t>H34</t>
  </si>
  <si>
    <t>H35</t>
  </si>
  <si>
    <t>H36</t>
  </si>
  <si>
    <t>H37</t>
  </si>
  <si>
    <t>H38</t>
  </si>
  <si>
    <t>H39</t>
  </si>
  <si>
    <t>H40</t>
  </si>
  <si>
    <t>Pipe 1</t>
  </si>
  <si>
    <t>Pipe 2</t>
  </si>
  <si>
    <t>Pipe size</t>
  </si>
  <si>
    <t>Schedule/type</t>
  </si>
  <si>
    <t>Input name</t>
  </si>
  <si>
    <t>Pipe OD</t>
  </si>
  <si>
    <t>Empty weight (lb/ft)</t>
  </si>
  <si>
    <t>Water filled weight (lb/ft)</t>
  </si>
  <si>
    <t>Insulation thickness</t>
  </si>
  <si>
    <t>Shield or hanger size</t>
  </si>
  <si>
    <t>Hanger Height</t>
  </si>
  <si>
    <t>Material</t>
  </si>
  <si>
    <t>contents</t>
  </si>
  <si>
    <t>Max spacing</t>
  </si>
  <si>
    <t>Iron</t>
  </si>
  <si>
    <t>Copper</t>
  </si>
  <si>
    <t>K</t>
  </si>
  <si>
    <t>CPVC</t>
  </si>
  <si>
    <t>L</t>
  </si>
  <si>
    <t>Type</t>
  </si>
  <si>
    <t>pipe type 1</t>
  </si>
  <si>
    <t>pipe type 2</t>
  </si>
  <si>
    <t>empty</t>
  </si>
  <si>
    <t>water filled</t>
  </si>
  <si>
    <t>CCPVC - Schedule 40</t>
  </si>
  <si>
    <t>material</t>
  </si>
  <si>
    <t>insulation thickness</t>
  </si>
  <si>
    <t>hanger size</t>
  </si>
  <si>
    <t>Strut type</t>
  </si>
  <si>
    <t>Beam span</t>
  </si>
  <si>
    <t>Max Beam Load</t>
  </si>
  <si>
    <t>Max Beam Load (Mult by 0.85)</t>
  </si>
  <si>
    <t>OldMax beam load</t>
  </si>
  <si>
    <t>Column Height (inches)</t>
  </si>
  <si>
    <t>Max column load</t>
  </si>
  <si>
    <t>Old Max Column Load</t>
  </si>
  <si>
    <t>E12</t>
  </si>
  <si>
    <t>Max pipe spacing best method</t>
  </si>
  <si>
    <t>Strut</t>
  </si>
  <si>
    <t>Weight capacity</t>
  </si>
  <si>
    <t>extra supports required</t>
  </si>
  <si>
    <t>Actual pipe spacing best method</t>
  </si>
  <si>
    <t>Use T series</t>
  </si>
  <si>
    <t>Max spacing for pipe</t>
  </si>
  <si>
    <t>no extra legs</t>
  </si>
  <si>
    <t>2 extra legs</t>
  </si>
  <si>
    <t>3 extra legs</t>
  </si>
  <si>
    <t>4 extra legs</t>
  </si>
  <si>
    <t>1 extra leg</t>
  </si>
  <si>
    <t>pipe_to_strut</t>
  </si>
  <si>
    <t>Max beam load</t>
  </si>
  <si>
    <t>Extra Legs</t>
  </si>
  <si>
    <t>What is the clearance between hanger and bottom of strut</t>
  </si>
  <si>
    <t>None</t>
  </si>
  <si>
    <t>Pipe Calculations</t>
  </si>
  <si>
    <t>Pipe 2 effective snow load per foot at qty</t>
  </si>
  <si>
    <t>Pipe type 1 effective snow load per foot at qty</t>
  </si>
  <si>
    <t>6 &lt;= x &lt;= 15</t>
  </si>
  <si>
    <t>&lt;&lt; same if hanger</t>
  </si>
  <si>
    <t>to 36</t>
  </si>
  <si>
    <t>Hanger</t>
  </si>
  <si>
    <t>No</t>
  </si>
  <si>
    <t>snow load</t>
  </si>
  <si>
    <t>holder</t>
  </si>
  <si>
    <t>clearance</t>
  </si>
  <si>
    <t>spacing</t>
  </si>
  <si>
    <t>pipe type</t>
  </si>
  <si>
    <t>diameter</t>
  </si>
  <si>
    <t>insulation</t>
  </si>
  <si>
    <t>pipe count</t>
  </si>
  <si>
    <t>section length</t>
  </si>
  <si>
    <t>overall weight</t>
  </si>
  <si>
    <t>cross member width</t>
  </si>
  <si>
    <t>frame spacing</t>
  </si>
  <si>
    <t>total frames</t>
  </si>
  <si>
    <t>Roller</t>
  </si>
  <si>
    <t>Clamp</t>
  </si>
  <si>
    <t>Row start</t>
  </si>
  <si>
    <t>Number of Tests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</si>
</sst>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8" formatCode="&quot;$&quot;#,##0.00_);[Red]\(&quot;$&quot;#,##0.00\)"/>
    <numFmt numFmtId="164" formatCode="0.000"/>
    <numFmt numFmtId="165" formatCode="&quot;$&quot;#,##0.00"/>
    <numFmt numFmtId="166" formatCode="0.0"/>
  </numFmts>
  <fonts count="17" x14ac:knownFonts="1">
    <font>
      <sz val="11"/>
      <color theme="1"/>
      <name val="Calibri"/>
      <family val="2"/>
      <scheme val="minor"/>
    </font>
    <font>
      <b/>
      <sz val="11"/>
      <color theme="1"/>
      <name val="Calibri"/>
      <family val="2"/>
      <scheme val="minor"/>
    </font>
    <font>
      <sz val="8"/>
      <name val="Calibri"/>
      <family val="2"/>
      <scheme val="minor"/>
    </font>
    <font>
      <sz val="11"/>
      <color theme="1"/>
      <name val="Arial"/>
      <family val="2"/>
    </font>
    <font>
      <sz val="9"/>
      <color indexed="81"/>
      <name val="Tahoma"/>
      <family val="2"/>
    </font>
    <font>
      <u/>
      <sz val="11"/>
      <color theme="10"/>
      <name val="Calibri"/>
      <family val="2"/>
      <scheme val="minor"/>
    </font>
    <font>
      <b/>
      <sz val="11"/>
      <color theme="1"/>
      <name val="Arial"/>
      <family val="2"/>
    </font>
    <font>
      <u/>
      <sz val="11"/>
      <color theme="10"/>
      <name val="Arial"/>
      <family val="2"/>
    </font>
    <font>
      <sz val="10"/>
      <color theme="1"/>
      <name val="Arial"/>
      <family val="2"/>
    </font>
    <font>
      <b/>
      <sz val="14"/>
      <color theme="1"/>
      <name val="Arial"/>
      <family val="2"/>
    </font>
    <font>
      <sz val="14"/>
      <color theme="1"/>
      <name val="Arial"/>
      <family val="2"/>
    </font>
    <font>
      <sz val="11"/>
      <color theme="1"/>
      <name val="Calibri"/>
      <family val="2"/>
      <scheme val="minor"/>
    </font>
    <font>
      <sz val="11"/>
      <color theme="1"/>
      <name val="Roboto"/>
    </font>
    <font>
      <u/>
      <sz val="10"/>
      <color theme="10"/>
      <name val="Arial"/>
      <family val="2"/>
    </font>
    <font>
      <sz val="11"/>
      <color rgb="FFFF0000"/>
      <name val="Calibri"/>
      <family val="2"/>
      <scheme val="minor"/>
    </font>
    <font>
      <sz val="11"/>
      <color rgb="FFC00000"/>
      <name val="Calibri"/>
      <family val="2"/>
      <scheme val="minor"/>
    </font>
    <font>
      <sz val="11"/>
      <color rgb="FF000000"/>
      <name val="Calibri"/>
      <family val="2"/>
    </font>
  </fonts>
  <fills count="7">
    <fill>
      <patternFill patternType="none"/>
    </fill>
    <fill>
      <patternFill patternType="gray125"/>
    </fill>
    <fill>
      <patternFill patternType="solid">
        <fgColor theme="2"/>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rgb="FFFFFF00"/>
        <bgColor indexed="64"/>
      </patternFill>
    </fill>
    <fill>
      <patternFill patternType="solid">
        <fgColor rgb="FF92D050"/>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indexed="64"/>
      </bottom>
      <diagonal/>
    </border>
    <border>
      <left/>
      <right style="thin">
        <color theme="4" tint="0.39997558519241921"/>
      </right>
      <top style="thin">
        <color theme="4" tint="0.39997558519241921"/>
      </top>
      <bottom style="thin">
        <color theme="4" tint="0.39997558519241921"/>
      </bottom>
      <diagonal/>
    </border>
  </borders>
  <cellStyleXfs count="3">
    <xf numFmtId="0" fontId="0" fillId="0" borderId="0"/>
    <xf numFmtId="0" fontId="5" fillId="0" borderId="0" applyNumberFormat="0" applyFill="0" applyBorder="0" applyAlignment="0" applyProtection="0"/>
    <xf numFmtId="9" fontId="11" fillId="0" borderId="0" applyFont="0" applyFill="0" applyBorder="0" applyAlignment="0" applyProtection="0"/>
  </cellStyleXfs>
  <cellXfs count="65">
    <xf numFmtId="0" fontId="0" fillId="0" borderId="0" xfId="0"/>
    <xf numFmtId="0" fontId="0" fillId="2" borderId="0" xfId="0" applyFill="1"/>
    <xf numFmtId="164" fontId="0" fillId="2" borderId="0" xfId="0" applyNumberFormat="1" applyFill="1"/>
    <xf numFmtId="2" fontId="0" fillId="2" borderId="0" xfId="0" applyNumberFormat="1" applyFill="1"/>
    <xf numFmtId="1" fontId="0" fillId="0" borderId="0" xfId="0" applyNumberFormat="1"/>
    <xf numFmtId="165" fontId="0" fillId="0" borderId="0" xfId="0" applyNumberFormat="1"/>
    <xf numFmtId="164" fontId="0" fillId="0" borderId="0" xfId="0" applyNumberFormat="1"/>
    <xf numFmtId="2" fontId="0" fillId="0" borderId="0" xfId="0" applyNumberFormat="1"/>
    <xf numFmtId="0" fontId="1" fillId="0" borderId="0" xfId="0" applyFont="1" applyAlignment="1">
      <alignment wrapText="1"/>
    </xf>
    <xf numFmtId="0" fontId="0" fillId="0" borderId="0" xfId="0" applyAlignment="1">
      <alignment wrapText="1"/>
    </xf>
    <xf numFmtId="0" fontId="0" fillId="2" borderId="0" xfId="0" applyFill="1" applyAlignment="1">
      <alignment horizontal="center"/>
    </xf>
    <xf numFmtId="166" fontId="0" fillId="0" borderId="0" xfId="0" applyNumberFormat="1"/>
    <xf numFmtId="0" fontId="0" fillId="0" borderId="0" xfId="0" applyAlignment="1">
      <alignment horizontal="center"/>
    </xf>
    <xf numFmtId="0" fontId="3" fillId="0" borderId="0" xfId="0" applyFont="1"/>
    <xf numFmtId="0" fontId="3" fillId="0" borderId="0" xfId="0" applyFont="1" applyAlignment="1">
      <alignment horizontal="left"/>
    </xf>
    <xf numFmtId="0" fontId="7" fillId="0" borderId="0" xfId="1" applyFont="1"/>
    <xf numFmtId="0" fontId="8" fillId="0" borderId="0" xfId="0" applyFont="1"/>
    <xf numFmtId="0" fontId="6" fillId="0" borderId="0" xfId="0" applyFont="1"/>
    <xf numFmtId="0" fontId="10" fillId="0" borderId="0" xfId="0" applyFont="1"/>
    <xf numFmtId="0" fontId="9" fillId="0" borderId="0" xfId="0" applyFont="1" applyAlignment="1">
      <alignment horizontal="center" vertical="center" textRotation="90"/>
    </xf>
    <xf numFmtId="0" fontId="3" fillId="0" borderId="0" xfId="0" applyFont="1" applyAlignment="1">
      <alignment horizontal="center"/>
    </xf>
    <xf numFmtId="0" fontId="0" fillId="0" borderId="2" xfId="0" applyBorder="1"/>
    <xf numFmtId="0" fontId="0" fillId="3" borderId="2" xfId="0" applyFill="1" applyBorder="1"/>
    <xf numFmtId="1" fontId="3" fillId="0" borderId="0" xfId="0" applyNumberFormat="1" applyFont="1" applyAlignment="1">
      <alignment horizontal="center"/>
    </xf>
    <xf numFmtId="0" fontId="3" fillId="0" borderId="0" xfId="0" applyFont="1" applyAlignment="1">
      <alignment horizontal="right"/>
    </xf>
    <xf numFmtId="0" fontId="8" fillId="0" borderId="1" xfId="0" applyFont="1" applyBorder="1" applyProtection="1">
      <protection locked="0"/>
    </xf>
    <xf numFmtId="0" fontId="3" fillId="0" borderId="0" xfId="0" applyFont="1" applyAlignment="1" applyProtection="1">
      <alignment horizontal="center"/>
      <protection locked="0"/>
    </xf>
    <xf numFmtId="0" fontId="12" fillId="0" borderId="0" xfId="0" applyFont="1"/>
    <xf numFmtId="0" fontId="12" fillId="0" borderId="0" xfId="0" applyFont="1" applyAlignment="1">
      <alignment horizontal="right"/>
    </xf>
    <xf numFmtId="1" fontId="12" fillId="0" borderId="0" xfId="0" applyNumberFormat="1" applyFont="1" applyAlignment="1">
      <alignment horizontal="center"/>
    </xf>
    <xf numFmtId="165" fontId="12" fillId="0" borderId="0" xfId="0" applyNumberFormat="1" applyFont="1"/>
    <xf numFmtId="14" fontId="12" fillId="0" borderId="0" xfId="0" applyNumberFormat="1" applyFont="1"/>
    <xf numFmtId="0" fontId="12" fillId="0" borderId="0" xfId="0" applyFont="1" applyAlignment="1">
      <alignment horizontal="center"/>
    </xf>
    <xf numFmtId="0" fontId="12" fillId="0" borderId="0" xfId="0" applyFont="1" applyProtection="1">
      <protection locked="0"/>
    </xf>
    <xf numFmtId="0" fontId="12" fillId="0" borderId="0" xfId="0" applyFont="1" applyAlignment="1" applyProtection="1">
      <alignment horizontal="center"/>
      <protection locked="0"/>
    </xf>
    <xf numFmtId="165" fontId="12" fillId="0" borderId="0" xfId="0" applyNumberFormat="1" applyFont="1" applyProtection="1">
      <protection locked="0"/>
    </xf>
    <xf numFmtId="9" fontId="0" fillId="0" borderId="0" xfId="2" applyFont="1"/>
    <xf numFmtId="9" fontId="1" fillId="0" borderId="0" xfId="2" applyFont="1" applyAlignment="1">
      <alignment wrapText="1"/>
    </xf>
    <xf numFmtId="8" fontId="0" fillId="0" borderId="0" xfId="0" applyNumberFormat="1"/>
    <xf numFmtId="0" fontId="0" fillId="4" borderId="0" xfId="0" applyFill="1"/>
    <xf numFmtId="0" fontId="0" fillId="4" borderId="0" xfId="0" applyFill="1" applyAlignment="1">
      <alignment horizontal="center"/>
    </xf>
    <xf numFmtId="2" fontId="0" fillId="4" borderId="0" xfId="0" applyNumberFormat="1" applyFill="1"/>
    <xf numFmtId="166" fontId="0" fillId="4" borderId="0" xfId="0" applyNumberFormat="1" applyFill="1"/>
    <xf numFmtId="165" fontId="0" fillId="4" borderId="0" xfId="0" applyNumberFormat="1" applyFill="1"/>
    <xf numFmtId="9" fontId="0" fillId="4" borderId="0" xfId="2" applyFont="1" applyFill="1"/>
    <xf numFmtId="165" fontId="1" fillId="0" borderId="0" xfId="0" applyNumberFormat="1" applyFont="1" applyAlignment="1">
      <alignment wrapText="1"/>
    </xf>
    <xf numFmtId="2" fontId="0" fillId="0" borderId="0" xfId="2" applyNumberFormat="1" applyFont="1"/>
    <xf numFmtId="0" fontId="3" fillId="0" borderId="1" xfId="0" applyFont="1" applyBorder="1" applyProtection="1">
      <protection locked="0"/>
    </xf>
    <xf numFmtId="0" fontId="13" fillId="0" borderId="0" xfId="1" applyFont="1"/>
    <xf numFmtId="0" fontId="1" fillId="0" borderId="0" xfId="0" applyFont="1"/>
    <xf numFmtId="0" fontId="14" fillId="0" borderId="0" xfId="0" applyFont="1" applyAlignment="1">
      <alignment wrapText="1"/>
    </xf>
    <xf numFmtId="0" fontId="14" fillId="0" borderId="0" xfId="0" applyFont="1"/>
    <xf numFmtId="0" fontId="0" fillId="5" borderId="0" xfId="0" applyFill="1"/>
    <xf numFmtId="0" fontId="0" fillId="0" borderId="3" xfId="0" applyBorder="1" applyAlignment="1">
      <alignment horizontal="center"/>
    </xf>
    <xf numFmtId="0" fontId="0" fillId="3" borderId="4" xfId="0" applyFill="1" applyBorder="1"/>
    <xf numFmtId="0" fontId="0" fillId="0" borderId="4" xfId="0" applyBorder="1"/>
    <xf numFmtId="0" fontId="15" fillId="0" borderId="0" xfId="0" applyFont="1"/>
    <xf numFmtId="0" fontId="3" fillId="5" borderId="0" xfId="0" applyFont="1" applyFill="1" applyAlignment="1" applyProtection="1">
      <alignment horizontal="center"/>
      <protection locked="0"/>
    </xf>
    <xf numFmtId="0" fontId="3" fillId="6" borderId="0" xfId="0" applyFont="1" applyFill="1" applyAlignment="1" applyProtection="1">
      <alignment horizontal="center"/>
      <protection locked="0"/>
    </xf>
    <xf numFmtId="0" fontId="3" fillId="6" borderId="0" xfId="0" applyFont="1" applyFill="1" applyAlignment="1">
      <alignment horizontal="center"/>
    </xf>
    <xf numFmtId="16" fontId="3" fillId="0" borderId="0" xfId="0" applyNumberFormat="1" applyFont="1" applyAlignment="1">
      <alignment horizontal="center"/>
    </xf>
    <xf numFmtId="0" fontId="9" fillId="0" borderId="0" xfId="0" applyFont="1" applyAlignment="1">
      <alignment horizontal="center" vertical="center" textRotation="90"/>
    </xf>
    <xf numFmtId="0" fontId="8" fillId="0" borderId="1" xfId="0" applyFont="1" applyBorder="1" applyAlignment="1" applyProtection="1">
      <alignment horizontal="left"/>
      <protection locked="0"/>
    </xf>
    <xf numFmtId="0" fontId="3" fillId="0" borderId="0" xfId="0" applyFont="1" applyAlignment="1">
      <alignment horizontal="left" vertical="top" wrapText="1"/>
    </xf>
    <xf numFmtId="0" fontId="0" fillId="0" borderId="3" xfId="0" applyBorder="1" applyAlignment="1">
      <alignment horizontal="center"/>
    </xf>
  </cellXfs>
  <cellStyles count="3">
    <cellStyle name="Hyperlink" xfId="1" builtinId="8"/>
    <cellStyle name="Normal" xfId="0" builtinId="0"/>
    <cellStyle name="Percent" xfId="2" builtinId="5"/>
  </cellStyles>
  <dxfs count="46">
    <dxf>
      <fill>
        <patternFill>
          <bgColor rgb="FFF48484"/>
        </patternFill>
      </fill>
    </dxf>
    <dxf>
      <fill>
        <patternFill>
          <bgColor rgb="FFFF7C80"/>
        </patternFill>
      </fill>
    </dxf>
    <dxf>
      <fill>
        <patternFill>
          <bgColor rgb="FFFF7C80"/>
        </patternFill>
      </fill>
    </dxf>
    <dxf>
      <fill>
        <patternFill>
          <bgColor rgb="FFF48484"/>
        </patternFill>
      </fill>
    </dxf>
    <dxf>
      <numFmt numFmtId="165" formatCode="&quot;$&quot;#,##0.00"/>
    </dxf>
    <dxf>
      <alignment horizontal="general" vertical="bottom" textRotation="0" wrapText="1" indent="0" justifyLastLine="0" shrinkToFit="0" readingOrder="0"/>
    </dxf>
    <dxf>
      <numFmt numFmtId="12" formatCode="&quot;$&quot;#,##0.00_);[Red]\(&quot;$&quot;#,##0.0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dxf>
    <dxf>
      <numFmt numFmtId="165" formatCode="&quot;$&quot;#,##0.00"/>
    </dxf>
    <dxf>
      <numFmt numFmtId="1" formatCode="0"/>
    </dxf>
    <dxf>
      <numFmt numFmtId="165" formatCode="&quot;$&quot;#,##0.00"/>
    </dxf>
    <dxf>
      <numFmt numFmtId="0" formatCode="General"/>
    </dxf>
    <dxf>
      <fill>
        <patternFill patternType="solid">
          <fgColor indexed="64"/>
          <bgColor theme="2"/>
        </patternFill>
      </fill>
    </dxf>
    <dxf>
      <numFmt numFmtId="2" formatCode="0.00"/>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numFmt numFmtId="164" formatCode="0.000"/>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ont>
        <b/>
        <i val="0"/>
        <strike val="0"/>
        <condense val="0"/>
        <extend val="0"/>
        <outline val="0"/>
        <shadow val="0"/>
        <u val="none"/>
        <vertAlign val="baseline"/>
        <sz val="11"/>
        <color theme="1"/>
        <name val="Calibri"/>
        <family val="2"/>
        <scheme val="minor"/>
      </font>
      <alignment horizontal="general" vertical="bottom" textRotation="0" wrapText="1" indent="0" justifyLastLine="0" shrinkToFit="0" readingOrder="0"/>
    </dxf>
    <dxf>
      <numFmt numFmtId="165" formatCode="&quot;$&quot;#,##0.00"/>
    </dxf>
    <dxf>
      <numFmt numFmtId="165" formatCode="&quot;$&quot;#,##0.00"/>
    </dxf>
    <dxf>
      <numFmt numFmtId="165" formatCode="&quot;$&quot;#,##0.00"/>
    </dxf>
    <dxf>
      <numFmt numFmtId="166" formatCode="0.0"/>
    </dxf>
    <dxf>
      <numFmt numFmtId="2" formatCode="0.00"/>
    </dxf>
    <dxf>
      <alignment horizontal="center" vertical="bottom" textRotation="0" wrapText="0" indent="0" justifyLastLine="0" shrinkToFit="0" readingOrder="0"/>
    </dxf>
    <dxf>
      <numFmt numFmtId="0" formatCode="Genera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s>
  <tableStyles count="0" defaultTableStyle="TableStyleMedium2" defaultPivotStyle="PivotStyleLight16"/>
  <colors>
    <mruColors>
      <color rgb="FFF48484"/>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onnections" Target="connections.xml"/><Relationship Id="rId25"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png"/><Relationship Id="rId5" Type="http://schemas.openxmlformats.org/officeDocument/2006/relationships/image" Target="../media/image7.png"/><Relationship Id="rId4" Type="http://schemas.openxmlformats.org/officeDocument/2006/relationships/image" Target="../media/image6.png"/></Relationships>
</file>

<file path=xl/drawings/_rels/drawing4.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9.jpe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547175</xdr:colOff>
          <xdr:row>19</xdr:row>
          <xdr:rowOff>155331</xdr:rowOff>
        </xdr:from>
        <xdr:to>
          <xdr:col>10</xdr:col>
          <xdr:colOff>536575</xdr:colOff>
          <xdr:row>37</xdr:row>
          <xdr:rowOff>151976</xdr:rowOff>
        </xdr:to>
        <xdr:pic>
          <xdr:nvPicPr>
            <xdr:cNvPr id="5" name="Picture 4">
              <a:extLst>
                <a:ext uri="{FF2B5EF4-FFF2-40B4-BE49-F238E27FC236}">
                  <a16:creationId xmlns:a16="http://schemas.microsoft.com/office/drawing/2014/main" id="{00000000-0008-0000-0000-000005000000}"/>
                </a:ext>
              </a:extLst>
            </xdr:cNvPr>
            <xdr:cNvPicPr>
              <a:picLocks noChangeAspect="1" noChangeArrowheads="1"/>
              <a:extLst>
                <a:ext uri="{84589F7E-364E-4C9E-8A38-B11213B215E9}">
                  <a14:cameraTool cellRange="DWGLookup" spid="_x0000_s21074"/>
                </a:ext>
              </a:extLst>
            </xdr:cNvPicPr>
          </xdr:nvPicPr>
          <xdr:blipFill>
            <a:blip xmlns:r="http://schemas.openxmlformats.org/officeDocument/2006/relationships" r:embed="rId1"/>
            <a:srcRect/>
            <a:stretch>
              <a:fillRect/>
            </a:stretch>
          </xdr:blipFill>
          <xdr:spPr bwMode="auto">
            <a:xfrm>
              <a:off x="9178290" y="3408485"/>
              <a:ext cx="4011881" cy="3081279"/>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533400</xdr:colOff>
          <xdr:row>2</xdr:row>
          <xdr:rowOff>133350</xdr:rowOff>
        </xdr:from>
        <xdr:to>
          <xdr:col>4</xdr:col>
          <xdr:colOff>333375</xdr:colOff>
          <xdr:row>6</xdr:row>
          <xdr:rowOff>19050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200-0000018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Import data from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600075</xdr:colOff>
          <xdr:row>2</xdr:row>
          <xdr:rowOff>66675</xdr:rowOff>
        </xdr:from>
        <xdr:to>
          <xdr:col>9</xdr:col>
          <xdr:colOff>9525</xdr:colOff>
          <xdr:row>4</xdr:row>
          <xdr:rowOff>133350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0200-0000028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Button 2</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30</xdr:col>
      <xdr:colOff>493059</xdr:colOff>
      <xdr:row>1</xdr:row>
      <xdr:rowOff>44823</xdr:rowOff>
    </xdr:from>
    <xdr:to>
      <xdr:col>42</xdr:col>
      <xdr:colOff>528641</xdr:colOff>
      <xdr:row>34</xdr:row>
      <xdr:rowOff>150489</xdr:rowOff>
    </xdr:to>
    <xdr:pic>
      <xdr:nvPicPr>
        <xdr:cNvPr id="3" name="Picture 1">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stretch>
          <a:fillRect/>
        </a:stretch>
      </xdr:blipFill>
      <xdr:spPr>
        <a:xfrm>
          <a:off x="20260235" y="235323"/>
          <a:ext cx="7347608" cy="6382641"/>
        </a:xfrm>
        <a:prstGeom prst="rect">
          <a:avLst/>
        </a:prstGeom>
      </xdr:spPr>
    </xdr:pic>
    <xdr:clientData/>
  </xdr:twoCellAnchor>
  <xdr:twoCellAnchor editAs="oneCell">
    <xdr:from>
      <xdr:col>16</xdr:col>
      <xdr:colOff>67235</xdr:colOff>
      <xdr:row>0</xdr:row>
      <xdr:rowOff>179295</xdr:rowOff>
    </xdr:from>
    <xdr:to>
      <xdr:col>22</xdr:col>
      <xdr:colOff>517094</xdr:colOff>
      <xdr:row>20</xdr:row>
      <xdr:rowOff>137646</xdr:rowOff>
    </xdr:to>
    <xdr:pic>
      <xdr:nvPicPr>
        <xdr:cNvPr id="5" name="Picture 2">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2"/>
        <a:stretch>
          <a:fillRect/>
        </a:stretch>
      </xdr:blipFill>
      <xdr:spPr>
        <a:xfrm>
          <a:off x="11620500" y="179295"/>
          <a:ext cx="3837583" cy="3765176"/>
        </a:xfrm>
        <a:prstGeom prst="rect">
          <a:avLst/>
        </a:prstGeom>
      </xdr:spPr>
    </xdr:pic>
    <xdr:clientData/>
  </xdr:twoCellAnchor>
  <xdr:twoCellAnchor editAs="oneCell">
    <xdr:from>
      <xdr:col>22</xdr:col>
      <xdr:colOff>537883</xdr:colOff>
      <xdr:row>2</xdr:row>
      <xdr:rowOff>67236</xdr:rowOff>
    </xdr:from>
    <xdr:to>
      <xdr:col>30</xdr:col>
      <xdr:colOff>471582</xdr:colOff>
      <xdr:row>20</xdr:row>
      <xdr:rowOff>72668</xdr:rowOff>
    </xdr:to>
    <xdr:pic>
      <xdr:nvPicPr>
        <xdr:cNvPr id="4" name="Picture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3"/>
        <a:stretch>
          <a:fillRect/>
        </a:stretch>
      </xdr:blipFill>
      <xdr:spPr>
        <a:xfrm>
          <a:off x="15464118" y="448236"/>
          <a:ext cx="4807323" cy="3421732"/>
        </a:xfrm>
        <a:prstGeom prst="rect">
          <a:avLst/>
        </a:prstGeom>
      </xdr:spPr>
    </xdr:pic>
    <xdr:clientData/>
  </xdr:twoCellAnchor>
  <xdr:twoCellAnchor editAs="oneCell">
    <xdr:from>
      <xdr:col>16</xdr:col>
      <xdr:colOff>201705</xdr:colOff>
      <xdr:row>20</xdr:row>
      <xdr:rowOff>156883</xdr:rowOff>
    </xdr:from>
    <xdr:to>
      <xdr:col>22</xdr:col>
      <xdr:colOff>606175</xdr:colOff>
      <xdr:row>41</xdr:row>
      <xdr:rowOff>56030</xdr:rowOff>
    </xdr:to>
    <xdr:pic>
      <xdr:nvPicPr>
        <xdr:cNvPr id="8" name="Picture 4">
          <a:extLst>
            <a:ext uri="{FF2B5EF4-FFF2-40B4-BE49-F238E27FC236}">
              <a16:creationId xmlns:a16="http://schemas.microsoft.com/office/drawing/2014/main" id="{00000000-0008-0000-0600-000008000000}"/>
            </a:ext>
          </a:extLst>
        </xdr:cNvPr>
        <xdr:cNvPicPr>
          <a:picLocks noChangeAspect="1"/>
        </xdr:cNvPicPr>
      </xdr:nvPicPr>
      <xdr:blipFill>
        <a:blip xmlns:r="http://schemas.openxmlformats.org/officeDocument/2006/relationships" r:embed="rId4"/>
        <a:stretch>
          <a:fillRect/>
        </a:stretch>
      </xdr:blipFill>
      <xdr:spPr>
        <a:xfrm>
          <a:off x="11754970" y="3966883"/>
          <a:ext cx="3789019" cy="3899647"/>
        </a:xfrm>
        <a:prstGeom prst="rect">
          <a:avLst/>
        </a:prstGeom>
      </xdr:spPr>
    </xdr:pic>
    <xdr:clientData/>
  </xdr:twoCellAnchor>
  <xdr:twoCellAnchor editAs="oneCell">
    <xdr:from>
      <xdr:col>23</xdr:col>
      <xdr:colOff>89647</xdr:colOff>
      <xdr:row>21</xdr:row>
      <xdr:rowOff>168091</xdr:rowOff>
    </xdr:from>
    <xdr:to>
      <xdr:col>30</xdr:col>
      <xdr:colOff>243230</xdr:colOff>
      <xdr:row>38</xdr:row>
      <xdr:rowOff>92824</xdr:rowOff>
    </xdr:to>
    <xdr:pic>
      <xdr:nvPicPr>
        <xdr:cNvPr id="6" name="Picture 5">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5"/>
        <a:stretch>
          <a:fillRect/>
        </a:stretch>
      </xdr:blipFill>
      <xdr:spPr>
        <a:xfrm>
          <a:off x="15621000" y="4168591"/>
          <a:ext cx="4408082" cy="3160058"/>
        </a:xfrm>
        <a:prstGeom prst="rect">
          <a:avLst/>
        </a:prstGeom>
      </xdr:spPr>
    </xdr:pic>
    <xdr:clientData/>
  </xdr:twoCellAnchor>
  <xdr:twoCellAnchor editAs="oneCell">
    <xdr:from>
      <xdr:col>36</xdr:col>
      <xdr:colOff>560295</xdr:colOff>
      <xdr:row>34</xdr:row>
      <xdr:rowOff>156883</xdr:rowOff>
    </xdr:from>
    <xdr:to>
      <xdr:col>44</xdr:col>
      <xdr:colOff>19660</xdr:colOff>
      <xdr:row>40</xdr:row>
      <xdr:rowOff>110378</xdr:rowOff>
    </xdr:to>
    <xdr:pic>
      <xdr:nvPicPr>
        <xdr:cNvPr id="2" name="Picture 6">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6"/>
        <a:stretch>
          <a:fillRect/>
        </a:stretch>
      </xdr:blipFill>
      <xdr:spPr>
        <a:xfrm>
          <a:off x="20327471" y="6633883"/>
          <a:ext cx="4332991" cy="1086970"/>
        </a:xfrm>
        <a:prstGeom prst="rect">
          <a:avLst/>
        </a:prstGeom>
      </xdr:spPr>
    </xdr:pic>
    <xdr:clientData/>
  </xdr:twoCellAnchor>
  <xdr:twoCellAnchor>
    <xdr:from>
      <xdr:col>40</xdr:col>
      <xdr:colOff>558494</xdr:colOff>
      <xdr:row>36</xdr:row>
      <xdr:rowOff>38253</xdr:rowOff>
    </xdr:from>
    <xdr:to>
      <xdr:col>43</xdr:col>
      <xdr:colOff>413133</xdr:colOff>
      <xdr:row>37</xdr:row>
      <xdr:rowOff>107109</xdr:rowOff>
    </xdr:to>
    <xdr:sp macro="" textlink="">
      <xdr:nvSpPr>
        <xdr:cNvPr id="9" name="Rectangle 8">
          <a:extLst>
            <a:ext uri="{FF2B5EF4-FFF2-40B4-BE49-F238E27FC236}">
              <a16:creationId xmlns:a16="http://schemas.microsoft.com/office/drawing/2014/main" id="{00000000-0008-0000-0600-000009000000}"/>
            </a:ext>
          </a:extLst>
        </xdr:cNvPr>
        <xdr:cNvSpPr/>
      </xdr:nvSpPr>
      <xdr:spPr>
        <a:xfrm>
          <a:off x="22928855" y="6923795"/>
          <a:ext cx="1690784" cy="260121"/>
        </a:xfrm>
        <a:prstGeom prst="rect">
          <a:avLst/>
        </a:prstGeom>
        <a:noFill/>
        <a:ln>
          <a:solidFill>
            <a:srgbClr val="FFC000"/>
          </a:solidFill>
        </a:ln>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24</xdr:col>
      <xdr:colOff>153012</xdr:colOff>
      <xdr:row>5</xdr:row>
      <xdr:rowOff>30603</xdr:rowOff>
    </xdr:from>
    <xdr:to>
      <xdr:col>25</xdr:col>
      <xdr:colOff>504939</xdr:colOff>
      <xdr:row>19</xdr:row>
      <xdr:rowOff>183615</xdr:rowOff>
    </xdr:to>
    <xdr:sp macro="" textlink="">
      <xdr:nvSpPr>
        <xdr:cNvPr id="10" name="Rectangle 9">
          <a:extLst>
            <a:ext uri="{FF2B5EF4-FFF2-40B4-BE49-F238E27FC236}">
              <a16:creationId xmlns:a16="http://schemas.microsoft.com/office/drawing/2014/main" id="{00000000-0008-0000-0600-00000A000000}"/>
            </a:ext>
          </a:extLst>
        </xdr:cNvPr>
        <xdr:cNvSpPr/>
      </xdr:nvSpPr>
      <xdr:spPr>
        <a:xfrm>
          <a:off x="16402892" y="986928"/>
          <a:ext cx="963975" cy="2830723"/>
        </a:xfrm>
        <a:prstGeom prst="rect">
          <a:avLst/>
        </a:prstGeom>
        <a:noFill/>
        <a:ln>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24</xdr:col>
      <xdr:colOff>267771</xdr:colOff>
      <xdr:row>23</xdr:row>
      <xdr:rowOff>183615</xdr:rowOff>
    </xdr:from>
    <xdr:to>
      <xdr:col>26</xdr:col>
      <xdr:colOff>14000</xdr:colOff>
      <xdr:row>38</xdr:row>
      <xdr:rowOff>145362</xdr:rowOff>
    </xdr:to>
    <xdr:sp macro="" textlink="">
      <xdr:nvSpPr>
        <xdr:cNvPr id="11" name="Rectangle 10">
          <a:extLst>
            <a:ext uri="{FF2B5EF4-FFF2-40B4-BE49-F238E27FC236}">
              <a16:creationId xmlns:a16="http://schemas.microsoft.com/office/drawing/2014/main" id="{00000000-0008-0000-0600-00000B000000}"/>
            </a:ext>
          </a:extLst>
        </xdr:cNvPr>
        <xdr:cNvSpPr/>
      </xdr:nvSpPr>
      <xdr:spPr>
        <a:xfrm>
          <a:off x="16517651" y="4582711"/>
          <a:ext cx="970325" cy="2830723"/>
        </a:xfrm>
        <a:prstGeom prst="rect">
          <a:avLst/>
        </a:prstGeom>
        <a:noFill/>
        <a:ln>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30</xdr:col>
      <xdr:colOff>550843</xdr:colOff>
      <xdr:row>3</xdr:row>
      <xdr:rowOff>137710</xdr:rowOff>
    </xdr:from>
    <xdr:to>
      <xdr:col>42</xdr:col>
      <xdr:colOff>451385</xdr:colOff>
      <xdr:row>12</xdr:row>
      <xdr:rowOff>68855</xdr:rowOff>
    </xdr:to>
    <xdr:sp macro="" textlink="">
      <xdr:nvSpPr>
        <xdr:cNvPr id="12" name="Rectangle 11">
          <a:extLst>
            <a:ext uri="{FF2B5EF4-FFF2-40B4-BE49-F238E27FC236}">
              <a16:creationId xmlns:a16="http://schemas.microsoft.com/office/drawing/2014/main" id="{00000000-0008-0000-0600-00000C000000}"/>
            </a:ext>
          </a:extLst>
        </xdr:cNvPr>
        <xdr:cNvSpPr/>
      </xdr:nvSpPr>
      <xdr:spPr>
        <a:xfrm>
          <a:off x="20473012" y="711505"/>
          <a:ext cx="7245120" cy="1652531"/>
        </a:xfrm>
        <a:prstGeom prst="rect">
          <a:avLst/>
        </a:prstGeom>
        <a:noFill/>
        <a:ln>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535543</xdr:colOff>
      <xdr:row>3</xdr:row>
      <xdr:rowOff>22953</xdr:rowOff>
    </xdr:from>
    <xdr:to>
      <xdr:col>18</xdr:col>
      <xdr:colOff>281772</xdr:colOff>
      <xdr:row>19</xdr:row>
      <xdr:rowOff>183615</xdr:rowOff>
    </xdr:to>
    <xdr:sp macro="" textlink="">
      <xdr:nvSpPr>
        <xdr:cNvPr id="14" name="Rectangle 13">
          <a:extLst>
            <a:ext uri="{FF2B5EF4-FFF2-40B4-BE49-F238E27FC236}">
              <a16:creationId xmlns:a16="http://schemas.microsoft.com/office/drawing/2014/main" id="{00000000-0008-0000-0600-00000E000000}"/>
            </a:ext>
          </a:extLst>
        </xdr:cNvPr>
        <xdr:cNvSpPr/>
      </xdr:nvSpPr>
      <xdr:spPr>
        <a:xfrm>
          <a:off x="12156808" y="596748"/>
          <a:ext cx="970325" cy="3220903"/>
        </a:xfrm>
        <a:prstGeom prst="rect">
          <a:avLst/>
        </a:prstGeom>
        <a:noFill/>
        <a:ln>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512591</xdr:colOff>
      <xdr:row>22</xdr:row>
      <xdr:rowOff>163837</xdr:rowOff>
    </xdr:from>
    <xdr:to>
      <xdr:col>18</xdr:col>
      <xdr:colOff>261995</xdr:colOff>
      <xdr:row>40</xdr:row>
      <xdr:rowOff>175963</xdr:rowOff>
    </xdr:to>
    <xdr:sp macro="" textlink="">
      <xdr:nvSpPr>
        <xdr:cNvPr id="15" name="Rectangle 14">
          <a:extLst>
            <a:ext uri="{FF2B5EF4-FFF2-40B4-BE49-F238E27FC236}">
              <a16:creationId xmlns:a16="http://schemas.microsoft.com/office/drawing/2014/main" id="{00000000-0008-0000-0600-00000F000000}"/>
            </a:ext>
          </a:extLst>
        </xdr:cNvPr>
        <xdr:cNvSpPr/>
      </xdr:nvSpPr>
      <xdr:spPr>
        <a:xfrm>
          <a:off x="12133856" y="4371668"/>
          <a:ext cx="973500" cy="3454897"/>
        </a:xfrm>
        <a:prstGeom prst="rect">
          <a:avLst/>
        </a:prstGeom>
        <a:noFill/>
        <a:ln>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16</xdr:col>
      <xdr:colOff>607573</xdr:colOff>
      <xdr:row>2</xdr:row>
      <xdr:rowOff>170187</xdr:rowOff>
    </xdr:from>
    <xdr:ext cx="822341" cy="264560"/>
    <xdr:sp macro="" textlink="">
      <xdr:nvSpPr>
        <xdr:cNvPr id="17" name="TextBox 16">
          <a:extLst>
            <a:ext uri="{FF2B5EF4-FFF2-40B4-BE49-F238E27FC236}">
              <a16:creationId xmlns:a16="http://schemas.microsoft.com/office/drawing/2014/main" id="{00000000-0008-0000-0600-000011000000}"/>
            </a:ext>
          </a:extLst>
        </xdr:cNvPr>
        <xdr:cNvSpPr txBox="1"/>
      </xdr:nvSpPr>
      <xdr:spPr>
        <a:xfrm>
          <a:off x="12228838" y="552717"/>
          <a:ext cx="82234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solidFill>
                <a:srgbClr val="FF0000"/>
              </a:solidFill>
            </a:rPr>
            <a:t>Mult by.85</a:t>
          </a:r>
        </a:p>
      </xdr:txBody>
    </xdr:sp>
    <xdr:clientData/>
  </xdr:oneCellAnchor>
  <xdr:oneCellAnchor>
    <xdr:from>
      <xdr:col>16</xdr:col>
      <xdr:colOff>535542</xdr:colOff>
      <xdr:row>22</xdr:row>
      <xdr:rowOff>153012</xdr:rowOff>
    </xdr:from>
    <xdr:ext cx="822341" cy="264560"/>
    <xdr:sp macro="" textlink="">
      <xdr:nvSpPr>
        <xdr:cNvPr id="18" name="TextBox 17">
          <a:extLst>
            <a:ext uri="{FF2B5EF4-FFF2-40B4-BE49-F238E27FC236}">
              <a16:creationId xmlns:a16="http://schemas.microsoft.com/office/drawing/2014/main" id="{00000000-0008-0000-0600-000012000000}"/>
            </a:ext>
          </a:extLst>
        </xdr:cNvPr>
        <xdr:cNvSpPr txBox="1"/>
      </xdr:nvSpPr>
      <xdr:spPr>
        <a:xfrm>
          <a:off x="12156807" y="4360843"/>
          <a:ext cx="82234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solidFill>
                <a:srgbClr val="FF0000"/>
              </a:solidFill>
            </a:rPr>
            <a:t>Mult by.85</a:t>
          </a:r>
        </a:p>
      </xdr:txBody>
    </xdr:sp>
    <xdr:clientData/>
  </xdr:oneCellAnchor>
</xdr:wsDr>
</file>

<file path=xl/drawings/drawing4.xml><?xml version="1.0" encoding="utf-8"?>
<xdr:wsDr xmlns:xdr="http://schemas.openxmlformats.org/drawingml/2006/spreadsheetDrawing" xmlns:a="http://schemas.openxmlformats.org/drawingml/2006/main">
  <xdr:twoCellAnchor>
    <xdr:from>
      <xdr:col>1</xdr:col>
      <xdr:colOff>352426</xdr:colOff>
      <xdr:row>1</xdr:row>
      <xdr:rowOff>293916</xdr:rowOff>
    </xdr:from>
    <xdr:to>
      <xdr:col>1</xdr:col>
      <xdr:colOff>3524250</xdr:colOff>
      <xdr:row>1</xdr:row>
      <xdr:rowOff>3388179</xdr:rowOff>
    </xdr:to>
    <xdr:grpSp>
      <xdr:nvGrpSpPr>
        <xdr:cNvPr id="15368" name="Group 8">
          <a:extLst>
            <a:ext uri="{FF2B5EF4-FFF2-40B4-BE49-F238E27FC236}">
              <a16:creationId xmlns:a16="http://schemas.microsoft.com/office/drawing/2014/main" id="{00000000-0008-0000-0800-0000083C0000}"/>
            </a:ext>
          </a:extLst>
        </xdr:cNvPr>
        <xdr:cNvGrpSpPr>
          <a:grpSpLocks/>
        </xdr:cNvGrpSpPr>
      </xdr:nvGrpSpPr>
      <xdr:grpSpPr bwMode="auto">
        <a:xfrm>
          <a:off x="1409701" y="484416"/>
          <a:ext cx="3171824" cy="3094263"/>
          <a:chOff x="108970767" y="109045772"/>
          <a:chExt cx="2361006" cy="2514609"/>
        </a:xfrm>
      </xdr:grpSpPr>
      <xdr:pic>
        <xdr:nvPicPr>
          <xdr:cNvPr id="14" name="Picture 13">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035056" y="109160073"/>
            <a:ext cx="2296717" cy="240030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lgn="in">
                <a:solidFill>
                  <a:srgbClr val="000000"/>
                </a:solidFill>
                <a:miter lim="800000"/>
                <a:headEnd/>
                <a:tailEnd/>
              </a14:hiddenLine>
            </a:ext>
          </a:extLst>
        </xdr:spPr>
      </xdr:pic>
      <xdr:sp macro="" textlink="">
        <xdr:nvSpPr>
          <xdr:cNvPr id="15370" name="Rectangle 10">
            <a:extLst>
              <a:ext uri="{FF2B5EF4-FFF2-40B4-BE49-F238E27FC236}">
                <a16:creationId xmlns:a16="http://schemas.microsoft.com/office/drawing/2014/main" id="{00000000-0008-0000-0800-00000A3C0000}"/>
              </a:ext>
            </a:extLst>
          </xdr:cNvPr>
          <xdr:cNvSpPr>
            <a:spLocks noChangeArrowheads="1"/>
          </xdr:cNvSpPr>
        </xdr:nvSpPr>
        <xdr:spPr bwMode="auto">
          <a:xfrm>
            <a:off x="109738716" y="110667410"/>
            <a:ext cx="610791" cy="853678"/>
          </a:xfrm>
          <a:prstGeom prst="rect">
            <a:avLst/>
          </a:prstGeom>
          <a:solidFill>
            <a:srgbClr val="FFFFFF"/>
          </a:solidFill>
          <a:ln w="25400" algn="ctr">
            <a:solidFill>
              <a:srgbClr val="FFFFFF"/>
            </a:solidFill>
            <a:miter lim="800000"/>
            <a:headEnd/>
            <a:tailEnd/>
          </a:ln>
          <a:effectLst/>
          <a:extLst>
            <a:ext uri="{AF507438-7753-43E0-B8FC-AC1667EBCBE1}">
              <a14:hiddenEffects xmlns:a14="http://schemas.microsoft.com/office/drawing/2010/main">
                <a:effectLst>
                  <a:outerShdw dist="35921" dir="2700000" algn="ctr" rotWithShape="0">
                    <a:srgbClr val="000000"/>
                  </a:outerShdw>
                </a:effectLst>
              </a14:hiddenEffects>
            </a:ext>
          </a:extLst>
        </xdr:spPr>
      </xdr:sp>
      <xdr:sp macro="" textlink="">
        <xdr:nvSpPr>
          <xdr:cNvPr id="15371" name="Rectangle 11">
            <a:extLst>
              <a:ext uri="{FF2B5EF4-FFF2-40B4-BE49-F238E27FC236}">
                <a16:creationId xmlns:a16="http://schemas.microsoft.com/office/drawing/2014/main" id="{00000000-0008-0000-0800-00000B3C0000}"/>
              </a:ext>
            </a:extLst>
          </xdr:cNvPr>
          <xdr:cNvSpPr>
            <a:spLocks noChangeArrowheads="1"/>
          </xdr:cNvSpPr>
        </xdr:nvSpPr>
        <xdr:spPr bwMode="auto">
          <a:xfrm>
            <a:off x="109481541" y="110553110"/>
            <a:ext cx="578644" cy="264318"/>
          </a:xfrm>
          <a:prstGeom prst="rect">
            <a:avLst/>
          </a:prstGeom>
          <a:solidFill>
            <a:srgbClr val="FFFFFF"/>
          </a:solidFill>
          <a:ln w="25400" algn="ctr">
            <a:solidFill>
              <a:srgbClr val="FFFFFF"/>
            </a:solidFill>
            <a:miter lim="800000"/>
            <a:headEnd/>
            <a:tailEnd/>
          </a:ln>
          <a:effectLst/>
          <a:extLst>
            <a:ext uri="{AF507438-7753-43E0-B8FC-AC1667EBCBE1}">
              <a14:hiddenEffects xmlns:a14="http://schemas.microsoft.com/office/drawing/2010/main">
                <a:effectLst>
                  <a:outerShdw dist="35921" dir="2700000" algn="ctr" rotWithShape="0">
                    <a:srgbClr val="000000"/>
                  </a:outerShdw>
                </a:effectLst>
              </a14:hiddenEffects>
            </a:ext>
          </a:extLst>
        </xdr:spPr>
      </xdr:sp>
      <xdr:cxnSp macro="">
        <xdr:nvCxnSpPr>
          <xdr:cNvPr id="15372" name="AutoShape 12">
            <a:extLst>
              <a:ext uri="{FF2B5EF4-FFF2-40B4-BE49-F238E27FC236}">
                <a16:creationId xmlns:a16="http://schemas.microsoft.com/office/drawing/2014/main" id="{00000000-0008-0000-0800-00000C3C0000}"/>
              </a:ext>
            </a:extLst>
          </xdr:cNvPr>
          <xdr:cNvCxnSpPr>
            <a:cxnSpLocks noChangeShapeType="1"/>
          </xdr:cNvCxnSpPr>
        </xdr:nvCxnSpPr>
        <xdr:spPr bwMode="auto">
          <a:xfrm>
            <a:off x="110170914" y="110031609"/>
            <a:ext cx="0" cy="1039416"/>
          </a:xfrm>
          <a:prstGeom prst="straightConnector1">
            <a:avLst/>
          </a:prstGeom>
          <a:noFill/>
          <a:ln w="12700">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373" name="AutoShape 13">
            <a:extLst>
              <a:ext uri="{FF2B5EF4-FFF2-40B4-BE49-F238E27FC236}">
                <a16:creationId xmlns:a16="http://schemas.microsoft.com/office/drawing/2014/main" id="{00000000-0008-0000-0800-00000D3C0000}"/>
              </a:ext>
            </a:extLst>
          </xdr:cNvPr>
          <xdr:cNvCxnSpPr>
            <a:cxnSpLocks noChangeShapeType="1"/>
          </xdr:cNvCxnSpPr>
        </xdr:nvCxnSpPr>
        <xdr:spPr bwMode="auto">
          <a:xfrm>
            <a:off x="109745859" y="111071025"/>
            <a:ext cx="875110" cy="0"/>
          </a:xfrm>
          <a:prstGeom prst="straightConnector1">
            <a:avLst/>
          </a:prstGeom>
          <a:noFill/>
          <a:ln w="6350">
            <a:solidFill>
              <a:srgbClr val="0000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374" name="AutoShape 14">
            <a:extLst>
              <a:ext uri="{FF2B5EF4-FFF2-40B4-BE49-F238E27FC236}">
                <a16:creationId xmlns:a16="http://schemas.microsoft.com/office/drawing/2014/main" id="{00000000-0008-0000-0800-00000E3C0000}"/>
              </a:ext>
            </a:extLst>
          </xdr:cNvPr>
          <xdr:cNvCxnSpPr>
            <a:cxnSpLocks noChangeShapeType="1"/>
          </xdr:cNvCxnSpPr>
        </xdr:nvCxnSpPr>
        <xdr:spPr bwMode="auto">
          <a:xfrm>
            <a:off x="108970767" y="109406524"/>
            <a:ext cx="3573" cy="1660924"/>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375" name="AutoShape 15">
            <a:extLst>
              <a:ext uri="{FF2B5EF4-FFF2-40B4-BE49-F238E27FC236}">
                <a16:creationId xmlns:a16="http://schemas.microsoft.com/office/drawing/2014/main" id="{00000000-0008-0000-0800-00000F3C0000}"/>
              </a:ext>
            </a:extLst>
          </xdr:cNvPr>
          <xdr:cNvCxnSpPr>
            <a:cxnSpLocks noChangeShapeType="1"/>
          </xdr:cNvCxnSpPr>
        </xdr:nvCxnSpPr>
        <xdr:spPr bwMode="auto">
          <a:xfrm>
            <a:off x="109342239" y="109356519"/>
            <a:ext cx="1675211" cy="1"/>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sp macro="" textlink="">
        <xdr:nvSpPr>
          <xdr:cNvPr id="15376" name="Text Box 16">
            <a:extLst>
              <a:ext uri="{FF2B5EF4-FFF2-40B4-BE49-F238E27FC236}">
                <a16:creationId xmlns:a16="http://schemas.microsoft.com/office/drawing/2014/main" id="{00000000-0008-0000-0800-0000103C0000}"/>
              </a:ext>
            </a:extLst>
          </xdr:cNvPr>
          <xdr:cNvSpPr txBox="1">
            <a:spLocks noChangeArrowheads="1"/>
          </xdr:cNvSpPr>
        </xdr:nvSpPr>
        <xdr:spPr bwMode="auto">
          <a:xfrm>
            <a:off x="110070899" y="109045772"/>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B</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377" name="Text Box 17">
            <a:extLst>
              <a:ext uri="{FF2B5EF4-FFF2-40B4-BE49-F238E27FC236}">
                <a16:creationId xmlns:a16="http://schemas.microsoft.com/office/drawing/2014/main" id="{00000000-0008-0000-0800-0000113C0000}"/>
              </a:ext>
            </a:extLst>
          </xdr:cNvPr>
          <xdr:cNvSpPr txBox="1">
            <a:spLocks noChangeArrowheads="1"/>
          </xdr:cNvSpPr>
        </xdr:nvSpPr>
        <xdr:spPr bwMode="auto">
          <a:xfrm>
            <a:off x="109045772" y="110031609"/>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A</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378" name="Text Box 18">
            <a:extLst>
              <a:ext uri="{FF2B5EF4-FFF2-40B4-BE49-F238E27FC236}">
                <a16:creationId xmlns:a16="http://schemas.microsoft.com/office/drawing/2014/main" id="{00000000-0008-0000-0800-0000123C0000}"/>
              </a:ext>
            </a:extLst>
          </xdr:cNvPr>
          <xdr:cNvSpPr txBox="1">
            <a:spLocks noChangeArrowheads="1"/>
          </xdr:cNvSpPr>
        </xdr:nvSpPr>
        <xdr:spPr bwMode="auto">
          <a:xfrm>
            <a:off x="110238778" y="110331647"/>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C</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379" name="Text Box 19">
            <a:extLst>
              <a:ext uri="{FF2B5EF4-FFF2-40B4-BE49-F238E27FC236}">
                <a16:creationId xmlns:a16="http://schemas.microsoft.com/office/drawing/2014/main" id="{00000000-0008-0000-0800-0000133C0000}"/>
              </a:ext>
            </a:extLst>
          </xdr:cNvPr>
          <xdr:cNvSpPr txBox="1">
            <a:spLocks noChangeArrowheads="1"/>
          </xdr:cNvSpPr>
        </xdr:nvSpPr>
        <xdr:spPr bwMode="auto">
          <a:xfrm>
            <a:off x="110070899" y="109045772"/>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B</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380" name="Text Box 20">
            <a:extLst>
              <a:ext uri="{FF2B5EF4-FFF2-40B4-BE49-F238E27FC236}">
                <a16:creationId xmlns:a16="http://schemas.microsoft.com/office/drawing/2014/main" id="{00000000-0008-0000-0800-0000143C0000}"/>
              </a:ext>
            </a:extLst>
          </xdr:cNvPr>
          <xdr:cNvSpPr txBox="1">
            <a:spLocks noChangeArrowheads="1"/>
          </xdr:cNvSpPr>
        </xdr:nvSpPr>
        <xdr:spPr bwMode="auto">
          <a:xfrm>
            <a:off x="109045772" y="110031609"/>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A</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381" name="Text Box 21">
            <a:extLst>
              <a:ext uri="{FF2B5EF4-FFF2-40B4-BE49-F238E27FC236}">
                <a16:creationId xmlns:a16="http://schemas.microsoft.com/office/drawing/2014/main" id="{00000000-0008-0000-0800-0000153C0000}"/>
              </a:ext>
            </a:extLst>
          </xdr:cNvPr>
          <xdr:cNvSpPr txBox="1">
            <a:spLocks noChangeArrowheads="1"/>
          </xdr:cNvSpPr>
        </xdr:nvSpPr>
        <xdr:spPr bwMode="auto">
          <a:xfrm>
            <a:off x="110238778" y="110331647"/>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C</a:t>
            </a:r>
          </a:p>
          <a:p>
            <a:pPr algn="l" rtl="0">
              <a:defRPr sz="1000"/>
            </a:pPr>
            <a:endParaRPr lang="en-US" sz="1200" b="1" i="0" u="none" strike="noStrike" baseline="0">
              <a:solidFill>
                <a:srgbClr val="000000"/>
              </a:solidFill>
              <a:latin typeface="Roboto"/>
              <a:ea typeface="Roboto"/>
              <a:cs typeface="Roboto"/>
            </a:endParaRPr>
          </a:p>
        </xdr:txBody>
      </xdr:sp>
    </xdr:grpSp>
    <xdr:clientData/>
  </xdr:twoCellAnchor>
  <xdr:twoCellAnchor>
    <xdr:from>
      <xdr:col>1</xdr:col>
      <xdr:colOff>353785</xdr:colOff>
      <xdr:row>2</xdr:row>
      <xdr:rowOff>187778</xdr:rowOff>
    </xdr:from>
    <xdr:to>
      <xdr:col>1</xdr:col>
      <xdr:colOff>3673929</xdr:colOff>
      <xdr:row>2</xdr:row>
      <xdr:rowOff>3129642</xdr:rowOff>
    </xdr:to>
    <xdr:grpSp>
      <xdr:nvGrpSpPr>
        <xdr:cNvPr id="15382" name="Group 22">
          <a:extLst>
            <a:ext uri="{FF2B5EF4-FFF2-40B4-BE49-F238E27FC236}">
              <a16:creationId xmlns:a16="http://schemas.microsoft.com/office/drawing/2014/main" id="{00000000-0008-0000-0800-0000163C0000}"/>
            </a:ext>
          </a:extLst>
        </xdr:cNvPr>
        <xdr:cNvGrpSpPr>
          <a:grpSpLocks/>
        </xdr:cNvGrpSpPr>
      </xdr:nvGrpSpPr>
      <xdr:grpSpPr bwMode="auto">
        <a:xfrm>
          <a:off x="1411060" y="3959678"/>
          <a:ext cx="3320144" cy="2941864"/>
          <a:chOff x="109006479" y="108810028"/>
          <a:chExt cx="2345294" cy="2496740"/>
        </a:xfrm>
      </xdr:grpSpPr>
      <xdr:pic>
        <xdr:nvPicPr>
          <xdr:cNvPr id="28" name="Picture 27">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9013624" y="109120779"/>
            <a:ext cx="2338149" cy="218598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pic>
      <xdr:cxnSp macro="">
        <xdr:nvCxnSpPr>
          <xdr:cNvPr id="15384" name="AutoShape 24">
            <a:extLst>
              <a:ext uri="{FF2B5EF4-FFF2-40B4-BE49-F238E27FC236}">
                <a16:creationId xmlns:a16="http://schemas.microsoft.com/office/drawing/2014/main" id="{00000000-0008-0000-0800-0000183C0000}"/>
              </a:ext>
            </a:extLst>
          </xdr:cNvPr>
          <xdr:cNvCxnSpPr>
            <a:cxnSpLocks noChangeShapeType="1"/>
          </xdr:cNvCxnSpPr>
        </xdr:nvCxnSpPr>
        <xdr:spPr bwMode="auto">
          <a:xfrm>
            <a:off x="109906593" y="111238903"/>
            <a:ext cx="553642" cy="1"/>
          </a:xfrm>
          <a:prstGeom prst="straightConnector1">
            <a:avLst/>
          </a:prstGeom>
          <a:noFill/>
          <a:ln w="6350" algn="ctr">
            <a:solidFill>
              <a:srgbClr val="0000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385" name="AutoShape 25">
            <a:extLst>
              <a:ext uri="{FF2B5EF4-FFF2-40B4-BE49-F238E27FC236}">
                <a16:creationId xmlns:a16="http://schemas.microsoft.com/office/drawing/2014/main" id="{00000000-0008-0000-0800-0000193C0000}"/>
              </a:ext>
            </a:extLst>
          </xdr:cNvPr>
          <xdr:cNvCxnSpPr>
            <a:cxnSpLocks noChangeShapeType="1"/>
          </xdr:cNvCxnSpPr>
        </xdr:nvCxnSpPr>
        <xdr:spPr bwMode="auto">
          <a:xfrm>
            <a:off x="110170914" y="110274496"/>
            <a:ext cx="1" cy="964407"/>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386" name="AutoShape 26">
            <a:extLst>
              <a:ext uri="{FF2B5EF4-FFF2-40B4-BE49-F238E27FC236}">
                <a16:creationId xmlns:a16="http://schemas.microsoft.com/office/drawing/2014/main" id="{00000000-0008-0000-0800-00001A3C0000}"/>
              </a:ext>
            </a:extLst>
          </xdr:cNvPr>
          <xdr:cNvCxnSpPr>
            <a:cxnSpLocks noChangeShapeType="1"/>
          </xdr:cNvCxnSpPr>
        </xdr:nvCxnSpPr>
        <xdr:spPr bwMode="auto">
          <a:xfrm>
            <a:off x="110024465" y="110281641"/>
            <a:ext cx="310756" cy="1"/>
          </a:xfrm>
          <a:prstGeom prst="straightConnector1">
            <a:avLst/>
          </a:prstGeom>
          <a:noFill/>
          <a:ln w="6350" algn="ctr">
            <a:solidFill>
              <a:srgbClr val="0000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387" name="AutoShape 27">
            <a:extLst>
              <a:ext uri="{FF2B5EF4-FFF2-40B4-BE49-F238E27FC236}">
                <a16:creationId xmlns:a16="http://schemas.microsoft.com/office/drawing/2014/main" id="{00000000-0008-0000-0800-00001B3C0000}"/>
              </a:ext>
            </a:extLst>
          </xdr:cNvPr>
          <xdr:cNvCxnSpPr>
            <a:cxnSpLocks noChangeShapeType="1"/>
          </xdr:cNvCxnSpPr>
        </xdr:nvCxnSpPr>
        <xdr:spPr bwMode="auto">
          <a:xfrm>
            <a:off x="109006479" y="109120779"/>
            <a:ext cx="7145" cy="2118124"/>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388" name="AutoShape 28">
            <a:extLst>
              <a:ext uri="{FF2B5EF4-FFF2-40B4-BE49-F238E27FC236}">
                <a16:creationId xmlns:a16="http://schemas.microsoft.com/office/drawing/2014/main" id="{00000000-0008-0000-0800-00001C3C0000}"/>
              </a:ext>
            </a:extLst>
          </xdr:cNvPr>
          <xdr:cNvCxnSpPr>
            <a:cxnSpLocks noChangeShapeType="1"/>
          </xdr:cNvCxnSpPr>
        </xdr:nvCxnSpPr>
        <xdr:spPr bwMode="auto">
          <a:xfrm>
            <a:off x="109420814" y="109070774"/>
            <a:ext cx="1521621" cy="1"/>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sp macro="" textlink="">
        <xdr:nvSpPr>
          <xdr:cNvPr id="15389" name="Text Box 29">
            <a:extLst>
              <a:ext uri="{FF2B5EF4-FFF2-40B4-BE49-F238E27FC236}">
                <a16:creationId xmlns:a16="http://schemas.microsoft.com/office/drawing/2014/main" id="{00000000-0008-0000-0800-00001D3C0000}"/>
              </a:ext>
            </a:extLst>
          </xdr:cNvPr>
          <xdr:cNvSpPr txBox="1">
            <a:spLocks noChangeArrowheads="1"/>
          </xdr:cNvSpPr>
        </xdr:nvSpPr>
        <xdr:spPr bwMode="auto">
          <a:xfrm>
            <a:off x="110070899" y="108810028"/>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B</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390" name="Text Box 30">
            <a:extLst>
              <a:ext uri="{FF2B5EF4-FFF2-40B4-BE49-F238E27FC236}">
                <a16:creationId xmlns:a16="http://schemas.microsoft.com/office/drawing/2014/main" id="{00000000-0008-0000-0800-00001E3C0000}"/>
              </a:ext>
            </a:extLst>
          </xdr:cNvPr>
          <xdr:cNvSpPr txBox="1">
            <a:spLocks noChangeArrowheads="1"/>
          </xdr:cNvSpPr>
        </xdr:nvSpPr>
        <xdr:spPr bwMode="auto">
          <a:xfrm>
            <a:off x="109045772" y="110031609"/>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A</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391" name="Text Box 31">
            <a:extLst>
              <a:ext uri="{FF2B5EF4-FFF2-40B4-BE49-F238E27FC236}">
                <a16:creationId xmlns:a16="http://schemas.microsoft.com/office/drawing/2014/main" id="{00000000-0008-0000-0800-00001F3C0000}"/>
              </a:ext>
            </a:extLst>
          </xdr:cNvPr>
          <xdr:cNvSpPr txBox="1">
            <a:spLocks noChangeArrowheads="1"/>
          </xdr:cNvSpPr>
        </xdr:nvSpPr>
        <xdr:spPr bwMode="auto">
          <a:xfrm>
            <a:off x="110224491" y="110567391"/>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C</a:t>
            </a:r>
          </a:p>
          <a:p>
            <a:pPr algn="l" rtl="0">
              <a:defRPr sz="1000"/>
            </a:pPr>
            <a:endParaRPr lang="en-US" sz="1200" b="1" i="0" u="none" strike="noStrike" baseline="0">
              <a:solidFill>
                <a:srgbClr val="000000"/>
              </a:solidFill>
              <a:latin typeface="Roboto"/>
              <a:ea typeface="Roboto"/>
              <a:cs typeface="Roboto"/>
            </a:endParaRPr>
          </a:p>
        </xdr:txBody>
      </xdr:sp>
    </xdr:grpSp>
    <xdr:clientData/>
  </xdr:twoCellAnchor>
  <xdr:twoCellAnchor>
    <xdr:from>
      <xdr:col>1</xdr:col>
      <xdr:colOff>421821</xdr:colOff>
      <xdr:row>4</xdr:row>
      <xdr:rowOff>163285</xdr:rowOff>
    </xdr:from>
    <xdr:to>
      <xdr:col>1</xdr:col>
      <xdr:colOff>3593645</xdr:colOff>
      <xdr:row>4</xdr:row>
      <xdr:rowOff>3257548</xdr:rowOff>
    </xdr:to>
    <xdr:grpSp>
      <xdr:nvGrpSpPr>
        <xdr:cNvPr id="37" name="Group 8">
          <a:extLst>
            <a:ext uri="{FF2B5EF4-FFF2-40B4-BE49-F238E27FC236}">
              <a16:creationId xmlns:a16="http://schemas.microsoft.com/office/drawing/2014/main" id="{00000000-0008-0000-0800-000025000000}"/>
            </a:ext>
          </a:extLst>
        </xdr:cNvPr>
        <xdr:cNvGrpSpPr>
          <a:grpSpLocks/>
        </xdr:cNvGrpSpPr>
      </xdr:nvGrpSpPr>
      <xdr:grpSpPr bwMode="auto">
        <a:xfrm>
          <a:off x="1479096" y="10526485"/>
          <a:ext cx="3171824" cy="3094263"/>
          <a:chOff x="108970767" y="109045772"/>
          <a:chExt cx="2361006" cy="2514609"/>
        </a:xfrm>
      </xdr:grpSpPr>
      <xdr:pic>
        <xdr:nvPicPr>
          <xdr:cNvPr id="38" name="Picture 37">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035056" y="109160073"/>
            <a:ext cx="2296717" cy="240030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lgn="in">
                <a:solidFill>
                  <a:srgbClr val="000000"/>
                </a:solidFill>
                <a:miter lim="800000"/>
                <a:headEnd/>
                <a:tailEnd/>
              </a14:hiddenLine>
            </a:ext>
          </a:extLst>
        </xdr:spPr>
      </xdr:pic>
      <xdr:sp macro="" textlink="">
        <xdr:nvSpPr>
          <xdr:cNvPr id="39" name="Rectangle 10">
            <a:extLst>
              <a:ext uri="{FF2B5EF4-FFF2-40B4-BE49-F238E27FC236}">
                <a16:creationId xmlns:a16="http://schemas.microsoft.com/office/drawing/2014/main" id="{00000000-0008-0000-0800-000027000000}"/>
              </a:ext>
            </a:extLst>
          </xdr:cNvPr>
          <xdr:cNvSpPr>
            <a:spLocks noChangeArrowheads="1"/>
          </xdr:cNvSpPr>
        </xdr:nvSpPr>
        <xdr:spPr bwMode="auto">
          <a:xfrm>
            <a:off x="109738716" y="110667410"/>
            <a:ext cx="610791" cy="853678"/>
          </a:xfrm>
          <a:prstGeom prst="rect">
            <a:avLst/>
          </a:prstGeom>
          <a:solidFill>
            <a:srgbClr val="FFFFFF"/>
          </a:solidFill>
          <a:ln w="25400" algn="ctr">
            <a:solidFill>
              <a:srgbClr val="FFFFFF"/>
            </a:solidFill>
            <a:miter lim="800000"/>
            <a:headEnd/>
            <a:tailEnd/>
          </a:ln>
          <a:effectLst/>
          <a:extLst>
            <a:ext uri="{AF507438-7753-43E0-B8FC-AC1667EBCBE1}">
              <a14:hiddenEffects xmlns:a14="http://schemas.microsoft.com/office/drawing/2010/main">
                <a:effectLst>
                  <a:outerShdw dist="35921" dir="2700000" algn="ctr" rotWithShape="0">
                    <a:srgbClr val="000000"/>
                  </a:outerShdw>
                </a:effectLst>
              </a14:hiddenEffects>
            </a:ext>
          </a:extLst>
        </xdr:spPr>
      </xdr:sp>
      <xdr:sp macro="" textlink="">
        <xdr:nvSpPr>
          <xdr:cNvPr id="40" name="Rectangle 11">
            <a:extLst>
              <a:ext uri="{FF2B5EF4-FFF2-40B4-BE49-F238E27FC236}">
                <a16:creationId xmlns:a16="http://schemas.microsoft.com/office/drawing/2014/main" id="{00000000-0008-0000-0800-000028000000}"/>
              </a:ext>
            </a:extLst>
          </xdr:cNvPr>
          <xdr:cNvSpPr>
            <a:spLocks noChangeArrowheads="1"/>
          </xdr:cNvSpPr>
        </xdr:nvSpPr>
        <xdr:spPr bwMode="auto">
          <a:xfrm>
            <a:off x="109481541" y="110553110"/>
            <a:ext cx="578644" cy="264318"/>
          </a:xfrm>
          <a:prstGeom prst="rect">
            <a:avLst/>
          </a:prstGeom>
          <a:solidFill>
            <a:srgbClr val="FFFFFF"/>
          </a:solidFill>
          <a:ln w="25400" algn="ctr">
            <a:solidFill>
              <a:srgbClr val="FFFFFF"/>
            </a:solidFill>
            <a:miter lim="800000"/>
            <a:headEnd/>
            <a:tailEnd/>
          </a:ln>
          <a:effectLst/>
          <a:extLst>
            <a:ext uri="{AF507438-7753-43E0-B8FC-AC1667EBCBE1}">
              <a14:hiddenEffects xmlns:a14="http://schemas.microsoft.com/office/drawing/2010/main">
                <a:effectLst>
                  <a:outerShdw dist="35921" dir="2700000" algn="ctr" rotWithShape="0">
                    <a:srgbClr val="000000"/>
                  </a:outerShdw>
                </a:effectLst>
              </a14:hiddenEffects>
            </a:ext>
          </a:extLst>
        </xdr:spPr>
      </xdr:sp>
      <xdr:cxnSp macro="">
        <xdr:nvCxnSpPr>
          <xdr:cNvPr id="41" name="AutoShape 12">
            <a:extLst>
              <a:ext uri="{FF2B5EF4-FFF2-40B4-BE49-F238E27FC236}">
                <a16:creationId xmlns:a16="http://schemas.microsoft.com/office/drawing/2014/main" id="{00000000-0008-0000-0800-000029000000}"/>
              </a:ext>
            </a:extLst>
          </xdr:cNvPr>
          <xdr:cNvCxnSpPr>
            <a:cxnSpLocks noChangeShapeType="1"/>
          </xdr:cNvCxnSpPr>
        </xdr:nvCxnSpPr>
        <xdr:spPr bwMode="auto">
          <a:xfrm>
            <a:off x="110170914" y="110031609"/>
            <a:ext cx="0" cy="1039416"/>
          </a:xfrm>
          <a:prstGeom prst="straightConnector1">
            <a:avLst/>
          </a:prstGeom>
          <a:noFill/>
          <a:ln w="12700">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42" name="AutoShape 13">
            <a:extLst>
              <a:ext uri="{FF2B5EF4-FFF2-40B4-BE49-F238E27FC236}">
                <a16:creationId xmlns:a16="http://schemas.microsoft.com/office/drawing/2014/main" id="{00000000-0008-0000-0800-00002A000000}"/>
              </a:ext>
            </a:extLst>
          </xdr:cNvPr>
          <xdr:cNvCxnSpPr>
            <a:cxnSpLocks noChangeShapeType="1"/>
          </xdr:cNvCxnSpPr>
        </xdr:nvCxnSpPr>
        <xdr:spPr bwMode="auto">
          <a:xfrm>
            <a:off x="109745859" y="111071025"/>
            <a:ext cx="875110" cy="0"/>
          </a:xfrm>
          <a:prstGeom prst="straightConnector1">
            <a:avLst/>
          </a:prstGeom>
          <a:noFill/>
          <a:ln w="6350">
            <a:solidFill>
              <a:srgbClr val="0000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43" name="AutoShape 14">
            <a:extLst>
              <a:ext uri="{FF2B5EF4-FFF2-40B4-BE49-F238E27FC236}">
                <a16:creationId xmlns:a16="http://schemas.microsoft.com/office/drawing/2014/main" id="{00000000-0008-0000-0800-00002B000000}"/>
              </a:ext>
            </a:extLst>
          </xdr:cNvPr>
          <xdr:cNvCxnSpPr>
            <a:cxnSpLocks noChangeShapeType="1"/>
          </xdr:cNvCxnSpPr>
        </xdr:nvCxnSpPr>
        <xdr:spPr bwMode="auto">
          <a:xfrm>
            <a:off x="108970767" y="109406524"/>
            <a:ext cx="3573" cy="1660924"/>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44" name="AutoShape 15">
            <a:extLst>
              <a:ext uri="{FF2B5EF4-FFF2-40B4-BE49-F238E27FC236}">
                <a16:creationId xmlns:a16="http://schemas.microsoft.com/office/drawing/2014/main" id="{00000000-0008-0000-0800-00002C000000}"/>
              </a:ext>
            </a:extLst>
          </xdr:cNvPr>
          <xdr:cNvCxnSpPr>
            <a:cxnSpLocks noChangeShapeType="1"/>
          </xdr:cNvCxnSpPr>
        </xdr:nvCxnSpPr>
        <xdr:spPr bwMode="auto">
          <a:xfrm>
            <a:off x="109342239" y="109356519"/>
            <a:ext cx="1675211" cy="1"/>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sp macro="" textlink="">
        <xdr:nvSpPr>
          <xdr:cNvPr id="45" name="Text Box 16">
            <a:extLst>
              <a:ext uri="{FF2B5EF4-FFF2-40B4-BE49-F238E27FC236}">
                <a16:creationId xmlns:a16="http://schemas.microsoft.com/office/drawing/2014/main" id="{00000000-0008-0000-0800-00002D000000}"/>
              </a:ext>
            </a:extLst>
          </xdr:cNvPr>
          <xdr:cNvSpPr txBox="1">
            <a:spLocks noChangeArrowheads="1"/>
          </xdr:cNvSpPr>
        </xdr:nvSpPr>
        <xdr:spPr bwMode="auto">
          <a:xfrm>
            <a:off x="110070899" y="109045772"/>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B</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46" name="Text Box 17">
            <a:extLst>
              <a:ext uri="{FF2B5EF4-FFF2-40B4-BE49-F238E27FC236}">
                <a16:creationId xmlns:a16="http://schemas.microsoft.com/office/drawing/2014/main" id="{00000000-0008-0000-0800-00002E000000}"/>
              </a:ext>
            </a:extLst>
          </xdr:cNvPr>
          <xdr:cNvSpPr txBox="1">
            <a:spLocks noChangeArrowheads="1"/>
          </xdr:cNvSpPr>
        </xdr:nvSpPr>
        <xdr:spPr bwMode="auto">
          <a:xfrm>
            <a:off x="109045772" y="110031609"/>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A</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47" name="Text Box 18">
            <a:extLst>
              <a:ext uri="{FF2B5EF4-FFF2-40B4-BE49-F238E27FC236}">
                <a16:creationId xmlns:a16="http://schemas.microsoft.com/office/drawing/2014/main" id="{00000000-0008-0000-0800-00002F000000}"/>
              </a:ext>
            </a:extLst>
          </xdr:cNvPr>
          <xdr:cNvSpPr txBox="1">
            <a:spLocks noChangeArrowheads="1"/>
          </xdr:cNvSpPr>
        </xdr:nvSpPr>
        <xdr:spPr bwMode="auto">
          <a:xfrm>
            <a:off x="110238778" y="110331647"/>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C</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48" name="Text Box 19">
            <a:extLst>
              <a:ext uri="{FF2B5EF4-FFF2-40B4-BE49-F238E27FC236}">
                <a16:creationId xmlns:a16="http://schemas.microsoft.com/office/drawing/2014/main" id="{00000000-0008-0000-0800-000030000000}"/>
              </a:ext>
            </a:extLst>
          </xdr:cNvPr>
          <xdr:cNvSpPr txBox="1">
            <a:spLocks noChangeArrowheads="1"/>
          </xdr:cNvSpPr>
        </xdr:nvSpPr>
        <xdr:spPr bwMode="auto">
          <a:xfrm>
            <a:off x="110070899" y="109045772"/>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B</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49" name="Text Box 20">
            <a:extLst>
              <a:ext uri="{FF2B5EF4-FFF2-40B4-BE49-F238E27FC236}">
                <a16:creationId xmlns:a16="http://schemas.microsoft.com/office/drawing/2014/main" id="{00000000-0008-0000-0800-000031000000}"/>
              </a:ext>
            </a:extLst>
          </xdr:cNvPr>
          <xdr:cNvSpPr txBox="1">
            <a:spLocks noChangeArrowheads="1"/>
          </xdr:cNvSpPr>
        </xdr:nvSpPr>
        <xdr:spPr bwMode="auto">
          <a:xfrm>
            <a:off x="109045772" y="110031609"/>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A</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50" name="Text Box 21">
            <a:extLst>
              <a:ext uri="{FF2B5EF4-FFF2-40B4-BE49-F238E27FC236}">
                <a16:creationId xmlns:a16="http://schemas.microsoft.com/office/drawing/2014/main" id="{00000000-0008-0000-0800-000032000000}"/>
              </a:ext>
            </a:extLst>
          </xdr:cNvPr>
          <xdr:cNvSpPr txBox="1">
            <a:spLocks noChangeArrowheads="1"/>
          </xdr:cNvSpPr>
        </xdr:nvSpPr>
        <xdr:spPr bwMode="auto">
          <a:xfrm>
            <a:off x="110238778" y="110331647"/>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C</a:t>
            </a:r>
          </a:p>
          <a:p>
            <a:pPr algn="l" rtl="0">
              <a:defRPr sz="1000"/>
            </a:pPr>
            <a:endParaRPr lang="en-US" sz="1200" b="1" i="0" u="none" strike="noStrike" baseline="0">
              <a:solidFill>
                <a:srgbClr val="000000"/>
              </a:solidFill>
              <a:latin typeface="Roboto"/>
              <a:ea typeface="Roboto"/>
              <a:cs typeface="Roboto"/>
            </a:endParaRPr>
          </a:p>
        </xdr:txBody>
      </xdr:sp>
    </xdr:grpSp>
    <xdr:clientData/>
  </xdr:twoCellAnchor>
  <xdr:twoCellAnchor>
    <xdr:from>
      <xdr:col>1</xdr:col>
      <xdr:colOff>297997</xdr:colOff>
      <xdr:row>5</xdr:row>
      <xdr:rowOff>144235</xdr:rowOff>
    </xdr:from>
    <xdr:to>
      <xdr:col>1</xdr:col>
      <xdr:colOff>3755572</xdr:colOff>
      <xdr:row>5</xdr:row>
      <xdr:rowOff>3129643</xdr:rowOff>
    </xdr:to>
    <xdr:grpSp>
      <xdr:nvGrpSpPr>
        <xdr:cNvPr id="15398" name="Group 38">
          <a:extLst>
            <a:ext uri="{FF2B5EF4-FFF2-40B4-BE49-F238E27FC236}">
              <a16:creationId xmlns:a16="http://schemas.microsoft.com/office/drawing/2014/main" id="{00000000-0008-0000-0800-0000263C0000}"/>
            </a:ext>
          </a:extLst>
        </xdr:cNvPr>
        <xdr:cNvGrpSpPr>
          <a:grpSpLocks/>
        </xdr:cNvGrpSpPr>
      </xdr:nvGrpSpPr>
      <xdr:grpSpPr bwMode="auto">
        <a:xfrm>
          <a:off x="1355272" y="13803085"/>
          <a:ext cx="3457575" cy="2985408"/>
          <a:chOff x="108970767" y="109045772"/>
          <a:chExt cx="2357433" cy="2055257"/>
        </a:xfrm>
      </xdr:grpSpPr>
      <xdr:grpSp>
        <xdr:nvGrpSpPr>
          <xdr:cNvPr id="15399" name="Group 39">
            <a:extLst>
              <a:ext uri="{FF2B5EF4-FFF2-40B4-BE49-F238E27FC236}">
                <a16:creationId xmlns:a16="http://schemas.microsoft.com/office/drawing/2014/main" id="{00000000-0008-0000-0800-0000273C0000}"/>
              </a:ext>
            </a:extLst>
          </xdr:cNvPr>
          <xdr:cNvGrpSpPr>
            <a:grpSpLocks/>
          </xdr:cNvGrpSpPr>
        </xdr:nvGrpSpPr>
        <xdr:grpSpPr bwMode="auto">
          <a:xfrm>
            <a:off x="108970767" y="109267228"/>
            <a:ext cx="2357433" cy="1833801"/>
            <a:chOff x="108970767" y="109267228"/>
            <a:chExt cx="2357433" cy="1833801"/>
          </a:xfrm>
        </xdr:grpSpPr>
        <xdr:pic>
          <xdr:nvPicPr>
            <xdr:cNvPr id="62" name="Picture 61">
              <a:extLst>
                <a:ext uri="{FF2B5EF4-FFF2-40B4-BE49-F238E27FC236}">
                  <a16:creationId xmlns:a16="http://schemas.microsoft.com/office/drawing/2014/main" id="{00000000-0008-0000-0800-00003E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09011482" y="109267228"/>
              <a:ext cx="2316718" cy="1833801"/>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pic>
        <xdr:cxnSp macro="">
          <xdr:nvCxnSpPr>
            <xdr:cNvPr id="15401" name="AutoShape 41">
              <a:extLst>
                <a:ext uri="{FF2B5EF4-FFF2-40B4-BE49-F238E27FC236}">
                  <a16:creationId xmlns:a16="http://schemas.microsoft.com/office/drawing/2014/main" id="{00000000-0008-0000-0800-0000293C0000}"/>
                </a:ext>
              </a:extLst>
            </xdr:cNvPr>
            <xdr:cNvCxnSpPr>
              <a:cxnSpLocks noChangeShapeType="1"/>
            </xdr:cNvCxnSpPr>
          </xdr:nvCxnSpPr>
          <xdr:spPr bwMode="auto">
            <a:xfrm>
              <a:off x="109728001" y="111049587"/>
              <a:ext cx="868680" cy="1"/>
            </a:xfrm>
            <a:prstGeom prst="straightConnector1">
              <a:avLst/>
            </a:prstGeom>
            <a:noFill/>
            <a:ln w="6350" algn="ctr">
              <a:solidFill>
                <a:srgbClr val="0000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402" name="AutoShape 42">
              <a:extLst>
                <a:ext uri="{FF2B5EF4-FFF2-40B4-BE49-F238E27FC236}">
                  <a16:creationId xmlns:a16="http://schemas.microsoft.com/office/drawing/2014/main" id="{00000000-0008-0000-0800-00002A3C0000}"/>
                </a:ext>
              </a:extLst>
            </xdr:cNvPr>
            <xdr:cNvCxnSpPr>
              <a:cxnSpLocks noChangeShapeType="1"/>
            </xdr:cNvCxnSpPr>
          </xdr:nvCxnSpPr>
          <xdr:spPr bwMode="auto">
            <a:xfrm>
              <a:off x="110167342" y="110063749"/>
              <a:ext cx="3573" cy="985838"/>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403" name="AutoShape 43">
              <a:extLst>
                <a:ext uri="{FF2B5EF4-FFF2-40B4-BE49-F238E27FC236}">
                  <a16:creationId xmlns:a16="http://schemas.microsoft.com/office/drawing/2014/main" id="{00000000-0008-0000-0800-00002B3C0000}"/>
                </a:ext>
              </a:extLst>
            </xdr:cNvPr>
            <xdr:cNvCxnSpPr>
              <a:cxnSpLocks noChangeShapeType="1"/>
            </xdr:cNvCxnSpPr>
          </xdr:nvCxnSpPr>
          <xdr:spPr bwMode="auto">
            <a:xfrm>
              <a:off x="108970767" y="109442243"/>
              <a:ext cx="3573" cy="1614489"/>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404" name="AutoShape 44">
              <a:extLst>
                <a:ext uri="{FF2B5EF4-FFF2-40B4-BE49-F238E27FC236}">
                  <a16:creationId xmlns:a16="http://schemas.microsoft.com/office/drawing/2014/main" id="{00000000-0008-0000-0800-00002C3C0000}"/>
                </a:ext>
              </a:extLst>
            </xdr:cNvPr>
            <xdr:cNvCxnSpPr>
              <a:cxnSpLocks noChangeShapeType="1"/>
            </xdr:cNvCxnSpPr>
          </xdr:nvCxnSpPr>
          <xdr:spPr bwMode="auto">
            <a:xfrm>
              <a:off x="109310092" y="109381522"/>
              <a:ext cx="1675211" cy="1"/>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grpSp>
      <xdr:sp macro="" textlink="">
        <xdr:nvSpPr>
          <xdr:cNvPr id="15405" name="Text Box 45">
            <a:extLst>
              <a:ext uri="{FF2B5EF4-FFF2-40B4-BE49-F238E27FC236}">
                <a16:creationId xmlns:a16="http://schemas.microsoft.com/office/drawing/2014/main" id="{00000000-0008-0000-0800-00002D3C0000}"/>
              </a:ext>
            </a:extLst>
          </xdr:cNvPr>
          <xdr:cNvSpPr txBox="1">
            <a:spLocks noChangeArrowheads="1"/>
          </xdr:cNvSpPr>
        </xdr:nvSpPr>
        <xdr:spPr bwMode="auto">
          <a:xfrm>
            <a:off x="110070899" y="109045772"/>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B</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406" name="Text Box 46">
            <a:extLst>
              <a:ext uri="{FF2B5EF4-FFF2-40B4-BE49-F238E27FC236}">
                <a16:creationId xmlns:a16="http://schemas.microsoft.com/office/drawing/2014/main" id="{00000000-0008-0000-0800-00002E3C0000}"/>
              </a:ext>
            </a:extLst>
          </xdr:cNvPr>
          <xdr:cNvSpPr txBox="1">
            <a:spLocks noChangeArrowheads="1"/>
          </xdr:cNvSpPr>
        </xdr:nvSpPr>
        <xdr:spPr bwMode="auto">
          <a:xfrm>
            <a:off x="109045772" y="110031609"/>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A</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407" name="Text Box 47">
            <a:extLst>
              <a:ext uri="{FF2B5EF4-FFF2-40B4-BE49-F238E27FC236}">
                <a16:creationId xmlns:a16="http://schemas.microsoft.com/office/drawing/2014/main" id="{00000000-0008-0000-0800-00002F3C0000}"/>
              </a:ext>
            </a:extLst>
          </xdr:cNvPr>
          <xdr:cNvSpPr txBox="1">
            <a:spLocks noChangeArrowheads="1"/>
          </xdr:cNvSpPr>
        </xdr:nvSpPr>
        <xdr:spPr bwMode="auto">
          <a:xfrm>
            <a:off x="110238778" y="110331647"/>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C</a:t>
            </a:r>
          </a:p>
          <a:p>
            <a:pPr algn="l" rtl="0">
              <a:defRPr sz="1000"/>
            </a:pPr>
            <a:endParaRPr lang="en-US" sz="1200" b="1" i="0" u="none" strike="noStrike" baseline="0">
              <a:solidFill>
                <a:srgbClr val="000000"/>
              </a:solidFill>
              <a:latin typeface="Roboto"/>
              <a:ea typeface="Roboto"/>
              <a:cs typeface="Roboto"/>
            </a:endParaRPr>
          </a:p>
        </xdr:txBody>
      </xdr:sp>
    </xdr:grp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connectionId="9" xr16:uid="{B5973654-75B4-4A15-A4A0-441EAA637480}" autoFormatId="0"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8" xr16:uid="{FD448F00-F1D3-4B69-B31B-FFB1BEEC1D23}" autoFormatId="0"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7" xr16:uid="{A056AB78-3F5A-41D4-B15F-838E68BB492E}" autoFormatId="0" applyNumberFormats="0" applyBorderFormats="0" applyFontFormats="1" applyPatternFormats="1" applyAlignmentFormats="0" applyWidthHeightFormats="0"/>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2CA3784F-573E-4453-832D-57D2A17A344A}" name="Beam_loads" displayName="Beam_loads" ref="A1:E40" totalsRowShown="0">
  <autoFilter ref="A1:E40" xr:uid="{2CA3784F-573E-4453-832D-57D2A17A344A}"/>
  <sortState xmlns:xlrd2="http://schemas.microsoft.com/office/spreadsheetml/2017/richdata2" ref="A2:E40">
    <sortCondition ref="B1:B40"/>
  </sortState>
  <tableColumns count="5">
    <tableColumn id="1" xr3:uid="{F5E7308D-C993-4941-87CD-D8978DED194D}" name="Strut type"/>
    <tableColumn id="2" xr3:uid="{682C3019-9AA4-4A48-AA69-F677788C930F}" name="Beam span"/>
    <tableColumn id="5" xr3:uid="{A6D47887-0B58-4168-9077-1899E6816251}" name="Max Beam Load"/>
    <tableColumn id="4" xr3:uid="{E1C6040A-3985-4FF1-947B-B51FF0149B2C}" name="Max Beam Load (Mult by 0.85)" dataDxfId="42">
      <calculatedColumnFormula>Beam_loads[[#This Row],[Max Beam Load]]*0.85</calculatedColumnFormula>
    </tableColumn>
    <tableColumn id="3" xr3:uid="{B771C060-BAD2-40C9-A312-D44E52382E50}" name="OldMax beam load"/>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AD80B717-5171-4026-90E6-5D48176273A5}" name="Column_load" displayName="Column_load" ref="G1:I27" totalsRowShown="0">
  <autoFilter ref="G1:I27" xr:uid="{AD80B717-5171-4026-90E6-5D48176273A5}"/>
  <tableColumns count="3">
    <tableColumn id="3" xr3:uid="{1AA27EFD-1038-432F-9696-1493C448C4FC}" name="Strut type"/>
    <tableColumn id="1" xr3:uid="{ACD1DBBA-9292-453C-88BE-0150093441E0}" name="Column Height (inches)"/>
    <tableColumn id="2" xr3:uid="{85A8258C-E8E9-415A-971C-687105065D1F}" name="Max column load"/>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2C2190E9-967E-44D1-9A97-9AA2EB364C41}" name="Pipe_weight" displayName="Pipe_weight" ref="A1:G114" totalsRowShown="0">
  <autoFilter ref="A1:G114" xr:uid="{2C2190E9-967E-44D1-9A97-9AA2EB364C41}"/>
  <tableColumns count="7">
    <tableColumn id="1" xr3:uid="{AA70DBFB-8833-474D-AB85-C109C9F5733A}" name="Pipe size"/>
    <tableColumn id="2" xr3:uid="{E7DE9069-C104-44D2-ADDD-8F5656CA0151}" name="Pipe material"/>
    <tableColumn id="3" xr3:uid="{A7586600-16D4-454D-8AB2-B2E8D2386F14}" name="Schedule/type"/>
    <tableColumn id="7" xr3:uid="{A356344F-71AE-4933-B551-5C70D65FBE39}" name="Input name"/>
    <tableColumn id="4" xr3:uid="{DCD1AD58-B30E-4168-8D13-8CF0FA5077BE}" name="Pipe OD"/>
    <tableColumn id="5" xr3:uid="{949E2DC8-0CBA-4FB5-8584-16C6BEE74D66}" name="Empty weight (lb/ft)"/>
    <tableColumn id="6" xr3:uid="{E9710DC1-1BF6-4772-8D85-2B94C4D164F7}" name="Water filled weight (lb/f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112CD0BD-15DD-4D12-AE7A-19D4C00648DA}" name="Hanger_size" displayName="Hanger_size" ref="I1:N251" totalsRowShown="0">
  <autoFilter ref="I1:N251" xr:uid="{112CD0BD-15DD-4D12-AE7A-19D4C00648DA}"/>
  <sortState xmlns:xlrd2="http://schemas.microsoft.com/office/spreadsheetml/2017/richdata2" ref="I2:N251">
    <sortCondition ref="J1:J251"/>
  </sortState>
  <tableColumns count="6">
    <tableColumn id="1" xr3:uid="{A6DB5AC6-20FB-465A-8519-C3A7E714E5D5}" name="Pipe material"/>
    <tableColumn id="2" xr3:uid="{906E8513-027D-438C-92DF-E8EA198A6915}" name="Pipe size"/>
    <tableColumn id="3" xr3:uid="{875E8910-D824-4895-8970-37F364AC877C}" name="Pipe OD"/>
    <tableColumn id="4" xr3:uid="{C71B9F6B-7F94-4FF5-923C-530DDCDE3B0D}" name="Insulation thickness"/>
    <tableColumn id="5" xr3:uid="{B49A1E42-DB77-464D-A52E-9E8638B5710D}" name="Shield or hanger size"/>
    <tableColumn id="6" xr3:uid="{2D4484B2-6CE3-47D9-8485-554295DD2FBF}" name="Hanger Heigh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DE8BF9B-05D0-425C-96F3-D6F77F02D511}" name="Pipe_spacing" displayName="Pipe_spacing" ref="P1:S233" totalsRowShown="0">
  <autoFilter ref="P1:S233" xr:uid="{BDE8BF9B-05D0-425C-96F3-D6F77F02D511}"/>
  <sortState xmlns:xlrd2="http://schemas.microsoft.com/office/spreadsheetml/2017/richdata2" ref="P2:S233">
    <sortCondition ref="P1:P233"/>
  </sortState>
  <tableColumns count="4">
    <tableColumn id="1" xr3:uid="{3DDE037D-33E9-484E-A278-E6C418E2496E}" name="Pipe size"/>
    <tableColumn id="7" xr3:uid="{BF7DDFF1-5F9D-4519-BA33-667296211CFF}" name="Material"/>
    <tableColumn id="8" xr3:uid="{4D4FC4B0-88FF-43AE-8CEF-5314C0B5EA59}" name="contents"/>
    <tableColumn id="2" xr3:uid="{1AA9B26E-E913-4E5A-A73B-64DA18E4B955}" name="Max spacing"/>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6E105A2-A797-4EF5-840D-B4A2A1903CF7}" name="Beam_loads10" displayName="Beam_loads10" ref="A1:D40" totalsRowShown="0">
  <autoFilter ref="A1:D40" xr:uid="{2CA3784F-573E-4453-832D-57D2A17A344A}"/>
  <sortState xmlns:xlrd2="http://schemas.microsoft.com/office/spreadsheetml/2017/richdata2" ref="A2:C40">
    <sortCondition ref="B2:B40"/>
  </sortState>
  <tableColumns count="4">
    <tableColumn id="1" xr3:uid="{6D0186C8-2629-4131-A7D9-12CF68B45328}" name="Strut type"/>
    <tableColumn id="2" xr3:uid="{AC1D9862-0F0A-460F-9C07-38B8F1F39D63}" name="Beam span"/>
    <tableColumn id="3" xr3:uid="{EFCC8FFA-7DAD-47B2-BB55-D764558EA0EB}" name="Max beam load"/>
    <tableColumn id="5" xr3:uid="{B840E459-8DBE-434B-AA94-09CA43AB1D0D}" name="Extra Legs"/>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E81E39F-5D42-4F1D-8FB9-C1C5211E7403}" name="Column_load11" displayName="Column_load11" ref="F1:H14" totalsRowShown="0">
  <autoFilter ref="F1:H14" xr:uid="{AD80B717-5171-4026-90E6-5D48176273A5}"/>
  <tableColumns count="3">
    <tableColumn id="3" xr3:uid="{4D924268-51BF-491E-9E66-F67A747E5545}" name="Strut type"/>
    <tableColumn id="1" xr3:uid="{1AAF4958-67AB-4BFF-9F95-39FEAD8E4F03}" name="Column Height (inches)"/>
    <tableColumn id="2" xr3:uid="{4119F3D2-34CB-473C-B999-E40C5A249C09}" name="Max column load"/>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DD6B06C-632D-4C17-8A53-90FEF558D07D}" name="Hanger_list" displayName="Hanger_list" ref="A1:J41" totalsRowShown="0">
  <autoFilter ref="A1:J41" xr:uid="{7DD6B06C-632D-4C17-8A53-90FEF558D07D}"/>
  <tableColumns count="10">
    <tableColumn id="1" xr3:uid="{91E17ABE-85B8-4671-BB74-9B546B1D0CA7}" name="Item number"/>
    <tableColumn id="2" xr3:uid="{C7341E26-89F6-438F-AAB5-EEE92405A433}" name="Description">
      <calculatedColumnFormula>D2&amp;" inch roller hanger on 0."&amp;E2&amp;" rod"</calculatedColumnFormula>
    </tableColumn>
    <tableColumn id="3" xr3:uid="{19599489-400D-40D3-9764-19DA3539A67C}" name="Hanger type" dataDxfId="41"/>
    <tableColumn id="4" xr3:uid="{EC8D75B5-54A7-40A7-8684-CFBC9B9E4D2E}" name="Hanger size (in)"/>
    <tableColumn id="5" xr3:uid="{7DFE8F88-47CE-4CEA-BDC6-A65AAEEA9450}" name="Rod diameter (3/8 =1, 1/2&quot; =2)"/>
    <tableColumn id="6" xr3:uid="{14DB227A-E3D0-4E2A-8129-F5F481E85874}" name="Rod &amp; hardware cost">
      <calculatedColumnFormula>(1.5*_xlfn.XLOOKUP(Hanger_list[[#This Row],[Rod diameter (3/8 =1, 1/2" =2)]],Rod_costs[Rod size],Rod_costs[Unit price],"no result"))+_xlfn.XLOOKUP(Hanger_list[[#This Row],[Rod diameter (3/8 =1, 1/2" =2)]],Table6[Nut/washer size],Table6[Unit price])</calculatedColumnFormula>
    </tableColumn>
    <tableColumn id="7" xr3:uid="{8FFD9F6F-3A0F-4067-9C08-B92841681D17}" name="Clevis cost" dataDxfId="40"/>
    <tableColumn id="8" xr3:uid="{1BCF781F-95F4-480D-9BA2-1CCFD418CBFC}" name="Labor cost" dataDxfId="39">
      <calculatedColumnFormula>H$2</calculatedColumnFormula>
    </tableColumn>
    <tableColumn id="9" xr3:uid="{CA10D561-0ED7-4C95-B60A-C03EFE0EFD44}" name="Price" dataDxfId="38">
      <calculatedColumnFormula>SUM(F2:H2)/(1-Hanger_list[[#This Row],[margin]])</calculatedColumnFormula>
    </tableColumn>
    <tableColumn id="10" xr3:uid="{47C970F0-80BF-42D0-AB1F-357241A4420F}" name="margi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1F2AE45-D773-48B2-B5F7-36099CD28E73}" name="Rod_costs" displayName="Rod_costs" ref="N1:O5" totalsRowShown="0">
  <autoFilter ref="N1:O5" xr:uid="{81F2AE45-D773-48B2-B5F7-36099CD28E73}"/>
  <tableColumns count="2">
    <tableColumn id="1" xr3:uid="{E2D86934-14E3-4A8E-AADF-DD8D598B5B44}" name="Rod size"/>
    <tableColumn id="2" xr3:uid="{5CDE6A08-A7DD-4A84-9622-0681C1DCF342}" name="Unit price" dataDxfId="37"/>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42A7CF1-0B48-4DD2-B84D-646F7AE5D7F1}" name="Table6" displayName="Table6" ref="Q1:R5" totalsRowShown="0">
  <autoFilter ref="Q1:R5" xr:uid="{F42A7CF1-0B48-4DD2-B84D-646F7AE5D7F1}"/>
  <tableColumns count="2">
    <tableColumn id="1" xr3:uid="{0D08AC6E-B175-4CAA-9112-5EF640203D49}" name="Nut/washer size"/>
    <tableColumn id="2" xr3:uid="{8DD5C309-64F8-4E3E-BAA9-2AC6E3B871FE}" name="Unit price" dataDxfId="36"/>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2CDC0333-0C96-4C88-82C5-62925D9B26C0}" name="Utilities" displayName="Utilities" ref="A1:A2" totalsRowShown="0">
  <autoFilter ref="A1:A2" xr:uid="{2CDC0333-0C96-4C88-82C5-62925D9B26C0}"/>
  <tableColumns count="1">
    <tableColumn id="1" xr3:uid="{0D07CCBF-670A-4F16-A03D-281D42C24BB3}" name="Utility name"/>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946E9256-79FE-4D74-BBB0-D470C4AE1C84}" name="Hanger" displayName="Hanger" ref="E1:E5" totalsRowShown="0">
  <autoFilter ref="E1:E5" xr:uid="{946E9256-79FE-4D74-BBB0-D470C4AE1C84}"/>
  <tableColumns count="1">
    <tableColumn id="1" xr3:uid="{B77C633D-BF94-4ED7-A8CB-D7A52EF5E6D7}" name="Hanger type"/>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F86DDD62-29EA-4502-9AC0-3E2E93208A24}" name="Pipe_contents" displayName="Pipe_contents" ref="G1:G4" totalsRowShown="0">
  <autoFilter ref="G1:G4" xr:uid="{F86DDD62-29EA-4502-9AC0-3E2E93208A24}"/>
  <tableColumns count="1">
    <tableColumn id="1" xr3:uid="{B32E75B1-F284-4D2A-AB6B-A50E0A293694}" name="Contents of pipe"/>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91A84ACA-9397-44DA-8055-2BAF53340280}" name="Pipe_size" displayName="Pipe_size" ref="I1:I11" totalsRowShown="0">
  <autoFilter ref="I1:I11" xr:uid="{91A84ACA-9397-44DA-8055-2BAF53340280}"/>
  <tableColumns count="1">
    <tableColumn id="1" xr3:uid="{8E5EEDC6-648B-4675-B382-FBDE0CEEA36C}" name="Pipe sizes"/>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992DCCB-2F68-41FD-A729-1F313F4B9FA0}" name="Copper_insulation" displayName="Copper_insulation" ref="K1:K6" totalsRowShown="0">
  <autoFilter ref="K1:K6" xr:uid="{0992DCCB-2F68-41FD-A729-1F313F4B9FA0}"/>
  <tableColumns count="1">
    <tableColumn id="1" xr3:uid="{2119A99C-8D3B-4041-8A54-0644B4CBC8B1}" name="Copper pipe insulation thickness"/>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3553C5A4-1C86-4FB7-9EFC-DFB58F38FD59}" name="Iron_pipe_insulation" displayName="Iron_pipe_insulation" ref="M1:M11" totalsRowShown="0">
  <autoFilter ref="M1:M11" xr:uid="{3553C5A4-1C86-4FB7-9EFC-DFB58F38FD59}"/>
  <tableColumns count="1">
    <tableColumn id="1" xr3:uid="{FDBF8FC2-4D96-4A88-B5D3-4E5ABA40BD8E}" name="Iron pipe insulation thicknes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23D439DA-0FC5-4811-B0A9-133FC9EF90F7}" name="Pipe_material" displayName="Pipe_material" ref="C1:C8" totalsRowShown="0">
  <autoFilter ref="C1:C8" xr:uid="{23D439DA-0FC5-4811-B0A9-133FC9EF90F7}"/>
  <tableColumns count="1">
    <tableColumn id="1" xr3:uid="{6ACDC3A8-4393-421B-B19F-B3C3654D1414}" name="Pipe material"/>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6918D72-46C2-4708-A76B-A0EEAD09EFEC}" name="Pipe_quantity" displayName="Pipe_quantity" ref="O1:O12" totalsRowShown="0">
  <autoFilter ref="O1:O12" xr:uid="{16918D72-46C2-4708-A76B-A0EEAD09EFEC}"/>
  <tableColumns count="1">
    <tableColumn id="1" xr3:uid="{8FD986B1-B36F-4B38-8164-03E35D34DBB1}" name="Pipe quantity"/>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7D495C4C-098F-49A8-B9F7-1FEF72DCCB5D}" name="Snow_loads" displayName="Snow_loads" ref="R1:R7" totalsRowShown="0">
  <autoFilter ref="R1:R7" xr:uid="{7D495C4C-098F-49A8-B9F7-1FEF72DCCB5D}"/>
  <tableColumns count="1">
    <tableColumn id="1" xr3:uid="{076BEF45-A5E8-45D3-A3F7-DBE203F65D22}" name="Snow loads"/>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703018B-73FA-416D-91EF-2D98DA0D1C5D}" name="Shipment_type" displayName="Shipment_type" ref="U1:U3" totalsRowShown="0">
  <autoFilter ref="U1:U3" xr:uid="{2703018B-73FA-416D-91EF-2D98DA0D1C5D}"/>
  <tableColumns count="1">
    <tableColumn id="1" xr3:uid="{C808C7DC-1EFF-42F3-A9EE-6B8C52AC4AC7}" name="Shipment method"/>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2C50D2E-CB36-4F5E-9184-831F98097B7E}" name="HFrame_List" displayName="HFrame_List" ref="A1:AC241" totalsRowShown="0" headerRowDxfId="35">
  <autoFilter ref="A1:AC241" xr:uid="{12C50D2E-CB36-4F5E-9184-831F98097B7E}"/>
  <tableColumns count="29">
    <tableColumn id="1" xr3:uid="{F8D753F0-DC8F-4C8A-A731-E0F5BF2ECD81}" name="Item number" dataDxfId="34"/>
    <tableColumn id="2" xr3:uid="{5AE67C57-FBEE-48C2-A8E9-242D77DEE3B0}" name="Description" dataDxfId="33"/>
    <tableColumn id="3" xr3:uid="{D9E9E21D-7D4E-4FDF-9AC3-5540A0095818}" name="Height (in)" dataDxfId="32">
      <calculatedColumnFormula>E2+1.675</calculatedColumnFormula>
    </tableColumn>
    <tableColumn id="4" xr3:uid="{8CFAFDF0-17E9-4BE0-B90D-9693A1EC979D}" name="Width (in)" dataDxfId="31">
      <calculatedColumnFormula>F2+1.675+12.376</calculatedColumnFormula>
    </tableColumn>
    <tableColumn id="5" xr3:uid="{A5AE4AE3-3969-4FB1-B90A-7679A6CCA988}" name="Strut height (in)" dataDxfId="30"/>
    <tableColumn id="6" xr3:uid="{A5A24B87-6BB5-47A3-89BC-8B9D97C976AE}" name="Width between uprights (in)" dataDxfId="29"/>
    <tableColumn id="7" xr3:uid="{D296A186-5B9B-4D44-A0D9-061AF6DAD0E9}" name="Width between brackets" dataDxfId="28">
      <calculatedColumnFormula>F2-(1.88*2)</calculatedColumnFormula>
    </tableColumn>
    <tableColumn id="8" xr3:uid="{3772BB46-8596-403E-B4CD-08CA180CC31D}" name="Extra supports" dataDxfId="27"/>
    <tableColumn id="9" xr3:uid="{FFD146C7-D5FE-4A49-98F5-E520D37CD50A}" name="Cross piece style" dataDxfId="26"/>
    <tableColumn id="10" xr3:uid="{8121702C-BF17-483A-8BEC-6EF69A948731}" name="cross piece quantity" dataDxfId="25"/>
    <tableColumn id="11" xr3:uid="{F034BE78-89A7-438A-A026-8FB7571FF4A4}" name="Distance between strut" dataDxfId="24">
      <calculatedColumnFormula>((F2)/(L2-1))-(H2*0.8125)</calculatedColumnFormula>
    </tableColumn>
    <tableColumn id="12" xr3:uid="{71D60462-CA8F-4AB2-85EA-B76A353B4B01}" name="Number of feet" dataDxfId="23">
      <calculatedColumnFormula>2+(H2)</calculatedColumnFormula>
    </tableColumn>
    <tableColumn id="13" xr3:uid="{1FF7A4E3-F5B8-4B31-922E-7A47B2D41A91}" name="Number of bolts" dataDxfId="22">
      <calculatedColumnFormula>3*N2</calculatedColumnFormula>
    </tableColumn>
    <tableColumn id="14" xr3:uid="{D2015818-56BE-48B3-A3C6-825D544FD922}" name="number of L-brackets" dataDxfId="21">
      <calculatedColumnFormula>(2+(2*H2))*J2</calculatedColumnFormula>
    </tableColumn>
    <tableColumn id="15" xr3:uid="{F683A236-07E1-44EF-916D-3F5CDB9F100B}" name="Total feet of strut" dataDxfId="20">
      <calculatedColumnFormula>((E2*(L2+H2))+(F2*J2))/12</calculatedColumnFormula>
    </tableColumn>
    <tableColumn id="16" xr3:uid="{B76D8DCC-0691-4282-8002-E9C1F753926B}" name="Sticks of strut required" dataDxfId="19">
      <calculatedColumnFormula>ROUNDUP(O2/10,0)</calculatedColumnFormula>
    </tableColumn>
    <tableColumn id="17" xr3:uid="{0CFA666D-61C9-431A-B3B0-7D536B5696C2}" name="Number of cuts required">
      <calculatedColumnFormula>2*(L2+J2)</calculatedColumnFormula>
    </tableColumn>
    <tableColumn id="22" xr3:uid="{330DE824-190C-426F-AB0C-3E867E7B0FC1}" name="Bottom cross piece cost" dataDxfId="18">
      <calculatedColumnFormula>_xlfn.XLOOKUP(HFrame_List[[#This Row],[Cross piece style]],$AH$2:$AH$4,$AI$2:$AI$4,0,0)*(HFrame_List[[#This Row],[Width between brackets]]/12)</calculatedColumnFormula>
    </tableColumn>
    <tableColumn id="18" xr3:uid="{B4F312D8-6626-4BD8-9798-CAC9C0B7DF6F}" name="Top cross piece cost">
      <calculatedColumnFormula>5.46*(HFrame_List[[#This Row],[cross piece quantity]]-1)*(HFrame_List[[#This Row],[Width between brackets]]/12)</calculatedColumnFormula>
    </tableColumn>
    <tableColumn id="19" xr3:uid="{E433E6C2-8AB4-450F-8490-2E6ED36C302B}" name="Material Cost (est)" dataDxfId="17">
      <calculatedColumnFormula>HFrame_List[[#This Row],[Bottom cross piece cost]]+HFrame_List[[#This Row],[Top cross piece cost]]+HFrame_List[[#This Row],[Component costs]]+HFrame_List[[#This Row],[Vertical strut cost]]</calculatedColumnFormula>
    </tableColumn>
    <tableColumn id="20" xr3:uid="{D7C68672-7D25-4197-A0D6-8AFB450D832E}" name="Labor Cost" dataDxfId="16">
      <calculatedColumnFormula>_xlfn.XLOOKUP(HFrame_List[[#This Row],[Fabrication type]],Fabrication_costs[Fabrication type],Fabrication_costs[unit pricing],"no result",0)</calculatedColumnFormula>
    </tableColumn>
    <tableColumn id="21" xr3:uid="{96507D35-C80E-43C2-96D1-A1376857FA64}" name="Price (est)" dataDxfId="15">
      <calculatedColumnFormula>SUM(T2:U2)/(1-HFrame_List[[#This Row],[Margin]])</calculatedColumnFormula>
    </tableColumn>
    <tableColumn id="23" xr3:uid="{106FA828-8118-46CA-86B4-1E3211BEF50D}" name="Margin" dataCellStyle="Percent"/>
    <tableColumn id="24" xr3:uid="{BE93F725-A6B7-46F5-9B49-9E7ED604CD2F}" name="Fabrication type" dataDxfId="14" dataCellStyle="Percent"/>
    <tableColumn id="25" xr3:uid="{9F153298-31B8-4F55-9DB1-5B5697017C3D}" name="Vertical strut cost" dataDxfId="13">
      <calculatedColumnFormula>_xlfn.XLOOKUP("A12",Strut_costs[size],Strut_costs[Strut cost])/12*HFrame_List[[#This Row],[Strut height (in)]]*(2+HFrame_List[[#This Row],[Extra supports]])</calculatedColumnFormula>
    </tableColumn>
    <tableColumn id="26" xr3:uid="{C8FF4787-32D1-4E7A-9158-2869CDCF1E9C}" name="Component costs" dataDxfId="12">
      <calculatedColumnFormula>(_xlfn.XLOOKUP("PHB",CADDY_costs[Component],CADDY_costs[Current cost])*HFrame_List[[#This Row],[Number of feet]])+(_xlfn.XLOOKUP("HFRMHDW",CADDY_costs[Component],CADDY_costs[Current cost])*(HFrame_List[[#This Row],[number of L-brackets]]/2))</calculatedColumnFormula>
    </tableColumn>
    <tableColumn id="27" xr3:uid="{4B2201D9-20AA-427F-A7E4-15CEADE413DF}" name="lookup" dataDxfId="11"/>
    <tableColumn id="28" xr3:uid="{EA006287-6B1E-4CF7-A760-ABB54B613DDC}" name="4x6 pallet" dataDxfId="10">
      <calculatedColumnFormula>VLOOKUP(HFrame_List[[#This Row],[lookup]],'Pallet and shipping info'!$A$5:$H$33,6,FALSE)</calculatedColumnFormula>
    </tableColumn>
    <tableColumn id="29" xr3:uid="{A60C9DF3-AFCF-4D89-867F-00F1A91EF005}" name="4x8 pallet" dataDxfId="9">
      <calculatedColumnFormula>VLOOKUP(HFrame_List[[#This Row],[lookup]],'Pallet and shipping info'!$A$5:$H$33,8,FALSE)</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38E48E9-DE86-47E7-BCDB-4FDB019E7876}" name="Strut_costs" displayName="Strut_costs" ref="AH1:AI4" totalsRowShown="0" headerRowDxfId="8">
  <autoFilter ref="AH1:AI4" xr:uid="{838E48E9-DE86-47E7-BCDB-4FDB019E7876}"/>
  <tableColumns count="2">
    <tableColumn id="1" xr3:uid="{C9B80C0D-7DAF-432A-9577-30FEC1D4D7DA}" name="size"/>
    <tableColumn id="2" xr3:uid="{9AD87F91-0AD7-4CB3-8AF8-1FED1C026E4B}" name="Strut cost"/>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D8BDB66-2B9D-4F20-B698-8E49D5985540}" name="Fabrication_costs" displayName="Fabrication_costs" ref="AK1:AL7" totalsRowShown="0" headerRowDxfId="7">
  <autoFilter ref="AK1:AL7" xr:uid="{4D8BDB66-2B9D-4F20-B698-8E49D5985540}"/>
  <tableColumns count="2">
    <tableColumn id="1" xr3:uid="{10882B3E-49B4-4690-BB2B-61679E1B9962}" name="Fabrication type"/>
    <tableColumn id="2" xr3:uid="{F4009DDC-F53E-4697-A7F5-C3EB18604F93}" name="unit pricing" dataDxfId="6"/>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11F729B-EAE6-43C6-A22C-3350AF35F69B}" name="CADDY_costs" displayName="CADDY_costs" ref="AN1:AO3" totalsRowShown="0" headerRowDxfId="5">
  <autoFilter ref="AN1:AO3" xr:uid="{111F729B-EAE6-43C6-A22C-3350AF35F69B}"/>
  <tableColumns count="2">
    <tableColumn id="1" xr3:uid="{BCE31027-F49B-4E07-9D92-A48D2EE292F5}" name="Component"/>
    <tableColumn id="2" xr3:uid="{00B98418-4B7C-4EAF-B67E-C409EC01DE4A}" name="Current cost" dataDxfId="4"/>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asce7hazardtool.online/"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queryTable" Target="../queryTables/queryTable2.xml"/><Relationship Id="rId1" Type="http://schemas.openxmlformats.org/officeDocument/2006/relationships/queryTable" Target="../queryTables/query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table" Target="../tables/table2.xml"/></Relationships>
</file>

<file path=xl/worksheets/_rels/sheet8.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table" Target="../tables/table8.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8" Type="http://schemas.openxmlformats.org/officeDocument/2006/relationships/table" Target="../tables/table18.xml"/><Relationship Id="rId3" Type="http://schemas.openxmlformats.org/officeDocument/2006/relationships/table" Target="../tables/table13.xml"/><Relationship Id="rId7" Type="http://schemas.openxmlformats.org/officeDocument/2006/relationships/table" Target="../tables/table17.xml"/><Relationship Id="rId2" Type="http://schemas.openxmlformats.org/officeDocument/2006/relationships/table" Target="../tables/table12.xml"/><Relationship Id="rId1" Type="http://schemas.openxmlformats.org/officeDocument/2006/relationships/table" Target="../tables/table11.xml"/><Relationship Id="rId6" Type="http://schemas.openxmlformats.org/officeDocument/2006/relationships/table" Target="../tables/table16.xml"/><Relationship Id="rId5" Type="http://schemas.openxmlformats.org/officeDocument/2006/relationships/table" Target="../tables/table15.xml"/><Relationship Id="rId10" Type="http://schemas.openxmlformats.org/officeDocument/2006/relationships/table" Target="../tables/table20.xml"/><Relationship Id="rId4" Type="http://schemas.openxmlformats.org/officeDocument/2006/relationships/table" Target="../tables/table14.xml"/><Relationship Id="rId9" Type="http://schemas.openxmlformats.org/officeDocument/2006/relationships/table" Target="../tables/table19.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23.xml"/><Relationship Id="rId2" Type="http://schemas.openxmlformats.org/officeDocument/2006/relationships/table" Target="../tables/table22.xml"/><Relationship Id="rId1" Type="http://schemas.openxmlformats.org/officeDocument/2006/relationships/table" Target="../tables/table21.xml"/><Relationship Id="rId4" Type="http://schemas.openxmlformats.org/officeDocument/2006/relationships/table" Target="../tables/table2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DEEE35-27D2-4A3B-AB64-6DF6E0400E39}">
  <sheetPr codeName="Sheet1"/>
  <dimension ref="A1:U41"/>
  <sheetViews>
    <sheetView zoomScale="130" zoomScaleNormal="130" workbookViewId="0">
      <selection activeCell="C5" sqref="C5"/>
    </sheetView>
  </sheetViews>
  <sheetFormatPr defaultColWidth="9.140625" defaultRowHeight="14.25" x14ac:dyDescent="0.2"/>
  <cols>
    <col min="1" max="1" width="9.140625" style="13"/>
    <col min="2" max="2" width="68.5703125" style="13" customWidth="1"/>
    <col min="3" max="3" width="18.28515625" style="13" customWidth="1"/>
    <col min="4" max="4" width="19.140625" style="13" bestFit="1" customWidth="1"/>
    <col min="5" max="7" width="10.5703125" style="13" customWidth="1"/>
    <col min="8" max="8" width="13.85546875" style="13" customWidth="1"/>
    <col min="9" max="9" width="12.5703125" style="13" customWidth="1"/>
    <col min="10" max="10" width="11.140625" style="13" customWidth="1"/>
    <col min="11" max="11" width="9.140625" style="13"/>
    <col min="12" max="12" width="21.28515625" style="13" customWidth="1"/>
    <col min="13" max="19" width="9.140625" style="13"/>
    <col min="20" max="21" width="9.140625" style="13" hidden="1" customWidth="1"/>
    <col min="22" max="25" width="0" style="13" hidden="1" customWidth="1"/>
    <col min="26" max="16384" width="9.140625" style="13"/>
  </cols>
  <sheetData>
    <row r="1" spans="1:21" ht="15" x14ac:dyDescent="0.25">
      <c r="A1" s="61" t="s">
        <v>0</v>
      </c>
      <c r="B1" s="17" t="s">
        <v>1</v>
      </c>
      <c r="C1" s="17" t="s">
        <v>2</v>
      </c>
      <c r="D1" s="17"/>
      <c r="E1" s="17" t="s">
        <v>3</v>
      </c>
      <c r="F1" s="17"/>
      <c r="G1" s="17"/>
      <c r="H1" s="17" t="s">
        <v>4</v>
      </c>
      <c r="I1" s="17" t="s">
        <v>5</v>
      </c>
      <c r="J1" s="17" t="s">
        <v>6</v>
      </c>
      <c r="L1" s="17" t="s">
        <v>7</v>
      </c>
    </row>
    <row r="2" spans="1:21" x14ac:dyDescent="0.2">
      <c r="A2" s="61"/>
      <c r="B2" s="25"/>
      <c r="C2" s="25"/>
      <c r="D2" s="16"/>
      <c r="E2" s="62"/>
      <c r="F2" s="62"/>
      <c r="G2" s="62"/>
      <c r="H2" s="25"/>
      <c r="I2" s="25"/>
      <c r="J2" s="25"/>
      <c r="L2" s="47" t="s">
        <v>8</v>
      </c>
    </row>
    <row r="3" spans="1:21" x14ac:dyDescent="0.2">
      <c r="A3" s="61"/>
      <c r="E3" s="14"/>
      <c r="F3" s="14"/>
      <c r="G3" s="14"/>
    </row>
    <row r="4" spans="1:21" x14ac:dyDescent="0.2">
      <c r="A4" s="61"/>
      <c r="B4" s="13" t="s">
        <v>9</v>
      </c>
      <c r="C4" s="26" t="s">
        <v>10</v>
      </c>
      <c r="E4" s="63" t="e">
        <f>IF('H-frame item list'!A245="no results","We cannot accommodate the current requirements through this tool. Please adjust the settings to the left or contact the nVent CADDY Product Manager for help.",_xlfn.XLOOKUP(Pictures!E2,Pictures!$A$2:$A$6,Pictures!$G$2:$G$6,"Please fill in requirements to the left",0))</f>
        <v>#REF!</v>
      </c>
      <c r="F4" s="63"/>
      <c r="G4" s="63"/>
      <c r="H4" s="63"/>
      <c r="I4" s="63"/>
      <c r="J4" s="63"/>
      <c r="K4" s="63"/>
      <c r="L4" s="63"/>
      <c r="M4" s="63"/>
      <c r="T4" s="13" t="s">
        <v>9</v>
      </c>
    </row>
    <row r="5" spans="1:21" x14ac:dyDescent="0.2">
      <c r="A5" s="61"/>
      <c r="B5" s="13" t="s">
        <v>11</v>
      </c>
      <c r="C5" s="58">
        <v>100</v>
      </c>
      <c r="E5" s="63"/>
      <c r="F5" s="63"/>
      <c r="G5" s="63"/>
      <c r="H5" s="63"/>
      <c r="I5" s="63"/>
      <c r="J5" s="63"/>
      <c r="K5" s="63"/>
      <c r="L5" s="63"/>
      <c r="M5" s="63"/>
      <c r="T5" s="13" t="s">
        <v>12</v>
      </c>
    </row>
    <row r="6" spans="1:21" x14ac:dyDescent="0.2">
      <c r="A6" s="61"/>
      <c r="B6" s="13" t="s">
        <v>13</v>
      </c>
      <c r="C6" s="58">
        <v>20</v>
      </c>
      <c r="E6" s="63"/>
      <c r="F6" s="63"/>
      <c r="G6" s="63"/>
      <c r="H6" s="63"/>
      <c r="I6" s="63"/>
      <c r="J6" s="63"/>
      <c r="K6" s="63"/>
      <c r="L6" s="63"/>
      <c r="M6" s="63"/>
      <c r="T6" s="13" t="s">
        <v>13</v>
      </c>
    </row>
    <row r="7" spans="1:21" x14ac:dyDescent="0.2">
      <c r="A7" s="61"/>
      <c r="B7" s="13" t="s">
        <v>14</v>
      </c>
      <c r="C7" s="57">
        <v>21</v>
      </c>
      <c r="D7" s="13" t="s">
        <v>807</v>
      </c>
      <c r="E7" s="63"/>
      <c r="F7" s="63"/>
      <c r="G7" s="63"/>
      <c r="H7" s="63"/>
      <c r="I7" s="63"/>
      <c r="J7" s="63"/>
      <c r="K7" s="63"/>
      <c r="L7" s="63"/>
      <c r="M7" s="63"/>
      <c r="T7" s="13" t="s">
        <v>14</v>
      </c>
    </row>
    <row r="8" spans="1:21" x14ac:dyDescent="0.2">
      <c r="A8" s="61"/>
      <c r="B8" s="13" t="s">
        <v>15</v>
      </c>
      <c r="C8" s="58">
        <v>1</v>
      </c>
      <c r="E8" s="63"/>
      <c r="F8" s="63"/>
      <c r="G8" s="63"/>
      <c r="H8" s="63"/>
      <c r="I8" s="63"/>
      <c r="J8" s="63"/>
      <c r="K8" s="63"/>
      <c r="L8" s="63"/>
      <c r="M8" s="63"/>
    </row>
    <row r="9" spans="1:21" x14ac:dyDescent="0.2">
      <c r="A9" s="61"/>
      <c r="B9" s="13" t="s">
        <v>16</v>
      </c>
      <c r="C9" s="57">
        <v>0</v>
      </c>
      <c r="D9" s="48" t="s">
        <v>17</v>
      </c>
      <c r="E9" s="63"/>
      <c r="F9" s="63"/>
      <c r="G9" s="63"/>
      <c r="H9" s="63"/>
      <c r="I9" s="63"/>
      <c r="J9" s="63"/>
      <c r="K9" s="63"/>
      <c r="L9" s="63"/>
      <c r="M9" s="63"/>
      <c r="T9" s="13" t="s">
        <v>16</v>
      </c>
    </row>
    <row r="10" spans="1:21" x14ac:dyDescent="0.2">
      <c r="A10" s="19"/>
      <c r="C10" s="20"/>
      <c r="D10" s="15"/>
      <c r="T10" s="13" t="s">
        <v>18</v>
      </c>
      <c r="U10" s="13" t="s">
        <v>19</v>
      </c>
    </row>
    <row r="11" spans="1:21" ht="18" x14ac:dyDescent="0.25">
      <c r="A11" s="18"/>
      <c r="C11" s="20" t="str">
        <f>IF($C$18="yes",T10,"")</f>
        <v/>
      </c>
      <c r="D11" s="20" t="str">
        <f>IF($C$18="yes",U10,"")</f>
        <v/>
      </c>
    </row>
    <row r="12" spans="1:21" x14ac:dyDescent="0.2">
      <c r="A12" s="61" t="str">
        <f>IF(C$4="pipe","Pipe","")</f>
        <v>Pipe</v>
      </c>
      <c r="B12" s="13" t="str">
        <f>IF(C$4="pipe",T12,"")</f>
        <v>What material is the pipe?</v>
      </c>
      <c r="C12" s="57" t="s">
        <v>141</v>
      </c>
      <c r="D12" s="57" t="s">
        <v>801</v>
      </c>
      <c r="K12" s="13" t="s">
        <v>21</v>
      </c>
      <c r="T12" s="13" t="s">
        <v>22</v>
      </c>
    </row>
    <row r="13" spans="1:21" x14ac:dyDescent="0.2">
      <c r="A13" s="61"/>
      <c r="B13" s="13" t="str">
        <f t="shared" ref="B13:B17" si="0">IF(C$4="pipe",T13,"")</f>
        <v>What are you running in the pipe?</v>
      </c>
      <c r="C13" s="57" t="s">
        <v>23</v>
      </c>
      <c r="D13" s="57" t="s">
        <v>801</v>
      </c>
      <c r="K13" s="23" t="e">
        <f>Calculations!#REF!</f>
        <v>#REF!</v>
      </c>
      <c r="L13" s="14" t="s">
        <v>25</v>
      </c>
      <c r="T13" s="13" t="s">
        <v>26</v>
      </c>
    </row>
    <row r="14" spans="1:21" x14ac:dyDescent="0.2">
      <c r="A14" s="61"/>
      <c r="B14" s="13" t="str">
        <f t="shared" si="0"/>
        <v>What size is the pipe?</v>
      </c>
      <c r="C14" s="57">
        <v>2.5</v>
      </c>
      <c r="D14" s="57">
        <v>0</v>
      </c>
      <c r="K14" s="23">
        <f>'H-frame item list'!E245</f>
        <v>0</v>
      </c>
      <c r="L14" s="13" t="s">
        <v>27</v>
      </c>
      <c r="T14" s="13" t="s">
        <v>28</v>
      </c>
    </row>
    <row r="15" spans="1:21" x14ac:dyDescent="0.2">
      <c r="A15" s="61"/>
      <c r="B15" s="13" t="str">
        <f>IF(C$4="pipe",T15,"")</f>
        <v>What is the pipe insulation wall thickness? (choose 0 for no insulation)</v>
      </c>
      <c r="C15" s="57">
        <v>3.5</v>
      </c>
      <c r="D15" s="57">
        <v>0</v>
      </c>
      <c r="K15" s="20">
        <f>'H-frame item list'!F245</f>
        <v>0</v>
      </c>
      <c r="L15" s="13" t="s">
        <v>29</v>
      </c>
      <c r="T15" s="13" t="s">
        <v>30</v>
      </c>
    </row>
    <row r="16" spans="1:21" x14ac:dyDescent="0.2">
      <c r="A16" s="61"/>
      <c r="B16" s="13" t="str">
        <f t="shared" si="0"/>
        <v>What type of hanger is required for this pipe?</v>
      </c>
      <c r="C16" s="57" t="s">
        <v>134</v>
      </c>
      <c r="D16" s="57" t="s">
        <v>801</v>
      </c>
      <c r="E16" s="13" t="s">
        <v>806</v>
      </c>
      <c r="K16" s="20">
        <f>C7</f>
        <v>21</v>
      </c>
      <c r="L16" s="14" t="s">
        <v>32</v>
      </c>
      <c r="T16" s="13" t="s">
        <v>33</v>
      </c>
    </row>
    <row r="17" spans="1:20" x14ac:dyDescent="0.2">
      <c r="A17" s="61"/>
      <c r="B17" s="13" t="str">
        <f t="shared" si="0"/>
        <v>How many of this pipe do you need supported side by side?</v>
      </c>
      <c r="C17" s="57">
        <v>8</v>
      </c>
      <c r="D17" s="57">
        <v>0</v>
      </c>
      <c r="K17" s="23" t="e">
        <f>Calculations!#REF!</f>
        <v>#REF!</v>
      </c>
      <c r="L17" s="14" t="s">
        <v>34</v>
      </c>
      <c r="T17" s="13" t="s">
        <v>35</v>
      </c>
    </row>
    <row r="18" spans="1:20" x14ac:dyDescent="0.2">
      <c r="A18" s="61"/>
      <c r="B18" s="13" t="str">
        <f t="shared" ref="B18" si="1">IF(C$4="pipe",T18,"")</f>
        <v>Do you need to run other pipe configurations on the same frame? (2 max)</v>
      </c>
      <c r="C18" s="57" t="s">
        <v>809</v>
      </c>
      <c r="D18" s="20"/>
      <c r="K18" s="20" t="e">
        <f>Calculations!#REF!</f>
        <v>#REF!</v>
      </c>
      <c r="L18" s="14" t="s">
        <v>36</v>
      </c>
      <c r="T18" s="13" t="s">
        <v>37</v>
      </c>
    </row>
    <row r="19" spans="1:20" x14ac:dyDescent="0.2">
      <c r="A19" s="61"/>
      <c r="B19" s="13" t="str">
        <f>IF(OR(C17&gt;1,C18="Yes"),IF(C$4="pipe",T19,""),"")</f>
        <v>What is the required spacing between pipes? (default is 6 inches)</v>
      </c>
      <c r="C19" s="57">
        <v>2</v>
      </c>
      <c r="D19" s="60" t="s">
        <v>805</v>
      </c>
      <c r="K19" s="20" t="e">
        <f>Calculations!#REF!</f>
        <v>#REF!</v>
      </c>
      <c r="L19" s="14" t="s">
        <v>38</v>
      </c>
      <c r="T19" s="13" t="s">
        <v>39</v>
      </c>
    </row>
    <row r="20" spans="1:20" ht="18" x14ac:dyDescent="0.25">
      <c r="A20" s="18"/>
      <c r="B20" s="13" t="s">
        <v>800</v>
      </c>
      <c r="C20" s="59">
        <v>1</v>
      </c>
    </row>
    <row r="21" spans="1:20" ht="14.25" customHeight="1" x14ac:dyDescent="0.25">
      <c r="A21" s="18"/>
      <c r="C21" s="20"/>
      <c r="T21" s="13" t="s">
        <v>40</v>
      </c>
    </row>
    <row r="22" spans="1:20" x14ac:dyDescent="0.2">
      <c r="A22" s="61" t="str">
        <f>IF(C$4="other","Other","")</f>
        <v/>
      </c>
      <c r="B22" s="13" t="str">
        <f>IF(C$4="other",T31,"")</f>
        <v/>
      </c>
      <c r="C22" s="26"/>
      <c r="T22" s="13" t="s">
        <v>41</v>
      </c>
    </row>
    <row r="23" spans="1:20" x14ac:dyDescent="0.2">
      <c r="A23" s="61"/>
      <c r="B23" s="13" t="str">
        <f>IF(C$4="other",T32,"")</f>
        <v/>
      </c>
      <c r="C23" s="26"/>
      <c r="T23" s="13" t="s">
        <v>42</v>
      </c>
    </row>
    <row r="24" spans="1:20" x14ac:dyDescent="0.2">
      <c r="A24" s="61"/>
      <c r="B24" s="13" t="str">
        <f>IF(C$4="other",T33,"")</f>
        <v/>
      </c>
      <c r="C24" s="26"/>
      <c r="T24" s="13" t="s">
        <v>43</v>
      </c>
    </row>
    <row r="25" spans="1:20" x14ac:dyDescent="0.2">
      <c r="A25" s="61"/>
      <c r="B25" s="13" t="str">
        <f>IF(C$4="other",T34,"")</f>
        <v/>
      </c>
      <c r="C25" s="26"/>
      <c r="T25" s="13" t="s">
        <v>44</v>
      </c>
    </row>
    <row r="26" spans="1:20" x14ac:dyDescent="0.2">
      <c r="C26" s="20"/>
      <c r="T26" s="13" t="s">
        <v>45</v>
      </c>
    </row>
    <row r="27" spans="1:20" x14ac:dyDescent="0.2">
      <c r="C27" s="20"/>
      <c r="T27" s="13" t="s">
        <v>46</v>
      </c>
    </row>
    <row r="28" spans="1:20" x14ac:dyDescent="0.2">
      <c r="C28" s="20"/>
      <c r="T28" s="13" t="s">
        <v>47</v>
      </c>
    </row>
    <row r="29" spans="1:20" x14ac:dyDescent="0.2">
      <c r="C29" s="20"/>
      <c r="T29" s="13" t="s">
        <v>48</v>
      </c>
    </row>
    <row r="30" spans="1:20" x14ac:dyDescent="0.2">
      <c r="C30" s="20"/>
      <c r="T30" s="13" t="s">
        <v>49</v>
      </c>
    </row>
    <row r="31" spans="1:20" x14ac:dyDescent="0.2">
      <c r="C31" s="20"/>
      <c r="E31" s="13" t="s">
        <v>50</v>
      </c>
      <c r="T31" s="13" t="s">
        <v>51</v>
      </c>
    </row>
    <row r="32" spans="1:20" x14ac:dyDescent="0.2">
      <c r="C32" s="20"/>
      <c r="E32" s="13" t="s">
        <v>52</v>
      </c>
      <c r="T32" s="13" t="s">
        <v>53</v>
      </c>
    </row>
    <row r="33" spans="3:20" x14ac:dyDescent="0.2">
      <c r="C33" s="20"/>
      <c r="E33" s="13" t="s">
        <v>54</v>
      </c>
      <c r="T33" s="13" t="s">
        <v>55</v>
      </c>
    </row>
    <row r="34" spans="3:20" x14ac:dyDescent="0.2">
      <c r="T34" s="13" t="s">
        <v>56</v>
      </c>
    </row>
    <row r="37" spans="3:20" x14ac:dyDescent="0.2">
      <c r="H37" s="24"/>
    </row>
    <row r="38" spans="3:20" x14ac:dyDescent="0.2">
      <c r="H38" s="24"/>
    </row>
    <row r="39" spans="3:20" x14ac:dyDescent="0.2">
      <c r="H39" s="24"/>
    </row>
    <row r="40" spans="3:20" x14ac:dyDescent="0.2">
      <c r="H40" s="24"/>
    </row>
    <row r="41" spans="3:20" x14ac:dyDescent="0.2">
      <c r="H41" s="24"/>
    </row>
  </sheetData>
  <mergeCells count="5">
    <mergeCell ref="A22:A25"/>
    <mergeCell ref="E2:G2"/>
    <mergeCell ref="A1:A9"/>
    <mergeCell ref="A12:A19"/>
    <mergeCell ref="E4:M9"/>
  </mergeCells>
  <phoneticPr fontId="2" type="noConversion"/>
  <conditionalFormatting sqref="C4:C33">
    <cfRule type="expression" dxfId="45" priority="1">
      <formula>$B4&lt;&gt;""</formula>
    </cfRule>
  </conditionalFormatting>
  <conditionalFormatting sqref="D11">
    <cfRule type="expression" dxfId="44" priority="6">
      <formula>$B11&lt;&gt;""</formula>
    </cfRule>
  </conditionalFormatting>
  <conditionalFormatting sqref="D12:D17">
    <cfRule type="expression" dxfId="43" priority="2">
      <formula>$C$18="Yes"</formula>
    </cfRule>
  </conditionalFormatting>
  <dataValidations count="11">
    <dataValidation type="list" allowBlank="1" showInputMessage="1" showErrorMessage="1" sqref="C4" xr:uid="{7FBDC557-A53F-4455-9542-9DCA126B1965}">
      <formula1>INDIRECT("Utilities")</formula1>
    </dataValidation>
    <dataValidation type="list" allowBlank="1" showInputMessage="1" showErrorMessage="1" sqref="C12:D12" xr:uid="{0E7ECF39-6786-4126-874C-CE7A1A8C657E}">
      <formula1>INDIRECT("Pipe_material")</formula1>
    </dataValidation>
    <dataValidation type="list" allowBlank="1" showInputMessage="1" showErrorMessage="1" sqref="C13:D13" xr:uid="{312DC6B0-E3D9-4825-85D8-8C9704BFCC75}">
      <formula1>INDIRECT("Pipe_contents")</formula1>
    </dataValidation>
    <dataValidation type="list" allowBlank="1" showInputMessage="1" showErrorMessage="1" sqref="C14:D14" xr:uid="{2234D5BC-1F77-4B62-AD6F-81B71FE8171E}">
      <formula1>INDIRECT("Pipe_size")</formula1>
    </dataValidation>
    <dataValidation type="list" allowBlank="1" showInputMessage="1" showErrorMessage="1" sqref="C15:D15" xr:uid="{92F01C4B-1906-4652-A95B-4289F3AF7D90}">
      <formula1>INDIRECT("Iron_pipe_insulation")</formula1>
    </dataValidation>
    <dataValidation type="list" allowBlank="1" showInputMessage="1" showErrorMessage="1" sqref="C16:D16" xr:uid="{073BF521-4D8A-46F4-9170-66AAD66DE8C7}">
      <formula1>INDIRECT("Hanger")</formula1>
    </dataValidation>
    <dataValidation type="list" allowBlank="1" showInputMessage="1" showErrorMessage="1" sqref="C17:D17" xr:uid="{15EC2AF4-F22C-4384-B4BF-5FE3590F0476}">
      <formula1>INDIRECT("pipe_quantity")</formula1>
    </dataValidation>
    <dataValidation type="list" allowBlank="1" showInputMessage="1" showErrorMessage="1" sqref="C25" xr:uid="{79A9033D-CF42-4C64-B302-60D88F6ED368}">
      <formula1>"Yes,No"</formula1>
    </dataValidation>
    <dataValidation type="list" allowBlank="1" showInputMessage="1" showErrorMessage="1" sqref="C9" xr:uid="{03A910E1-DDFF-4752-AE4A-F31928649B8B}">
      <formula1>INDIRECT("Snow_loads")</formula1>
    </dataValidation>
    <dataValidation type="list" allowBlank="1" showInputMessage="1" showErrorMessage="1" sqref="C18" xr:uid="{9CA0D240-A935-49B1-B1A5-07605FDBA8E3}">
      <formula1>"Yes, No"</formula1>
    </dataValidation>
    <dataValidation type="list" allowBlank="1" showInputMessage="1" showErrorMessage="1" sqref="L2" xr:uid="{B6F96B16-DAEA-460B-B438-4775BE9BB621}">
      <formula1>INDIRECT("Shipment_type")</formula1>
    </dataValidation>
  </dataValidations>
  <hyperlinks>
    <hyperlink ref="D9" r:id="rId1" xr:uid="{F63D6948-C70E-4754-A87A-7D20D22DF904}"/>
  </hyperlinks>
  <pageMargins left="0.7" right="0.7" top="0.75" bottom="0.75" header="0.3" footer="0.3"/>
  <pageSetup orientation="portrait" r:id="rId2"/>
  <drawing r:id="rId3"/>
  <legacy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7BA5DD-5173-469B-A385-D6D08B625614}">
  <sheetPr codeName="Sheet23"/>
  <dimension ref="A1:O16"/>
  <sheetViews>
    <sheetView workbookViewId="0">
      <selection activeCell="J14" sqref="J14"/>
    </sheetView>
  </sheetViews>
  <sheetFormatPr defaultRowHeight="15" x14ac:dyDescent="0.25"/>
  <cols>
    <col min="1" max="1" width="7.28515625" bestFit="1" customWidth="1"/>
    <col min="2" max="2" width="9.42578125" bestFit="1" customWidth="1"/>
    <col min="3" max="3" width="7.5703125" bestFit="1" customWidth="1"/>
    <col min="4" max="4" width="10" bestFit="1" customWidth="1"/>
    <col min="5" max="5" width="18.140625" bestFit="1" customWidth="1"/>
    <col min="7" max="7" width="9.85546875" bestFit="1" customWidth="1"/>
    <col min="8" max="8" width="8.42578125" bestFit="1" customWidth="1"/>
    <col min="9" max="9" width="10.42578125" bestFit="1" customWidth="1"/>
    <col min="10" max="10" width="13.7109375" bestFit="1" customWidth="1"/>
    <col min="11" max="11" width="13.85546875" bestFit="1" customWidth="1"/>
    <col min="12" max="12" width="19.28515625" bestFit="1" customWidth="1"/>
    <col min="13" max="13" width="13.42578125" bestFit="1" customWidth="1"/>
    <col min="14" max="14" width="11" bestFit="1" customWidth="1"/>
    <col min="15" max="15" width="11.7109375" bestFit="1" customWidth="1"/>
    <col min="16" max="16" width="11.28515625" bestFit="1" customWidth="1"/>
  </cols>
  <sheetData>
    <row r="1" spans="1:15" x14ac:dyDescent="0.25">
      <c r="A1" t="s">
        <v>811</v>
      </c>
      <c r="B1" t="s">
        <v>812</v>
      </c>
      <c r="C1" t="s">
        <v>813</v>
      </c>
      <c r="D1" t="s">
        <v>810</v>
      </c>
      <c r="E1" t="s">
        <v>814</v>
      </c>
      <c r="F1" t="s">
        <v>815</v>
      </c>
      <c r="G1" t="s">
        <v>816</v>
      </c>
      <c r="H1" t="s">
        <v>773</v>
      </c>
      <c r="I1" t="s">
        <v>817</v>
      </c>
      <c r="J1" t="s">
        <v>818</v>
      </c>
      <c r="K1" t="s">
        <v>819</v>
      </c>
      <c r="L1" t="s">
        <v>820</v>
      </c>
      <c r="M1" t="s">
        <v>821</v>
      </c>
      <c r="N1" t="s">
        <v>775</v>
      </c>
      <c r="O1" t="s">
        <v>822</v>
      </c>
    </row>
    <row r="2" spans="1:15" x14ac:dyDescent="0.25">
      <c r="A2" t="s">
        <v>824</v>
      </c>
      <c r="B2">
        <v>16</v>
      </c>
      <c r="C2">
        <v>5</v>
      </c>
      <c r="D2">
        <v>10</v>
      </c>
      <c r="E2" t="s">
        <v>20</v>
      </c>
      <c r="F2">
        <v>1.25</v>
      </c>
      <c r="G2">
        <v>1.5</v>
      </c>
      <c r="H2" t="s">
        <v>24</v>
      </c>
      <c r="I2">
        <v>6</v>
      </c>
      <c r="J2">
        <v>100</v>
      </c>
      <c r="K2">
        <v>33.6</v>
      </c>
      <c r="L2">
        <v>66</v>
      </c>
      <c r="M2">
        <v>9</v>
      </c>
      <c r="N2">
        <v>5</v>
      </c>
      <c r="O2">
        <v>13</v>
      </c>
    </row>
    <row r="3" spans="1:15" x14ac:dyDescent="0.25">
      <c r="A3" t="s">
        <v>808</v>
      </c>
      <c r="B3">
        <v>23</v>
      </c>
      <c r="C3">
        <v>7</v>
      </c>
      <c r="D3">
        <v>10</v>
      </c>
      <c r="E3" t="s">
        <v>141</v>
      </c>
      <c r="F3">
        <v>3.5</v>
      </c>
      <c r="G3">
        <v>2.5</v>
      </c>
      <c r="H3" t="s">
        <v>23</v>
      </c>
      <c r="I3">
        <v>2</v>
      </c>
      <c r="J3">
        <v>100</v>
      </c>
      <c r="K3">
        <v>21.7</v>
      </c>
      <c r="L3">
        <v>42</v>
      </c>
      <c r="M3">
        <v>4</v>
      </c>
      <c r="N3">
        <v>10</v>
      </c>
      <c r="O3">
        <v>26</v>
      </c>
    </row>
    <row r="4" spans="1:15" x14ac:dyDescent="0.25">
      <c r="A4" t="s">
        <v>823</v>
      </c>
      <c r="B4">
        <v>12</v>
      </c>
      <c r="C4">
        <v>6</v>
      </c>
      <c r="D4">
        <v>20</v>
      </c>
      <c r="E4" t="s">
        <v>139</v>
      </c>
      <c r="F4">
        <v>12</v>
      </c>
      <c r="G4">
        <v>0</v>
      </c>
      <c r="H4" t="s">
        <v>23</v>
      </c>
      <c r="I4">
        <v>9</v>
      </c>
      <c r="J4">
        <v>100</v>
      </c>
      <c r="K4">
        <v>872.01</v>
      </c>
      <c r="L4">
        <v>168</v>
      </c>
      <c r="N4">
        <v>12</v>
      </c>
      <c r="O4">
        <v>51</v>
      </c>
    </row>
    <row r="5" spans="1:15" x14ac:dyDescent="0.25">
      <c r="A5" t="s">
        <v>823</v>
      </c>
      <c r="B5">
        <v>13</v>
      </c>
      <c r="C5">
        <v>7</v>
      </c>
      <c r="D5">
        <v>20</v>
      </c>
      <c r="E5" t="s">
        <v>132</v>
      </c>
      <c r="F5">
        <v>6</v>
      </c>
      <c r="G5">
        <v>0</v>
      </c>
      <c r="H5" t="s">
        <v>23</v>
      </c>
      <c r="I5">
        <v>8</v>
      </c>
      <c r="J5">
        <v>100</v>
      </c>
      <c r="K5">
        <v>295.92</v>
      </c>
      <c r="L5">
        <v>112</v>
      </c>
      <c r="N5">
        <v>6</v>
      </c>
      <c r="O5">
        <v>51</v>
      </c>
    </row>
    <row r="6" spans="1:15" x14ac:dyDescent="0.25">
      <c r="A6" t="s">
        <v>823</v>
      </c>
      <c r="B6">
        <v>16</v>
      </c>
      <c r="C6">
        <v>4</v>
      </c>
      <c r="D6">
        <v>40</v>
      </c>
      <c r="E6" t="s">
        <v>20</v>
      </c>
      <c r="F6">
        <v>10</v>
      </c>
      <c r="G6">
        <v>0</v>
      </c>
      <c r="H6" t="s">
        <v>24</v>
      </c>
      <c r="I6">
        <v>7</v>
      </c>
      <c r="J6">
        <v>100</v>
      </c>
      <c r="K6">
        <v>581.55999999999995</v>
      </c>
      <c r="L6">
        <v>118</v>
      </c>
      <c r="N6">
        <v>10</v>
      </c>
      <c r="O6">
        <v>51</v>
      </c>
    </row>
    <row r="7" spans="1:15" x14ac:dyDescent="0.25">
      <c r="A7" t="s">
        <v>824</v>
      </c>
      <c r="B7">
        <v>24</v>
      </c>
      <c r="C7">
        <v>7</v>
      </c>
      <c r="D7">
        <v>10</v>
      </c>
      <c r="E7" t="s">
        <v>139</v>
      </c>
      <c r="F7">
        <v>4</v>
      </c>
      <c r="G7">
        <v>1.5</v>
      </c>
      <c r="H7" t="s">
        <v>24</v>
      </c>
      <c r="I7">
        <v>6</v>
      </c>
      <c r="J7">
        <v>100</v>
      </c>
      <c r="K7">
        <v>57.54</v>
      </c>
      <c r="L7">
        <v>98</v>
      </c>
      <c r="M7">
        <v>5</v>
      </c>
      <c r="N7">
        <v>8</v>
      </c>
      <c r="O7">
        <v>21</v>
      </c>
    </row>
    <row r="8" spans="1:15" x14ac:dyDescent="0.25">
      <c r="A8" t="s">
        <v>823</v>
      </c>
      <c r="B8">
        <v>12</v>
      </c>
      <c r="C8">
        <v>3</v>
      </c>
      <c r="D8">
        <v>10</v>
      </c>
      <c r="E8" t="s">
        <v>132</v>
      </c>
      <c r="F8">
        <v>8</v>
      </c>
      <c r="G8">
        <v>0</v>
      </c>
      <c r="H8" t="s">
        <v>23</v>
      </c>
      <c r="I8">
        <v>8</v>
      </c>
      <c r="J8">
        <v>100</v>
      </c>
      <c r="K8">
        <v>406.56</v>
      </c>
      <c r="L8">
        <v>118</v>
      </c>
      <c r="N8">
        <v>8</v>
      </c>
      <c r="O8">
        <v>51</v>
      </c>
    </row>
    <row r="9" spans="1:15" x14ac:dyDescent="0.25">
      <c r="A9" t="s">
        <v>823</v>
      </c>
      <c r="B9">
        <v>19</v>
      </c>
      <c r="C9">
        <v>7</v>
      </c>
      <c r="D9">
        <v>5</v>
      </c>
      <c r="E9" t="s">
        <v>20</v>
      </c>
      <c r="F9">
        <v>6</v>
      </c>
      <c r="G9">
        <v>0</v>
      </c>
      <c r="H9" t="s">
        <v>24</v>
      </c>
      <c r="I9">
        <v>10</v>
      </c>
      <c r="J9">
        <v>100</v>
      </c>
      <c r="K9">
        <v>299.5</v>
      </c>
      <c r="L9">
        <v>138</v>
      </c>
      <c r="N9">
        <v>6</v>
      </c>
      <c r="O9">
        <v>51</v>
      </c>
    </row>
    <row r="10" spans="1:15" x14ac:dyDescent="0.25">
      <c r="A10" t="s">
        <v>808</v>
      </c>
      <c r="B10">
        <v>16</v>
      </c>
      <c r="C10">
        <v>4</v>
      </c>
      <c r="D10">
        <v>5</v>
      </c>
      <c r="E10" t="s">
        <v>139</v>
      </c>
      <c r="F10">
        <v>3.5</v>
      </c>
      <c r="G10">
        <v>0</v>
      </c>
      <c r="H10" t="s">
        <v>24</v>
      </c>
      <c r="I10">
        <v>2</v>
      </c>
      <c r="J10">
        <v>100</v>
      </c>
      <c r="K10">
        <v>10.199999999999999</v>
      </c>
      <c r="L10">
        <v>20</v>
      </c>
      <c r="M10">
        <v>15</v>
      </c>
      <c r="N10">
        <v>3.5</v>
      </c>
      <c r="O10">
        <v>8</v>
      </c>
    </row>
    <row r="11" spans="1:15" x14ac:dyDescent="0.25">
      <c r="A11" t="s">
        <v>808</v>
      </c>
      <c r="B11">
        <v>20</v>
      </c>
      <c r="C11">
        <v>7</v>
      </c>
      <c r="D11">
        <v>60</v>
      </c>
      <c r="E11" t="s">
        <v>141</v>
      </c>
      <c r="F11">
        <v>3.5</v>
      </c>
      <c r="G11">
        <v>0</v>
      </c>
      <c r="H11" t="s">
        <v>24</v>
      </c>
      <c r="I11">
        <v>5</v>
      </c>
      <c r="J11">
        <v>100</v>
      </c>
      <c r="K11">
        <v>59.1</v>
      </c>
      <c r="L11">
        <v>60</v>
      </c>
      <c r="M11">
        <v>4</v>
      </c>
      <c r="N11">
        <v>3.5</v>
      </c>
      <c r="O11">
        <v>26</v>
      </c>
    </row>
    <row r="12" spans="1:15" x14ac:dyDescent="0.25">
      <c r="A12" t="s">
        <v>823</v>
      </c>
      <c r="B12">
        <v>18</v>
      </c>
      <c r="C12">
        <v>5</v>
      </c>
      <c r="D12">
        <v>20</v>
      </c>
      <c r="E12" t="s">
        <v>140</v>
      </c>
      <c r="F12">
        <v>6</v>
      </c>
      <c r="G12">
        <v>0</v>
      </c>
      <c r="H12" t="s">
        <v>24</v>
      </c>
      <c r="I12">
        <v>1</v>
      </c>
      <c r="J12">
        <v>100</v>
      </c>
      <c r="K12">
        <v>4.42</v>
      </c>
      <c r="L12">
        <v>18</v>
      </c>
      <c r="M12">
        <v>4</v>
      </c>
      <c r="N12">
        <v>6</v>
      </c>
      <c r="O12">
        <v>26</v>
      </c>
    </row>
    <row r="13" spans="1:15" x14ac:dyDescent="0.25">
      <c r="A13" t="s">
        <v>823</v>
      </c>
      <c r="B13">
        <v>15</v>
      </c>
      <c r="C13">
        <v>8</v>
      </c>
      <c r="D13">
        <v>5</v>
      </c>
      <c r="E13" t="s">
        <v>132</v>
      </c>
      <c r="F13">
        <v>10</v>
      </c>
      <c r="G13">
        <v>0</v>
      </c>
      <c r="H13" t="s">
        <v>24</v>
      </c>
      <c r="I13">
        <v>8</v>
      </c>
      <c r="J13">
        <v>100</v>
      </c>
      <c r="K13">
        <v>342.4</v>
      </c>
      <c r="L13">
        <v>152</v>
      </c>
      <c r="N13">
        <v>10</v>
      </c>
      <c r="O13">
        <v>51</v>
      </c>
    </row>
    <row r="14" spans="1:15" x14ac:dyDescent="0.25">
      <c r="A14" t="s">
        <v>808</v>
      </c>
      <c r="B14">
        <v>17</v>
      </c>
      <c r="C14">
        <v>3</v>
      </c>
      <c r="D14">
        <v>60</v>
      </c>
      <c r="E14" t="s">
        <v>20</v>
      </c>
      <c r="F14">
        <v>12</v>
      </c>
      <c r="G14">
        <v>0</v>
      </c>
      <c r="H14" t="s">
        <v>24</v>
      </c>
      <c r="I14">
        <v>5</v>
      </c>
      <c r="J14">
        <v>100</v>
      </c>
      <c r="K14">
        <v>608</v>
      </c>
      <c r="L14">
        <v>78</v>
      </c>
      <c r="N14">
        <v>12</v>
      </c>
      <c r="O14">
        <v>51</v>
      </c>
    </row>
    <row r="15" spans="1:15" x14ac:dyDescent="0.25">
      <c r="A15" t="s">
        <v>823</v>
      </c>
      <c r="B15">
        <v>16</v>
      </c>
      <c r="C15">
        <v>2</v>
      </c>
      <c r="D15">
        <v>5</v>
      </c>
      <c r="E15" t="s">
        <v>140</v>
      </c>
      <c r="F15">
        <v>8</v>
      </c>
      <c r="G15">
        <v>0</v>
      </c>
      <c r="H15" t="s">
        <v>24</v>
      </c>
      <c r="I15">
        <v>8</v>
      </c>
      <c r="J15">
        <v>100</v>
      </c>
      <c r="K15">
        <v>56.96</v>
      </c>
      <c r="L15">
        <v>118</v>
      </c>
      <c r="M15">
        <v>4</v>
      </c>
      <c r="N15">
        <v>8</v>
      </c>
      <c r="O15">
        <v>26</v>
      </c>
    </row>
    <row r="16" spans="1:15" x14ac:dyDescent="0.25">
      <c r="A16" t="s">
        <v>808</v>
      </c>
      <c r="B16">
        <v>21</v>
      </c>
      <c r="C16">
        <v>2</v>
      </c>
      <c r="D16">
        <v>0</v>
      </c>
      <c r="E16" t="s">
        <v>141</v>
      </c>
      <c r="F16">
        <v>2.5</v>
      </c>
      <c r="G16">
        <v>3.5</v>
      </c>
      <c r="H16" t="s">
        <v>23</v>
      </c>
      <c r="I16">
        <v>8</v>
      </c>
      <c r="J16">
        <v>100</v>
      </c>
      <c r="K16">
        <v>26.56</v>
      </c>
      <c r="L16">
        <v>98</v>
      </c>
      <c r="M16">
        <v>4</v>
      </c>
      <c r="N16">
        <v>10</v>
      </c>
      <c r="O16">
        <v>26</v>
      </c>
    </row>
  </sheetData>
  <conditionalFormatting sqref="K1:O1048576">
    <cfRule type="expression" dxfId="3" priority="1">
      <formula>NOT(K1=K1)</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916AD3-F892-4D57-9504-6A1C45951581}">
  <sheetPr codeName="Sheet2"/>
  <dimension ref="H6:I7"/>
  <sheetViews>
    <sheetView workbookViewId="0">
      <selection activeCell="I7" sqref="I7"/>
    </sheetView>
  </sheetViews>
  <sheetFormatPr defaultRowHeight="15" x14ac:dyDescent="0.25"/>
  <cols>
    <col min="8" max="8" width="15.28515625" bestFit="1" customWidth="1"/>
  </cols>
  <sheetData>
    <row r="6" spans="8:9" x14ac:dyDescent="0.25">
      <c r="H6" t="s">
        <v>825</v>
      </c>
      <c r="I6">
        <v>2</v>
      </c>
    </row>
    <row r="7" spans="8:9" x14ac:dyDescent="0.25">
      <c r="H7" t="s">
        <v>826</v>
      </c>
      <c r="I7">
        <v>100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4817" r:id="rId3" name="Button 1">
              <controlPr defaultSize="0" print="0" autoFill="0" autoPict="0" macro="[0]!callCSVToSheet">
                <anchor moveWithCells="1" sizeWithCells="1">
                  <from>
                    <xdr:col>1</xdr:col>
                    <xdr:colOff>533400</xdr:colOff>
                    <xdr:row>2</xdr:row>
                    <xdr:rowOff>133350</xdr:rowOff>
                  </from>
                  <to>
                    <xdr:col>4</xdr:col>
                    <xdr:colOff>333375</xdr:colOff>
                    <xdr:row>6</xdr:row>
                    <xdr:rowOff>19050</xdr:rowOff>
                  </to>
                </anchor>
              </controlPr>
            </control>
          </mc:Choice>
        </mc:AlternateContent>
        <mc:AlternateContent xmlns:mc="http://schemas.openxmlformats.org/markup-compatibility/2006">
          <mc:Choice Requires="x14">
            <control shapeId="34818" r:id="rId4" name="Button 2">
              <controlPr defaultSize="0" print="0" autoFill="0" autoPict="0" macro="[0]!callRunTests">
                <anchor moveWithCells="1" sizeWithCells="1">
                  <from>
                    <xdr:col>6</xdr:col>
                    <xdr:colOff>600075</xdr:colOff>
                    <xdr:row>2</xdr:row>
                    <xdr:rowOff>66675</xdr:rowOff>
                  </from>
                  <to>
                    <xdr:col>9</xdr:col>
                    <xdr:colOff>9525</xdr:colOff>
                    <xdr:row>4</xdr:row>
                    <xdr:rowOff>133350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172C66-19B1-4ECD-BD36-2498D6F6F088}">
  <sheetPr codeName="Sheet14"/>
  <dimension ref="A1:O16"/>
  <sheetViews>
    <sheetView tabSelected="1" workbookViewId="0">
      <selection activeCell="M22" sqref="M22"/>
    </sheetView>
  </sheetViews>
  <sheetFormatPr defaultRowHeight="15" x14ac:dyDescent="0.25"/>
  <cols>
    <col min="1" max="1" width="7.140625" bestFit="1" customWidth="1"/>
    <col min="2" max="2" width="9.42578125" bestFit="1" customWidth="1"/>
    <col min="3" max="3" width="7.5703125" bestFit="1" customWidth="1"/>
    <col min="4" max="4" width="10" bestFit="1" customWidth="1"/>
    <col min="5" max="5" width="18.140625" bestFit="1" customWidth="1"/>
    <col min="7" max="7" width="9.85546875" bestFit="1" customWidth="1"/>
    <col min="8" max="8" width="8.42578125" bestFit="1" customWidth="1"/>
    <col min="9" max="9" width="10.42578125" bestFit="1" customWidth="1"/>
    <col min="10" max="10" width="13.7109375" bestFit="1" customWidth="1"/>
    <col min="11" max="11" width="13.85546875" bestFit="1" customWidth="1"/>
    <col min="12" max="12" width="19.28515625" bestFit="1" customWidth="1"/>
    <col min="13" max="13" width="13.42578125" bestFit="1" customWidth="1"/>
    <col min="14" max="14" width="11" bestFit="1" customWidth="1"/>
    <col min="15" max="15" width="11.7109375" bestFit="1" customWidth="1"/>
    <col min="16" max="16" width="11.28515625" bestFit="1" customWidth="1"/>
  </cols>
  <sheetData>
    <row r="1" spans="1:15" x14ac:dyDescent="0.25">
      <c r="A1" t="s">
        <v>811</v>
      </c>
      <c r="B1" t="s">
        <v>812</v>
      </c>
      <c r="C1" t="s">
        <v>813</v>
      </c>
      <c r="D1" t="s">
        <v>810</v>
      </c>
      <c r="E1" t="s">
        <v>814</v>
      </c>
      <c r="F1" t="s">
        <v>815</v>
      </c>
      <c r="G1" t="s">
        <v>816</v>
      </c>
      <c r="H1" t="s">
        <v>773</v>
      </c>
      <c r="I1" t="s">
        <v>817</v>
      </c>
      <c r="J1" t="s">
        <v>818</v>
      </c>
      <c r="K1" t="s">
        <v>819</v>
      </c>
      <c r="L1" t="s">
        <v>820</v>
      </c>
      <c r="M1" t="s">
        <v>821</v>
      </c>
      <c r="N1" t="s">
        <v>775</v>
      </c>
      <c r="O1" t="s">
        <v>822</v>
      </c>
    </row>
    <row r="2" spans="1:15" x14ac:dyDescent="0.25">
      <c r="A2" t="s">
        <v>824</v>
      </c>
      <c r="B2">
        <v>16</v>
      </c>
      <c r="C2">
        <v>5</v>
      </c>
      <c r="D2">
        <v>10</v>
      </c>
      <c r="E2" t="s">
        <v>20</v>
      </c>
      <c r="F2">
        <v>1.25</v>
      </c>
      <c r="G2">
        <v>1.5</v>
      </c>
      <c r="H2" t="s">
        <v>24</v>
      </c>
      <c r="I2">
        <v>6</v>
      </c>
      <c r="J2">
        <v>100</v>
      </c>
      <c r="K2">
        <v>33.549999999999997</v>
      </c>
      <c r="L2">
        <v>65</v>
      </c>
      <c r="M2">
        <v>9</v>
      </c>
      <c r="N2">
        <v>5</v>
      </c>
      <c r="O2">
        <v>13</v>
      </c>
    </row>
    <row r="3" spans="1:15" x14ac:dyDescent="0.25">
      <c r="A3" t="s">
        <v>808</v>
      </c>
      <c r="B3">
        <v>23</v>
      </c>
      <c r="C3">
        <v>7</v>
      </c>
      <c r="D3">
        <v>10</v>
      </c>
      <c r="E3" t="s">
        <v>141</v>
      </c>
      <c r="F3">
        <v>3.5</v>
      </c>
      <c r="G3">
        <v>2.5</v>
      </c>
      <c r="H3" t="s">
        <v>23</v>
      </c>
      <c r="I3">
        <v>2</v>
      </c>
      <c r="J3">
        <v>100</v>
      </c>
      <c r="K3">
        <v>21.7</v>
      </c>
      <c r="L3">
        <v>41</v>
      </c>
      <c r="M3">
        <v>4</v>
      </c>
      <c r="N3">
        <v>10</v>
      </c>
      <c r="O3">
        <v>26</v>
      </c>
    </row>
    <row r="4" spans="1:15" x14ac:dyDescent="0.25">
      <c r="A4" t="s">
        <v>823</v>
      </c>
      <c r="B4">
        <v>12</v>
      </c>
      <c r="C4">
        <v>6</v>
      </c>
      <c r="D4">
        <v>20</v>
      </c>
      <c r="E4" t="s">
        <v>139</v>
      </c>
      <c r="F4">
        <v>12</v>
      </c>
      <c r="G4">
        <v>0</v>
      </c>
      <c r="H4" t="s">
        <v>23</v>
      </c>
      <c r="I4">
        <v>9</v>
      </c>
      <c r="J4">
        <v>100</v>
      </c>
      <c r="K4">
        <v>872.01</v>
      </c>
      <c r="L4">
        <v>168</v>
      </c>
      <c r="M4">
        <v>3.5</v>
      </c>
      <c r="N4">
        <v>12</v>
      </c>
      <c r="O4">
        <v>30</v>
      </c>
    </row>
    <row r="5" spans="1:15" x14ac:dyDescent="0.25">
      <c r="A5" t="s">
        <v>823</v>
      </c>
      <c r="B5">
        <v>13</v>
      </c>
      <c r="C5">
        <v>7</v>
      </c>
      <c r="D5">
        <v>20</v>
      </c>
      <c r="E5" t="s">
        <v>132</v>
      </c>
      <c r="F5">
        <v>6</v>
      </c>
      <c r="G5">
        <v>0</v>
      </c>
      <c r="H5" t="s">
        <v>23</v>
      </c>
      <c r="I5">
        <v>8</v>
      </c>
      <c r="J5">
        <v>100</v>
      </c>
      <c r="K5">
        <v>295.92</v>
      </c>
      <c r="L5">
        <v>111</v>
      </c>
      <c r="M5">
        <v>4.5</v>
      </c>
      <c r="N5">
        <v>6</v>
      </c>
      <c r="O5">
        <v>24</v>
      </c>
    </row>
    <row r="6" spans="1:15" x14ac:dyDescent="0.25">
      <c r="A6" t="s">
        <v>823</v>
      </c>
      <c r="B6">
        <v>16</v>
      </c>
      <c r="C6">
        <v>4</v>
      </c>
      <c r="D6">
        <v>40</v>
      </c>
      <c r="E6" t="s">
        <v>20</v>
      </c>
      <c r="F6">
        <v>10</v>
      </c>
      <c r="G6">
        <v>0</v>
      </c>
      <c r="H6" t="s">
        <v>24</v>
      </c>
      <c r="I6">
        <v>7</v>
      </c>
      <c r="J6">
        <v>100</v>
      </c>
      <c r="K6">
        <v>581.51</v>
      </c>
      <c r="L6">
        <v>102</v>
      </c>
      <c r="M6">
        <v>5</v>
      </c>
      <c r="N6">
        <v>10</v>
      </c>
      <c r="O6">
        <v>21</v>
      </c>
    </row>
    <row r="7" spans="1:15" x14ac:dyDescent="0.25">
      <c r="A7" t="s">
        <v>824</v>
      </c>
      <c r="B7">
        <v>24</v>
      </c>
      <c r="C7">
        <v>7</v>
      </c>
      <c r="D7">
        <v>10</v>
      </c>
      <c r="E7" t="s">
        <v>139</v>
      </c>
      <c r="F7">
        <v>4</v>
      </c>
      <c r="G7">
        <v>1.5</v>
      </c>
      <c r="H7" t="s">
        <v>24</v>
      </c>
      <c r="I7">
        <v>6</v>
      </c>
      <c r="J7">
        <v>100</v>
      </c>
      <c r="K7">
        <v>57.51</v>
      </c>
      <c r="L7">
        <v>97</v>
      </c>
      <c r="M7">
        <v>5</v>
      </c>
      <c r="N7">
        <v>8</v>
      </c>
      <c r="O7">
        <v>21</v>
      </c>
    </row>
    <row r="8" spans="1:15" x14ac:dyDescent="0.25">
      <c r="A8" t="s">
        <v>823</v>
      </c>
      <c r="B8">
        <v>12</v>
      </c>
      <c r="C8">
        <v>3</v>
      </c>
      <c r="D8">
        <v>10</v>
      </c>
      <c r="E8" t="s">
        <v>132</v>
      </c>
      <c r="F8">
        <v>8</v>
      </c>
      <c r="G8">
        <v>0</v>
      </c>
      <c r="H8" t="s">
        <v>23</v>
      </c>
      <c r="I8">
        <v>8</v>
      </c>
      <c r="J8">
        <v>100</v>
      </c>
      <c r="K8">
        <v>406.53</v>
      </c>
      <c r="L8">
        <v>91</v>
      </c>
      <c r="M8">
        <v>3</v>
      </c>
      <c r="N8">
        <v>8</v>
      </c>
      <c r="O8">
        <v>35</v>
      </c>
    </row>
    <row r="9" spans="1:15" x14ac:dyDescent="0.25">
      <c r="A9" t="s">
        <v>823</v>
      </c>
      <c r="B9">
        <v>19</v>
      </c>
      <c r="C9">
        <v>7</v>
      </c>
      <c r="D9">
        <v>5</v>
      </c>
      <c r="E9" t="s">
        <v>20</v>
      </c>
      <c r="F9">
        <v>6</v>
      </c>
      <c r="G9">
        <v>0</v>
      </c>
      <c r="H9" t="s">
        <v>24</v>
      </c>
      <c r="I9">
        <v>10</v>
      </c>
      <c r="J9">
        <v>100</v>
      </c>
      <c r="K9">
        <v>299.45</v>
      </c>
      <c r="L9">
        <v>137</v>
      </c>
      <c r="M9">
        <v>4.5</v>
      </c>
      <c r="N9">
        <v>6</v>
      </c>
      <c r="O9">
        <v>24</v>
      </c>
    </row>
    <row r="10" spans="1:15" x14ac:dyDescent="0.25">
      <c r="A10" t="s">
        <v>808</v>
      </c>
      <c r="B10">
        <v>16</v>
      </c>
      <c r="C10">
        <v>4</v>
      </c>
      <c r="D10">
        <v>5</v>
      </c>
      <c r="E10" t="s">
        <v>139</v>
      </c>
      <c r="F10">
        <v>3.5</v>
      </c>
      <c r="G10">
        <v>0</v>
      </c>
      <c r="H10" t="s">
        <v>24</v>
      </c>
      <c r="I10">
        <v>2</v>
      </c>
      <c r="J10">
        <v>100</v>
      </c>
      <c r="K10">
        <v>10.18</v>
      </c>
      <c r="L10">
        <v>19</v>
      </c>
      <c r="M10">
        <v>15</v>
      </c>
      <c r="N10">
        <v>4</v>
      </c>
      <c r="O10">
        <v>8</v>
      </c>
    </row>
    <row r="11" spans="1:15" x14ac:dyDescent="0.25">
      <c r="A11" t="s">
        <v>808</v>
      </c>
      <c r="B11">
        <v>20</v>
      </c>
      <c r="C11">
        <v>7</v>
      </c>
      <c r="D11">
        <v>60</v>
      </c>
      <c r="E11" t="s">
        <v>141</v>
      </c>
      <c r="F11">
        <v>3.5</v>
      </c>
      <c r="G11">
        <v>0</v>
      </c>
      <c r="H11" t="s">
        <v>24</v>
      </c>
      <c r="I11">
        <v>5</v>
      </c>
      <c r="J11">
        <v>100</v>
      </c>
      <c r="K11">
        <v>59.1</v>
      </c>
      <c r="L11">
        <v>59.5</v>
      </c>
      <c r="M11">
        <v>4</v>
      </c>
      <c r="N11">
        <v>4</v>
      </c>
      <c r="O11">
        <v>26</v>
      </c>
    </row>
    <row r="12" spans="1:15" x14ac:dyDescent="0.25">
      <c r="A12" t="s">
        <v>823</v>
      </c>
      <c r="B12">
        <v>18</v>
      </c>
      <c r="C12">
        <v>5</v>
      </c>
      <c r="D12">
        <v>20</v>
      </c>
      <c r="E12" t="s">
        <v>140</v>
      </c>
      <c r="F12">
        <v>6</v>
      </c>
      <c r="G12">
        <v>0</v>
      </c>
      <c r="H12" t="s">
        <v>24</v>
      </c>
      <c r="I12">
        <v>1</v>
      </c>
      <c r="J12">
        <v>100</v>
      </c>
      <c r="K12">
        <v>4.42</v>
      </c>
      <c r="L12">
        <v>16</v>
      </c>
      <c r="M12">
        <v>4</v>
      </c>
      <c r="N12">
        <v>6</v>
      </c>
      <c r="O12">
        <v>26</v>
      </c>
    </row>
    <row r="13" spans="1:15" x14ac:dyDescent="0.25">
      <c r="A13" t="s">
        <v>823</v>
      </c>
      <c r="B13">
        <v>15</v>
      </c>
      <c r="C13">
        <v>8</v>
      </c>
      <c r="D13">
        <v>5</v>
      </c>
      <c r="E13" t="s">
        <v>132</v>
      </c>
      <c r="F13">
        <v>10</v>
      </c>
      <c r="G13">
        <v>0</v>
      </c>
      <c r="H13" t="s">
        <v>24</v>
      </c>
      <c r="I13">
        <v>8</v>
      </c>
      <c r="J13">
        <v>100</v>
      </c>
      <c r="K13">
        <v>342.33</v>
      </c>
      <c r="L13">
        <v>152</v>
      </c>
      <c r="M13">
        <v>9</v>
      </c>
      <c r="N13">
        <v>10</v>
      </c>
      <c r="O13">
        <v>13</v>
      </c>
    </row>
    <row r="14" spans="1:15" x14ac:dyDescent="0.25">
      <c r="A14" t="s">
        <v>808</v>
      </c>
      <c r="B14">
        <v>17</v>
      </c>
      <c r="C14">
        <v>3</v>
      </c>
      <c r="D14">
        <v>60</v>
      </c>
      <c r="E14" t="s">
        <v>20</v>
      </c>
      <c r="F14">
        <v>12</v>
      </c>
      <c r="G14">
        <v>0</v>
      </c>
      <c r="H14" t="s">
        <v>24</v>
      </c>
      <c r="I14">
        <v>5</v>
      </c>
      <c r="J14">
        <v>100</v>
      </c>
      <c r="K14">
        <v>608</v>
      </c>
      <c r="L14">
        <v>78</v>
      </c>
      <c r="M14">
        <v>30</v>
      </c>
      <c r="N14">
        <v>12</v>
      </c>
      <c r="O14">
        <v>5</v>
      </c>
    </row>
    <row r="15" spans="1:15" x14ac:dyDescent="0.25">
      <c r="A15" t="s">
        <v>823</v>
      </c>
      <c r="B15">
        <v>16</v>
      </c>
      <c r="C15">
        <v>2</v>
      </c>
      <c r="D15">
        <v>5</v>
      </c>
      <c r="E15" t="s">
        <v>140</v>
      </c>
      <c r="F15">
        <v>8</v>
      </c>
      <c r="G15">
        <v>0</v>
      </c>
      <c r="H15" t="s">
        <v>24</v>
      </c>
      <c r="I15">
        <v>8</v>
      </c>
      <c r="J15">
        <v>100</v>
      </c>
      <c r="K15">
        <v>56.91</v>
      </c>
      <c r="L15">
        <v>82</v>
      </c>
      <c r="M15">
        <v>4</v>
      </c>
      <c r="N15">
        <v>8</v>
      </c>
      <c r="O15">
        <v>26</v>
      </c>
    </row>
    <row r="16" spans="1:15" x14ac:dyDescent="0.25">
      <c r="A16" t="s">
        <v>808</v>
      </c>
      <c r="B16">
        <v>21</v>
      </c>
      <c r="C16">
        <v>2</v>
      </c>
      <c r="D16">
        <v>0</v>
      </c>
      <c r="E16" t="s">
        <v>141</v>
      </c>
      <c r="F16">
        <v>2.5</v>
      </c>
      <c r="G16">
        <v>3.5</v>
      </c>
      <c r="H16" t="s">
        <v>23</v>
      </c>
      <c r="I16">
        <v>8</v>
      </c>
      <c r="J16">
        <v>100</v>
      </c>
      <c r="K16">
        <v>26.55</v>
      </c>
      <c r="L16">
        <v>98</v>
      </c>
      <c r="M16">
        <v>4</v>
      </c>
      <c r="N16">
        <v>10</v>
      </c>
      <c r="O16">
        <v>26</v>
      </c>
    </row>
  </sheetData>
  <conditionalFormatting sqref="M2:P1048576">
    <cfRule type="expression" dxfId="2" priority="3">
      <formula>M2&lt;&gt;#REF!</formula>
    </cfRule>
  </conditionalFormatting>
  <conditionalFormatting sqref="K1:O1">
    <cfRule type="expression" dxfId="0" priority="1">
      <formula>NOT(K1=K1)</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2" id="{E4021C74-9FAC-451C-A683-5500F61814C5}">
            <xm:f>NOT(K2='Website Tests'!K2)</xm:f>
            <x14:dxf>
              <fill>
                <patternFill>
                  <bgColor rgb="FFFF7C80"/>
                </patternFill>
              </fill>
            </x14:dxf>
          </x14:cfRule>
          <xm:sqref>K2:O1048576</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1CDF1E-A12A-428C-A0F4-282782802C75}">
  <sheetPr codeName="Sheet3"/>
  <dimension ref="A1:C38"/>
  <sheetViews>
    <sheetView topLeftCell="A23" zoomScale="150" zoomScaleNormal="150" workbookViewId="0">
      <selection activeCell="B38" sqref="B38"/>
    </sheetView>
  </sheetViews>
  <sheetFormatPr defaultRowHeight="15" x14ac:dyDescent="0.25"/>
  <cols>
    <col min="1" max="1" width="54.5703125" bestFit="1" customWidth="1"/>
    <col min="2" max="2" width="18.42578125" customWidth="1"/>
    <col min="3" max="3" width="94.85546875" customWidth="1"/>
  </cols>
  <sheetData>
    <row r="1" spans="1:3" x14ac:dyDescent="0.25">
      <c r="A1" s="56" t="s">
        <v>802</v>
      </c>
      <c r="B1" t="s">
        <v>57</v>
      </c>
      <c r="C1" t="s">
        <v>58</v>
      </c>
    </row>
    <row r="2" spans="1:3" x14ac:dyDescent="0.25">
      <c r="A2" t="s">
        <v>9</v>
      </c>
      <c r="B2" t="str">
        <f>Inputs!C4</f>
        <v>Pipe</v>
      </c>
      <c r="C2" t="s">
        <v>59</v>
      </c>
    </row>
    <row r="3" spans="1:3" x14ac:dyDescent="0.25">
      <c r="A3" t="s">
        <v>12</v>
      </c>
      <c r="B3">
        <f>Inputs!C5</f>
        <v>100</v>
      </c>
      <c r="C3" t="s">
        <v>59</v>
      </c>
    </row>
    <row r="4" spans="1:3" x14ac:dyDescent="0.25">
      <c r="A4" t="s">
        <v>13</v>
      </c>
      <c r="B4">
        <f>Inputs!C6</f>
        <v>20</v>
      </c>
      <c r="C4" t="s">
        <v>59</v>
      </c>
    </row>
    <row r="5" spans="1:3" x14ac:dyDescent="0.25">
      <c r="A5" t="s">
        <v>14</v>
      </c>
      <c r="B5">
        <f>Inputs!C7</f>
        <v>21</v>
      </c>
      <c r="C5" t="s">
        <v>59</v>
      </c>
    </row>
    <row r="6" spans="1:3" x14ac:dyDescent="0.25">
      <c r="A6" t="s">
        <v>16</v>
      </c>
      <c r="B6">
        <f>Inputs!C9</f>
        <v>0</v>
      </c>
      <c r="C6" t="s">
        <v>59</v>
      </c>
    </row>
    <row r="7" spans="1:3" x14ac:dyDescent="0.25">
      <c r="A7" t="s">
        <v>60</v>
      </c>
      <c r="B7">
        <f>Inputs!C8</f>
        <v>1</v>
      </c>
      <c r="C7" t="s">
        <v>59</v>
      </c>
    </row>
    <row r="8" spans="1:3" x14ac:dyDescent="0.25">
      <c r="A8" t="s">
        <v>61</v>
      </c>
      <c r="B8">
        <f>IF(B2="pipe",0.55,1)*B6</f>
        <v>0</v>
      </c>
      <c r="C8" t="s">
        <v>62</v>
      </c>
    </row>
    <row r="9" spans="1:3" x14ac:dyDescent="0.25">
      <c r="A9" t="s">
        <v>63</v>
      </c>
      <c r="B9" t="str">
        <f>Inputs!C12</f>
        <v>CPVC - Schedule 80</v>
      </c>
      <c r="C9" t="s">
        <v>59</v>
      </c>
    </row>
    <row r="10" spans="1:3" x14ac:dyDescent="0.25">
      <c r="A10" t="s">
        <v>64</v>
      </c>
      <c r="B10" t="str">
        <f>Inputs!C13</f>
        <v>Water</v>
      </c>
      <c r="C10" t="s">
        <v>59</v>
      </c>
    </row>
    <row r="11" spans="1:3" x14ac:dyDescent="0.25">
      <c r="A11" t="s">
        <v>65</v>
      </c>
      <c r="B11">
        <f>Inputs!C14</f>
        <v>2.5</v>
      </c>
      <c r="C11" t="s">
        <v>59</v>
      </c>
    </row>
    <row r="12" spans="1:3" x14ac:dyDescent="0.25">
      <c r="A12" t="s">
        <v>66</v>
      </c>
      <c r="B12">
        <f>Inputs!C15</f>
        <v>3.5</v>
      </c>
      <c r="C12" t="s">
        <v>59</v>
      </c>
    </row>
    <row r="13" spans="1:3" x14ac:dyDescent="0.25">
      <c r="A13" t="s">
        <v>67</v>
      </c>
      <c r="B13" t="str">
        <f>Inputs!C16</f>
        <v>clevis hanger</v>
      </c>
      <c r="C13" t="s">
        <v>59</v>
      </c>
    </row>
    <row r="14" spans="1:3" x14ac:dyDescent="0.25">
      <c r="A14" t="s">
        <v>68</v>
      </c>
      <c r="B14">
        <f>Inputs!C17</f>
        <v>8</v>
      </c>
      <c r="C14" t="s">
        <v>59</v>
      </c>
    </row>
    <row r="15" spans="1:3" x14ac:dyDescent="0.25">
      <c r="A15" t="s">
        <v>69</v>
      </c>
      <c r="B15">
        <f>B14</f>
        <v>8</v>
      </c>
      <c r="C15" t="s">
        <v>59</v>
      </c>
    </row>
    <row r="16" spans="1:3" x14ac:dyDescent="0.25">
      <c r="A16" t="s">
        <v>70</v>
      </c>
      <c r="B16">
        <f>IF(B12=0,B11,'Pipe weight, hangers, spacing'!M255)</f>
        <v>10</v>
      </c>
      <c r="C16" t="s">
        <v>71</v>
      </c>
    </row>
    <row r="17" spans="1:3" x14ac:dyDescent="0.25">
      <c r="A17" t="s">
        <v>72</v>
      </c>
      <c r="B17">
        <f>IF(B10="Gas",'Pipe weight, hangers, spacing'!A119,IF(B10="Water",'Pipe weight, hangers, spacing'!B119,0))+IF(B12&lt;&gt;0,'Pipe weight, hangers, spacing'!A119*0.1)</f>
        <v>3.319</v>
      </c>
      <c r="C17" t="s">
        <v>71</v>
      </c>
    </row>
    <row r="18" spans="1:3" x14ac:dyDescent="0.25">
      <c r="A18" t="s">
        <v>73</v>
      </c>
      <c r="B18">
        <f>B15*B17</f>
        <v>26.552</v>
      </c>
      <c r="C18" t="s">
        <v>71</v>
      </c>
    </row>
    <row r="19" spans="1:3" x14ac:dyDescent="0.25">
      <c r="A19" t="s">
        <v>74</v>
      </c>
      <c r="B19">
        <f>B$8*((B16*12)/144)</f>
        <v>0</v>
      </c>
    </row>
    <row r="20" spans="1:3" x14ac:dyDescent="0.25">
      <c r="A20" t="s">
        <v>804</v>
      </c>
      <c r="B20">
        <f>B19*B14</f>
        <v>0</v>
      </c>
      <c r="C20" t="s">
        <v>71</v>
      </c>
    </row>
    <row r="21" spans="1:3" x14ac:dyDescent="0.25">
      <c r="A21" t="s">
        <v>75</v>
      </c>
      <c r="B21" t="str">
        <f>Inputs!D12</f>
        <v>None</v>
      </c>
      <c r="C21" t="s">
        <v>59</v>
      </c>
    </row>
    <row r="22" spans="1:3" x14ac:dyDescent="0.25">
      <c r="A22" t="s">
        <v>76</v>
      </c>
      <c r="B22" t="str">
        <f>Inputs!D13</f>
        <v>None</v>
      </c>
      <c r="C22" t="s">
        <v>59</v>
      </c>
    </row>
    <row r="23" spans="1:3" x14ac:dyDescent="0.25">
      <c r="A23" t="s">
        <v>77</v>
      </c>
      <c r="B23">
        <f>IF(OR(B17="None",Inputs!C18="No"),0,Inputs!D14)</f>
        <v>0</v>
      </c>
      <c r="C23" t="s">
        <v>59</v>
      </c>
    </row>
    <row r="24" spans="1:3" x14ac:dyDescent="0.25">
      <c r="A24" t="s">
        <v>78</v>
      </c>
      <c r="B24">
        <f>Inputs!D15</f>
        <v>0</v>
      </c>
      <c r="C24" t="s">
        <v>59</v>
      </c>
    </row>
    <row r="25" spans="1:3" x14ac:dyDescent="0.25">
      <c r="A25" t="s">
        <v>79</v>
      </c>
      <c r="B25" t="str">
        <f>Inputs!D16</f>
        <v>None</v>
      </c>
      <c r="C25" t="s">
        <v>59</v>
      </c>
    </row>
    <row r="26" spans="1:3" x14ac:dyDescent="0.25">
      <c r="A26" t="s">
        <v>80</v>
      </c>
      <c r="B26">
        <f>IF(OR(B17="None",Inputs!C18="No"),0,Inputs!D17)</f>
        <v>0</v>
      </c>
      <c r="C26" t="s">
        <v>59</v>
      </c>
    </row>
    <row r="27" spans="1:3" x14ac:dyDescent="0.25">
      <c r="A27" t="s">
        <v>81</v>
      </c>
      <c r="B27">
        <f>B26</f>
        <v>0</v>
      </c>
      <c r="C27" t="s">
        <v>59</v>
      </c>
    </row>
    <row r="28" spans="1:3" x14ac:dyDescent="0.25">
      <c r="A28" t="s">
        <v>82</v>
      </c>
      <c r="B28">
        <f>IF(B24=0,B23,'Pipe weight, hangers, spacing'!M256)</f>
        <v>0</v>
      </c>
      <c r="C28" t="s">
        <v>71</v>
      </c>
    </row>
    <row r="29" spans="1:3" x14ac:dyDescent="0.25">
      <c r="A29" t="s">
        <v>83</v>
      </c>
      <c r="B29">
        <f>IF(B22="Gas",'Pipe weight, hangers, spacing'!E119,IF(B22="Water",'Pipe weight, hangers, spacing'!F119,0))+IF(B24&lt;&gt;0,'Pipe weight, hangers, spacing'!E119*0.1)</f>
        <v>0</v>
      </c>
      <c r="C29" t="s">
        <v>71</v>
      </c>
    </row>
    <row r="30" spans="1:3" x14ac:dyDescent="0.25">
      <c r="A30" t="s">
        <v>84</v>
      </c>
      <c r="B30">
        <f>B27*B29</f>
        <v>0</v>
      </c>
      <c r="C30" t="s">
        <v>71</v>
      </c>
    </row>
    <row r="31" spans="1:3" x14ac:dyDescent="0.25">
      <c r="A31" t="s">
        <v>803</v>
      </c>
      <c r="B31">
        <f>B$8*((B28*12)/144)</f>
        <v>0</v>
      </c>
      <c r="C31" t="s">
        <v>71</v>
      </c>
    </row>
    <row r="32" spans="1:3" x14ac:dyDescent="0.25">
      <c r="A32" t="s">
        <v>803</v>
      </c>
      <c r="B32">
        <f>B31*B26</f>
        <v>0</v>
      </c>
      <c r="C32" t="s">
        <v>71</v>
      </c>
    </row>
    <row r="33" spans="1:3" x14ac:dyDescent="0.25">
      <c r="A33" t="s">
        <v>85</v>
      </c>
      <c r="B33">
        <f>Inputs!C19</f>
        <v>2</v>
      </c>
    </row>
    <row r="34" spans="1:3" x14ac:dyDescent="0.25">
      <c r="A34" t="s">
        <v>86</v>
      </c>
      <c r="B34">
        <f>IF((B14+B26)=1,(B18+B20+B30+B32)*0.5,(B18+B20+B30+B32))</f>
        <v>26.552</v>
      </c>
      <c r="C34" t="s">
        <v>71</v>
      </c>
    </row>
    <row r="35" spans="1:3" x14ac:dyDescent="0.25">
      <c r="A35" t="s">
        <v>87</v>
      </c>
      <c r="B35">
        <f>IF(B2="pipe",IF(B33=0,6+6+(6*SUM(B14,B26,-1))+(B14*B16)+(B26*B28),B33+B33+(B33*SUM(B14,B26,-1))+(B14*B16)+(B26*B28)),0)</f>
        <v>98</v>
      </c>
      <c r="C35" t="s">
        <v>71</v>
      </c>
    </row>
    <row r="36" spans="1:3" x14ac:dyDescent="0.25">
      <c r="A36" t="s">
        <v>88</v>
      </c>
      <c r="B36">
        <f>IF(AND(B2="Pipe",B13="Clevis"),B5+Inputs!C20+MAX(B16,B28)+18,B5)</f>
        <v>21</v>
      </c>
      <c r="C36" t="s">
        <v>71</v>
      </c>
    </row>
    <row r="37" spans="1:3" x14ac:dyDescent="0.25">
      <c r="A37" t="s">
        <v>89</v>
      </c>
      <c r="B37">
        <f>750*2</f>
        <v>1500</v>
      </c>
      <c r="C37" t="s">
        <v>90</v>
      </c>
    </row>
    <row r="38" spans="1:3" x14ac:dyDescent="0.25">
      <c r="A38" t="s">
        <v>91</v>
      </c>
      <c r="B38" s="4">
        <f>ROUNDUP((Calculations!B3/'Pipe Calcs for Span'!B149),0)+1</f>
        <v>26</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677569-B975-41CD-8C2A-54329252FBE4}">
  <sheetPr codeName="Sheet4"/>
  <dimension ref="A1:F150"/>
  <sheetViews>
    <sheetView topLeftCell="A143" zoomScale="150" zoomScaleNormal="150" workbookViewId="0">
      <selection activeCell="B149" sqref="B149"/>
    </sheetView>
  </sheetViews>
  <sheetFormatPr defaultRowHeight="15" x14ac:dyDescent="0.25"/>
  <cols>
    <col min="2" max="2" width="20" bestFit="1" customWidth="1"/>
    <col min="3" max="3" width="20" customWidth="1"/>
    <col min="4" max="4" width="17.42578125" bestFit="1" customWidth="1"/>
    <col min="5" max="5" width="17.42578125" customWidth="1"/>
    <col min="6" max="6" width="25.28515625" customWidth="1"/>
  </cols>
  <sheetData>
    <row r="1" spans="1:6" ht="30" x14ac:dyDescent="0.25">
      <c r="A1" s="9" t="s">
        <v>93</v>
      </c>
      <c r="B1" s="9" t="s">
        <v>94</v>
      </c>
      <c r="C1" s="9" t="s">
        <v>95</v>
      </c>
      <c r="D1" s="9" t="s">
        <v>96</v>
      </c>
      <c r="E1" s="9" t="s">
        <v>97</v>
      </c>
      <c r="F1" s="9" t="s">
        <v>98</v>
      </c>
    </row>
    <row r="2" spans="1:6" x14ac:dyDescent="0.25">
      <c r="A2" s="9">
        <v>1</v>
      </c>
      <c r="B2" s="9">
        <f>'Pipe weight, hangers, spacing'!$S$241</f>
        <v>4</v>
      </c>
      <c r="C2" s="9">
        <f>Calculations!$B$34</f>
        <v>26.552</v>
      </c>
      <c r="D2" s="9">
        <f>B2*C2</f>
        <v>106.208</v>
      </c>
      <c r="E2" s="9">
        <f>Calculations!$B$37</f>
        <v>1500</v>
      </c>
      <c r="F2" s="9" t="b">
        <f>IF(D2 &lt;  (0.9* E2),TRUE,FALSE)</f>
        <v>1</v>
      </c>
    </row>
    <row r="3" spans="1:6" x14ac:dyDescent="0.25">
      <c r="A3" s="9">
        <f>A2+1</f>
        <v>2</v>
      </c>
      <c r="B3" s="9">
        <f>IF(($B2-0.5)&gt;=2,($B2-0.5),2)</f>
        <v>3.5</v>
      </c>
      <c r="C3" s="9">
        <f>Calculations!$B$34</f>
        <v>26.552</v>
      </c>
      <c r="D3" s="9">
        <f t="shared" ref="D3:D11" si="0">B3*C3</f>
        <v>92.932000000000002</v>
      </c>
      <c r="E3" s="9">
        <f>Calculations!$B$37</f>
        <v>1500</v>
      </c>
      <c r="F3" s="9" t="b">
        <f t="shared" ref="F3:F11" si="1">IF(D3 &lt;  (0.9* E3),TRUE,FALSE)</f>
        <v>1</v>
      </c>
    </row>
    <row r="4" spans="1:6" x14ac:dyDescent="0.25">
      <c r="A4" s="9">
        <f t="shared" ref="A4:A26" si="2">A3+1</f>
        <v>3</v>
      </c>
      <c r="B4" s="9">
        <f t="shared" ref="B4:B42" si="3">IF(($B3-0.5)&gt;=2,($B3-0.5),2)</f>
        <v>3</v>
      </c>
      <c r="C4" s="9">
        <f>Calculations!$B$34</f>
        <v>26.552</v>
      </c>
      <c r="D4" s="9">
        <f t="shared" si="0"/>
        <v>79.656000000000006</v>
      </c>
      <c r="E4" s="9">
        <f>Calculations!$B$37</f>
        <v>1500</v>
      </c>
      <c r="F4" s="9" t="b">
        <f t="shared" si="1"/>
        <v>1</v>
      </c>
    </row>
    <row r="5" spans="1:6" x14ac:dyDescent="0.25">
      <c r="A5" s="9">
        <f t="shared" si="2"/>
        <v>4</v>
      </c>
      <c r="B5" s="9">
        <f t="shared" si="3"/>
        <v>2.5</v>
      </c>
      <c r="C5" s="9">
        <f>Calculations!$B$34</f>
        <v>26.552</v>
      </c>
      <c r="D5" s="9">
        <f t="shared" si="0"/>
        <v>66.38</v>
      </c>
      <c r="E5" s="9">
        <f>Calculations!$B$37</f>
        <v>1500</v>
      </c>
      <c r="F5" s="9" t="b">
        <f t="shared" si="1"/>
        <v>1</v>
      </c>
    </row>
    <row r="6" spans="1:6" x14ac:dyDescent="0.25">
      <c r="A6" s="9">
        <f t="shared" si="2"/>
        <v>5</v>
      </c>
      <c r="B6" s="9">
        <f t="shared" si="3"/>
        <v>2</v>
      </c>
      <c r="C6" s="9">
        <f>Calculations!$B$34</f>
        <v>26.552</v>
      </c>
      <c r="D6" s="9">
        <f t="shared" si="0"/>
        <v>53.103999999999999</v>
      </c>
      <c r="E6" s="9">
        <f>Calculations!$B$37</f>
        <v>1500</v>
      </c>
      <c r="F6" s="9" t="b">
        <f t="shared" si="1"/>
        <v>1</v>
      </c>
    </row>
    <row r="7" spans="1:6" x14ac:dyDescent="0.25">
      <c r="A7" s="9">
        <f t="shared" si="2"/>
        <v>6</v>
      </c>
      <c r="B7" s="9">
        <f t="shared" si="3"/>
        <v>2</v>
      </c>
      <c r="C7" s="9">
        <f>Calculations!$B$34</f>
        <v>26.552</v>
      </c>
      <c r="D7" s="9">
        <f t="shared" si="0"/>
        <v>53.103999999999999</v>
      </c>
      <c r="E7" s="9">
        <f>Calculations!$B$37</f>
        <v>1500</v>
      </c>
      <c r="F7" s="9" t="b">
        <f t="shared" si="1"/>
        <v>1</v>
      </c>
    </row>
    <row r="8" spans="1:6" x14ac:dyDescent="0.25">
      <c r="A8" s="9">
        <f t="shared" si="2"/>
        <v>7</v>
      </c>
      <c r="B8" s="9">
        <f t="shared" si="3"/>
        <v>2</v>
      </c>
      <c r="C8" s="9">
        <f>Calculations!$B$34</f>
        <v>26.552</v>
      </c>
      <c r="D8" s="9">
        <f t="shared" si="0"/>
        <v>53.103999999999999</v>
      </c>
      <c r="E8" s="9">
        <f>Calculations!$B$37</f>
        <v>1500</v>
      </c>
      <c r="F8" s="9" t="b">
        <f t="shared" si="1"/>
        <v>1</v>
      </c>
    </row>
    <row r="9" spans="1:6" x14ac:dyDescent="0.25">
      <c r="A9" s="9">
        <f t="shared" si="2"/>
        <v>8</v>
      </c>
      <c r="B9" s="9">
        <f t="shared" si="3"/>
        <v>2</v>
      </c>
      <c r="C9" s="9">
        <f>Calculations!$B$34</f>
        <v>26.552</v>
      </c>
      <c r="D9" s="9">
        <f t="shared" si="0"/>
        <v>53.103999999999999</v>
      </c>
      <c r="E9" s="9">
        <f>Calculations!$B$37</f>
        <v>1500</v>
      </c>
      <c r="F9" s="9" t="b">
        <f t="shared" si="1"/>
        <v>1</v>
      </c>
    </row>
    <row r="10" spans="1:6" x14ac:dyDescent="0.25">
      <c r="A10" s="9">
        <f t="shared" si="2"/>
        <v>9</v>
      </c>
      <c r="B10" s="9">
        <f t="shared" si="3"/>
        <v>2</v>
      </c>
      <c r="C10" s="9">
        <f>Calculations!$B$34</f>
        <v>26.552</v>
      </c>
      <c r="D10" s="9">
        <f t="shared" si="0"/>
        <v>53.103999999999999</v>
      </c>
      <c r="E10" s="9">
        <f>Calculations!$B$37</f>
        <v>1500</v>
      </c>
      <c r="F10" s="9" t="b">
        <f t="shared" si="1"/>
        <v>1</v>
      </c>
    </row>
    <row r="11" spans="1:6" x14ac:dyDescent="0.25">
      <c r="A11" s="9">
        <f t="shared" si="2"/>
        <v>10</v>
      </c>
      <c r="B11" s="9">
        <f t="shared" si="3"/>
        <v>2</v>
      </c>
      <c r="C11" s="9">
        <f>Calculations!$B$34</f>
        <v>26.552</v>
      </c>
      <c r="D11" s="9">
        <f t="shared" si="0"/>
        <v>53.103999999999999</v>
      </c>
      <c r="E11" s="9">
        <f>Calculations!$B$37</f>
        <v>1500</v>
      </c>
      <c r="F11" s="9" t="b">
        <f t="shared" si="1"/>
        <v>1</v>
      </c>
    </row>
    <row r="12" spans="1:6" x14ac:dyDescent="0.25">
      <c r="A12" s="9">
        <f t="shared" si="2"/>
        <v>11</v>
      </c>
      <c r="B12" s="9">
        <f t="shared" si="3"/>
        <v>2</v>
      </c>
      <c r="C12" s="9">
        <f>Calculations!$B$34</f>
        <v>26.552</v>
      </c>
      <c r="D12" s="9">
        <f t="shared" ref="D12:D19" si="4">B12*C12</f>
        <v>53.103999999999999</v>
      </c>
      <c r="E12" s="9">
        <f>Calculations!$B$37</f>
        <v>1500</v>
      </c>
      <c r="F12" s="9" t="b">
        <f t="shared" ref="F12:F19" si="5">IF(D12 &lt;  (0.9* E12),TRUE,FALSE)</f>
        <v>1</v>
      </c>
    </row>
    <row r="13" spans="1:6" x14ac:dyDescent="0.25">
      <c r="A13" s="9">
        <f t="shared" si="2"/>
        <v>12</v>
      </c>
      <c r="B13" s="9">
        <f t="shared" si="3"/>
        <v>2</v>
      </c>
      <c r="C13" s="9">
        <f>Calculations!$B$34</f>
        <v>26.552</v>
      </c>
      <c r="D13" s="9">
        <f t="shared" si="4"/>
        <v>53.103999999999999</v>
      </c>
      <c r="E13" s="9">
        <f>Calculations!$B$37</f>
        <v>1500</v>
      </c>
      <c r="F13" s="9" t="b">
        <f t="shared" si="5"/>
        <v>1</v>
      </c>
    </row>
    <row r="14" spans="1:6" x14ac:dyDescent="0.25">
      <c r="A14" s="9">
        <f t="shared" si="2"/>
        <v>13</v>
      </c>
      <c r="B14" s="9">
        <f t="shared" si="3"/>
        <v>2</v>
      </c>
      <c r="C14" s="9">
        <f>Calculations!$B$34</f>
        <v>26.552</v>
      </c>
      <c r="D14" s="9">
        <f t="shared" si="4"/>
        <v>53.103999999999999</v>
      </c>
      <c r="E14" s="9">
        <f>Calculations!$B$37</f>
        <v>1500</v>
      </c>
      <c r="F14" s="9" t="b">
        <f t="shared" si="5"/>
        <v>1</v>
      </c>
    </row>
    <row r="15" spans="1:6" x14ac:dyDescent="0.25">
      <c r="A15" s="9">
        <f t="shared" si="2"/>
        <v>14</v>
      </c>
      <c r="B15" s="9">
        <f t="shared" si="3"/>
        <v>2</v>
      </c>
      <c r="C15" s="9">
        <f>Calculations!$B$34</f>
        <v>26.552</v>
      </c>
      <c r="D15" s="9">
        <f t="shared" si="4"/>
        <v>53.103999999999999</v>
      </c>
      <c r="E15" s="9">
        <f>Calculations!$B$37</f>
        <v>1500</v>
      </c>
      <c r="F15" s="9" t="b">
        <f t="shared" si="5"/>
        <v>1</v>
      </c>
    </row>
    <row r="16" spans="1:6" x14ac:dyDescent="0.25">
      <c r="A16" s="9">
        <f t="shared" si="2"/>
        <v>15</v>
      </c>
      <c r="B16" s="9">
        <f t="shared" si="3"/>
        <v>2</v>
      </c>
      <c r="C16" s="9">
        <f>Calculations!$B$34</f>
        <v>26.552</v>
      </c>
      <c r="D16" s="9">
        <f t="shared" si="4"/>
        <v>53.103999999999999</v>
      </c>
      <c r="E16" s="9">
        <f>Calculations!$B$37</f>
        <v>1500</v>
      </c>
      <c r="F16" s="9" t="b">
        <f t="shared" si="5"/>
        <v>1</v>
      </c>
    </row>
    <row r="17" spans="1:6" x14ac:dyDescent="0.25">
      <c r="A17" s="9">
        <f t="shared" si="2"/>
        <v>16</v>
      </c>
      <c r="B17" s="9">
        <f t="shared" si="3"/>
        <v>2</v>
      </c>
      <c r="C17" s="9">
        <f>Calculations!$B$34</f>
        <v>26.552</v>
      </c>
      <c r="D17" s="9">
        <f t="shared" si="4"/>
        <v>53.103999999999999</v>
      </c>
      <c r="E17" s="9">
        <f>Calculations!$B$37</f>
        <v>1500</v>
      </c>
      <c r="F17" s="9" t="b">
        <f t="shared" si="5"/>
        <v>1</v>
      </c>
    </row>
    <row r="18" spans="1:6" x14ac:dyDescent="0.25">
      <c r="A18" s="9">
        <f t="shared" si="2"/>
        <v>17</v>
      </c>
      <c r="B18" s="9">
        <f t="shared" si="3"/>
        <v>2</v>
      </c>
      <c r="C18" s="9">
        <f>Calculations!$B$34</f>
        <v>26.552</v>
      </c>
      <c r="D18" s="9">
        <f t="shared" si="4"/>
        <v>53.103999999999999</v>
      </c>
      <c r="E18" s="9">
        <f>Calculations!$B$37</f>
        <v>1500</v>
      </c>
      <c r="F18" s="9" t="b">
        <f t="shared" si="5"/>
        <v>1</v>
      </c>
    </row>
    <row r="19" spans="1:6" x14ac:dyDescent="0.25">
      <c r="A19" s="9">
        <f t="shared" si="2"/>
        <v>18</v>
      </c>
      <c r="B19" s="9">
        <f t="shared" si="3"/>
        <v>2</v>
      </c>
      <c r="C19" s="9">
        <f>Calculations!$B$34</f>
        <v>26.552</v>
      </c>
      <c r="D19" s="9">
        <f t="shared" si="4"/>
        <v>53.103999999999999</v>
      </c>
      <c r="E19" s="9">
        <f>Calculations!$B$37</f>
        <v>1500</v>
      </c>
      <c r="F19" s="9" t="b">
        <f t="shared" si="5"/>
        <v>1</v>
      </c>
    </row>
    <row r="20" spans="1:6" x14ac:dyDescent="0.25">
      <c r="A20" s="9">
        <f t="shared" si="2"/>
        <v>19</v>
      </c>
      <c r="B20" s="9">
        <f t="shared" si="3"/>
        <v>2</v>
      </c>
      <c r="C20" s="9">
        <f>Calculations!$B$34</f>
        <v>26.552</v>
      </c>
      <c r="D20" s="9">
        <f t="shared" ref="D20:D31" si="6">B20*C20</f>
        <v>53.103999999999999</v>
      </c>
      <c r="E20" s="9">
        <f>Calculations!$B$37</f>
        <v>1500</v>
      </c>
      <c r="F20" s="9" t="b">
        <f t="shared" ref="F20:F31" si="7">IF(D20 &lt;  (0.9* E20),TRUE,FALSE)</f>
        <v>1</v>
      </c>
    </row>
    <row r="21" spans="1:6" x14ac:dyDescent="0.25">
      <c r="A21" s="9">
        <f t="shared" si="2"/>
        <v>20</v>
      </c>
      <c r="B21" s="9">
        <f t="shared" si="3"/>
        <v>2</v>
      </c>
      <c r="C21" s="9">
        <f>Calculations!$B$34</f>
        <v>26.552</v>
      </c>
      <c r="D21" s="9">
        <f t="shared" si="6"/>
        <v>53.103999999999999</v>
      </c>
      <c r="E21" s="9">
        <f>Calculations!$B$37</f>
        <v>1500</v>
      </c>
      <c r="F21" s="9" t="b">
        <f t="shared" si="7"/>
        <v>1</v>
      </c>
    </row>
    <row r="22" spans="1:6" x14ac:dyDescent="0.25">
      <c r="A22" s="9">
        <f t="shared" si="2"/>
        <v>21</v>
      </c>
      <c r="B22" s="9">
        <f t="shared" si="3"/>
        <v>2</v>
      </c>
      <c r="C22" s="9">
        <f>Calculations!$B$34</f>
        <v>26.552</v>
      </c>
      <c r="D22" s="9">
        <f t="shared" si="6"/>
        <v>53.103999999999999</v>
      </c>
      <c r="E22" s="9">
        <f>Calculations!$B$37</f>
        <v>1500</v>
      </c>
      <c r="F22" s="9" t="b">
        <f t="shared" si="7"/>
        <v>1</v>
      </c>
    </row>
    <row r="23" spans="1:6" x14ac:dyDescent="0.25">
      <c r="A23" s="9">
        <f t="shared" si="2"/>
        <v>22</v>
      </c>
      <c r="B23" s="9">
        <f t="shared" si="3"/>
        <v>2</v>
      </c>
      <c r="C23" s="9">
        <f>Calculations!$B$34</f>
        <v>26.552</v>
      </c>
      <c r="D23" s="9">
        <f t="shared" si="6"/>
        <v>53.103999999999999</v>
      </c>
      <c r="E23" s="9">
        <f>Calculations!$B$37</f>
        <v>1500</v>
      </c>
      <c r="F23" s="9" t="b">
        <f t="shared" si="7"/>
        <v>1</v>
      </c>
    </row>
    <row r="24" spans="1:6" x14ac:dyDescent="0.25">
      <c r="A24" s="9">
        <f t="shared" si="2"/>
        <v>23</v>
      </c>
      <c r="B24" s="9">
        <f t="shared" si="3"/>
        <v>2</v>
      </c>
      <c r="C24" s="9">
        <f>Calculations!$B$34</f>
        <v>26.552</v>
      </c>
      <c r="D24" s="9">
        <f t="shared" si="6"/>
        <v>53.103999999999999</v>
      </c>
      <c r="E24" s="9">
        <f>Calculations!$B$37</f>
        <v>1500</v>
      </c>
      <c r="F24" s="9" t="b">
        <f t="shared" si="7"/>
        <v>1</v>
      </c>
    </row>
    <row r="25" spans="1:6" x14ac:dyDescent="0.25">
      <c r="A25" s="9">
        <f t="shared" si="2"/>
        <v>24</v>
      </c>
      <c r="B25" s="9">
        <f t="shared" si="3"/>
        <v>2</v>
      </c>
      <c r="C25" s="9">
        <f>Calculations!$B$34</f>
        <v>26.552</v>
      </c>
      <c r="D25" s="9">
        <f t="shared" si="6"/>
        <v>53.103999999999999</v>
      </c>
      <c r="E25" s="9">
        <f>Calculations!$B$37</f>
        <v>1500</v>
      </c>
      <c r="F25" s="9" t="b">
        <f t="shared" si="7"/>
        <v>1</v>
      </c>
    </row>
    <row r="26" spans="1:6" x14ac:dyDescent="0.25">
      <c r="A26" s="9">
        <f t="shared" si="2"/>
        <v>25</v>
      </c>
      <c r="B26" s="9">
        <f t="shared" si="3"/>
        <v>2</v>
      </c>
      <c r="C26" s="9">
        <f>Calculations!$B$34</f>
        <v>26.552</v>
      </c>
      <c r="D26" s="9">
        <f t="shared" si="6"/>
        <v>53.103999999999999</v>
      </c>
      <c r="E26" s="9">
        <f>Calculations!$B$37</f>
        <v>1500</v>
      </c>
      <c r="F26" s="9" t="b">
        <f t="shared" si="7"/>
        <v>1</v>
      </c>
    </row>
    <row r="27" spans="1:6" x14ac:dyDescent="0.25">
      <c r="A27" s="9">
        <f t="shared" ref="A27:A38" si="8">A26+1</f>
        <v>26</v>
      </c>
      <c r="B27" s="9">
        <f t="shared" si="3"/>
        <v>2</v>
      </c>
      <c r="C27" s="9">
        <f>Calculations!$B$34</f>
        <v>26.552</v>
      </c>
      <c r="D27" s="9">
        <f t="shared" si="6"/>
        <v>53.103999999999999</v>
      </c>
      <c r="E27" s="9">
        <f>Calculations!$B$37</f>
        <v>1500</v>
      </c>
      <c r="F27" s="9" t="b">
        <f t="shared" si="7"/>
        <v>1</v>
      </c>
    </row>
    <row r="28" spans="1:6" x14ac:dyDescent="0.25">
      <c r="A28" s="9">
        <f t="shared" si="8"/>
        <v>27</v>
      </c>
      <c r="B28" s="9">
        <f t="shared" si="3"/>
        <v>2</v>
      </c>
      <c r="C28" s="9">
        <f>Calculations!$B$34</f>
        <v>26.552</v>
      </c>
      <c r="D28" s="9">
        <f t="shared" si="6"/>
        <v>53.103999999999999</v>
      </c>
      <c r="E28" s="9">
        <f>Calculations!$B$37</f>
        <v>1500</v>
      </c>
      <c r="F28" s="9" t="b">
        <f t="shared" si="7"/>
        <v>1</v>
      </c>
    </row>
    <row r="29" spans="1:6" x14ac:dyDescent="0.25">
      <c r="A29" s="9">
        <f t="shared" si="8"/>
        <v>28</v>
      </c>
      <c r="B29" s="9">
        <f t="shared" si="3"/>
        <v>2</v>
      </c>
      <c r="C29" s="9">
        <f>Calculations!$B$34</f>
        <v>26.552</v>
      </c>
      <c r="D29" s="9">
        <f t="shared" si="6"/>
        <v>53.103999999999999</v>
      </c>
      <c r="E29" s="9">
        <f>Calculations!$B$37</f>
        <v>1500</v>
      </c>
      <c r="F29" s="9" t="b">
        <f t="shared" si="7"/>
        <v>1</v>
      </c>
    </row>
    <row r="30" spans="1:6" x14ac:dyDescent="0.25">
      <c r="A30" s="9">
        <f t="shared" si="8"/>
        <v>29</v>
      </c>
      <c r="B30" s="9">
        <f t="shared" si="3"/>
        <v>2</v>
      </c>
      <c r="C30" s="9">
        <f>Calculations!$B$34</f>
        <v>26.552</v>
      </c>
      <c r="D30" s="9">
        <f t="shared" si="6"/>
        <v>53.103999999999999</v>
      </c>
      <c r="E30" s="9">
        <f>Calculations!$B$37</f>
        <v>1500</v>
      </c>
      <c r="F30" s="9" t="b">
        <f t="shared" si="7"/>
        <v>1</v>
      </c>
    </row>
    <row r="31" spans="1:6" x14ac:dyDescent="0.25">
      <c r="A31" s="9">
        <f t="shared" si="8"/>
        <v>30</v>
      </c>
      <c r="B31" s="9">
        <f t="shared" si="3"/>
        <v>2</v>
      </c>
      <c r="C31" s="9">
        <f>Calculations!$B$34</f>
        <v>26.552</v>
      </c>
      <c r="D31" s="9">
        <f t="shared" si="6"/>
        <v>53.103999999999999</v>
      </c>
      <c r="E31" s="9">
        <f>Calculations!$B$37</f>
        <v>1500</v>
      </c>
      <c r="F31" s="9" t="b">
        <f t="shared" si="7"/>
        <v>1</v>
      </c>
    </row>
    <row r="32" spans="1:6" x14ac:dyDescent="0.25">
      <c r="A32" s="9">
        <f t="shared" si="8"/>
        <v>31</v>
      </c>
      <c r="B32" s="9">
        <f t="shared" si="3"/>
        <v>2</v>
      </c>
      <c r="C32" s="9">
        <f>Calculations!$B$34</f>
        <v>26.552</v>
      </c>
      <c r="D32" s="9">
        <f t="shared" ref="D32:D38" si="9">B32*C32</f>
        <v>53.103999999999999</v>
      </c>
      <c r="E32" s="9">
        <f>Calculations!$B$37</f>
        <v>1500</v>
      </c>
      <c r="F32" s="9" t="b">
        <f t="shared" ref="F32:F38" si="10">IF(D32 &lt;  (0.9* E32),TRUE,FALSE)</f>
        <v>1</v>
      </c>
    </row>
    <row r="33" spans="1:6" x14ac:dyDescent="0.25">
      <c r="A33" s="9">
        <f t="shared" si="8"/>
        <v>32</v>
      </c>
      <c r="B33" s="9">
        <f t="shared" si="3"/>
        <v>2</v>
      </c>
      <c r="C33" s="9">
        <f>Calculations!$B$34</f>
        <v>26.552</v>
      </c>
      <c r="D33" s="9">
        <f t="shared" si="9"/>
        <v>53.103999999999999</v>
      </c>
      <c r="E33" s="9">
        <f>Calculations!$B$37</f>
        <v>1500</v>
      </c>
      <c r="F33" s="9" t="b">
        <f t="shared" si="10"/>
        <v>1</v>
      </c>
    </row>
    <row r="34" spans="1:6" x14ac:dyDescent="0.25">
      <c r="A34" s="9">
        <f t="shared" si="8"/>
        <v>33</v>
      </c>
      <c r="B34" s="9">
        <f t="shared" si="3"/>
        <v>2</v>
      </c>
      <c r="C34" s="9">
        <f>Calculations!$B$34</f>
        <v>26.552</v>
      </c>
      <c r="D34" s="9">
        <f t="shared" si="9"/>
        <v>53.103999999999999</v>
      </c>
      <c r="E34" s="9">
        <f>Calculations!$B$37</f>
        <v>1500</v>
      </c>
      <c r="F34" s="9" t="b">
        <f t="shared" si="10"/>
        <v>1</v>
      </c>
    </row>
    <row r="35" spans="1:6" x14ac:dyDescent="0.25">
      <c r="A35" s="9">
        <f t="shared" si="8"/>
        <v>34</v>
      </c>
      <c r="B35" s="9">
        <f t="shared" si="3"/>
        <v>2</v>
      </c>
      <c r="C35" s="9">
        <f>Calculations!$B$34</f>
        <v>26.552</v>
      </c>
      <c r="D35" s="9">
        <f t="shared" si="9"/>
        <v>53.103999999999999</v>
      </c>
      <c r="E35" s="9">
        <f>Calculations!$B$37</f>
        <v>1500</v>
      </c>
      <c r="F35" s="9" t="b">
        <f t="shared" si="10"/>
        <v>1</v>
      </c>
    </row>
    <row r="36" spans="1:6" x14ac:dyDescent="0.25">
      <c r="A36" s="9">
        <f t="shared" si="8"/>
        <v>35</v>
      </c>
      <c r="B36" s="9">
        <f t="shared" si="3"/>
        <v>2</v>
      </c>
      <c r="C36" s="9">
        <f>Calculations!$B$34</f>
        <v>26.552</v>
      </c>
      <c r="D36" s="9">
        <f t="shared" si="9"/>
        <v>53.103999999999999</v>
      </c>
      <c r="E36" s="9">
        <f>Calculations!$B$37</f>
        <v>1500</v>
      </c>
      <c r="F36" s="9" t="b">
        <f t="shared" si="10"/>
        <v>1</v>
      </c>
    </row>
    <row r="37" spans="1:6" x14ac:dyDescent="0.25">
      <c r="A37" s="9">
        <f t="shared" si="8"/>
        <v>36</v>
      </c>
      <c r="B37" s="9">
        <f t="shared" si="3"/>
        <v>2</v>
      </c>
      <c r="C37" s="9">
        <f>Calculations!$B$34</f>
        <v>26.552</v>
      </c>
      <c r="D37" s="9">
        <f t="shared" si="9"/>
        <v>53.103999999999999</v>
      </c>
      <c r="E37" s="9">
        <f>Calculations!$B$37</f>
        <v>1500</v>
      </c>
      <c r="F37" s="9" t="b">
        <f t="shared" si="10"/>
        <v>1</v>
      </c>
    </row>
    <row r="38" spans="1:6" x14ac:dyDescent="0.25">
      <c r="A38" s="9">
        <f t="shared" si="8"/>
        <v>37</v>
      </c>
      <c r="B38" s="9">
        <f t="shared" si="3"/>
        <v>2</v>
      </c>
      <c r="C38" s="9">
        <f>Calculations!$B$34</f>
        <v>26.552</v>
      </c>
      <c r="D38" s="9">
        <f t="shared" si="9"/>
        <v>53.103999999999999</v>
      </c>
      <c r="E38" s="9">
        <f>Calculations!$B$37</f>
        <v>1500</v>
      </c>
      <c r="F38" s="9" t="b">
        <f t="shared" si="10"/>
        <v>1</v>
      </c>
    </row>
    <row r="39" spans="1:6" x14ac:dyDescent="0.25">
      <c r="A39" s="9">
        <f t="shared" ref="A39:A42" si="11">A38+1</f>
        <v>38</v>
      </c>
      <c r="B39" s="9">
        <f>IF(($B38-0.5)&gt;=2,($B38-0.5),2)</f>
        <v>2</v>
      </c>
      <c r="C39" s="9">
        <f>Calculations!$B$34</f>
        <v>26.552</v>
      </c>
      <c r="D39" s="9">
        <f t="shared" ref="D39:D42" si="12">B39*C39</f>
        <v>53.103999999999999</v>
      </c>
      <c r="E39" s="9">
        <f>Calculations!$B$37</f>
        <v>1500</v>
      </c>
      <c r="F39" s="9" t="b">
        <f t="shared" ref="F39:F42" si="13">IF(D39 &lt;  (0.9* E39),TRUE,FALSE)</f>
        <v>1</v>
      </c>
    </row>
    <row r="40" spans="1:6" x14ac:dyDescent="0.25">
      <c r="A40" s="9">
        <f t="shared" si="11"/>
        <v>39</v>
      </c>
      <c r="B40" s="9">
        <f t="shared" si="3"/>
        <v>2</v>
      </c>
      <c r="C40" s="9">
        <f>Calculations!$B$34</f>
        <v>26.552</v>
      </c>
      <c r="D40" s="9">
        <f t="shared" si="12"/>
        <v>53.103999999999999</v>
      </c>
      <c r="E40" s="9">
        <f>Calculations!$B$37</f>
        <v>1500</v>
      </c>
      <c r="F40" s="9" t="b">
        <f t="shared" si="13"/>
        <v>1</v>
      </c>
    </row>
    <row r="41" spans="1:6" x14ac:dyDescent="0.25">
      <c r="A41" s="9">
        <f t="shared" si="11"/>
        <v>40</v>
      </c>
      <c r="B41" s="9">
        <f t="shared" si="3"/>
        <v>2</v>
      </c>
      <c r="C41" s="9">
        <f>Calculations!$B$34</f>
        <v>26.552</v>
      </c>
      <c r="D41" s="9">
        <f t="shared" si="12"/>
        <v>53.103999999999999</v>
      </c>
      <c r="E41" s="9">
        <f>Calculations!$B$37</f>
        <v>1500</v>
      </c>
      <c r="F41" s="9" t="b">
        <f t="shared" si="13"/>
        <v>1</v>
      </c>
    </row>
    <row r="42" spans="1:6" x14ac:dyDescent="0.25">
      <c r="A42" s="9">
        <f t="shared" si="11"/>
        <v>41</v>
      </c>
      <c r="B42" s="9">
        <f t="shared" si="3"/>
        <v>2</v>
      </c>
      <c r="C42" s="9">
        <f>Calculations!$B$34</f>
        <v>26.552</v>
      </c>
      <c r="D42" s="9">
        <f t="shared" si="12"/>
        <v>53.103999999999999</v>
      </c>
      <c r="E42" s="9">
        <f>Calculations!$B$37</f>
        <v>1500</v>
      </c>
      <c r="F42" s="9" t="b">
        <f t="shared" si="13"/>
        <v>1</v>
      </c>
    </row>
    <row r="43" spans="1:6" x14ac:dyDescent="0.25">
      <c r="B43" s="50">
        <f>_xlfn.XLOOKUP(TRUE,F2:F42,B2:B42,"No")</f>
        <v>4</v>
      </c>
      <c r="D43" s="50">
        <f>_xlfn.XLOOKUP(TRUE,F2:F42,D2:D42,"No")</f>
        <v>106.208</v>
      </c>
      <c r="F43" t="s">
        <v>99</v>
      </c>
    </row>
    <row r="45" spans="1:6" ht="30" x14ac:dyDescent="0.25">
      <c r="A45" s="9" t="s">
        <v>93</v>
      </c>
      <c r="B45" s="9" t="s">
        <v>94</v>
      </c>
      <c r="C45" s="9" t="s">
        <v>95</v>
      </c>
      <c r="D45" s="9" t="s">
        <v>96</v>
      </c>
      <c r="E45" s="9" t="s">
        <v>100</v>
      </c>
      <c r="F45" s="9" t="s">
        <v>98</v>
      </c>
    </row>
    <row r="46" spans="1:6" x14ac:dyDescent="0.25">
      <c r="A46" s="9">
        <v>1</v>
      </c>
      <c r="B46" s="9">
        <f>'Pipe weight, hangers, spacing'!$S$241</f>
        <v>4</v>
      </c>
      <c r="C46" s="9">
        <f>Calculations!$B$34</f>
        <v>26.552</v>
      </c>
      <c r="D46" s="9">
        <f>B46*C46</f>
        <v>106.208</v>
      </c>
      <c r="E46" s="9">
        <f>'Strut loads'!I29</f>
        <v>3550</v>
      </c>
      <c r="F46" s="9" t="b">
        <f>IF(D46 &lt;  (0.9* E46),TRUE,FALSE)</f>
        <v>1</v>
      </c>
    </row>
    <row r="47" spans="1:6" x14ac:dyDescent="0.25">
      <c r="A47" s="9">
        <f>1+A46</f>
        <v>2</v>
      </c>
      <c r="B47" s="9">
        <f>IF(($B46-0.5)&gt;=2,($B46-0.5),2)</f>
        <v>3.5</v>
      </c>
      <c r="C47" s="9">
        <f>Calculations!$B$34</f>
        <v>26.552</v>
      </c>
      <c r="D47" s="9">
        <f t="shared" ref="D47:D55" si="14">B47*C47</f>
        <v>92.932000000000002</v>
      </c>
      <c r="E47" s="9">
        <f>'Strut loads'!$I$29</f>
        <v>3550</v>
      </c>
      <c r="F47" s="9" t="b">
        <f t="shared" ref="F47:F55" si="15">IF(D47 &lt;  (0.9* E47),TRUE,FALSE)</f>
        <v>1</v>
      </c>
    </row>
    <row r="48" spans="1:6" x14ac:dyDescent="0.25">
      <c r="A48" s="9">
        <f t="shared" ref="A48:A55" si="16">1+A47</f>
        <v>3</v>
      </c>
      <c r="B48" s="9">
        <f t="shared" ref="B48:B91" si="17">IF(($B47-0.5)&gt;=2,($B47-0.5),2)</f>
        <v>3</v>
      </c>
      <c r="C48" s="9">
        <f>Calculations!$B$34</f>
        <v>26.552</v>
      </c>
      <c r="D48" s="9">
        <f t="shared" si="14"/>
        <v>79.656000000000006</v>
      </c>
      <c r="E48" s="9">
        <f>'Strut loads'!$I$29</f>
        <v>3550</v>
      </c>
      <c r="F48" s="9" t="b">
        <f t="shared" si="15"/>
        <v>1</v>
      </c>
    </row>
    <row r="49" spans="1:6" x14ac:dyDescent="0.25">
      <c r="A49" s="9">
        <f t="shared" si="16"/>
        <v>4</v>
      </c>
      <c r="B49" s="9">
        <f t="shared" si="17"/>
        <v>2.5</v>
      </c>
      <c r="C49" s="9">
        <f>Calculations!$B$34</f>
        <v>26.552</v>
      </c>
      <c r="D49" s="9">
        <f t="shared" si="14"/>
        <v>66.38</v>
      </c>
      <c r="E49" s="9">
        <f>'Strut loads'!$I$29</f>
        <v>3550</v>
      </c>
      <c r="F49" s="9" t="b">
        <f t="shared" si="15"/>
        <v>1</v>
      </c>
    </row>
    <row r="50" spans="1:6" x14ac:dyDescent="0.25">
      <c r="A50" s="9">
        <f t="shared" si="16"/>
        <v>5</v>
      </c>
      <c r="B50" s="9">
        <f t="shared" si="17"/>
        <v>2</v>
      </c>
      <c r="C50" s="9">
        <f>Calculations!$B$34</f>
        <v>26.552</v>
      </c>
      <c r="D50" s="9">
        <f t="shared" si="14"/>
        <v>53.103999999999999</v>
      </c>
      <c r="E50" s="9">
        <f>'Strut loads'!$I$29</f>
        <v>3550</v>
      </c>
      <c r="F50" s="9" t="b">
        <f t="shared" si="15"/>
        <v>1</v>
      </c>
    </row>
    <row r="51" spans="1:6" x14ac:dyDescent="0.25">
      <c r="A51" s="9">
        <f t="shared" si="16"/>
        <v>6</v>
      </c>
      <c r="B51" s="9">
        <f t="shared" si="17"/>
        <v>2</v>
      </c>
      <c r="C51" s="9">
        <f>Calculations!$B$34</f>
        <v>26.552</v>
      </c>
      <c r="D51" s="9">
        <f t="shared" si="14"/>
        <v>53.103999999999999</v>
      </c>
      <c r="E51" s="9">
        <f>'Strut loads'!$I$29</f>
        <v>3550</v>
      </c>
      <c r="F51" s="9" t="b">
        <f t="shared" si="15"/>
        <v>1</v>
      </c>
    </row>
    <row r="52" spans="1:6" x14ac:dyDescent="0.25">
      <c r="A52" s="9">
        <f t="shared" si="16"/>
        <v>7</v>
      </c>
      <c r="B52" s="9">
        <f t="shared" si="17"/>
        <v>2</v>
      </c>
      <c r="C52" s="9">
        <f>Calculations!$B$34</f>
        <v>26.552</v>
      </c>
      <c r="D52" s="9">
        <f t="shared" si="14"/>
        <v>53.103999999999999</v>
      </c>
      <c r="E52" s="9">
        <f>'Strut loads'!$I$29</f>
        <v>3550</v>
      </c>
      <c r="F52" s="9" t="b">
        <f t="shared" si="15"/>
        <v>1</v>
      </c>
    </row>
    <row r="53" spans="1:6" x14ac:dyDescent="0.25">
      <c r="A53" s="9">
        <f t="shared" si="16"/>
        <v>8</v>
      </c>
      <c r="B53" s="9">
        <f t="shared" si="17"/>
        <v>2</v>
      </c>
      <c r="C53" s="9">
        <f>Calculations!$B$34</f>
        <v>26.552</v>
      </c>
      <c r="D53" s="9">
        <f t="shared" si="14"/>
        <v>53.103999999999999</v>
      </c>
      <c r="E53" s="9">
        <f>'Strut loads'!$I$29</f>
        <v>3550</v>
      </c>
      <c r="F53" s="9" t="b">
        <f t="shared" si="15"/>
        <v>1</v>
      </c>
    </row>
    <row r="54" spans="1:6" x14ac:dyDescent="0.25">
      <c r="A54" s="9">
        <f t="shared" si="16"/>
        <v>9</v>
      </c>
      <c r="B54" s="9">
        <f t="shared" si="17"/>
        <v>2</v>
      </c>
      <c r="C54" s="9">
        <f>Calculations!$B$34</f>
        <v>26.552</v>
      </c>
      <c r="D54" s="9">
        <f t="shared" si="14"/>
        <v>53.103999999999999</v>
      </c>
      <c r="E54" s="9">
        <f>'Strut loads'!$I$29</f>
        <v>3550</v>
      </c>
      <c r="F54" s="9" t="b">
        <f t="shared" si="15"/>
        <v>1</v>
      </c>
    </row>
    <row r="55" spans="1:6" x14ac:dyDescent="0.25">
      <c r="A55" s="9">
        <f t="shared" si="16"/>
        <v>10</v>
      </c>
      <c r="B55" s="9">
        <f t="shared" si="17"/>
        <v>2</v>
      </c>
      <c r="C55" s="9">
        <f>Calculations!$B$34</f>
        <v>26.552</v>
      </c>
      <c r="D55" s="9">
        <f t="shared" si="14"/>
        <v>53.103999999999999</v>
      </c>
      <c r="E55" s="9">
        <f>'Strut loads'!$I$29</f>
        <v>3550</v>
      </c>
      <c r="F55" s="9" t="b">
        <f t="shared" si="15"/>
        <v>1</v>
      </c>
    </row>
    <row r="56" spans="1:6" x14ac:dyDescent="0.25">
      <c r="A56" s="9">
        <f>1+A55</f>
        <v>11</v>
      </c>
      <c r="B56" s="9">
        <f t="shared" si="17"/>
        <v>2</v>
      </c>
      <c r="C56" s="9">
        <f>Calculations!$B$34</f>
        <v>26.552</v>
      </c>
      <c r="D56" s="9">
        <f t="shared" ref="D56:D73" si="18">B56*C56</f>
        <v>53.103999999999999</v>
      </c>
      <c r="E56" s="9">
        <f>'Strut loads'!$I$29</f>
        <v>3550</v>
      </c>
      <c r="F56" s="9" t="b">
        <f t="shared" ref="F56:F73" si="19">IF(D56 &lt;  (0.9* E56),TRUE,FALSE)</f>
        <v>1</v>
      </c>
    </row>
    <row r="57" spans="1:6" x14ac:dyDescent="0.25">
      <c r="A57" s="9">
        <f t="shared" ref="A57:A64" si="20">1+A56</f>
        <v>12</v>
      </c>
      <c r="B57" s="9">
        <f t="shared" si="17"/>
        <v>2</v>
      </c>
      <c r="C57" s="9">
        <f>Calculations!$B$34</f>
        <v>26.552</v>
      </c>
      <c r="D57" s="9">
        <f t="shared" si="18"/>
        <v>53.103999999999999</v>
      </c>
      <c r="E57" s="9">
        <f>'Strut loads'!$I$29</f>
        <v>3550</v>
      </c>
      <c r="F57" s="9" t="b">
        <f t="shared" si="19"/>
        <v>1</v>
      </c>
    </row>
    <row r="58" spans="1:6" x14ac:dyDescent="0.25">
      <c r="A58" s="9">
        <f t="shared" si="20"/>
        <v>13</v>
      </c>
      <c r="B58" s="9">
        <f t="shared" si="17"/>
        <v>2</v>
      </c>
      <c r="C58" s="9">
        <f>Calculations!$B$34</f>
        <v>26.552</v>
      </c>
      <c r="D58" s="9">
        <f t="shared" si="18"/>
        <v>53.103999999999999</v>
      </c>
      <c r="E58" s="9">
        <f>'Strut loads'!$I$29</f>
        <v>3550</v>
      </c>
      <c r="F58" s="9" t="b">
        <f t="shared" si="19"/>
        <v>1</v>
      </c>
    </row>
    <row r="59" spans="1:6" x14ac:dyDescent="0.25">
      <c r="A59" s="9">
        <f t="shared" si="20"/>
        <v>14</v>
      </c>
      <c r="B59" s="9">
        <f t="shared" si="17"/>
        <v>2</v>
      </c>
      <c r="C59" s="9">
        <f>Calculations!$B$34</f>
        <v>26.552</v>
      </c>
      <c r="D59" s="9">
        <f t="shared" si="18"/>
        <v>53.103999999999999</v>
      </c>
      <c r="E59" s="9">
        <f>'Strut loads'!$I$29</f>
        <v>3550</v>
      </c>
      <c r="F59" s="9" t="b">
        <f t="shared" si="19"/>
        <v>1</v>
      </c>
    </row>
    <row r="60" spans="1:6" x14ac:dyDescent="0.25">
      <c r="A60" s="9">
        <f t="shared" si="20"/>
        <v>15</v>
      </c>
      <c r="B60" s="9">
        <f t="shared" si="17"/>
        <v>2</v>
      </c>
      <c r="C60" s="9">
        <f>Calculations!$B$34</f>
        <v>26.552</v>
      </c>
      <c r="D60" s="9">
        <f t="shared" si="18"/>
        <v>53.103999999999999</v>
      </c>
      <c r="E60" s="9">
        <f>'Strut loads'!$I$29</f>
        <v>3550</v>
      </c>
      <c r="F60" s="9" t="b">
        <f t="shared" si="19"/>
        <v>1</v>
      </c>
    </row>
    <row r="61" spans="1:6" x14ac:dyDescent="0.25">
      <c r="A61" s="9">
        <f t="shared" si="20"/>
        <v>16</v>
      </c>
      <c r="B61" s="9">
        <f t="shared" si="17"/>
        <v>2</v>
      </c>
      <c r="C61" s="9">
        <f>Calculations!$B$34</f>
        <v>26.552</v>
      </c>
      <c r="D61" s="9">
        <f t="shared" si="18"/>
        <v>53.103999999999999</v>
      </c>
      <c r="E61" s="9">
        <f>'Strut loads'!$I$29</f>
        <v>3550</v>
      </c>
      <c r="F61" s="9" t="b">
        <f t="shared" si="19"/>
        <v>1</v>
      </c>
    </row>
    <row r="62" spans="1:6" x14ac:dyDescent="0.25">
      <c r="A62" s="9">
        <f t="shared" si="20"/>
        <v>17</v>
      </c>
      <c r="B62" s="9">
        <f t="shared" si="17"/>
        <v>2</v>
      </c>
      <c r="C62" s="9">
        <f>Calculations!$B$34</f>
        <v>26.552</v>
      </c>
      <c r="D62" s="9">
        <f t="shared" si="18"/>
        <v>53.103999999999999</v>
      </c>
      <c r="E62" s="9">
        <f>'Strut loads'!$I$29</f>
        <v>3550</v>
      </c>
      <c r="F62" s="9" t="b">
        <f t="shared" si="19"/>
        <v>1</v>
      </c>
    </row>
    <row r="63" spans="1:6" x14ac:dyDescent="0.25">
      <c r="A63" s="9">
        <f t="shared" si="20"/>
        <v>18</v>
      </c>
      <c r="B63" s="9">
        <f t="shared" si="17"/>
        <v>2</v>
      </c>
      <c r="C63" s="9">
        <f>Calculations!$B$34</f>
        <v>26.552</v>
      </c>
      <c r="D63" s="9">
        <f t="shared" si="18"/>
        <v>53.103999999999999</v>
      </c>
      <c r="E63" s="9">
        <f>'Strut loads'!$I$29</f>
        <v>3550</v>
      </c>
      <c r="F63" s="9" t="b">
        <f t="shared" si="19"/>
        <v>1</v>
      </c>
    </row>
    <row r="64" spans="1:6" x14ac:dyDescent="0.25">
      <c r="A64" s="9">
        <f t="shared" si="20"/>
        <v>19</v>
      </c>
      <c r="B64" s="9">
        <f t="shared" si="17"/>
        <v>2</v>
      </c>
      <c r="C64" s="9">
        <f>Calculations!$B$34</f>
        <v>26.552</v>
      </c>
      <c r="D64" s="9">
        <f t="shared" si="18"/>
        <v>53.103999999999999</v>
      </c>
      <c r="E64" s="9">
        <f>'Strut loads'!$I$29</f>
        <v>3550</v>
      </c>
      <c r="F64" s="9" t="b">
        <f t="shared" si="19"/>
        <v>1</v>
      </c>
    </row>
    <row r="65" spans="1:6" x14ac:dyDescent="0.25">
      <c r="A65" s="9">
        <f>1+A64</f>
        <v>20</v>
      </c>
      <c r="B65" s="9">
        <f t="shared" si="17"/>
        <v>2</v>
      </c>
      <c r="C65" s="9">
        <f>Calculations!$B$34</f>
        <v>26.552</v>
      </c>
      <c r="D65" s="9">
        <f t="shared" si="18"/>
        <v>53.103999999999999</v>
      </c>
      <c r="E65" s="9">
        <f>'Strut loads'!$I$29</f>
        <v>3550</v>
      </c>
      <c r="F65" s="9" t="b">
        <f t="shared" si="19"/>
        <v>1</v>
      </c>
    </row>
    <row r="66" spans="1:6" x14ac:dyDescent="0.25">
      <c r="A66" s="9">
        <f t="shared" ref="A66:A73" si="21">1+A65</f>
        <v>21</v>
      </c>
      <c r="B66" s="9">
        <f t="shared" si="17"/>
        <v>2</v>
      </c>
      <c r="C66" s="9">
        <f>Calculations!$B$34</f>
        <v>26.552</v>
      </c>
      <c r="D66" s="9">
        <f t="shared" si="18"/>
        <v>53.103999999999999</v>
      </c>
      <c r="E66" s="9">
        <f>'Strut loads'!$I$29</f>
        <v>3550</v>
      </c>
      <c r="F66" s="9" t="b">
        <f t="shared" si="19"/>
        <v>1</v>
      </c>
    </row>
    <row r="67" spans="1:6" x14ac:dyDescent="0.25">
      <c r="A67" s="9">
        <f t="shared" si="21"/>
        <v>22</v>
      </c>
      <c r="B67" s="9">
        <f t="shared" si="17"/>
        <v>2</v>
      </c>
      <c r="C67" s="9">
        <f>Calculations!$B$34</f>
        <v>26.552</v>
      </c>
      <c r="D67" s="9">
        <f t="shared" si="18"/>
        <v>53.103999999999999</v>
      </c>
      <c r="E67" s="9">
        <f>'Strut loads'!$I$29</f>
        <v>3550</v>
      </c>
      <c r="F67" s="9" t="b">
        <f t="shared" si="19"/>
        <v>1</v>
      </c>
    </row>
    <row r="68" spans="1:6" x14ac:dyDescent="0.25">
      <c r="A68" s="9">
        <f t="shared" si="21"/>
        <v>23</v>
      </c>
      <c r="B68" s="9">
        <f t="shared" si="17"/>
        <v>2</v>
      </c>
      <c r="C68" s="9">
        <f>Calculations!$B$34</f>
        <v>26.552</v>
      </c>
      <c r="D68" s="9">
        <f t="shared" si="18"/>
        <v>53.103999999999999</v>
      </c>
      <c r="E68" s="9">
        <f>'Strut loads'!$I$29</f>
        <v>3550</v>
      </c>
      <c r="F68" s="9" t="b">
        <f t="shared" si="19"/>
        <v>1</v>
      </c>
    </row>
    <row r="69" spans="1:6" x14ac:dyDescent="0.25">
      <c r="A69" s="9">
        <f t="shared" si="21"/>
        <v>24</v>
      </c>
      <c r="B69" s="9">
        <f t="shared" si="17"/>
        <v>2</v>
      </c>
      <c r="C69" s="9">
        <f>Calculations!$B$34</f>
        <v>26.552</v>
      </c>
      <c r="D69" s="9">
        <f t="shared" si="18"/>
        <v>53.103999999999999</v>
      </c>
      <c r="E69" s="9">
        <f>'Strut loads'!$I$29</f>
        <v>3550</v>
      </c>
      <c r="F69" s="9" t="b">
        <f t="shared" si="19"/>
        <v>1</v>
      </c>
    </row>
    <row r="70" spans="1:6" x14ac:dyDescent="0.25">
      <c r="A70" s="9">
        <f t="shared" si="21"/>
        <v>25</v>
      </c>
      <c r="B70" s="9">
        <f t="shared" si="17"/>
        <v>2</v>
      </c>
      <c r="C70" s="9">
        <f>Calculations!$B$34</f>
        <v>26.552</v>
      </c>
      <c r="D70" s="9">
        <f t="shared" si="18"/>
        <v>53.103999999999999</v>
      </c>
      <c r="E70" s="9">
        <f>'Strut loads'!$I$29</f>
        <v>3550</v>
      </c>
      <c r="F70" s="9" t="b">
        <f t="shared" si="19"/>
        <v>1</v>
      </c>
    </row>
    <row r="71" spans="1:6" x14ac:dyDescent="0.25">
      <c r="A71" s="9">
        <f t="shared" si="21"/>
        <v>26</v>
      </c>
      <c r="B71" s="9">
        <f t="shared" si="17"/>
        <v>2</v>
      </c>
      <c r="C71" s="9">
        <f>Calculations!$B$34</f>
        <v>26.552</v>
      </c>
      <c r="D71" s="9">
        <f t="shared" si="18"/>
        <v>53.103999999999999</v>
      </c>
      <c r="E71" s="9">
        <f>'Strut loads'!$I$29</f>
        <v>3550</v>
      </c>
      <c r="F71" s="9" t="b">
        <f t="shared" si="19"/>
        <v>1</v>
      </c>
    </row>
    <row r="72" spans="1:6" x14ac:dyDescent="0.25">
      <c r="A72" s="9">
        <f t="shared" si="21"/>
        <v>27</v>
      </c>
      <c r="B72" s="9">
        <f t="shared" si="17"/>
        <v>2</v>
      </c>
      <c r="C72" s="9">
        <f>Calculations!$B$34</f>
        <v>26.552</v>
      </c>
      <c r="D72" s="9">
        <f t="shared" si="18"/>
        <v>53.103999999999999</v>
      </c>
      <c r="E72" s="9">
        <f>'Strut loads'!$I$29</f>
        <v>3550</v>
      </c>
      <c r="F72" s="9" t="b">
        <f t="shared" si="19"/>
        <v>1</v>
      </c>
    </row>
    <row r="73" spans="1:6" x14ac:dyDescent="0.25">
      <c r="A73" s="9">
        <f t="shared" si="21"/>
        <v>28</v>
      </c>
      <c r="B73" s="9">
        <f t="shared" si="17"/>
        <v>2</v>
      </c>
      <c r="C73" s="9">
        <f>Calculations!$B$34</f>
        <v>26.552</v>
      </c>
      <c r="D73" s="9">
        <f t="shared" si="18"/>
        <v>53.103999999999999</v>
      </c>
      <c r="E73" s="9">
        <f>'Strut loads'!$I$29</f>
        <v>3550</v>
      </c>
      <c r="F73" s="9" t="b">
        <f t="shared" si="19"/>
        <v>1</v>
      </c>
    </row>
    <row r="74" spans="1:6" x14ac:dyDescent="0.25">
      <c r="A74" s="9">
        <f>1+A73</f>
        <v>29</v>
      </c>
      <c r="B74" s="9">
        <f t="shared" si="17"/>
        <v>2</v>
      </c>
      <c r="C74" s="9">
        <f>Calculations!$B$34</f>
        <v>26.552</v>
      </c>
      <c r="D74" s="9">
        <f t="shared" ref="D74:D82" si="22">B74*C74</f>
        <v>53.103999999999999</v>
      </c>
      <c r="E74" s="9">
        <f>'Strut loads'!$I$29</f>
        <v>3550</v>
      </c>
      <c r="F74" s="9" t="b">
        <f t="shared" ref="F74:F82" si="23">IF(D74 &lt;  (0.9* E74),TRUE,FALSE)</f>
        <v>1</v>
      </c>
    </row>
    <row r="75" spans="1:6" x14ac:dyDescent="0.25">
      <c r="A75" s="9">
        <f t="shared" ref="A75:A82" si="24">1+A74</f>
        <v>30</v>
      </c>
      <c r="B75" s="9">
        <f t="shared" si="17"/>
        <v>2</v>
      </c>
      <c r="C75" s="9">
        <f>Calculations!$B$34</f>
        <v>26.552</v>
      </c>
      <c r="D75" s="9">
        <f t="shared" si="22"/>
        <v>53.103999999999999</v>
      </c>
      <c r="E75" s="9">
        <f>'Strut loads'!$I$29</f>
        <v>3550</v>
      </c>
      <c r="F75" s="9" t="b">
        <f t="shared" si="23"/>
        <v>1</v>
      </c>
    </row>
    <row r="76" spans="1:6" x14ac:dyDescent="0.25">
      <c r="A76" s="9">
        <f t="shared" si="24"/>
        <v>31</v>
      </c>
      <c r="B76" s="9">
        <f t="shared" si="17"/>
        <v>2</v>
      </c>
      <c r="C76" s="9">
        <f>Calculations!$B$34</f>
        <v>26.552</v>
      </c>
      <c r="D76" s="9">
        <f t="shared" si="22"/>
        <v>53.103999999999999</v>
      </c>
      <c r="E76" s="9">
        <f>'Strut loads'!$I$29</f>
        <v>3550</v>
      </c>
      <c r="F76" s="9" t="b">
        <f t="shared" si="23"/>
        <v>1</v>
      </c>
    </row>
    <row r="77" spans="1:6" x14ac:dyDescent="0.25">
      <c r="A77" s="9">
        <f t="shared" si="24"/>
        <v>32</v>
      </c>
      <c r="B77" s="9">
        <f t="shared" si="17"/>
        <v>2</v>
      </c>
      <c r="C77" s="9">
        <f>Calculations!$B$34</f>
        <v>26.552</v>
      </c>
      <c r="D77" s="9">
        <f t="shared" si="22"/>
        <v>53.103999999999999</v>
      </c>
      <c r="E77" s="9">
        <f>'Strut loads'!$I$29</f>
        <v>3550</v>
      </c>
      <c r="F77" s="9" t="b">
        <f t="shared" si="23"/>
        <v>1</v>
      </c>
    </row>
    <row r="78" spans="1:6" x14ac:dyDescent="0.25">
      <c r="A78" s="9">
        <f t="shared" si="24"/>
        <v>33</v>
      </c>
      <c r="B78" s="9">
        <f t="shared" si="17"/>
        <v>2</v>
      </c>
      <c r="C78" s="9">
        <f>Calculations!$B$34</f>
        <v>26.552</v>
      </c>
      <c r="D78" s="9">
        <f t="shared" si="22"/>
        <v>53.103999999999999</v>
      </c>
      <c r="E78" s="9">
        <f>'Strut loads'!$I$29</f>
        <v>3550</v>
      </c>
      <c r="F78" s="9" t="b">
        <f t="shared" si="23"/>
        <v>1</v>
      </c>
    </row>
    <row r="79" spans="1:6" x14ac:dyDescent="0.25">
      <c r="A79" s="9">
        <f t="shared" si="24"/>
        <v>34</v>
      </c>
      <c r="B79" s="9">
        <f t="shared" si="17"/>
        <v>2</v>
      </c>
      <c r="C79" s="9">
        <f>Calculations!$B$34</f>
        <v>26.552</v>
      </c>
      <c r="D79" s="9">
        <f t="shared" si="22"/>
        <v>53.103999999999999</v>
      </c>
      <c r="E79" s="9">
        <f>'Strut loads'!$I$29</f>
        <v>3550</v>
      </c>
      <c r="F79" s="9" t="b">
        <f t="shared" si="23"/>
        <v>1</v>
      </c>
    </row>
    <row r="80" spans="1:6" x14ac:dyDescent="0.25">
      <c r="A80" s="9">
        <f t="shared" si="24"/>
        <v>35</v>
      </c>
      <c r="B80" s="9">
        <f t="shared" si="17"/>
        <v>2</v>
      </c>
      <c r="C80" s="9">
        <f>Calculations!$B$34</f>
        <v>26.552</v>
      </c>
      <c r="D80" s="9">
        <f t="shared" si="22"/>
        <v>53.103999999999999</v>
      </c>
      <c r="E80" s="9">
        <f>'Strut loads'!$I$29</f>
        <v>3550</v>
      </c>
      <c r="F80" s="9" t="b">
        <f t="shared" si="23"/>
        <v>1</v>
      </c>
    </row>
    <row r="81" spans="1:6" x14ac:dyDescent="0.25">
      <c r="A81" s="9">
        <f t="shared" si="24"/>
        <v>36</v>
      </c>
      <c r="B81" s="9">
        <f t="shared" si="17"/>
        <v>2</v>
      </c>
      <c r="C81" s="9">
        <f>Calculations!$B$34</f>
        <v>26.552</v>
      </c>
      <c r="D81" s="9">
        <f t="shared" si="22"/>
        <v>53.103999999999999</v>
      </c>
      <c r="E81" s="9">
        <f>'Strut loads'!$I$29</f>
        <v>3550</v>
      </c>
      <c r="F81" s="9" t="b">
        <f t="shared" si="23"/>
        <v>1</v>
      </c>
    </row>
    <row r="82" spans="1:6" x14ac:dyDescent="0.25">
      <c r="A82" s="9">
        <f t="shared" si="24"/>
        <v>37</v>
      </c>
      <c r="B82" s="9">
        <f t="shared" si="17"/>
        <v>2</v>
      </c>
      <c r="C82" s="9">
        <f>Calculations!$B$34</f>
        <v>26.552</v>
      </c>
      <c r="D82" s="9">
        <f t="shared" si="22"/>
        <v>53.103999999999999</v>
      </c>
      <c r="E82" s="9">
        <f>'Strut loads'!$I$29</f>
        <v>3550</v>
      </c>
      <c r="F82" s="9" t="b">
        <f t="shared" si="23"/>
        <v>1</v>
      </c>
    </row>
    <row r="83" spans="1:6" x14ac:dyDescent="0.25">
      <c r="A83" s="9">
        <f>1+A82</f>
        <v>38</v>
      </c>
      <c r="B83" s="9">
        <f t="shared" si="17"/>
        <v>2</v>
      </c>
      <c r="C83" s="9">
        <f>Calculations!$B$34</f>
        <v>26.552</v>
      </c>
      <c r="D83" s="9">
        <f t="shared" ref="D83:D91" si="25">B83*C83</f>
        <v>53.103999999999999</v>
      </c>
      <c r="E83" s="9">
        <f>'Strut loads'!$I$29</f>
        <v>3550</v>
      </c>
      <c r="F83" s="9" t="b">
        <f t="shared" ref="F83:F91" si="26">IF(D83 &lt;  (0.9* E83),TRUE,FALSE)</f>
        <v>1</v>
      </c>
    </row>
    <row r="84" spans="1:6" x14ac:dyDescent="0.25">
      <c r="A84" s="9">
        <f t="shared" ref="A84:A91" si="27">1+A83</f>
        <v>39</v>
      </c>
      <c r="B84" s="9">
        <f t="shared" si="17"/>
        <v>2</v>
      </c>
      <c r="C84" s="9">
        <f>Calculations!$B$34</f>
        <v>26.552</v>
      </c>
      <c r="D84" s="9">
        <f t="shared" si="25"/>
        <v>53.103999999999999</v>
      </c>
      <c r="E84" s="9">
        <f>'Strut loads'!$I$29</f>
        <v>3550</v>
      </c>
      <c r="F84" s="9" t="b">
        <f t="shared" si="26"/>
        <v>1</v>
      </c>
    </row>
    <row r="85" spans="1:6" x14ac:dyDescent="0.25">
      <c r="A85" s="9">
        <f t="shared" si="27"/>
        <v>40</v>
      </c>
      <c r="B85" s="9">
        <f t="shared" si="17"/>
        <v>2</v>
      </c>
      <c r="C85" s="9">
        <f>Calculations!$B$34</f>
        <v>26.552</v>
      </c>
      <c r="D85" s="9">
        <f t="shared" si="25"/>
        <v>53.103999999999999</v>
      </c>
      <c r="E85" s="9">
        <f>'Strut loads'!$I$29</f>
        <v>3550</v>
      </c>
      <c r="F85" s="9" t="b">
        <f t="shared" si="26"/>
        <v>1</v>
      </c>
    </row>
    <row r="86" spans="1:6" x14ac:dyDescent="0.25">
      <c r="A86" s="9">
        <f t="shared" si="27"/>
        <v>41</v>
      </c>
      <c r="B86" s="9">
        <f t="shared" si="17"/>
        <v>2</v>
      </c>
      <c r="C86" s="9">
        <f>Calculations!$B$34</f>
        <v>26.552</v>
      </c>
      <c r="D86" s="9">
        <f t="shared" si="25"/>
        <v>53.103999999999999</v>
      </c>
      <c r="E86" s="9">
        <f>'Strut loads'!$I$29</f>
        <v>3550</v>
      </c>
      <c r="F86" s="9" t="b">
        <f t="shared" si="26"/>
        <v>1</v>
      </c>
    </row>
    <row r="87" spans="1:6" x14ac:dyDescent="0.25">
      <c r="A87" s="9">
        <f t="shared" si="27"/>
        <v>42</v>
      </c>
      <c r="B87" s="9">
        <f t="shared" si="17"/>
        <v>2</v>
      </c>
      <c r="C87" s="9">
        <f>Calculations!$B$34</f>
        <v>26.552</v>
      </c>
      <c r="D87" s="9">
        <f t="shared" si="25"/>
        <v>53.103999999999999</v>
      </c>
      <c r="E87" s="9">
        <f>'Strut loads'!$I$29</f>
        <v>3550</v>
      </c>
      <c r="F87" s="9" t="b">
        <f t="shared" si="26"/>
        <v>1</v>
      </c>
    </row>
    <row r="88" spans="1:6" x14ac:dyDescent="0.25">
      <c r="A88" s="9">
        <f t="shared" si="27"/>
        <v>43</v>
      </c>
      <c r="B88" s="9">
        <f t="shared" si="17"/>
        <v>2</v>
      </c>
      <c r="C88" s="9">
        <f>Calculations!$B$34</f>
        <v>26.552</v>
      </c>
      <c r="D88" s="9">
        <f t="shared" si="25"/>
        <v>53.103999999999999</v>
      </c>
      <c r="E88" s="9">
        <f>'Strut loads'!$I$29</f>
        <v>3550</v>
      </c>
      <c r="F88" s="9" t="b">
        <f t="shared" si="26"/>
        <v>1</v>
      </c>
    </row>
    <row r="89" spans="1:6" x14ac:dyDescent="0.25">
      <c r="A89" s="9">
        <f t="shared" si="27"/>
        <v>44</v>
      </c>
      <c r="B89" s="9">
        <f t="shared" si="17"/>
        <v>2</v>
      </c>
      <c r="C89" s="9">
        <f>Calculations!$B$34</f>
        <v>26.552</v>
      </c>
      <c r="D89" s="9">
        <f t="shared" si="25"/>
        <v>53.103999999999999</v>
      </c>
      <c r="E89" s="9">
        <f>'Strut loads'!$I$29</f>
        <v>3550</v>
      </c>
      <c r="F89" s="9" t="b">
        <f t="shared" si="26"/>
        <v>1</v>
      </c>
    </row>
    <row r="90" spans="1:6" x14ac:dyDescent="0.25">
      <c r="A90" s="9">
        <f t="shared" si="27"/>
        <v>45</v>
      </c>
      <c r="B90" s="9">
        <f t="shared" si="17"/>
        <v>2</v>
      </c>
      <c r="C90" s="9">
        <f>Calculations!$B$34</f>
        <v>26.552</v>
      </c>
      <c r="D90" s="9">
        <f t="shared" si="25"/>
        <v>53.103999999999999</v>
      </c>
      <c r="E90" s="9">
        <f>'Strut loads'!$I$29</f>
        <v>3550</v>
      </c>
      <c r="F90" s="9" t="b">
        <f t="shared" si="26"/>
        <v>1</v>
      </c>
    </row>
    <row r="91" spans="1:6" x14ac:dyDescent="0.25">
      <c r="A91" s="9">
        <f t="shared" si="27"/>
        <v>46</v>
      </c>
      <c r="B91" s="9">
        <f t="shared" si="17"/>
        <v>2</v>
      </c>
      <c r="C91" s="9">
        <f>Calculations!$B$34</f>
        <v>26.552</v>
      </c>
      <c r="D91" s="9">
        <f t="shared" si="25"/>
        <v>53.103999999999999</v>
      </c>
      <c r="E91" s="9">
        <f>'Strut loads'!$I$29</f>
        <v>3550</v>
      </c>
      <c r="F91" s="9" t="b">
        <f t="shared" si="26"/>
        <v>1</v>
      </c>
    </row>
    <row r="92" spans="1:6" x14ac:dyDescent="0.25">
      <c r="B92" s="50">
        <f>_xlfn.XLOOKUP(TRUE,F46:F91,B46:B91,"No")</f>
        <v>4</v>
      </c>
      <c r="D92" s="50">
        <f>_xlfn.XLOOKUP(TRUE,F46:F91,D46:D91,"No")</f>
        <v>106.208</v>
      </c>
      <c r="F92" t="s">
        <v>101</v>
      </c>
    </row>
    <row r="94" spans="1:6" x14ac:dyDescent="0.25">
      <c r="A94" s="9" t="s">
        <v>93</v>
      </c>
      <c r="B94" s="9" t="s">
        <v>94</v>
      </c>
      <c r="C94" s="9" t="s">
        <v>95</v>
      </c>
      <c r="D94" s="9" t="s">
        <v>96</v>
      </c>
      <c r="E94" s="9" t="s">
        <v>102</v>
      </c>
      <c r="F94" s="9" t="s">
        <v>98</v>
      </c>
    </row>
    <row r="95" spans="1:6" x14ac:dyDescent="0.25">
      <c r="A95" s="9">
        <v>1</v>
      </c>
      <c r="B95" s="9">
        <f>'Pipe weight, hangers, spacing'!$S$241</f>
        <v>4</v>
      </c>
      <c r="C95" s="9">
        <f>Calculations!$B$34</f>
        <v>26.552</v>
      </c>
      <c r="D95" s="9">
        <f>B95*C95</f>
        <v>106.208</v>
      </c>
      <c r="E95" s="9">
        <f>'Strut loads'!$D$41</f>
        <v>323</v>
      </c>
      <c r="F95" s="9" t="b">
        <f>IF(D95 &lt;  (0.9* E95),TRUE,FALSE)</f>
        <v>1</v>
      </c>
    </row>
    <row r="96" spans="1:6" x14ac:dyDescent="0.25">
      <c r="A96" s="9">
        <f>1+A95</f>
        <v>2</v>
      </c>
      <c r="B96" s="9">
        <f>IF(($B95-0.5)&gt;=2,($B95-0.5),2)</f>
        <v>3.5</v>
      </c>
      <c r="C96" s="9">
        <f>Calculations!$B$34</f>
        <v>26.552</v>
      </c>
      <c r="D96" s="9">
        <f t="shared" ref="D96:D104" si="28">B96*C96</f>
        <v>92.932000000000002</v>
      </c>
      <c r="E96" s="9">
        <f>'Strut loads'!$D$41</f>
        <v>323</v>
      </c>
      <c r="F96" s="9" t="b">
        <f t="shared" ref="F96:F104" si="29">IF(D96 &lt;  (0.9* E96),TRUE,FALSE)</f>
        <v>1</v>
      </c>
    </row>
    <row r="97" spans="1:6" x14ac:dyDescent="0.25">
      <c r="A97" s="9">
        <f t="shared" ref="A97:A109" si="30">1+A96</f>
        <v>3</v>
      </c>
      <c r="B97" s="9">
        <f t="shared" ref="B97:B142" si="31">IF(($B96-0.5)&gt;=2,($B96-0.5),2)</f>
        <v>3</v>
      </c>
      <c r="C97" s="9">
        <f>Calculations!$B$34</f>
        <v>26.552</v>
      </c>
      <c r="D97" s="9">
        <f t="shared" si="28"/>
        <v>79.656000000000006</v>
      </c>
      <c r="E97" s="9">
        <f>'Strut loads'!$D$41</f>
        <v>323</v>
      </c>
      <c r="F97" s="9" t="b">
        <f t="shared" si="29"/>
        <v>1</v>
      </c>
    </row>
    <row r="98" spans="1:6" x14ac:dyDescent="0.25">
      <c r="A98" s="9">
        <f t="shared" si="30"/>
        <v>4</v>
      </c>
      <c r="B98" s="9">
        <f t="shared" si="31"/>
        <v>2.5</v>
      </c>
      <c r="C98" s="9">
        <f>Calculations!$B$34</f>
        <v>26.552</v>
      </c>
      <c r="D98" s="9">
        <f t="shared" si="28"/>
        <v>66.38</v>
      </c>
      <c r="E98" s="9">
        <f>'Strut loads'!$D$41</f>
        <v>323</v>
      </c>
      <c r="F98" s="9" t="b">
        <f t="shared" si="29"/>
        <v>1</v>
      </c>
    </row>
    <row r="99" spans="1:6" x14ac:dyDescent="0.25">
      <c r="A99" s="9">
        <f t="shared" si="30"/>
        <v>5</v>
      </c>
      <c r="B99" s="9">
        <f t="shared" si="31"/>
        <v>2</v>
      </c>
      <c r="C99" s="9">
        <f>Calculations!$B$34</f>
        <v>26.552</v>
      </c>
      <c r="D99" s="9">
        <f t="shared" si="28"/>
        <v>53.103999999999999</v>
      </c>
      <c r="E99" s="9">
        <f>'Strut loads'!$D$41</f>
        <v>323</v>
      </c>
      <c r="F99" s="9" t="b">
        <f t="shared" si="29"/>
        <v>1</v>
      </c>
    </row>
    <row r="100" spans="1:6" x14ac:dyDescent="0.25">
      <c r="A100" s="9">
        <f t="shared" si="30"/>
        <v>6</v>
      </c>
      <c r="B100" s="9">
        <f t="shared" si="31"/>
        <v>2</v>
      </c>
      <c r="C100" s="9">
        <f>Calculations!$B$34</f>
        <v>26.552</v>
      </c>
      <c r="D100" s="9">
        <f t="shared" si="28"/>
        <v>53.103999999999999</v>
      </c>
      <c r="E100" s="9">
        <f>'Strut loads'!$D$41</f>
        <v>323</v>
      </c>
      <c r="F100" s="9" t="b">
        <f t="shared" si="29"/>
        <v>1</v>
      </c>
    </row>
    <row r="101" spans="1:6" x14ac:dyDescent="0.25">
      <c r="A101" s="9">
        <f t="shared" si="30"/>
        <v>7</v>
      </c>
      <c r="B101" s="9">
        <f t="shared" si="31"/>
        <v>2</v>
      </c>
      <c r="C101" s="9">
        <f>Calculations!$B$34</f>
        <v>26.552</v>
      </c>
      <c r="D101" s="9">
        <f t="shared" si="28"/>
        <v>53.103999999999999</v>
      </c>
      <c r="E101" s="9">
        <f>'Strut loads'!$D$41</f>
        <v>323</v>
      </c>
      <c r="F101" s="9" t="b">
        <f t="shared" si="29"/>
        <v>1</v>
      </c>
    </row>
    <row r="102" spans="1:6" x14ac:dyDescent="0.25">
      <c r="A102" s="9">
        <f t="shared" si="30"/>
        <v>8</v>
      </c>
      <c r="B102" s="9">
        <f t="shared" si="31"/>
        <v>2</v>
      </c>
      <c r="C102" s="9">
        <f>Calculations!$B$34</f>
        <v>26.552</v>
      </c>
      <c r="D102" s="9">
        <f t="shared" si="28"/>
        <v>53.103999999999999</v>
      </c>
      <c r="E102" s="9">
        <f>'Strut loads'!$D$41</f>
        <v>323</v>
      </c>
      <c r="F102" s="9" t="b">
        <f t="shared" si="29"/>
        <v>1</v>
      </c>
    </row>
    <row r="103" spans="1:6" x14ac:dyDescent="0.25">
      <c r="A103" s="9">
        <f t="shared" si="30"/>
        <v>9</v>
      </c>
      <c r="B103" s="9">
        <f t="shared" si="31"/>
        <v>2</v>
      </c>
      <c r="C103" s="9">
        <f>Calculations!$B$34</f>
        <v>26.552</v>
      </c>
      <c r="D103" s="9">
        <f t="shared" si="28"/>
        <v>53.103999999999999</v>
      </c>
      <c r="E103" s="9">
        <f>'Strut loads'!$D$41</f>
        <v>323</v>
      </c>
      <c r="F103" s="9" t="b">
        <f t="shared" si="29"/>
        <v>1</v>
      </c>
    </row>
    <row r="104" spans="1:6" x14ac:dyDescent="0.25">
      <c r="A104" s="9">
        <f t="shared" si="30"/>
        <v>10</v>
      </c>
      <c r="B104" s="9">
        <f t="shared" si="31"/>
        <v>2</v>
      </c>
      <c r="C104" s="9">
        <f>Calculations!$B$34</f>
        <v>26.552</v>
      </c>
      <c r="D104" s="9">
        <f t="shared" si="28"/>
        <v>53.103999999999999</v>
      </c>
      <c r="E104" s="9">
        <f>'Strut loads'!$D$41</f>
        <v>323</v>
      </c>
      <c r="F104" s="9" t="b">
        <f t="shared" si="29"/>
        <v>1</v>
      </c>
    </row>
    <row r="105" spans="1:6" x14ac:dyDescent="0.25">
      <c r="A105" s="9">
        <f t="shared" si="30"/>
        <v>11</v>
      </c>
      <c r="B105" s="9">
        <f t="shared" si="31"/>
        <v>2</v>
      </c>
      <c r="C105" s="9">
        <f>Calculations!$B$34</f>
        <v>26.552</v>
      </c>
      <c r="D105" s="9">
        <f t="shared" ref="D105:D118" si="32">B105*C105</f>
        <v>53.103999999999999</v>
      </c>
      <c r="E105" s="9">
        <f>'Strut loads'!$D$41</f>
        <v>323</v>
      </c>
      <c r="F105" s="9" t="b">
        <f t="shared" ref="F105:F118" si="33">IF(D105 &lt;  (0.9* E105),TRUE,FALSE)</f>
        <v>1</v>
      </c>
    </row>
    <row r="106" spans="1:6" x14ac:dyDescent="0.25">
      <c r="A106" s="9">
        <f t="shared" si="30"/>
        <v>12</v>
      </c>
      <c r="B106" s="9">
        <f t="shared" si="31"/>
        <v>2</v>
      </c>
      <c r="C106" s="9">
        <f>Calculations!$B$34</f>
        <v>26.552</v>
      </c>
      <c r="D106" s="9">
        <f t="shared" si="32"/>
        <v>53.103999999999999</v>
      </c>
      <c r="E106" s="9">
        <f>'Strut loads'!$D$41</f>
        <v>323</v>
      </c>
      <c r="F106" s="9" t="b">
        <f t="shared" si="33"/>
        <v>1</v>
      </c>
    </row>
    <row r="107" spans="1:6" x14ac:dyDescent="0.25">
      <c r="A107" s="9">
        <f t="shared" si="30"/>
        <v>13</v>
      </c>
      <c r="B107" s="9">
        <f t="shared" si="31"/>
        <v>2</v>
      </c>
      <c r="C107" s="9">
        <f>Calculations!$B$34</f>
        <v>26.552</v>
      </c>
      <c r="D107" s="9">
        <f t="shared" si="32"/>
        <v>53.103999999999999</v>
      </c>
      <c r="E107" s="9">
        <f>'Strut loads'!$D$41</f>
        <v>323</v>
      </c>
      <c r="F107" s="9" t="b">
        <f t="shared" si="33"/>
        <v>1</v>
      </c>
    </row>
    <row r="108" spans="1:6" x14ac:dyDescent="0.25">
      <c r="A108" s="9">
        <f t="shared" si="30"/>
        <v>14</v>
      </c>
      <c r="B108" s="9">
        <f t="shared" si="31"/>
        <v>2</v>
      </c>
      <c r="C108" s="9">
        <f>Calculations!$B$34</f>
        <v>26.552</v>
      </c>
      <c r="D108" s="9">
        <f t="shared" si="32"/>
        <v>53.103999999999999</v>
      </c>
      <c r="E108" s="9">
        <f>'Strut loads'!$D$41</f>
        <v>323</v>
      </c>
      <c r="F108" s="9" t="b">
        <f t="shared" si="33"/>
        <v>1</v>
      </c>
    </row>
    <row r="109" spans="1:6" x14ac:dyDescent="0.25">
      <c r="A109" s="9">
        <f t="shared" si="30"/>
        <v>15</v>
      </c>
      <c r="B109" s="9">
        <f t="shared" si="31"/>
        <v>2</v>
      </c>
      <c r="C109" s="9">
        <f>Calculations!$B$34</f>
        <v>26.552</v>
      </c>
      <c r="D109" s="9">
        <f t="shared" si="32"/>
        <v>53.103999999999999</v>
      </c>
      <c r="E109" s="9">
        <f>'Strut loads'!$D$41</f>
        <v>323</v>
      </c>
      <c r="F109" s="9" t="b">
        <f t="shared" si="33"/>
        <v>1</v>
      </c>
    </row>
    <row r="110" spans="1:6" x14ac:dyDescent="0.25">
      <c r="A110" s="9">
        <f>1+A109</f>
        <v>16</v>
      </c>
      <c r="B110" s="9">
        <f t="shared" si="31"/>
        <v>2</v>
      </c>
      <c r="C110" s="9">
        <f>Calculations!$B$34</f>
        <v>26.552</v>
      </c>
      <c r="D110" s="9">
        <f t="shared" si="32"/>
        <v>53.103999999999999</v>
      </c>
      <c r="E110" s="9">
        <f>'Strut loads'!$D$41</f>
        <v>323</v>
      </c>
      <c r="F110" s="9" t="b">
        <f t="shared" si="33"/>
        <v>1</v>
      </c>
    </row>
    <row r="111" spans="1:6" x14ac:dyDescent="0.25">
      <c r="A111" s="9">
        <f t="shared" ref="A111:A123" si="34">1+A110</f>
        <v>17</v>
      </c>
      <c r="B111" s="9">
        <f t="shared" si="31"/>
        <v>2</v>
      </c>
      <c r="C111" s="9">
        <f>Calculations!$B$34</f>
        <v>26.552</v>
      </c>
      <c r="D111" s="9">
        <f t="shared" si="32"/>
        <v>53.103999999999999</v>
      </c>
      <c r="E111" s="9">
        <f>'Strut loads'!$D$41</f>
        <v>323</v>
      </c>
      <c r="F111" s="9" t="b">
        <f t="shared" si="33"/>
        <v>1</v>
      </c>
    </row>
    <row r="112" spans="1:6" x14ac:dyDescent="0.25">
      <c r="A112" s="9">
        <f t="shared" si="34"/>
        <v>18</v>
      </c>
      <c r="B112" s="9">
        <f t="shared" si="31"/>
        <v>2</v>
      </c>
      <c r="C112" s="9">
        <f>Calculations!$B$34</f>
        <v>26.552</v>
      </c>
      <c r="D112" s="9">
        <f t="shared" si="32"/>
        <v>53.103999999999999</v>
      </c>
      <c r="E112" s="9">
        <f>'Strut loads'!$D$41</f>
        <v>323</v>
      </c>
      <c r="F112" s="9" t="b">
        <f t="shared" si="33"/>
        <v>1</v>
      </c>
    </row>
    <row r="113" spans="1:6" x14ac:dyDescent="0.25">
      <c r="A113" s="9">
        <f t="shared" si="34"/>
        <v>19</v>
      </c>
      <c r="B113" s="9">
        <f t="shared" si="31"/>
        <v>2</v>
      </c>
      <c r="C113" s="9">
        <f>Calculations!$B$34</f>
        <v>26.552</v>
      </c>
      <c r="D113" s="9">
        <f t="shared" si="32"/>
        <v>53.103999999999999</v>
      </c>
      <c r="E113" s="9">
        <f>'Strut loads'!$D$41</f>
        <v>323</v>
      </c>
      <c r="F113" s="9" t="b">
        <f t="shared" si="33"/>
        <v>1</v>
      </c>
    </row>
    <row r="114" spans="1:6" x14ac:dyDescent="0.25">
      <c r="A114" s="9">
        <f t="shared" si="34"/>
        <v>20</v>
      </c>
      <c r="B114" s="9">
        <f t="shared" si="31"/>
        <v>2</v>
      </c>
      <c r="C114" s="9">
        <f>Calculations!$B$34</f>
        <v>26.552</v>
      </c>
      <c r="D114" s="9">
        <f t="shared" si="32"/>
        <v>53.103999999999999</v>
      </c>
      <c r="E114" s="9">
        <f>'Strut loads'!$D$41</f>
        <v>323</v>
      </c>
      <c r="F114" s="9" t="b">
        <f t="shared" si="33"/>
        <v>1</v>
      </c>
    </row>
    <row r="115" spans="1:6" x14ac:dyDescent="0.25">
      <c r="A115" s="9">
        <f t="shared" si="34"/>
        <v>21</v>
      </c>
      <c r="B115" s="9">
        <f t="shared" si="31"/>
        <v>2</v>
      </c>
      <c r="C115" s="9">
        <f>Calculations!$B$34</f>
        <v>26.552</v>
      </c>
      <c r="D115" s="9">
        <f t="shared" si="32"/>
        <v>53.103999999999999</v>
      </c>
      <c r="E115" s="9">
        <f>'Strut loads'!$D$41</f>
        <v>323</v>
      </c>
      <c r="F115" s="9" t="b">
        <f t="shared" si="33"/>
        <v>1</v>
      </c>
    </row>
    <row r="116" spans="1:6" x14ac:dyDescent="0.25">
      <c r="A116" s="9">
        <f t="shared" si="34"/>
        <v>22</v>
      </c>
      <c r="B116" s="9">
        <f t="shared" si="31"/>
        <v>2</v>
      </c>
      <c r="C116" s="9">
        <f>Calculations!$B$34</f>
        <v>26.552</v>
      </c>
      <c r="D116" s="9">
        <f t="shared" si="32"/>
        <v>53.103999999999999</v>
      </c>
      <c r="E116" s="9">
        <f>'Strut loads'!$D$41</f>
        <v>323</v>
      </c>
      <c r="F116" s="9" t="b">
        <f t="shared" si="33"/>
        <v>1</v>
      </c>
    </row>
    <row r="117" spans="1:6" x14ac:dyDescent="0.25">
      <c r="A117" s="9">
        <f t="shared" si="34"/>
        <v>23</v>
      </c>
      <c r="B117" s="9">
        <f t="shared" si="31"/>
        <v>2</v>
      </c>
      <c r="C117" s="9">
        <f>Calculations!$B$34</f>
        <v>26.552</v>
      </c>
      <c r="D117" s="9">
        <f t="shared" si="32"/>
        <v>53.103999999999999</v>
      </c>
      <c r="E117" s="9">
        <f>'Strut loads'!$D$41</f>
        <v>323</v>
      </c>
      <c r="F117" s="9" t="b">
        <f t="shared" si="33"/>
        <v>1</v>
      </c>
    </row>
    <row r="118" spans="1:6" x14ac:dyDescent="0.25">
      <c r="A118" s="9">
        <f t="shared" si="34"/>
        <v>24</v>
      </c>
      <c r="B118" s="9">
        <f t="shared" si="31"/>
        <v>2</v>
      </c>
      <c r="C118" s="9">
        <f>Calculations!$B$34</f>
        <v>26.552</v>
      </c>
      <c r="D118" s="9">
        <f t="shared" si="32"/>
        <v>53.103999999999999</v>
      </c>
      <c r="E118" s="9">
        <f>'Strut loads'!$D$41</f>
        <v>323</v>
      </c>
      <c r="F118" s="9" t="b">
        <f t="shared" si="33"/>
        <v>1</v>
      </c>
    </row>
    <row r="119" spans="1:6" x14ac:dyDescent="0.25">
      <c r="A119" s="9">
        <f t="shared" si="34"/>
        <v>25</v>
      </c>
      <c r="B119" s="9">
        <f t="shared" si="31"/>
        <v>2</v>
      </c>
      <c r="C119" s="9">
        <f>Calculations!$B$34</f>
        <v>26.552</v>
      </c>
      <c r="D119" s="9">
        <f t="shared" ref="D119:D142" si="35">B119*C119</f>
        <v>53.103999999999999</v>
      </c>
      <c r="E119" s="9">
        <f>'Strut loads'!$D$41</f>
        <v>323</v>
      </c>
      <c r="F119" s="9" t="b">
        <f t="shared" ref="F119:F142" si="36">IF(D119 &lt;  (0.9* E119),TRUE,FALSE)</f>
        <v>1</v>
      </c>
    </row>
    <row r="120" spans="1:6" x14ac:dyDescent="0.25">
      <c r="A120" s="9">
        <f t="shared" si="34"/>
        <v>26</v>
      </c>
      <c r="B120" s="9">
        <f t="shared" si="31"/>
        <v>2</v>
      </c>
      <c r="C120" s="9">
        <f>Calculations!$B$34</f>
        <v>26.552</v>
      </c>
      <c r="D120" s="9">
        <f t="shared" si="35"/>
        <v>53.103999999999999</v>
      </c>
      <c r="E120" s="9">
        <f>'Strut loads'!$D$41</f>
        <v>323</v>
      </c>
      <c r="F120" s="9" t="b">
        <f t="shared" si="36"/>
        <v>1</v>
      </c>
    </row>
    <row r="121" spans="1:6" x14ac:dyDescent="0.25">
      <c r="A121" s="9">
        <f t="shared" si="34"/>
        <v>27</v>
      </c>
      <c r="B121" s="9">
        <f t="shared" si="31"/>
        <v>2</v>
      </c>
      <c r="C121" s="9">
        <f>Calculations!$B$34</f>
        <v>26.552</v>
      </c>
      <c r="D121" s="9">
        <f t="shared" si="35"/>
        <v>53.103999999999999</v>
      </c>
      <c r="E121" s="9">
        <f>'Strut loads'!$D$41</f>
        <v>323</v>
      </c>
      <c r="F121" s="9" t="b">
        <f t="shared" si="36"/>
        <v>1</v>
      </c>
    </row>
    <row r="122" spans="1:6" x14ac:dyDescent="0.25">
      <c r="A122" s="9">
        <f t="shared" si="34"/>
        <v>28</v>
      </c>
      <c r="B122" s="9">
        <f t="shared" si="31"/>
        <v>2</v>
      </c>
      <c r="C122" s="9">
        <f>Calculations!$B$34</f>
        <v>26.552</v>
      </c>
      <c r="D122" s="9">
        <f t="shared" si="35"/>
        <v>53.103999999999999</v>
      </c>
      <c r="E122" s="9">
        <f>'Strut loads'!$D$41</f>
        <v>323</v>
      </c>
      <c r="F122" s="9" t="b">
        <f t="shared" si="36"/>
        <v>1</v>
      </c>
    </row>
    <row r="123" spans="1:6" x14ac:dyDescent="0.25">
      <c r="A123" s="9">
        <f t="shared" si="34"/>
        <v>29</v>
      </c>
      <c r="B123" s="9">
        <f t="shared" si="31"/>
        <v>2</v>
      </c>
      <c r="C123" s="9">
        <f>Calculations!$B$34</f>
        <v>26.552</v>
      </c>
      <c r="D123" s="9">
        <f t="shared" si="35"/>
        <v>53.103999999999999</v>
      </c>
      <c r="E123" s="9">
        <f>'Strut loads'!$D$41</f>
        <v>323</v>
      </c>
      <c r="F123" s="9" t="b">
        <f t="shared" si="36"/>
        <v>1</v>
      </c>
    </row>
    <row r="124" spans="1:6" x14ac:dyDescent="0.25">
      <c r="A124" s="9">
        <f>1+A123</f>
        <v>30</v>
      </c>
      <c r="B124" s="9">
        <f t="shared" si="31"/>
        <v>2</v>
      </c>
      <c r="C124" s="9">
        <f>Calculations!$B$34</f>
        <v>26.552</v>
      </c>
      <c r="D124" s="9">
        <f t="shared" si="35"/>
        <v>53.103999999999999</v>
      </c>
      <c r="E124" s="9">
        <f>'Strut loads'!$D$41</f>
        <v>323</v>
      </c>
      <c r="F124" s="9" t="b">
        <f t="shared" si="36"/>
        <v>1</v>
      </c>
    </row>
    <row r="125" spans="1:6" x14ac:dyDescent="0.25">
      <c r="A125" s="9">
        <f t="shared" ref="A125:A137" si="37">1+A124</f>
        <v>31</v>
      </c>
      <c r="B125" s="9">
        <f t="shared" si="31"/>
        <v>2</v>
      </c>
      <c r="C125" s="9">
        <f>Calculations!$B$34</f>
        <v>26.552</v>
      </c>
      <c r="D125" s="9">
        <f t="shared" si="35"/>
        <v>53.103999999999999</v>
      </c>
      <c r="E125" s="9">
        <f>'Strut loads'!$D$41</f>
        <v>323</v>
      </c>
      <c r="F125" s="9" t="b">
        <f t="shared" si="36"/>
        <v>1</v>
      </c>
    </row>
    <row r="126" spans="1:6" x14ac:dyDescent="0.25">
      <c r="A126" s="9">
        <f t="shared" si="37"/>
        <v>32</v>
      </c>
      <c r="B126" s="9">
        <f t="shared" si="31"/>
        <v>2</v>
      </c>
      <c r="C126" s="9">
        <f>Calculations!$B$34</f>
        <v>26.552</v>
      </c>
      <c r="D126" s="9">
        <f t="shared" si="35"/>
        <v>53.103999999999999</v>
      </c>
      <c r="E126" s="9">
        <f>'Strut loads'!$D$41</f>
        <v>323</v>
      </c>
      <c r="F126" s="9" t="b">
        <f t="shared" si="36"/>
        <v>1</v>
      </c>
    </row>
    <row r="127" spans="1:6" x14ac:dyDescent="0.25">
      <c r="A127" s="9">
        <f t="shared" si="37"/>
        <v>33</v>
      </c>
      <c r="B127" s="9">
        <f t="shared" si="31"/>
        <v>2</v>
      </c>
      <c r="C127" s="9">
        <f>Calculations!$B$34</f>
        <v>26.552</v>
      </c>
      <c r="D127" s="9">
        <f t="shared" si="35"/>
        <v>53.103999999999999</v>
      </c>
      <c r="E127" s="9">
        <f>'Strut loads'!$D$41</f>
        <v>323</v>
      </c>
      <c r="F127" s="9" t="b">
        <f t="shared" si="36"/>
        <v>1</v>
      </c>
    </row>
    <row r="128" spans="1:6" x14ac:dyDescent="0.25">
      <c r="A128" s="9">
        <f t="shared" si="37"/>
        <v>34</v>
      </c>
      <c r="B128" s="9">
        <f t="shared" si="31"/>
        <v>2</v>
      </c>
      <c r="C128" s="9">
        <f>Calculations!$B$34</f>
        <v>26.552</v>
      </c>
      <c r="D128" s="9">
        <f t="shared" si="35"/>
        <v>53.103999999999999</v>
      </c>
      <c r="E128" s="9">
        <f>'Strut loads'!$D$41</f>
        <v>323</v>
      </c>
      <c r="F128" s="9" t="b">
        <f t="shared" si="36"/>
        <v>1</v>
      </c>
    </row>
    <row r="129" spans="1:6" x14ac:dyDescent="0.25">
      <c r="A129" s="9">
        <f t="shared" si="37"/>
        <v>35</v>
      </c>
      <c r="B129" s="9">
        <f t="shared" si="31"/>
        <v>2</v>
      </c>
      <c r="C129" s="9">
        <f>Calculations!$B$34</f>
        <v>26.552</v>
      </c>
      <c r="D129" s="9">
        <f t="shared" si="35"/>
        <v>53.103999999999999</v>
      </c>
      <c r="E129" s="9">
        <f>'Strut loads'!$D$41</f>
        <v>323</v>
      </c>
      <c r="F129" s="9" t="b">
        <f t="shared" si="36"/>
        <v>1</v>
      </c>
    </row>
    <row r="130" spans="1:6" x14ac:dyDescent="0.25">
      <c r="A130" s="9">
        <f t="shared" si="37"/>
        <v>36</v>
      </c>
      <c r="B130" s="9">
        <f t="shared" si="31"/>
        <v>2</v>
      </c>
      <c r="C130" s="9">
        <f>Calculations!$B$34</f>
        <v>26.552</v>
      </c>
      <c r="D130" s="9">
        <f t="shared" si="35"/>
        <v>53.103999999999999</v>
      </c>
      <c r="E130" s="9">
        <f>'Strut loads'!$D$41</f>
        <v>323</v>
      </c>
      <c r="F130" s="9" t="b">
        <f t="shared" si="36"/>
        <v>1</v>
      </c>
    </row>
    <row r="131" spans="1:6" x14ac:dyDescent="0.25">
      <c r="A131" s="9">
        <f t="shared" si="37"/>
        <v>37</v>
      </c>
      <c r="B131" s="9">
        <f t="shared" si="31"/>
        <v>2</v>
      </c>
      <c r="C131" s="9">
        <f>Calculations!$B$34</f>
        <v>26.552</v>
      </c>
      <c r="D131" s="9">
        <f t="shared" si="35"/>
        <v>53.103999999999999</v>
      </c>
      <c r="E131" s="9">
        <f>'Strut loads'!$D$41</f>
        <v>323</v>
      </c>
      <c r="F131" s="9" t="b">
        <f t="shared" si="36"/>
        <v>1</v>
      </c>
    </row>
    <row r="132" spans="1:6" x14ac:dyDescent="0.25">
      <c r="A132" s="9">
        <f t="shared" si="37"/>
        <v>38</v>
      </c>
      <c r="B132" s="9">
        <f t="shared" si="31"/>
        <v>2</v>
      </c>
      <c r="C132" s="9">
        <f>Calculations!$B$34</f>
        <v>26.552</v>
      </c>
      <c r="D132" s="9">
        <f t="shared" si="35"/>
        <v>53.103999999999999</v>
      </c>
      <c r="E132" s="9">
        <f>'Strut loads'!$D$41</f>
        <v>323</v>
      </c>
      <c r="F132" s="9" t="b">
        <f t="shared" si="36"/>
        <v>1</v>
      </c>
    </row>
    <row r="133" spans="1:6" x14ac:dyDescent="0.25">
      <c r="A133" s="9">
        <f t="shared" si="37"/>
        <v>39</v>
      </c>
      <c r="B133" s="9">
        <f t="shared" si="31"/>
        <v>2</v>
      </c>
      <c r="C133" s="9">
        <f>Calculations!$B$34</f>
        <v>26.552</v>
      </c>
      <c r="D133" s="9">
        <f t="shared" si="35"/>
        <v>53.103999999999999</v>
      </c>
      <c r="E133" s="9">
        <f>'Strut loads'!$D$41</f>
        <v>323</v>
      </c>
      <c r="F133" s="9" t="b">
        <f t="shared" si="36"/>
        <v>1</v>
      </c>
    </row>
    <row r="134" spans="1:6" x14ac:dyDescent="0.25">
      <c r="A134" s="9">
        <f t="shared" si="37"/>
        <v>40</v>
      </c>
      <c r="B134" s="9">
        <f t="shared" si="31"/>
        <v>2</v>
      </c>
      <c r="C134" s="9">
        <f>Calculations!$B$34</f>
        <v>26.552</v>
      </c>
      <c r="D134" s="9">
        <f t="shared" si="35"/>
        <v>53.103999999999999</v>
      </c>
      <c r="E134" s="9">
        <f>'Strut loads'!$D$41</f>
        <v>323</v>
      </c>
      <c r="F134" s="9" t="b">
        <f t="shared" si="36"/>
        <v>1</v>
      </c>
    </row>
    <row r="135" spans="1:6" x14ac:dyDescent="0.25">
      <c r="A135" s="9">
        <f t="shared" si="37"/>
        <v>41</v>
      </c>
      <c r="B135" s="9">
        <f t="shared" si="31"/>
        <v>2</v>
      </c>
      <c r="C135" s="9">
        <f>Calculations!$B$34</f>
        <v>26.552</v>
      </c>
      <c r="D135" s="9">
        <f t="shared" si="35"/>
        <v>53.103999999999999</v>
      </c>
      <c r="E135" s="9">
        <f>'Strut loads'!$D$41</f>
        <v>323</v>
      </c>
      <c r="F135" s="9" t="b">
        <f t="shared" si="36"/>
        <v>1</v>
      </c>
    </row>
    <row r="136" spans="1:6" x14ac:dyDescent="0.25">
      <c r="A136" s="9">
        <f t="shared" si="37"/>
        <v>42</v>
      </c>
      <c r="B136" s="9">
        <f t="shared" si="31"/>
        <v>2</v>
      </c>
      <c r="C136" s="9">
        <f>Calculations!$B$34</f>
        <v>26.552</v>
      </c>
      <c r="D136" s="9">
        <f t="shared" si="35"/>
        <v>53.103999999999999</v>
      </c>
      <c r="E136" s="9">
        <f>'Strut loads'!$D$41</f>
        <v>323</v>
      </c>
      <c r="F136" s="9" t="b">
        <f t="shared" si="36"/>
        <v>1</v>
      </c>
    </row>
    <row r="137" spans="1:6" x14ac:dyDescent="0.25">
      <c r="A137" s="9">
        <f t="shared" si="37"/>
        <v>43</v>
      </c>
      <c r="B137" s="9">
        <f t="shared" si="31"/>
        <v>2</v>
      </c>
      <c r="C137" s="9">
        <f>Calculations!$B$34</f>
        <v>26.552</v>
      </c>
      <c r="D137" s="9">
        <f t="shared" si="35"/>
        <v>53.103999999999999</v>
      </c>
      <c r="E137" s="9">
        <f>'Strut loads'!$D$41</f>
        <v>323</v>
      </c>
      <c r="F137" s="9" t="b">
        <f t="shared" si="36"/>
        <v>1</v>
      </c>
    </row>
    <row r="138" spans="1:6" x14ac:dyDescent="0.25">
      <c r="A138" s="9">
        <f>1+A137</f>
        <v>44</v>
      </c>
      <c r="B138" s="9">
        <f t="shared" si="31"/>
        <v>2</v>
      </c>
      <c r="C138" s="9">
        <f>Calculations!$B$34</f>
        <v>26.552</v>
      </c>
      <c r="D138" s="9">
        <f t="shared" si="35"/>
        <v>53.103999999999999</v>
      </c>
      <c r="E138" s="9">
        <f>'Strut loads'!$D$41</f>
        <v>323</v>
      </c>
      <c r="F138" s="9" t="b">
        <f t="shared" si="36"/>
        <v>1</v>
      </c>
    </row>
    <row r="139" spans="1:6" x14ac:dyDescent="0.25">
      <c r="A139" s="9">
        <f t="shared" ref="A139:A142" si="38">1+A138</f>
        <v>45</v>
      </c>
      <c r="B139" s="9">
        <f t="shared" si="31"/>
        <v>2</v>
      </c>
      <c r="C139" s="9">
        <f>Calculations!$B$34</f>
        <v>26.552</v>
      </c>
      <c r="D139" s="9">
        <f t="shared" si="35"/>
        <v>53.103999999999999</v>
      </c>
      <c r="E139" s="9">
        <f>'Strut loads'!$D$41</f>
        <v>323</v>
      </c>
      <c r="F139" s="9" t="b">
        <f t="shared" si="36"/>
        <v>1</v>
      </c>
    </row>
    <row r="140" spans="1:6" x14ac:dyDescent="0.25">
      <c r="A140" s="9">
        <f t="shared" si="38"/>
        <v>46</v>
      </c>
      <c r="B140" s="9">
        <f t="shared" si="31"/>
        <v>2</v>
      </c>
      <c r="C140" s="9">
        <f>Calculations!$B$34</f>
        <v>26.552</v>
      </c>
      <c r="D140" s="9">
        <f t="shared" si="35"/>
        <v>53.103999999999999</v>
      </c>
      <c r="E140" s="9">
        <f>'Strut loads'!$D$41</f>
        <v>323</v>
      </c>
      <c r="F140" s="9" t="b">
        <f t="shared" si="36"/>
        <v>1</v>
      </c>
    </row>
    <row r="141" spans="1:6" x14ac:dyDescent="0.25">
      <c r="A141" s="9">
        <f t="shared" si="38"/>
        <v>47</v>
      </c>
      <c r="B141" s="9">
        <f t="shared" si="31"/>
        <v>2</v>
      </c>
      <c r="C141" s="9">
        <f>Calculations!$B$34</f>
        <v>26.552</v>
      </c>
      <c r="D141" s="9">
        <f t="shared" si="35"/>
        <v>53.103999999999999</v>
      </c>
      <c r="E141" s="9">
        <f>'Strut loads'!$D$41</f>
        <v>323</v>
      </c>
      <c r="F141" s="9" t="b">
        <f t="shared" si="36"/>
        <v>1</v>
      </c>
    </row>
    <row r="142" spans="1:6" x14ac:dyDescent="0.25">
      <c r="A142" s="9">
        <f t="shared" si="38"/>
        <v>48</v>
      </c>
      <c r="B142" s="9">
        <f t="shared" si="31"/>
        <v>2</v>
      </c>
      <c r="C142" s="9">
        <f>Calculations!$B$34</f>
        <v>26.552</v>
      </c>
      <c r="D142" s="9">
        <f t="shared" si="35"/>
        <v>53.103999999999999</v>
      </c>
      <c r="E142" s="9">
        <f>'Strut loads'!$D$41</f>
        <v>323</v>
      </c>
      <c r="F142" s="9" t="b">
        <f t="shared" si="36"/>
        <v>1</v>
      </c>
    </row>
    <row r="143" spans="1:6" x14ac:dyDescent="0.25">
      <c r="B143" s="9">
        <f>_xlfn.XLOOKUP(TRUE,F94:F142,B94:B142,"No")</f>
        <v>4</v>
      </c>
      <c r="D143" s="9">
        <f>_xlfn.XLOOKUP(TRUE,F94:F142,D94:D142,"No")</f>
        <v>106.208</v>
      </c>
      <c r="F143" t="s">
        <v>103</v>
      </c>
    </row>
    <row r="144" spans="1:6" x14ac:dyDescent="0.25">
      <c r="B144" s="9" t="s">
        <v>104</v>
      </c>
    </row>
    <row r="146" spans="2:6" x14ac:dyDescent="0.25">
      <c r="B146">
        <f>IF(Inputs!C4="Pipe",'Pipe weight, hangers, spacing'!S241,Calculations!#REF!)</f>
        <v>4</v>
      </c>
    </row>
    <row r="147" spans="2:6" x14ac:dyDescent="0.25">
      <c r="B147" s="51" t="s">
        <v>104</v>
      </c>
      <c r="C147" s="50" t="s">
        <v>104</v>
      </c>
      <c r="D147" s="50" t="s">
        <v>104</v>
      </c>
      <c r="F147" t="s">
        <v>104</v>
      </c>
    </row>
    <row r="149" spans="2:6" x14ac:dyDescent="0.25">
      <c r="B149" s="52">
        <f>MIN(B146,B143,B92,B43)</f>
        <v>4</v>
      </c>
      <c r="C149" s="50">
        <f>Calculations!$B$34</f>
        <v>26.552</v>
      </c>
      <c r="D149" s="52">
        <f>C149*B149</f>
        <v>106.208</v>
      </c>
      <c r="F149" t="s">
        <v>105</v>
      </c>
    </row>
    <row r="150" spans="2:6" x14ac:dyDescent="0.25">
      <c r="F150" s="49" t="s">
        <v>106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73D793-3999-466C-8DDE-536501C64802}">
  <sheetPr codeName="Sheet5"/>
  <dimension ref="A1:AT55"/>
  <sheetViews>
    <sheetView topLeftCell="A28" zoomScale="83" zoomScaleNormal="83" workbookViewId="0">
      <selection activeCell="F42" sqref="F42"/>
    </sheetView>
  </sheetViews>
  <sheetFormatPr defaultRowHeight="15" x14ac:dyDescent="0.25"/>
  <cols>
    <col min="1" max="1" width="11.85546875" customWidth="1"/>
    <col min="2" max="2" width="18" customWidth="1"/>
    <col min="3" max="3" width="16.7109375" customWidth="1"/>
    <col min="4" max="4" width="44.140625" customWidth="1"/>
    <col min="5" max="6" width="23.85546875" customWidth="1"/>
    <col min="7" max="7" width="18.28515625" customWidth="1"/>
    <col min="8" max="8" width="16.42578125" customWidth="1"/>
    <col min="11" max="11" width="13.5703125" customWidth="1"/>
    <col min="20" max="20" width="5.140625" customWidth="1"/>
  </cols>
  <sheetData>
    <row r="1" spans="1:16" x14ac:dyDescent="0.25">
      <c r="A1" t="s">
        <v>776</v>
      </c>
      <c r="B1" t="s">
        <v>777</v>
      </c>
      <c r="C1" t="s">
        <v>778</v>
      </c>
      <c r="D1" t="s">
        <v>779</v>
      </c>
      <c r="E1" t="s">
        <v>780</v>
      </c>
      <c r="G1" t="s">
        <v>776</v>
      </c>
      <c r="H1" t="s">
        <v>781</v>
      </c>
      <c r="I1" t="s">
        <v>782</v>
      </c>
      <c r="J1" t="s">
        <v>783</v>
      </c>
    </row>
    <row r="2" spans="1:16" x14ac:dyDescent="0.25">
      <c r="A2" t="s">
        <v>176</v>
      </c>
      <c r="B2">
        <v>18</v>
      </c>
      <c r="C2">
        <v>1690</v>
      </c>
      <c r="D2">
        <f>Beam_loads[[#This Row],[Max Beam Load]]*0.85</f>
        <v>1436.5</v>
      </c>
      <c r="E2">
        <v>2256</v>
      </c>
      <c r="G2" t="s">
        <v>176</v>
      </c>
      <c r="H2">
        <v>18</v>
      </c>
      <c r="I2">
        <v>3550</v>
      </c>
      <c r="J2" s="55">
        <v>9481</v>
      </c>
      <c r="P2" t="s">
        <v>176</v>
      </c>
    </row>
    <row r="3" spans="1:16" x14ac:dyDescent="0.25">
      <c r="A3" t="s">
        <v>181</v>
      </c>
      <c r="B3">
        <v>18</v>
      </c>
      <c r="C3">
        <v>3500</v>
      </c>
      <c r="D3">
        <f>Beam_loads[[#This Row],[Max Beam Load]]*0.85</f>
        <v>2975</v>
      </c>
      <c r="E3">
        <v>6289</v>
      </c>
      <c r="G3" t="s">
        <v>176</v>
      </c>
      <c r="H3">
        <v>24</v>
      </c>
      <c r="I3">
        <v>3550</v>
      </c>
      <c r="J3" s="54">
        <v>8582</v>
      </c>
      <c r="L3" t="s">
        <v>104</v>
      </c>
    </row>
    <row r="4" spans="1:16" x14ac:dyDescent="0.25">
      <c r="A4" t="s">
        <v>784</v>
      </c>
      <c r="B4">
        <v>18</v>
      </c>
      <c r="C4">
        <v>3500</v>
      </c>
      <c r="D4">
        <f>Beam_loads[[#This Row],[Max Beam Load]]*0.85</f>
        <v>2975</v>
      </c>
      <c r="E4">
        <v>7111</v>
      </c>
      <c r="G4" t="s">
        <v>176</v>
      </c>
      <c r="H4">
        <v>30</v>
      </c>
      <c r="I4">
        <v>3190</v>
      </c>
      <c r="J4" s="55">
        <v>7601</v>
      </c>
    </row>
    <row r="5" spans="1:16" x14ac:dyDescent="0.25">
      <c r="A5" t="s">
        <v>176</v>
      </c>
      <c r="B5">
        <v>24</v>
      </c>
      <c r="C5">
        <v>1690</v>
      </c>
      <c r="D5">
        <f>Beam_loads[[#This Row],[Max Beam Load]]*0.85</f>
        <v>1436.5</v>
      </c>
      <c r="E5">
        <v>1692</v>
      </c>
      <c r="G5" t="s">
        <v>176</v>
      </c>
      <c r="H5">
        <v>36</v>
      </c>
      <c r="I5">
        <v>3190</v>
      </c>
      <c r="J5" s="54">
        <v>6595</v>
      </c>
    </row>
    <row r="6" spans="1:16" x14ac:dyDescent="0.25">
      <c r="A6" t="s">
        <v>181</v>
      </c>
      <c r="B6">
        <v>24</v>
      </c>
      <c r="C6">
        <v>3500</v>
      </c>
      <c r="D6">
        <f>Beam_loads[[#This Row],[Max Beam Load]]*0.85</f>
        <v>2975</v>
      </c>
      <c r="E6">
        <v>4717</v>
      </c>
      <c r="G6" t="s">
        <v>176</v>
      </c>
      <c r="H6">
        <v>42</v>
      </c>
      <c r="I6">
        <v>2770</v>
      </c>
      <c r="J6" s="55">
        <v>5595</v>
      </c>
    </row>
    <row r="7" spans="1:16" x14ac:dyDescent="0.25">
      <c r="A7" t="s">
        <v>784</v>
      </c>
      <c r="B7">
        <v>24</v>
      </c>
      <c r="C7">
        <v>3500</v>
      </c>
      <c r="D7">
        <f>Beam_loads[[#This Row],[Max Beam Load]]*0.85</f>
        <v>2975</v>
      </c>
      <c r="E7">
        <v>5333</v>
      </c>
      <c r="G7" t="s">
        <v>176</v>
      </c>
      <c r="H7">
        <v>48</v>
      </c>
      <c r="I7">
        <v>2770</v>
      </c>
      <c r="J7" s="54">
        <v>4718</v>
      </c>
    </row>
    <row r="8" spans="1:16" x14ac:dyDescent="0.25">
      <c r="A8" t="s">
        <v>176</v>
      </c>
      <c r="B8">
        <v>30</v>
      </c>
      <c r="C8">
        <v>1130</v>
      </c>
      <c r="D8">
        <f>Beam_loads[[#This Row],[Max Beam Load]]*0.85</f>
        <v>960.5</v>
      </c>
      <c r="E8">
        <v>1353</v>
      </c>
      <c r="G8" t="s">
        <v>176</v>
      </c>
      <c r="H8">
        <v>54</v>
      </c>
      <c r="I8">
        <v>2380</v>
      </c>
      <c r="J8" s="55">
        <v>4090</v>
      </c>
    </row>
    <row r="9" spans="1:16" x14ac:dyDescent="0.25">
      <c r="A9" t="s">
        <v>181</v>
      </c>
      <c r="B9">
        <v>30</v>
      </c>
      <c r="C9">
        <v>3190</v>
      </c>
      <c r="D9">
        <f>Beam_loads[[#This Row],[Max Beam Load]]*0.85</f>
        <v>2711.5</v>
      </c>
      <c r="E9">
        <v>3773</v>
      </c>
      <c r="G9" t="s">
        <v>176</v>
      </c>
      <c r="H9">
        <v>60</v>
      </c>
      <c r="I9">
        <v>2380</v>
      </c>
      <c r="J9" s="54">
        <v>3616</v>
      </c>
    </row>
    <row r="10" spans="1:16" x14ac:dyDescent="0.25">
      <c r="A10" t="s">
        <v>784</v>
      </c>
      <c r="B10">
        <v>30</v>
      </c>
      <c r="C10">
        <v>3190</v>
      </c>
      <c r="D10">
        <f>Beam_loads[[#This Row],[Max Beam Load]]*0.85</f>
        <v>2711.5</v>
      </c>
      <c r="E10">
        <v>4267</v>
      </c>
      <c r="G10" t="s">
        <v>176</v>
      </c>
      <c r="H10">
        <v>72</v>
      </c>
      <c r="I10">
        <v>2080</v>
      </c>
      <c r="J10" s="55">
        <v>2936</v>
      </c>
    </row>
    <row r="11" spans="1:16" x14ac:dyDescent="0.25">
      <c r="A11" t="s">
        <v>176</v>
      </c>
      <c r="B11">
        <v>36</v>
      </c>
      <c r="C11">
        <v>1130</v>
      </c>
      <c r="D11">
        <f>Beam_loads[[#This Row],[Max Beam Load]]*0.85</f>
        <v>960.5</v>
      </c>
      <c r="E11">
        <v>1128</v>
      </c>
      <c r="G11" t="s">
        <v>176</v>
      </c>
      <c r="H11">
        <v>84</v>
      </c>
      <c r="I11">
        <v>1860</v>
      </c>
      <c r="J11" s="54">
        <v>2461</v>
      </c>
      <c r="L11" cm="1">
        <f t="array" ref="L11">INDEX(Column_load[Column Height (inches)],L14)</f>
        <v>24</v>
      </c>
    </row>
    <row r="12" spans="1:16" x14ac:dyDescent="0.25">
      <c r="A12" t="s">
        <v>181</v>
      </c>
      <c r="B12">
        <v>36</v>
      </c>
      <c r="C12">
        <v>3190</v>
      </c>
      <c r="D12">
        <f>Beam_loads[[#This Row],[Max Beam Load]]*0.85</f>
        <v>2711.5</v>
      </c>
      <c r="E12">
        <v>3144</v>
      </c>
      <c r="G12" t="s">
        <v>176</v>
      </c>
      <c r="H12">
        <v>96</v>
      </c>
      <c r="I12">
        <v>1670</v>
      </c>
      <c r="J12" s="55">
        <v>2101</v>
      </c>
    </row>
    <row r="13" spans="1:16" x14ac:dyDescent="0.25">
      <c r="A13" t="s">
        <v>784</v>
      </c>
      <c r="B13">
        <v>36</v>
      </c>
      <c r="C13">
        <v>3190</v>
      </c>
      <c r="D13">
        <f>Beam_loads[[#This Row],[Max Beam Load]]*0.85</f>
        <v>2711.5</v>
      </c>
      <c r="E13">
        <v>3556</v>
      </c>
      <c r="G13" t="s">
        <v>176</v>
      </c>
      <c r="H13">
        <v>108</v>
      </c>
      <c r="I13">
        <v>1510</v>
      </c>
      <c r="J13" s="54">
        <v>1816</v>
      </c>
    </row>
    <row r="14" spans="1:16" x14ac:dyDescent="0.25">
      <c r="A14" t="s">
        <v>176</v>
      </c>
      <c r="B14">
        <v>42</v>
      </c>
      <c r="C14">
        <v>850</v>
      </c>
      <c r="D14">
        <f>Beam_loads[[#This Row],[Max Beam Load]]*0.85</f>
        <v>722.5</v>
      </c>
      <c r="E14">
        <v>967</v>
      </c>
      <c r="G14" t="s">
        <v>176</v>
      </c>
      <c r="H14">
        <v>120</v>
      </c>
      <c r="I14">
        <v>1380</v>
      </c>
      <c r="J14" s="55">
        <v>1583</v>
      </c>
      <c r="L14">
        <f>MATCH(H29,Column_load[Column Height (inches)],1)</f>
        <v>2</v>
      </c>
    </row>
    <row r="15" spans="1:16" x14ac:dyDescent="0.25">
      <c r="A15" t="s">
        <v>181</v>
      </c>
      <c r="B15">
        <v>42</v>
      </c>
      <c r="C15">
        <v>2390</v>
      </c>
      <c r="D15">
        <f>Beam_loads[[#This Row],[Max Beam Load]]*0.85</f>
        <v>2031.5</v>
      </c>
      <c r="E15">
        <v>2695</v>
      </c>
      <c r="G15" t="s">
        <v>181</v>
      </c>
      <c r="H15">
        <v>18</v>
      </c>
      <c r="I15">
        <v>6430</v>
      </c>
    </row>
    <row r="16" spans="1:16" x14ac:dyDescent="0.25">
      <c r="A16" t="s">
        <v>784</v>
      </c>
      <c r="B16">
        <v>42</v>
      </c>
      <c r="C16">
        <v>2390</v>
      </c>
      <c r="D16">
        <f>Beam_loads[[#This Row],[Max Beam Load]]*0.85</f>
        <v>2031.5</v>
      </c>
      <c r="E16">
        <v>3048</v>
      </c>
      <c r="G16" t="s">
        <v>181</v>
      </c>
      <c r="H16">
        <v>24</v>
      </c>
      <c r="I16">
        <v>6430</v>
      </c>
    </row>
    <row r="17" spans="1:16" x14ac:dyDescent="0.25">
      <c r="A17" t="s">
        <v>176</v>
      </c>
      <c r="B17">
        <v>48</v>
      </c>
      <c r="C17">
        <v>850</v>
      </c>
      <c r="D17">
        <f>Beam_loads[[#This Row],[Max Beam Load]]*0.85</f>
        <v>722.5</v>
      </c>
      <c r="E17">
        <v>757</v>
      </c>
      <c r="G17" t="s">
        <v>181</v>
      </c>
      <c r="H17">
        <v>30</v>
      </c>
      <c r="I17">
        <v>6290</v>
      </c>
    </row>
    <row r="18" spans="1:16" x14ac:dyDescent="0.25">
      <c r="A18" t="s">
        <v>181</v>
      </c>
      <c r="B18">
        <v>48</v>
      </c>
      <c r="C18">
        <v>2390</v>
      </c>
      <c r="D18">
        <f>Beam_loads[[#This Row],[Max Beam Load]]*0.85</f>
        <v>2031.5</v>
      </c>
      <c r="E18">
        <v>2358</v>
      </c>
      <c r="G18" t="s">
        <v>181</v>
      </c>
      <c r="H18">
        <v>36</v>
      </c>
      <c r="I18">
        <v>6290</v>
      </c>
    </row>
    <row r="19" spans="1:16" x14ac:dyDescent="0.25">
      <c r="A19" t="s">
        <v>784</v>
      </c>
      <c r="B19">
        <v>48</v>
      </c>
      <c r="C19">
        <v>2390</v>
      </c>
      <c r="D19">
        <f>Beam_loads[[#This Row],[Max Beam Load]]*0.85</f>
        <v>2031.5</v>
      </c>
      <c r="E19">
        <v>2667</v>
      </c>
      <c r="G19" t="s">
        <v>181</v>
      </c>
      <c r="H19">
        <v>42</v>
      </c>
      <c r="I19">
        <v>6160</v>
      </c>
    </row>
    <row r="20" spans="1:16" x14ac:dyDescent="0.25">
      <c r="A20" t="s">
        <v>176</v>
      </c>
      <c r="B20">
        <v>54</v>
      </c>
      <c r="C20">
        <v>680</v>
      </c>
      <c r="D20">
        <f>Beam_loads[[#This Row],[Max Beam Load]]*0.85</f>
        <v>578</v>
      </c>
      <c r="E20">
        <v>598</v>
      </c>
      <c r="G20" t="s">
        <v>181</v>
      </c>
      <c r="H20">
        <v>48</v>
      </c>
      <c r="I20">
        <v>6160</v>
      </c>
    </row>
    <row r="21" spans="1:16" x14ac:dyDescent="0.25">
      <c r="A21" t="s">
        <v>181</v>
      </c>
      <c r="B21">
        <v>54</v>
      </c>
      <c r="C21">
        <v>1910</v>
      </c>
      <c r="D21">
        <f>Beam_loads[[#This Row],[Max Beam Load]]*0.85</f>
        <v>1623.5</v>
      </c>
      <c r="E21">
        <v>2096</v>
      </c>
      <c r="G21" t="s">
        <v>181</v>
      </c>
      <c r="H21">
        <v>54</v>
      </c>
      <c r="I21">
        <v>6000</v>
      </c>
      <c r="P21" t="s">
        <v>181</v>
      </c>
    </row>
    <row r="22" spans="1:16" x14ac:dyDescent="0.25">
      <c r="A22" t="s">
        <v>784</v>
      </c>
      <c r="B22">
        <v>54</v>
      </c>
      <c r="C22">
        <v>1910</v>
      </c>
      <c r="D22">
        <f>Beam_loads[[#This Row],[Max Beam Load]]*0.85</f>
        <v>1623.5</v>
      </c>
      <c r="E22">
        <v>2370</v>
      </c>
      <c r="G22" t="s">
        <v>181</v>
      </c>
      <c r="H22">
        <v>60</v>
      </c>
      <c r="I22">
        <v>6000</v>
      </c>
    </row>
    <row r="23" spans="1:16" x14ac:dyDescent="0.25">
      <c r="A23" t="s">
        <v>176</v>
      </c>
      <c r="B23">
        <v>60</v>
      </c>
      <c r="C23">
        <v>680</v>
      </c>
      <c r="D23">
        <f>Beam_loads[[#This Row],[Max Beam Load]]*0.85</f>
        <v>578</v>
      </c>
      <c r="E23">
        <v>485</v>
      </c>
      <c r="G23" t="s">
        <v>181</v>
      </c>
      <c r="H23">
        <v>72</v>
      </c>
      <c r="I23">
        <v>5620</v>
      </c>
    </row>
    <row r="24" spans="1:16" x14ac:dyDescent="0.25">
      <c r="A24" t="s">
        <v>181</v>
      </c>
      <c r="B24">
        <v>60</v>
      </c>
      <c r="C24">
        <v>1910</v>
      </c>
      <c r="D24">
        <f>Beam_loads[[#This Row],[Max Beam Load]]*0.85</f>
        <v>1623.5</v>
      </c>
      <c r="E24">
        <v>1887</v>
      </c>
      <c r="G24" t="s">
        <v>181</v>
      </c>
      <c r="H24">
        <v>84</v>
      </c>
      <c r="I24">
        <v>5170</v>
      </c>
    </row>
    <row r="25" spans="1:16" x14ac:dyDescent="0.25">
      <c r="A25" t="s">
        <v>784</v>
      </c>
      <c r="B25">
        <v>60</v>
      </c>
      <c r="C25">
        <v>1910</v>
      </c>
      <c r="D25">
        <f>Beam_loads[[#This Row],[Max Beam Load]]*0.85</f>
        <v>1623.5</v>
      </c>
      <c r="E25">
        <v>2133</v>
      </c>
      <c r="G25" t="s">
        <v>181</v>
      </c>
      <c r="H25">
        <v>96</v>
      </c>
      <c r="I25">
        <v>4690</v>
      </c>
    </row>
    <row r="26" spans="1:16" x14ac:dyDescent="0.25">
      <c r="A26" t="s">
        <v>176</v>
      </c>
      <c r="B26">
        <v>72</v>
      </c>
      <c r="C26">
        <v>560</v>
      </c>
      <c r="D26">
        <f>Beam_loads[[#This Row],[Max Beam Load]]*0.85</f>
        <v>476</v>
      </c>
      <c r="E26">
        <v>337</v>
      </c>
      <c r="G26" t="s">
        <v>181</v>
      </c>
      <c r="H26">
        <v>108</v>
      </c>
      <c r="I26">
        <v>4170</v>
      </c>
    </row>
    <row r="27" spans="1:16" x14ac:dyDescent="0.25">
      <c r="A27" t="s">
        <v>181</v>
      </c>
      <c r="B27">
        <v>72</v>
      </c>
      <c r="C27">
        <v>1600</v>
      </c>
      <c r="D27">
        <f>Beam_loads[[#This Row],[Max Beam Load]]*0.85</f>
        <v>1360</v>
      </c>
      <c r="E27">
        <v>1572</v>
      </c>
      <c r="G27" t="s">
        <v>181</v>
      </c>
      <c r="H27">
        <v>120</v>
      </c>
      <c r="I27">
        <v>3690</v>
      </c>
    </row>
    <row r="28" spans="1:16" x14ac:dyDescent="0.25">
      <c r="A28" t="s">
        <v>784</v>
      </c>
      <c r="B28">
        <v>72</v>
      </c>
      <c r="C28">
        <v>1600</v>
      </c>
      <c r="D28">
        <f>Beam_loads[[#This Row],[Max Beam Load]]*0.85</f>
        <v>1360</v>
      </c>
      <c r="E28">
        <v>1778</v>
      </c>
    </row>
    <row r="29" spans="1:16" x14ac:dyDescent="0.25">
      <c r="A29" t="s">
        <v>176</v>
      </c>
      <c r="B29">
        <v>84</v>
      </c>
      <c r="C29">
        <v>480</v>
      </c>
      <c r="D29">
        <f>Beam_loads[[#This Row],[Max Beam Load]]*0.85</f>
        <v>408</v>
      </c>
      <c r="E29">
        <v>247</v>
      </c>
      <c r="G29">
        <f>Calculations!B36</f>
        <v>21</v>
      </c>
      <c r="H29" s="52">
        <f>IF($G$29&lt;=18,18,IF(AND($G$29&gt;18,$G$29&lt;=24),24,IF(AND($G$29&gt;24,$G$29&lt;=30),30,IF(AND($G$29&gt;30,$G$29&lt;=36),36,IF(AND($G$29&gt;36,$G$29&lt;=42),42,IF(AND($G$29&gt;42,$G$29&lt;=48),48,IF(AND($G$29&gt;48,$G$29&lt;54),54,IF(AND($G$29&gt;54,$G$29&lt;=60),60,IF(AND($G$29&gt;60,$G$29&lt;=72),72,IF(AND($G$29&gt;72,$G$29&lt;=84),84,IF(AND($G$29&gt;84,$G$29&lt;=96),96,IF(AND($G$29&gt;96,$G$29&lt;=108),108,IF(AND($G$29&gt;108,$G$29&lt;=120),120,1)))))))))))))</f>
        <v>24</v>
      </c>
      <c r="I29" s="52">
        <f>VLOOKUP(H29,Column_load[[Column Height (inches)]:[Max column load]],2,FALSE)</f>
        <v>3550</v>
      </c>
    </row>
    <row r="30" spans="1:16" x14ac:dyDescent="0.25">
      <c r="A30" t="s">
        <v>181</v>
      </c>
      <c r="B30">
        <v>84</v>
      </c>
      <c r="C30">
        <v>1370</v>
      </c>
      <c r="D30">
        <f>Beam_loads[[#This Row],[Max Beam Load]]*0.85</f>
        <v>1164.5</v>
      </c>
      <c r="E30">
        <v>1210</v>
      </c>
    </row>
    <row r="31" spans="1:16" x14ac:dyDescent="0.25">
      <c r="A31" t="s">
        <v>784</v>
      </c>
      <c r="B31">
        <v>84</v>
      </c>
      <c r="C31">
        <v>1370</v>
      </c>
      <c r="D31">
        <f>Beam_loads[[#This Row],[Max Beam Load]]*0.85</f>
        <v>1164.5</v>
      </c>
      <c r="E31">
        <v>1461</v>
      </c>
    </row>
    <row r="32" spans="1:16" x14ac:dyDescent="0.25">
      <c r="A32" t="s">
        <v>176</v>
      </c>
      <c r="B32">
        <v>96</v>
      </c>
      <c r="C32">
        <v>420</v>
      </c>
      <c r="D32">
        <f>Beam_loads[[#This Row],[Max Beam Load]]*0.85</f>
        <v>357</v>
      </c>
      <c r="E32">
        <v>189</v>
      </c>
    </row>
    <row r="33" spans="1:46" x14ac:dyDescent="0.25">
      <c r="A33" t="s">
        <v>181</v>
      </c>
      <c r="B33">
        <v>96</v>
      </c>
      <c r="C33">
        <v>1200</v>
      </c>
      <c r="D33">
        <f>Beam_loads[[#This Row],[Max Beam Load]]*0.85</f>
        <v>1020</v>
      </c>
      <c r="E33">
        <v>926</v>
      </c>
    </row>
    <row r="34" spans="1:46" x14ac:dyDescent="0.25">
      <c r="A34" t="s">
        <v>784</v>
      </c>
      <c r="B34">
        <v>96</v>
      </c>
      <c r="C34">
        <v>1200</v>
      </c>
      <c r="D34">
        <f>Beam_loads[[#This Row],[Max Beam Load]]*0.85</f>
        <v>1020</v>
      </c>
      <c r="E34">
        <v>1119</v>
      </c>
    </row>
    <row r="35" spans="1:46" x14ac:dyDescent="0.25">
      <c r="A35" t="s">
        <v>176</v>
      </c>
      <c r="B35">
        <v>108</v>
      </c>
      <c r="C35">
        <v>380</v>
      </c>
      <c r="D35">
        <f>Beam_loads[[#This Row],[Max Beam Load]]*0.85</f>
        <v>323</v>
      </c>
      <c r="E35">
        <v>150</v>
      </c>
    </row>
    <row r="36" spans="1:46" x14ac:dyDescent="0.25">
      <c r="A36" t="s">
        <v>181</v>
      </c>
      <c r="B36">
        <v>108</v>
      </c>
      <c r="C36">
        <v>1060</v>
      </c>
      <c r="D36">
        <f>Beam_loads[[#This Row],[Max Beam Load]]*0.85</f>
        <v>901</v>
      </c>
      <c r="E36">
        <v>732</v>
      </c>
      <c r="AT36" t="s">
        <v>790</v>
      </c>
    </row>
    <row r="37" spans="1:46" x14ac:dyDescent="0.25">
      <c r="A37" t="s">
        <v>784</v>
      </c>
      <c r="B37">
        <v>108</v>
      </c>
      <c r="C37">
        <v>1060</v>
      </c>
      <c r="D37">
        <f>Beam_loads[[#This Row],[Max Beam Load]]*0.85</f>
        <v>901</v>
      </c>
      <c r="E37">
        <v>884</v>
      </c>
    </row>
    <row r="38" spans="1:46" x14ac:dyDescent="0.25">
      <c r="A38" t="s">
        <v>176</v>
      </c>
      <c r="B38">
        <v>120</v>
      </c>
      <c r="C38">
        <v>340</v>
      </c>
      <c r="D38">
        <f>Beam_loads[[#This Row],[Max Beam Load]]*0.85</f>
        <v>289</v>
      </c>
      <c r="E38">
        <v>121</v>
      </c>
    </row>
    <row r="39" spans="1:46" x14ac:dyDescent="0.25">
      <c r="A39" t="s">
        <v>181</v>
      </c>
      <c r="B39">
        <v>120</v>
      </c>
      <c r="C39">
        <v>960</v>
      </c>
      <c r="D39">
        <f>Beam_loads[[#This Row],[Max Beam Load]]*0.85</f>
        <v>816</v>
      </c>
      <c r="E39">
        <v>593</v>
      </c>
    </row>
    <row r="40" spans="1:46" x14ac:dyDescent="0.25">
      <c r="A40" t="s">
        <v>784</v>
      </c>
      <c r="B40">
        <v>120</v>
      </c>
      <c r="C40">
        <v>960</v>
      </c>
      <c r="D40">
        <f>Beam_loads[[#This Row],[Max Beam Load]]*0.85</f>
        <v>816</v>
      </c>
      <c r="E40">
        <v>716</v>
      </c>
    </row>
    <row r="41" spans="1:46" x14ac:dyDescent="0.25">
      <c r="A41">
        <f>Calculations!B35</f>
        <v>98</v>
      </c>
      <c r="B41" s="52">
        <f>IF($A$41&lt;=18,18,IF(AND($A$41&gt;18,$A$41&lt;=24),24,IF(AND($A$41&gt;24,$A$41&lt;=30),30,IF(AND($A$41&gt;30,$A$41&lt;=36),36,IF(AND($A$41&gt;36,$A$41&lt;=42),42,IF(AND($A$41&gt;42,$A$41&lt;=48),48,IF(AND($A$41&gt;48,$A$41&lt;=54),54,IF(AND($A$41&gt;54,$A$41&lt;=60),60,IF(AND($A$41&gt;60,$A$41&lt;=72),72,IF(AND($A$41&gt;72,$A$41&lt;=84),84,IF(AND($A$41&gt;84,$A$41&lt;=96),96,IF(AND($A$41&gt;96,$A$41&lt;=108),108,IF(AND($A$41&gt;108,$A$41&lt;=120),120,1)))))))))))))</f>
        <v>108</v>
      </c>
      <c r="D41" s="52">
        <f>VLOOKUP(B41,B2:D40,3,FALSE)</f>
        <v>323</v>
      </c>
    </row>
    <row r="42" spans="1:46" x14ac:dyDescent="0.25">
      <c r="A42" s="53"/>
      <c r="B42" s="53"/>
      <c r="C42" s="53"/>
      <c r="D42" s="53"/>
      <c r="L42" s="53"/>
      <c r="M42" s="53"/>
      <c r="N42" s="53"/>
      <c r="O42" s="53"/>
      <c r="P42" s="53"/>
      <c r="Q42" s="53"/>
      <c r="R42" s="53"/>
      <c r="S42" s="53"/>
      <c r="T42" s="53"/>
      <c r="U42" s="53"/>
      <c r="V42" s="53"/>
      <c r="W42" s="53"/>
      <c r="X42" s="12"/>
      <c r="Y42" s="64"/>
      <c r="Z42" s="64"/>
      <c r="AA42" s="64"/>
      <c r="AB42" s="64"/>
      <c r="AC42" s="64"/>
      <c r="AD42" s="64"/>
      <c r="AE42" s="64"/>
      <c r="AF42" s="64"/>
      <c r="AG42" s="64"/>
      <c r="AH42" s="64"/>
      <c r="AI42" s="64"/>
      <c r="AJ42" s="64"/>
      <c r="AK42" s="64"/>
      <c r="AL42" s="64"/>
      <c r="AM42" s="64"/>
      <c r="AN42" s="64"/>
      <c r="AO42" s="64"/>
      <c r="AP42" s="64"/>
      <c r="AQ42" s="64"/>
    </row>
    <row r="55" spans="5:5" x14ac:dyDescent="0.25">
      <c r="E55" s="53"/>
    </row>
  </sheetData>
  <mergeCells count="1">
    <mergeCell ref="Y42:AQ42"/>
  </mergeCells>
  <phoneticPr fontId="2" type="noConversion"/>
  <pageMargins left="0.7" right="0.7" top="0.75" bottom="0.75" header="0.3" footer="0.3"/>
  <pageSetup orientation="portrait" r:id="rId1"/>
  <drawing r:id="rId2"/>
  <tableParts count="2">
    <tablePart r:id="rId3"/>
    <tablePart r:id="rId4"/>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B6E7D-71FC-4A1F-A20F-FA605DAADF92}">
  <sheetPr codeName="Sheet6"/>
  <dimension ref="A1:S256"/>
  <sheetViews>
    <sheetView topLeftCell="G238" zoomScale="130" zoomScaleNormal="130" workbookViewId="0">
      <selection activeCell="K260" sqref="K260"/>
    </sheetView>
  </sheetViews>
  <sheetFormatPr defaultRowHeight="15" x14ac:dyDescent="0.25"/>
  <cols>
    <col min="1" max="1" width="11" customWidth="1"/>
    <col min="2" max="2" width="15" customWidth="1"/>
    <col min="3" max="4" width="16.140625" customWidth="1"/>
    <col min="5" max="5" width="10.28515625" customWidth="1"/>
    <col min="6" max="6" width="21.140625" customWidth="1"/>
    <col min="7" max="7" width="26.28515625" customWidth="1"/>
    <col min="9" max="9" width="15" customWidth="1"/>
    <col min="10" max="10" width="11" customWidth="1"/>
    <col min="11" max="11" width="10.28515625" customWidth="1"/>
    <col min="12" max="12" width="20.7109375" customWidth="1"/>
    <col min="13" max="14" width="21.42578125" customWidth="1"/>
    <col min="16" max="16" width="11" customWidth="1"/>
    <col min="17" max="17" width="22.140625" customWidth="1"/>
    <col min="18" max="18" width="12.85546875" customWidth="1"/>
    <col min="19" max="19" width="14.85546875" customWidth="1"/>
  </cols>
  <sheetData>
    <row r="1" spans="1:19" x14ac:dyDescent="0.25">
      <c r="A1" t="s">
        <v>750</v>
      </c>
      <c r="B1" t="s">
        <v>122</v>
      </c>
      <c r="C1" t="s">
        <v>751</v>
      </c>
      <c r="D1" t="s">
        <v>752</v>
      </c>
      <c r="E1" t="s">
        <v>753</v>
      </c>
      <c r="F1" t="s">
        <v>754</v>
      </c>
      <c r="G1" t="s">
        <v>755</v>
      </c>
      <c r="I1" t="s">
        <v>122</v>
      </c>
      <c r="J1" t="s">
        <v>750</v>
      </c>
      <c r="K1" t="s">
        <v>753</v>
      </c>
      <c r="L1" t="s">
        <v>756</v>
      </c>
      <c r="M1" t="s">
        <v>757</v>
      </c>
      <c r="N1" t="s">
        <v>758</v>
      </c>
      <c r="P1" t="s">
        <v>750</v>
      </c>
      <c r="Q1" t="s">
        <v>759</v>
      </c>
      <c r="R1" t="s">
        <v>760</v>
      </c>
      <c r="S1" t="s">
        <v>761</v>
      </c>
    </row>
    <row r="2" spans="1:19" x14ac:dyDescent="0.25">
      <c r="A2">
        <v>0.5</v>
      </c>
      <c r="B2" t="s">
        <v>762</v>
      </c>
      <c r="C2">
        <v>40</v>
      </c>
      <c r="D2" t="s">
        <v>132</v>
      </c>
      <c r="E2">
        <v>0.84</v>
      </c>
      <c r="F2">
        <v>0.85</v>
      </c>
      <c r="G2">
        <v>0.98</v>
      </c>
      <c r="I2" t="s">
        <v>763</v>
      </c>
      <c r="J2">
        <v>0.5</v>
      </c>
      <c r="K2">
        <v>0.625</v>
      </c>
      <c r="L2">
        <v>0.5</v>
      </c>
      <c r="M2">
        <v>1.5</v>
      </c>
      <c r="N2">
        <v>5</v>
      </c>
      <c r="P2">
        <v>0.25</v>
      </c>
      <c r="Q2" t="s">
        <v>137</v>
      </c>
      <c r="R2" t="s">
        <v>23</v>
      </c>
      <c r="S2">
        <v>5</v>
      </c>
    </row>
    <row r="3" spans="1:19" x14ac:dyDescent="0.25">
      <c r="A3">
        <v>0.75</v>
      </c>
      <c r="B3" t="s">
        <v>762</v>
      </c>
      <c r="C3">
        <v>40</v>
      </c>
      <c r="D3" t="s">
        <v>132</v>
      </c>
      <c r="E3">
        <v>1.05</v>
      </c>
      <c r="F3">
        <v>1.1299999999999999</v>
      </c>
      <c r="G3">
        <v>1.36</v>
      </c>
      <c r="I3" t="s">
        <v>763</v>
      </c>
      <c r="J3">
        <v>0.5</v>
      </c>
      <c r="K3">
        <v>0.625</v>
      </c>
      <c r="L3">
        <v>0.75</v>
      </c>
      <c r="M3">
        <v>1.5</v>
      </c>
      <c r="N3">
        <v>5</v>
      </c>
      <c r="P3">
        <v>0.25</v>
      </c>
      <c r="Q3" t="s">
        <v>137</v>
      </c>
      <c r="R3" t="s">
        <v>24</v>
      </c>
      <c r="S3">
        <v>5</v>
      </c>
    </row>
    <row r="4" spans="1:19" x14ac:dyDescent="0.25">
      <c r="A4">
        <v>1</v>
      </c>
      <c r="B4" t="s">
        <v>762</v>
      </c>
      <c r="C4">
        <v>40</v>
      </c>
      <c r="D4" t="s">
        <v>132</v>
      </c>
      <c r="E4">
        <v>1.3149999999999999</v>
      </c>
      <c r="F4">
        <v>1.68</v>
      </c>
      <c r="G4">
        <v>1.99</v>
      </c>
      <c r="I4" t="s">
        <v>763</v>
      </c>
      <c r="J4">
        <v>0.5</v>
      </c>
      <c r="K4">
        <v>0.625</v>
      </c>
      <c r="L4">
        <v>1</v>
      </c>
      <c r="M4">
        <v>2.5</v>
      </c>
      <c r="N4">
        <f>6.1875</f>
        <v>6.1875</v>
      </c>
      <c r="P4">
        <v>0.25</v>
      </c>
      <c r="Q4" t="s">
        <v>139</v>
      </c>
      <c r="R4" t="s">
        <v>23</v>
      </c>
      <c r="S4">
        <v>5</v>
      </c>
    </row>
    <row r="5" spans="1:19" x14ac:dyDescent="0.25">
      <c r="A5">
        <v>1.25</v>
      </c>
      <c r="B5" t="s">
        <v>762</v>
      </c>
      <c r="C5">
        <v>40</v>
      </c>
      <c r="D5" t="s">
        <v>132</v>
      </c>
      <c r="E5">
        <v>1.66</v>
      </c>
      <c r="F5">
        <v>2.27</v>
      </c>
      <c r="G5">
        <v>2.92</v>
      </c>
      <c r="I5" t="s">
        <v>763</v>
      </c>
      <c r="J5">
        <v>0.5</v>
      </c>
      <c r="K5">
        <v>0.625</v>
      </c>
      <c r="L5">
        <v>1.5</v>
      </c>
      <c r="M5">
        <v>3.5</v>
      </c>
      <c r="N5">
        <v>7.25</v>
      </c>
      <c r="P5">
        <v>0.25</v>
      </c>
      <c r="Q5" t="s">
        <v>139</v>
      </c>
      <c r="R5" t="s">
        <v>24</v>
      </c>
      <c r="S5">
        <v>5</v>
      </c>
    </row>
    <row r="6" spans="1:19" x14ac:dyDescent="0.25">
      <c r="A6">
        <v>1.5</v>
      </c>
      <c r="B6" t="s">
        <v>762</v>
      </c>
      <c r="C6">
        <v>40</v>
      </c>
      <c r="D6" t="s">
        <v>132</v>
      </c>
      <c r="E6">
        <v>1.9</v>
      </c>
      <c r="F6">
        <v>2.72</v>
      </c>
      <c r="G6">
        <v>3.6</v>
      </c>
      <c r="I6" t="s">
        <v>765</v>
      </c>
      <c r="J6">
        <v>0.5</v>
      </c>
      <c r="K6">
        <v>0.84</v>
      </c>
      <c r="L6">
        <v>0.5</v>
      </c>
      <c r="M6">
        <v>2</v>
      </c>
      <c r="N6">
        <f>5.3125</f>
        <v>5.3125</v>
      </c>
      <c r="P6">
        <v>0.25</v>
      </c>
      <c r="Q6" t="s">
        <v>140</v>
      </c>
      <c r="R6" t="s">
        <v>23</v>
      </c>
      <c r="S6">
        <v>3</v>
      </c>
    </row>
    <row r="7" spans="1:19" x14ac:dyDescent="0.25">
      <c r="A7">
        <v>2</v>
      </c>
      <c r="B7" t="s">
        <v>762</v>
      </c>
      <c r="C7">
        <v>40</v>
      </c>
      <c r="D7" t="s">
        <v>132</v>
      </c>
      <c r="E7">
        <v>2.375</v>
      </c>
      <c r="F7">
        <v>3.65</v>
      </c>
      <c r="G7">
        <v>5.0999999999999996</v>
      </c>
      <c r="I7" t="s">
        <v>765</v>
      </c>
      <c r="J7">
        <v>0.5</v>
      </c>
      <c r="K7">
        <v>0.84</v>
      </c>
      <c r="L7">
        <v>0.75</v>
      </c>
      <c r="M7">
        <v>2</v>
      </c>
      <c r="N7">
        <v>5.3125</v>
      </c>
      <c r="P7">
        <v>0.25</v>
      </c>
      <c r="Q7" t="s">
        <v>140</v>
      </c>
      <c r="R7" t="s">
        <v>24</v>
      </c>
      <c r="S7">
        <v>3</v>
      </c>
    </row>
    <row r="8" spans="1:19" x14ac:dyDescent="0.25">
      <c r="A8">
        <v>2.5</v>
      </c>
      <c r="B8" t="s">
        <v>762</v>
      </c>
      <c r="C8">
        <v>40</v>
      </c>
      <c r="D8" t="s">
        <v>132</v>
      </c>
      <c r="E8">
        <v>2.875</v>
      </c>
      <c r="F8">
        <v>5.79</v>
      </c>
      <c r="G8">
        <v>7.86</v>
      </c>
      <c r="I8" t="s">
        <v>765</v>
      </c>
      <c r="J8">
        <v>0.5</v>
      </c>
      <c r="K8">
        <v>0.84</v>
      </c>
      <c r="L8">
        <v>1</v>
      </c>
      <c r="M8">
        <v>2.5</v>
      </c>
      <c r="N8">
        <f>6.1875</f>
        <v>6.1875</v>
      </c>
      <c r="P8">
        <v>0.25</v>
      </c>
      <c r="Q8" t="s">
        <v>141</v>
      </c>
      <c r="R8" t="s">
        <v>23</v>
      </c>
      <c r="S8">
        <v>3</v>
      </c>
    </row>
    <row r="9" spans="1:19" x14ac:dyDescent="0.25">
      <c r="A9">
        <v>3</v>
      </c>
      <c r="B9" t="s">
        <v>762</v>
      </c>
      <c r="C9">
        <v>40</v>
      </c>
      <c r="D9" t="s">
        <v>132</v>
      </c>
      <c r="E9">
        <v>3.5</v>
      </c>
      <c r="F9">
        <v>7.58</v>
      </c>
      <c r="G9">
        <v>10.78</v>
      </c>
      <c r="I9" t="s">
        <v>765</v>
      </c>
      <c r="J9">
        <v>0.5</v>
      </c>
      <c r="K9">
        <v>0.84</v>
      </c>
      <c r="L9">
        <v>1.5</v>
      </c>
      <c r="M9">
        <v>3.5</v>
      </c>
      <c r="N9">
        <v>7.25</v>
      </c>
      <c r="P9">
        <v>0.25</v>
      </c>
      <c r="Q9" t="s">
        <v>141</v>
      </c>
      <c r="R9" t="s">
        <v>24</v>
      </c>
      <c r="S9">
        <v>3</v>
      </c>
    </row>
    <row r="10" spans="1:19" x14ac:dyDescent="0.25">
      <c r="A10">
        <v>3.5</v>
      </c>
      <c r="B10" t="s">
        <v>762</v>
      </c>
      <c r="C10">
        <v>40</v>
      </c>
      <c r="D10" t="s">
        <v>132</v>
      </c>
      <c r="E10">
        <v>4</v>
      </c>
      <c r="F10">
        <v>9.11</v>
      </c>
      <c r="G10">
        <v>13.39</v>
      </c>
      <c r="I10" t="s">
        <v>765</v>
      </c>
      <c r="J10">
        <v>0.5</v>
      </c>
      <c r="K10">
        <v>0.84</v>
      </c>
      <c r="L10">
        <v>2</v>
      </c>
      <c r="M10">
        <v>5</v>
      </c>
      <c r="N10">
        <v>10</v>
      </c>
      <c r="P10">
        <v>0.375</v>
      </c>
      <c r="Q10" t="s">
        <v>132</v>
      </c>
      <c r="R10" t="s">
        <v>23</v>
      </c>
      <c r="S10">
        <v>7</v>
      </c>
    </row>
    <row r="11" spans="1:19" x14ac:dyDescent="0.25">
      <c r="A11">
        <v>4</v>
      </c>
      <c r="B11" t="s">
        <v>762</v>
      </c>
      <c r="C11">
        <v>40</v>
      </c>
      <c r="D11" t="s">
        <v>132</v>
      </c>
      <c r="E11">
        <v>4.5</v>
      </c>
      <c r="F11">
        <v>10.79</v>
      </c>
      <c r="G11">
        <v>16.3</v>
      </c>
      <c r="I11" t="s">
        <v>765</v>
      </c>
      <c r="J11">
        <v>0.5</v>
      </c>
      <c r="K11">
        <v>0.84</v>
      </c>
      <c r="L11">
        <v>2.5</v>
      </c>
      <c r="M11">
        <v>6</v>
      </c>
      <c r="N11">
        <v>11.0625</v>
      </c>
      <c r="P11">
        <v>0.375</v>
      </c>
      <c r="Q11" t="s">
        <v>132</v>
      </c>
      <c r="R11" t="s">
        <v>24</v>
      </c>
      <c r="S11">
        <v>8</v>
      </c>
    </row>
    <row r="12" spans="1:19" x14ac:dyDescent="0.25">
      <c r="A12">
        <v>5</v>
      </c>
      <c r="B12" t="s">
        <v>762</v>
      </c>
      <c r="C12">
        <v>40</v>
      </c>
      <c r="D12" t="s">
        <v>132</v>
      </c>
      <c r="E12">
        <v>5.5629999999999997</v>
      </c>
      <c r="F12">
        <v>14.62</v>
      </c>
      <c r="G12">
        <v>23.28</v>
      </c>
      <c r="I12" t="s">
        <v>765</v>
      </c>
      <c r="J12">
        <v>0.5</v>
      </c>
      <c r="K12">
        <v>0.84</v>
      </c>
      <c r="L12">
        <v>3</v>
      </c>
      <c r="M12">
        <v>8</v>
      </c>
      <c r="N12">
        <f>13.8125</f>
        <v>13.8125</v>
      </c>
      <c r="P12">
        <v>0.375</v>
      </c>
      <c r="Q12" t="s">
        <v>20</v>
      </c>
      <c r="R12" t="s">
        <v>23</v>
      </c>
      <c r="S12">
        <v>7</v>
      </c>
    </row>
    <row r="13" spans="1:19" x14ac:dyDescent="0.25">
      <c r="A13">
        <v>6</v>
      </c>
      <c r="B13" t="s">
        <v>762</v>
      </c>
      <c r="C13">
        <v>40</v>
      </c>
      <c r="D13" t="s">
        <v>132</v>
      </c>
      <c r="E13">
        <v>6.625</v>
      </c>
      <c r="F13">
        <v>18.98</v>
      </c>
      <c r="G13">
        <v>31.49</v>
      </c>
      <c r="I13" t="s">
        <v>762</v>
      </c>
      <c r="J13">
        <v>0.5</v>
      </c>
      <c r="K13">
        <v>0.84</v>
      </c>
      <c r="L13">
        <v>0.5</v>
      </c>
      <c r="M13">
        <v>2</v>
      </c>
      <c r="N13">
        <f>5.3125</f>
        <v>5.3125</v>
      </c>
      <c r="P13">
        <v>0.375</v>
      </c>
      <c r="Q13" t="s">
        <v>20</v>
      </c>
      <c r="R13" t="s">
        <v>24</v>
      </c>
      <c r="S13">
        <v>8</v>
      </c>
    </row>
    <row r="14" spans="1:19" x14ac:dyDescent="0.25">
      <c r="A14">
        <v>8</v>
      </c>
      <c r="B14" t="s">
        <v>762</v>
      </c>
      <c r="C14">
        <v>40</v>
      </c>
      <c r="D14" t="s">
        <v>132</v>
      </c>
      <c r="E14">
        <v>8.625</v>
      </c>
      <c r="F14">
        <v>25.55</v>
      </c>
      <c r="G14">
        <v>47.15</v>
      </c>
      <c r="I14" t="s">
        <v>762</v>
      </c>
      <c r="J14">
        <v>0.5</v>
      </c>
      <c r="K14">
        <v>0.84</v>
      </c>
      <c r="L14">
        <v>0.75</v>
      </c>
      <c r="M14">
        <v>2</v>
      </c>
      <c r="N14">
        <v>5.3125</v>
      </c>
      <c r="P14">
        <v>0.375</v>
      </c>
      <c r="Q14" t="s">
        <v>137</v>
      </c>
      <c r="R14" t="s">
        <v>23</v>
      </c>
      <c r="S14">
        <v>5</v>
      </c>
    </row>
    <row r="15" spans="1:19" x14ac:dyDescent="0.25">
      <c r="A15">
        <v>10</v>
      </c>
      <c r="B15" t="s">
        <v>762</v>
      </c>
      <c r="C15">
        <v>40</v>
      </c>
      <c r="D15" t="s">
        <v>132</v>
      </c>
      <c r="E15">
        <v>10.75</v>
      </c>
      <c r="F15">
        <v>40.5</v>
      </c>
      <c r="G15">
        <v>74.599999999999994</v>
      </c>
      <c r="I15" t="s">
        <v>762</v>
      </c>
      <c r="J15">
        <v>0.5</v>
      </c>
      <c r="K15">
        <v>0.84</v>
      </c>
      <c r="L15">
        <v>1</v>
      </c>
      <c r="M15">
        <v>2.5</v>
      </c>
      <c r="N15">
        <f>6.1875</f>
        <v>6.1875</v>
      </c>
      <c r="P15">
        <v>0.375</v>
      </c>
      <c r="Q15" t="s">
        <v>137</v>
      </c>
      <c r="R15" t="s">
        <v>24</v>
      </c>
      <c r="S15">
        <v>6</v>
      </c>
    </row>
    <row r="16" spans="1:19" x14ac:dyDescent="0.25">
      <c r="A16">
        <v>12</v>
      </c>
      <c r="B16" t="s">
        <v>762</v>
      </c>
      <c r="C16">
        <v>40</v>
      </c>
      <c r="D16" t="s">
        <v>132</v>
      </c>
      <c r="E16">
        <v>12.75</v>
      </c>
      <c r="F16">
        <v>53.6</v>
      </c>
      <c r="G16">
        <v>102.1</v>
      </c>
      <c r="I16" t="s">
        <v>762</v>
      </c>
      <c r="J16">
        <v>0.5</v>
      </c>
      <c r="K16">
        <v>0.84</v>
      </c>
      <c r="L16">
        <v>1.5</v>
      </c>
      <c r="M16">
        <v>3.5</v>
      </c>
      <c r="N16">
        <v>7.25</v>
      </c>
      <c r="P16">
        <v>0.375</v>
      </c>
      <c r="Q16" t="s">
        <v>139</v>
      </c>
      <c r="R16" t="s">
        <v>23</v>
      </c>
      <c r="S16">
        <v>5</v>
      </c>
    </row>
    <row r="17" spans="1:19" x14ac:dyDescent="0.25">
      <c r="A17">
        <v>14</v>
      </c>
      <c r="B17" t="s">
        <v>762</v>
      </c>
      <c r="C17">
        <v>40</v>
      </c>
      <c r="D17" t="s">
        <v>132</v>
      </c>
      <c r="E17">
        <v>14</v>
      </c>
      <c r="F17">
        <v>63.37</v>
      </c>
      <c r="G17">
        <v>121.87</v>
      </c>
      <c r="I17" t="s">
        <v>762</v>
      </c>
      <c r="J17">
        <v>0.5</v>
      </c>
      <c r="K17">
        <v>0.84</v>
      </c>
      <c r="L17">
        <v>2</v>
      </c>
      <c r="M17">
        <v>5</v>
      </c>
      <c r="N17">
        <v>10</v>
      </c>
      <c r="P17">
        <v>0.375</v>
      </c>
      <c r="Q17" t="s">
        <v>139</v>
      </c>
      <c r="R17" t="s">
        <v>24</v>
      </c>
      <c r="S17">
        <v>6</v>
      </c>
    </row>
    <row r="18" spans="1:19" x14ac:dyDescent="0.25">
      <c r="A18">
        <v>16</v>
      </c>
      <c r="B18" t="s">
        <v>762</v>
      </c>
      <c r="C18">
        <v>40</v>
      </c>
      <c r="D18" t="s">
        <v>132</v>
      </c>
      <c r="E18">
        <v>16</v>
      </c>
      <c r="F18">
        <v>83</v>
      </c>
      <c r="G18">
        <v>159.5</v>
      </c>
      <c r="I18" t="s">
        <v>762</v>
      </c>
      <c r="J18">
        <v>0.5</v>
      </c>
      <c r="K18">
        <v>0.84</v>
      </c>
      <c r="L18">
        <v>2.5</v>
      </c>
      <c r="M18">
        <v>6</v>
      </c>
      <c r="N18">
        <v>11.0625</v>
      </c>
      <c r="P18">
        <v>0.375</v>
      </c>
      <c r="Q18" t="s">
        <v>140</v>
      </c>
      <c r="R18" t="s">
        <v>23</v>
      </c>
      <c r="S18">
        <v>3</v>
      </c>
    </row>
    <row r="19" spans="1:19" x14ac:dyDescent="0.25">
      <c r="A19">
        <v>18</v>
      </c>
      <c r="B19" t="s">
        <v>762</v>
      </c>
      <c r="C19">
        <v>40</v>
      </c>
      <c r="D19" t="s">
        <v>132</v>
      </c>
      <c r="E19">
        <v>18</v>
      </c>
      <c r="F19">
        <v>105</v>
      </c>
      <c r="G19">
        <v>202.2</v>
      </c>
      <c r="I19" t="s">
        <v>762</v>
      </c>
      <c r="J19">
        <v>0.5</v>
      </c>
      <c r="K19">
        <v>0.84</v>
      </c>
      <c r="L19">
        <v>3</v>
      </c>
      <c r="M19">
        <v>8</v>
      </c>
      <c r="N19">
        <f>13.8125</f>
        <v>13.8125</v>
      </c>
      <c r="P19">
        <v>0.375</v>
      </c>
      <c r="Q19" t="s">
        <v>140</v>
      </c>
      <c r="R19" t="s">
        <v>24</v>
      </c>
      <c r="S19">
        <v>3</v>
      </c>
    </row>
    <row r="20" spans="1:19" x14ac:dyDescent="0.25">
      <c r="A20">
        <v>20</v>
      </c>
      <c r="B20" t="s">
        <v>762</v>
      </c>
      <c r="C20">
        <v>40</v>
      </c>
      <c r="D20" t="s">
        <v>132</v>
      </c>
      <c r="E20">
        <v>20</v>
      </c>
      <c r="F20">
        <v>123</v>
      </c>
      <c r="G20">
        <v>243.4</v>
      </c>
      <c r="I20" t="s">
        <v>763</v>
      </c>
      <c r="J20">
        <v>0.75</v>
      </c>
      <c r="K20">
        <v>0.875</v>
      </c>
      <c r="L20">
        <v>0.5</v>
      </c>
      <c r="M20">
        <v>2</v>
      </c>
      <c r="N20">
        <v>5.3125</v>
      </c>
      <c r="P20">
        <v>0.375</v>
      </c>
      <c r="Q20" t="s">
        <v>141</v>
      </c>
      <c r="R20" t="s">
        <v>23</v>
      </c>
      <c r="S20">
        <v>3</v>
      </c>
    </row>
    <row r="21" spans="1:19" x14ac:dyDescent="0.25">
      <c r="A21">
        <v>24</v>
      </c>
      <c r="B21" t="s">
        <v>762</v>
      </c>
      <c r="C21">
        <v>40</v>
      </c>
      <c r="D21" t="s">
        <v>132</v>
      </c>
      <c r="E21">
        <v>24</v>
      </c>
      <c r="F21">
        <v>171</v>
      </c>
      <c r="G21">
        <v>345.2</v>
      </c>
      <c r="I21" t="s">
        <v>763</v>
      </c>
      <c r="J21">
        <v>0.75</v>
      </c>
      <c r="K21">
        <v>0.875</v>
      </c>
      <c r="L21">
        <v>0.75</v>
      </c>
      <c r="M21">
        <v>2</v>
      </c>
      <c r="N21">
        <v>5.3125</v>
      </c>
      <c r="P21">
        <v>0.375</v>
      </c>
      <c r="Q21" t="s">
        <v>141</v>
      </c>
      <c r="R21" t="s">
        <v>24</v>
      </c>
      <c r="S21">
        <v>3</v>
      </c>
    </row>
    <row r="22" spans="1:19" x14ac:dyDescent="0.25">
      <c r="A22">
        <v>0.375</v>
      </c>
      <c r="B22" t="s">
        <v>762</v>
      </c>
      <c r="C22">
        <v>80</v>
      </c>
      <c r="D22" t="s">
        <v>20</v>
      </c>
      <c r="E22">
        <v>0.67500000000000004</v>
      </c>
      <c r="F22">
        <v>0.73799999999999999</v>
      </c>
      <c r="G22">
        <v>0.79800000000000004</v>
      </c>
      <c r="I22" t="s">
        <v>763</v>
      </c>
      <c r="J22">
        <v>0.75</v>
      </c>
      <c r="K22">
        <v>0.875</v>
      </c>
      <c r="L22">
        <v>1</v>
      </c>
      <c r="M22">
        <v>2.5</v>
      </c>
      <c r="N22">
        <f>6.1875</f>
        <v>6.1875</v>
      </c>
      <c r="P22">
        <v>0.5</v>
      </c>
      <c r="Q22" t="s">
        <v>132</v>
      </c>
      <c r="R22" t="s">
        <v>23</v>
      </c>
      <c r="S22">
        <v>7</v>
      </c>
    </row>
    <row r="23" spans="1:19" x14ac:dyDescent="0.25">
      <c r="A23">
        <v>0.5</v>
      </c>
      <c r="B23" t="s">
        <v>762</v>
      </c>
      <c r="C23">
        <v>80</v>
      </c>
      <c r="D23" t="s">
        <v>20</v>
      </c>
      <c r="E23">
        <v>0.84</v>
      </c>
      <c r="F23">
        <v>1.0900000000000001</v>
      </c>
      <c r="G23">
        <v>1.19</v>
      </c>
      <c r="I23" t="s">
        <v>763</v>
      </c>
      <c r="J23">
        <v>0.75</v>
      </c>
      <c r="K23">
        <v>0.875</v>
      </c>
      <c r="L23">
        <v>1.5</v>
      </c>
      <c r="M23">
        <v>3.5</v>
      </c>
      <c r="N23">
        <v>7.25</v>
      </c>
      <c r="P23">
        <v>0.5</v>
      </c>
      <c r="Q23" t="s">
        <v>132</v>
      </c>
      <c r="R23" t="s">
        <v>24</v>
      </c>
      <c r="S23">
        <v>8</v>
      </c>
    </row>
    <row r="24" spans="1:19" x14ac:dyDescent="0.25">
      <c r="A24">
        <v>0.75</v>
      </c>
      <c r="B24" t="s">
        <v>762</v>
      </c>
      <c r="C24">
        <v>80</v>
      </c>
      <c r="D24" t="s">
        <v>20</v>
      </c>
      <c r="E24">
        <v>1.05</v>
      </c>
      <c r="F24">
        <v>1.47</v>
      </c>
      <c r="G24">
        <v>1.66</v>
      </c>
      <c r="I24" t="s">
        <v>765</v>
      </c>
      <c r="J24">
        <v>0.75</v>
      </c>
      <c r="K24">
        <v>1.05</v>
      </c>
      <c r="L24">
        <v>0.5</v>
      </c>
      <c r="M24">
        <v>2</v>
      </c>
      <c r="N24">
        <v>5.3125</v>
      </c>
      <c r="P24">
        <v>0.5</v>
      </c>
      <c r="Q24" t="s">
        <v>20</v>
      </c>
      <c r="R24" t="s">
        <v>23</v>
      </c>
      <c r="S24">
        <v>7</v>
      </c>
    </row>
    <row r="25" spans="1:19" x14ac:dyDescent="0.25">
      <c r="A25">
        <v>1</v>
      </c>
      <c r="B25" t="s">
        <v>762</v>
      </c>
      <c r="C25">
        <v>80</v>
      </c>
      <c r="D25" t="s">
        <v>20</v>
      </c>
      <c r="E25">
        <v>1.3149999999999999</v>
      </c>
      <c r="F25">
        <v>2.17</v>
      </c>
      <c r="G25">
        <v>2.54</v>
      </c>
      <c r="I25" t="s">
        <v>765</v>
      </c>
      <c r="J25">
        <v>0.75</v>
      </c>
      <c r="K25">
        <v>1.05</v>
      </c>
      <c r="L25">
        <v>0.75</v>
      </c>
      <c r="M25">
        <v>2.5</v>
      </c>
      <c r="N25">
        <f>6.1875</f>
        <v>6.1875</v>
      </c>
      <c r="P25">
        <v>0.5</v>
      </c>
      <c r="Q25" t="s">
        <v>20</v>
      </c>
      <c r="R25" t="s">
        <v>24</v>
      </c>
      <c r="S25">
        <v>8</v>
      </c>
    </row>
    <row r="26" spans="1:19" x14ac:dyDescent="0.25">
      <c r="A26">
        <v>1.25</v>
      </c>
      <c r="B26" t="s">
        <v>762</v>
      </c>
      <c r="C26">
        <v>80</v>
      </c>
      <c r="D26" t="s">
        <v>20</v>
      </c>
      <c r="E26">
        <v>1.66</v>
      </c>
      <c r="F26">
        <v>3</v>
      </c>
      <c r="G26">
        <v>3.56</v>
      </c>
      <c r="I26" t="s">
        <v>765</v>
      </c>
      <c r="J26">
        <v>0.75</v>
      </c>
      <c r="K26">
        <v>1.05</v>
      </c>
      <c r="L26">
        <v>1</v>
      </c>
      <c r="M26">
        <v>2.5</v>
      </c>
      <c r="N26">
        <f>6.1875</f>
        <v>6.1875</v>
      </c>
      <c r="P26">
        <v>0.5</v>
      </c>
      <c r="Q26" t="s">
        <v>137</v>
      </c>
      <c r="R26" t="s">
        <v>23</v>
      </c>
      <c r="S26">
        <v>5</v>
      </c>
    </row>
    <row r="27" spans="1:19" x14ac:dyDescent="0.25">
      <c r="A27">
        <v>1.5</v>
      </c>
      <c r="B27" t="s">
        <v>762</v>
      </c>
      <c r="C27">
        <v>80</v>
      </c>
      <c r="D27" t="s">
        <v>20</v>
      </c>
      <c r="E27">
        <v>1.9</v>
      </c>
      <c r="F27">
        <v>3.63</v>
      </c>
      <c r="G27">
        <v>4.4000000000000004</v>
      </c>
      <c r="I27" t="s">
        <v>765</v>
      </c>
      <c r="J27">
        <v>0.75</v>
      </c>
      <c r="K27">
        <v>1.05</v>
      </c>
      <c r="L27">
        <v>1.5</v>
      </c>
      <c r="M27">
        <v>3.5</v>
      </c>
      <c r="N27">
        <v>7.25</v>
      </c>
      <c r="P27">
        <v>0.5</v>
      </c>
      <c r="Q27" t="s">
        <v>137</v>
      </c>
      <c r="R27" t="s">
        <v>24</v>
      </c>
      <c r="S27">
        <v>6</v>
      </c>
    </row>
    <row r="28" spans="1:19" x14ac:dyDescent="0.25">
      <c r="A28">
        <v>2</v>
      </c>
      <c r="B28" t="s">
        <v>762</v>
      </c>
      <c r="C28">
        <v>80</v>
      </c>
      <c r="D28" t="s">
        <v>20</v>
      </c>
      <c r="E28">
        <v>2.375</v>
      </c>
      <c r="F28">
        <v>5.0199999999999996</v>
      </c>
      <c r="G28">
        <v>6.3</v>
      </c>
      <c r="I28" t="s">
        <v>765</v>
      </c>
      <c r="J28">
        <v>0.75</v>
      </c>
      <c r="K28">
        <v>1.05</v>
      </c>
      <c r="L28">
        <v>2</v>
      </c>
      <c r="M28">
        <v>5</v>
      </c>
      <c r="N28">
        <v>10</v>
      </c>
      <c r="P28">
        <v>0.5</v>
      </c>
      <c r="Q28" t="s">
        <v>139</v>
      </c>
      <c r="R28" t="s">
        <v>23</v>
      </c>
      <c r="S28">
        <v>5</v>
      </c>
    </row>
    <row r="29" spans="1:19" x14ac:dyDescent="0.25">
      <c r="A29">
        <v>2.5</v>
      </c>
      <c r="B29" t="s">
        <v>762</v>
      </c>
      <c r="C29">
        <v>80</v>
      </c>
      <c r="D29" t="s">
        <v>20</v>
      </c>
      <c r="E29">
        <v>2.875</v>
      </c>
      <c r="F29">
        <v>7.66</v>
      </c>
      <c r="G29">
        <v>9.49</v>
      </c>
      <c r="I29" t="s">
        <v>765</v>
      </c>
      <c r="J29">
        <v>0.75</v>
      </c>
      <c r="K29">
        <v>1.05</v>
      </c>
      <c r="L29">
        <v>2.5</v>
      </c>
      <c r="M29">
        <v>6</v>
      </c>
      <c r="N29">
        <v>11.0625</v>
      </c>
      <c r="P29">
        <v>0.5</v>
      </c>
      <c r="Q29" t="s">
        <v>139</v>
      </c>
      <c r="R29" t="s">
        <v>24</v>
      </c>
      <c r="S29">
        <v>6</v>
      </c>
    </row>
    <row r="30" spans="1:19" x14ac:dyDescent="0.25">
      <c r="A30">
        <v>3</v>
      </c>
      <c r="B30" t="s">
        <v>762</v>
      </c>
      <c r="C30">
        <v>80</v>
      </c>
      <c r="D30" t="s">
        <v>20</v>
      </c>
      <c r="E30">
        <v>3.5</v>
      </c>
      <c r="F30">
        <v>10.25</v>
      </c>
      <c r="G30">
        <v>13.11</v>
      </c>
      <c r="I30" t="s">
        <v>765</v>
      </c>
      <c r="J30">
        <v>0.75</v>
      </c>
      <c r="K30">
        <v>1.05</v>
      </c>
      <c r="L30">
        <v>3</v>
      </c>
      <c r="M30">
        <v>8</v>
      </c>
      <c r="N30">
        <f>13.8125</f>
        <v>13.8125</v>
      </c>
      <c r="P30">
        <v>0.5</v>
      </c>
      <c r="Q30" t="s">
        <v>140</v>
      </c>
      <c r="R30" t="s">
        <v>23</v>
      </c>
      <c r="S30">
        <v>3</v>
      </c>
    </row>
    <row r="31" spans="1:19" x14ac:dyDescent="0.25">
      <c r="A31">
        <v>3.5</v>
      </c>
      <c r="B31" t="s">
        <v>762</v>
      </c>
      <c r="C31">
        <v>80</v>
      </c>
      <c r="D31" t="s">
        <v>20</v>
      </c>
      <c r="E31">
        <v>4</v>
      </c>
      <c r="F31">
        <v>12.51</v>
      </c>
      <c r="G31">
        <v>16.36</v>
      </c>
      <c r="I31" t="s">
        <v>762</v>
      </c>
      <c r="J31">
        <v>0.75</v>
      </c>
      <c r="K31">
        <v>1.05</v>
      </c>
      <c r="L31">
        <v>0.5</v>
      </c>
      <c r="M31">
        <v>2</v>
      </c>
      <c r="N31">
        <v>5.3125</v>
      </c>
      <c r="P31">
        <v>0.5</v>
      </c>
      <c r="Q31" t="s">
        <v>772</v>
      </c>
      <c r="R31" t="s">
        <v>24</v>
      </c>
      <c r="S31">
        <v>3</v>
      </c>
    </row>
    <row r="32" spans="1:19" x14ac:dyDescent="0.25">
      <c r="A32">
        <v>4</v>
      </c>
      <c r="B32" t="s">
        <v>762</v>
      </c>
      <c r="C32">
        <v>80</v>
      </c>
      <c r="D32" t="s">
        <v>20</v>
      </c>
      <c r="E32">
        <v>4.5</v>
      </c>
      <c r="F32">
        <v>14.98</v>
      </c>
      <c r="G32">
        <v>19.96</v>
      </c>
      <c r="I32" t="s">
        <v>762</v>
      </c>
      <c r="J32">
        <v>0.75</v>
      </c>
      <c r="K32">
        <v>1.05</v>
      </c>
      <c r="L32">
        <v>0.75</v>
      </c>
      <c r="M32">
        <v>2.5</v>
      </c>
      <c r="N32">
        <f>6.1875</f>
        <v>6.1875</v>
      </c>
      <c r="P32">
        <v>0.5</v>
      </c>
      <c r="Q32" t="s">
        <v>141</v>
      </c>
      <c r="R32" t="s">
        <v>23</v>
      </c>
      <c r="S32">
        <v>3</v>
      </c>
    </row>
    <row r="33" spans="1:19" x14ac:dyDescent="0.25">
      <c r="A33">
        <v>5</v>
      </c>
      <c r="B33" t="s">
        <v>762</v>
      </c>
      <c r="C33">
        <v>80</v>
      </c>
      <c r="D33" t="s">
        <v>20</v>
      </c>
      <c r="E33">
        <v>5.5629999999999997</v>
      </c>
      <c r="F33">
        <v>20.78</v>
      </c>
      <c r="G33">
        <v>28.65</v>
      </c>
      <c r="I33" t="s">
        <v>762</v>
      </c>
      <c r="J33">
        <v>0.75</v>
      </c>
      <c r="K33">
        <v>1.05</v>
      </c>
      <c r="L33">
        <v>1</v>
      </c>
      <c r="M33">
        <v>2.5</v>
      </c>
      <c r="N33">
        <f>6.1875</f>
        <v>6.1875</v>
      </c>
      <c r="P33">
        <v>0.5</v>
      </c>
      <c r="Q33" t="s">
        <v>141</v>
      </c>
      <c r="R33" t="s">
        <v>24</v>
      </c>
      <c r="S33">
        <v>3</v>
      </c>
    </row>
    <row r="34" spans="1:19" x14ac:dyDescent="0.25">
      <c r="A34">
        <v>6</v>
      </c>
      <c r="B34" t="s">
        <v>762</v>
      </c>
      <c r="C34">
        <v>80</v>
      </c>
      <c r="D34" t="s">
        <v>20</v>
      </c>
      <c r="E34">
        <v>6.625</v>
      </c>
      <c r="F34">
        <v>28.57</v>
      </c>
      <c r="G34">
        <v>39.86</v>
      </c>
      <c r="I34" t="s">
        <v>762</v>
      </c>
      <c r="J34">
        <v>0.75</v>
      </c>
      <c r="K34">
        <v>1.05</v>
      </c>
      <c r="L34">
        <v>1.5</v>
      </c>
      <c r="M34">
        <v>3.5</v>
      </c>
      <c r="N34">
        <v>7.25</v>
      </c>
      <c r="P34">
        <v>0.75</v>
      </c>
      <c r="Q34" t="s">
        <v>132</v>
      </c>
      <c r="R34" t="s">
        <v>23</v>
      </c>
      <c r="S34">
        <v>7</v>
      </c>
    </row>
    <row r="35" spans="1:19" x14ac:dyDescent="0.25">
      <c r="A35">
        <v>8</v>
      </c>
      <c r="B35" t="s">
        <v>762</v>
      </c>
      <c r="C35">
        <v>80</v>
      </c>
      <c r="D35" t="s">
        <v>20</v>
      </c>
      <c r="E35">
        <v>8.625</v>
      </c>
      <c r="F35">
        <v>43.4</v>
      </c>
      <c r="G35">
        <v>63.2</v>
      </c>
      <c r="I35" t="s">
        <v>762</v>
      </c>
      <c r="J35">
        <v>0.75</v>
      </c>
      <c r="K35">
        <v>1.05</v>
      </c>
      <c r="L35">
        <v>2</v>
      </c>
      <c r="M35">
        <v>5</v>
      </c>
      <c r="N35">
        <v>10</v>
      </c>
      <c r="P35">
        <v>0.75</v>
      </c>
      <c r="Q35" t="s">
        <v>132</v>
      </c>
      <c r="R35" t="s">
        <v>24</v>
      </c>
      <c r="S35">
        <v>9</v>
      </c>
    </row>
    <row r="36" spans="1:19" x14ac:dyDescent="0.25">
      <c r="A36">
        <v>10</v>
      </c>
      <c r="B36" t="s">
        <v>762</v>
      </c>
      <c r="C36">
        <v>80</v>
      </c>
      <c r="D36" t="s">
        <v>20</v>
      </c>
      <c r="E36">
        <v>10.75</v>
      </c>
      <c r="F36">
        <v>64.739999999999995</v>
      </c>
      <c r="G36">
        <v>95.84</v>
      </c>
      <c r="I36" t="s">
        <v>762</v>
      </c>
      <c r="J36">
        <v>0.75</v>
      </c>
      <c r="K36">
        <v>1.05</v>
      </c>
      <c r="L36">
        <v>2.5</v>
      </c>
      <c r="M36">
        <v>6</v>
      </c>
      <c r="N36">
        <v>11.0625</v>
      </c>
      <c r="P36">
        <v>0.75</v>
      </c>
      <c r="Q36" t="s">
        <v>20</v>
      </c>
      <c r="R36" t="s">
        <v>23</v>
      </c>
      <c r="S36">
        <v>7</v>
      </c>
    </row>
    <row r="37" spans="1:19" x14ac:dyDescent="0.25">
      <c r="A37">
        <v>12</v>
      </c>
      <c r="B37" t="s">
        <v>762</v>
      </c>
      <c r="C37">
        <v>80</v>
      </c>
      <c r="D37" t="s">
        <v>20</v>
      </c>
      <c r="E37">
        <v>12.75</v>
      </c>
      <c r="F37">
        <v>88.6</v>
      </c>
      <c r="G37">
        <v>132.6</v>
      </c>
      <c r="I37" t="s">
        <v>762</v>
      </c>
      <c r="J37">
        <v>0.75</v>
      </c>
      <c r="K37">
        <v>1.05</v>
      </c>
      <c r="L37">
        <v>3</v>
      </c>
      <c r="M37">
        <v>8</v>
      </c>
      <c r="N37">
        <f>13.8125</f>
        <v>13.8125</v>
      </c>
      <c r="P37">
        <v>0.75</v>
      </c>
      <c r="Q37" t="s">
        <v>20</v>
      </c>
      <c r="R37" t="s">
        <v>24</v>
      </c>
      <c r="S37">
        <v>9</v>
      </c>
    </row>
    <row r="38" spans="1:19" x14ac:dyDescent="0.25">
      <c r="A38">
        <v>14</v>
      </c>
      <c r="B38" t="s">
        <v>762</v>
      </c>
      <c r="C38">
        <v>80</v>
      </c>
      <c r="D38" t="s">
        <v>20</v>
      </c>
      <c r="E38">
        <v>14</v>
      </c>
      <c r="F38">
        <v>107</v>
      </c>
      <c r="G38">
        <v>158.19999999999999</v>
      </c>
      <c r="I38" t="s">
        <v>763</v>
      </c>
      <c r="J38">
        <v>1</v>
      </c>
      <c r="K38">
        <v>1.125</v>
      </c>
      <c r="L38">
        <v>0.5</v>
      </c>
      <c r="M38">
        <v>2</v>
      </c>
      <c r="N38">
        <v>5.3125</v>
      </c>
      <c r="P38">
        <v>0.75</v>
      </c>
      <c r="Q38" t="s">
        <v>137</v>
      </c>
      <c r="R38" t="s">
        <v>23</v>
      </c>
      <c r="S38">
        <v>5</v>
      </c>
    </row>
    <row r="39" spans="1:19" x14ac:dyDescent="0.25">
      <c r="A39">
        <v>16</v>
      </c>
      <c r="B39" t="s">
        <v>762</v>
      </c>
      <c r="C39">
        <v>80</v>
      </c>
      <c r="D39" t="s">
        <v>20</v>
      </c>
      <c r="E39">
        <v>16</v>
      </c>
      <c r="F39">
        <v>137</v>
      </c>
      <c r="G39">
        <v>206.7</v>
      </c>
      <c r="I39" t="s">
        <v>763</v>
      </c>
      <c r="J39">
        <v>1</v>
      </c>
      <c r="K39">
        <v>1.125</v>
      </c>
      <c r="L39">
        <v>0.75</v>
      </c>
      <c r="M39">
        <v>2.5</v>
      </c>
      <c r="N39">
        <f>6.1875</f>
        <v>6.1875</v>
      </c>
      <c r="P39">
        <v>0.75</v>
      </c>
      <c r="Q39" t="s">
        <v>137</v>
      </c>
      <c r="R39" t="s">
        <v>24</v>
      </c>
      <c r="S39">
        <v>7</v>
      </c>
    </row>
    <row r="40" spans="1:19" x14ac:dyDescent="0.25">
      <c r="A40">
        <v>18</v>
      </c>
      <c r="B40" t="s">
        <v>762</v>
      </c>
      <c r="C40">
        <v>80</v>
      </c>
      <c r="D40" t="s">
        <v>20</v>
      </c>
      <c r="E40">
        <v>18</v>
      </c>
      <c r="F40">
        <v>171</v>
      </c>
      <c r="G40">
        <v>259.5</v>
      </c>
      <c r="I40" t="s">
        <v>763</v>
      </c>
      <c r="J40">
        <v>1</v>
      </c>
      <c r="K40">
        <v>1.125</v>
      </c>
      <c r="L40">
        <v>1</v>
      </c>
      <c r="M40">
        <v>3</v>
      </c>
      <c r="N40">
        <v>6.75</v>
      </c>
      <c r="P40">
        <v>0.75</v>
      </c>
      <c r="Q40" t="s">
        <v>139</v>
      </c>
      <c r="R40" t="s">
        <v>23</v>
      </c>
      <c r="S40">
        <v>5</v>
      </c>
    </row>
    <row r="41" spans="1:19" x14ac:dyDescent="0.25">
      <c r="A41">
        <v>20</v>
      </c>
      <c r="B41" t="s">
        <v>762</v>
      </c>
      <c r="C41">
        <v>80</v>
      </c>
      <c r="D41" t="s">
        <v>20</v>
      </c>
      <c r="E41">
        <v>20</v>
      </c>
      <c r="F41">
        <v>209</v>
      </c>
      <c r="G41">
        <v>318.39999999999998</v>
      </c>
      <c r="I41" t="s">
        <v>763</v>
      </c>
      <c r="J41">
        <v>1</v>
      </c>
      <c r="K41">
        <v>1.125</v>
      </c>
      <c r="L41">
        <v>1.5</v>
      </c>
      <c r="M41">
        <v>3.5</v>
      </c>
      <c r="N41">
        <v>7.25</v>
      </c>
      <c r="P41">
        <v>0.75</v>
      </c>
      <c r="Q41" t="s">
        <v>139</v>
      </c>
      <c r="R41" t="s">
        <v>24</v>
      </c>
      <c r="S41">
        <v>7</v>
      </c>
    </row>
    <row r="42" spans="1:19" x14ac:dyDescent="0.25">
      <c r="A42">
        <v>24</v>
      </c>
      <c r="B42" t="s">
        <v>762</v>
      </c>
      <c r="C42">
        <v>80</v>
      </c>
      <c r="D42" t="s">
        <v>20</v>
      </c>
      <c r="E42">
        <v>24</v>
      </c>
      <c r="F42">
        <v>297</v>
      </c>
      <c r="G42">
        <v>455.2</v>
      </c>
      <c r="I42" t="s">
        <v>765</v>
      </c>
      <c r="J42">
        <v>1</v>
      </c>
      <c r="K42">
        <v>1.3149999999999999</v>
      </c>
      <c r="L42">
        <v>0.5</v>
      </c>
      <c r="M42">
        <v>2</v>
      </c>
      <c r="N42">
        <v>5.3125</v>
      </c>
      <c r="P42">
        <v>0.75</v>
      </c>
      <c r="Q42" t="s">
        <v>140</v>
      </c>
      <c r="R42" t="s">
        <v>23</v>
      </c>
      <c r="S42">
        <v>3</v>
      </c>
    </row>
    <row r="43" spans="1:19" x14ac:dyDescent="0.25">
      <c r="A43">
        <v>0.25</v>
      </c>
      <c r="B43" t="s">
        <v>763</v>
      </c>
      <c r="C43" t="s">
        <v>764</v>
      </c>
      <c r="D43" t="s">
        <v>137</v>
      </c>
      <c r="E43">
        <v>0.375</v>
      </c>
      <c r="F43">
        <v>0.14499999999999999</v>
      </c>
      <c r="G43">
        <v>0.17699999999999999</v>
      </c>
      <c r="I43" t="s">
        <v>765</v>
      </c>
      <c r="J43">
        <v>1</v>
      </c>
      <c r="K43">
        <v>1.3149999999999999</v>
      </c>
      <c r="L43">
        <v>0.75</v>
      </c>
      <c r="M43">
        <v>2.5</v>
      </c>
      <c r="N43">
        <f>6.1875</f>
        <v>6.1875</v>
      </c>
      <c r="P43">
        <v>0.75</v>
      </c>
      <c r="Q43" t="s">
        <v>140</v>
      </c>
      <c r="R43" t="s">
        <v>24</v>
      </c>
      <c r="S43">
        <v>3</v>
      </c>
    </row>
    <row r="44" spans="1:19" x14ac:dyDescent="0.25">
      <c r="A44">
        <v>0.375</v>
      </c>
      <c r="B44" t="s">
        <v>763</v>
      </c>
      <c r="C44" t="s">
        <v>764</v>
      </c>
      <c r="D44" t="s">
        <v>137</v>
      </c>
      <c r="E44">
        <v>0.5</v>
      </c>
      <c r="F44">
        <v>0.26900000000000002</v>
      </c>
      <c r="G44">
        <v>0.27500000000000002</v>
      </c>
      <c r="I44" t="s">
        <v>765</v>
      </c>
      <c r="J44">
        <v>1</v>
      </c>
      <c r="K44">
        <v>1.3149999999999999</v>
      </c>
      <c r="L44">
        <v>1</v>
      </c>
      <c r="M44">
        <v>3</v>
      </c>
      <c r="N44">
        <v>6.75</v>
      </c>
      <c r="P44">
        <v>0.75</v>
      </c>
      <c r="Q44" t="s">
        <v>141</v>
      </c>
      <c r="R44" t="s">
        <v>23</v>
      </c>
      <c r="S44">
        <v>3</v>
      </c>
    </row>
    <row r="45" spans="1:19" x14ac:dyDescent="0.25">
      <c r="A45">
        <v>0.5</v>
      </c>
      <c r="B45" t="s">
        <v>763</v>
      </c>
      <c r="C45" t="s">
        <v>764</v>
      </c>
      <c r="D45" t="s">
        <v>137</v>
      </c>
      <c r="E45">
        <v>0.625</v>
      </c>
      <c r="F45">
        <v>0.34399999999999997</v>
      </c>
      <c r="G45">
        <v>0.438</v>
      </c>
      <c r="I45" t="s">
        <v>765</v>
      </c>
      <c r="J45">
        <v>1</v>
      </c>
      <c r="K45">
        <v>1.3149999999999999</v>
      </c>
      <c r="L45">
        <v>1.5</v>
      </c>
      <c r="M45">
        <v>4</v>
      </c>
      <c r="N45">
        <v>7.25</v>
      </c>
      <c r="P45">
        <v>0.75</v>
      </c>
      <c r="Q45" t="s">
        <v>141</v>
      </c>
      <c r="R45" t="s">
        <v>24</v>
      </c>
      <c r="S45">
        <v>3</v>
      </c>
    </row>
    <row r="46" spans="1:19" x14ac:dyDescent="0.25">
      <c r="A46">
        <v>0.625</v>
      </c>
      <c r="B46" t="s">
        <v>763</v>
      </c>
      <c r="C46" t="s">
        <v>764</v>
      </c>
      <c r="D46" t="s">
        <v>137</v>
      </c>
      <c r="E46">
        <v>0.75</v>
      </c>
      <c r="F46">
        <v>0.41799999999999998</v>
      </c>
      <c r="G46">
        <v>0.56299999999999994</v>
      </c>
      <c r="I46" t="s">
        <v>765</v>
      </c>
      <c r="J46">
        <v>1</v>
      </c>
      <c r="K46">
        <v>1.3149999999999999</v>
      </c>
      <c r="L46">
        <v>2</v>
      </c>
      <c r="M46">
        <v>5</v>
      </c>
      <c r="N46">
        <v>10</v>
      </c>
      <c r="P46">
        <v>1</v>
      </c>
      <c r="Q46" t="s">
        <v>132</v>
      </c>
      <c r="R46" t="s">
        <v>23</v>
      </c>
      <c r="S46">
        <v>7</v>
      </c>
    </row>
    <row r="47" spans="1:19" x14ac:dyDescent="0.25">
      <c r="A47">
        <v>0.75</v>
      </c>
      <c r="B47" t="s">
        <v>763</v>
      </c>
      <c r="C47" t="s">
        <v>764</v>
      </c>
      <c r="D47" t="s">
        <v>137</v>
      </c>
      <c r="E47">
        <v>0.875</v>
      </c>
      <c r="F47">
        <v>0.64100000000000001</v>
      </c>
      <c r="G47">
        <v>0.82899999999999996</v>
      </c>
      <c r="I47" t="s">
        <v>765</v>
      </c>
      <c r="J47">
        <v>1</v>
      </c>
      <c r="K47">
        <v>1.3149999999999999</v>
      </c>
      <c r="L47">
        <v>2.5</v>
      </c>
      <c r="M47">
        <v>6</v>
      </c>
      <c r="N47">
        <v>11.0625</v>
      </c>
      <c r="P47">
        <v>1</v>
      </c>
      <c r="Q47" t="s">
        <v>132</v>
      </c>
      <c r="R47" t="s">
        <v>24</v>
      </c>
      <c r="S47">
        <v>9</v>
      </c>
    </row>
    <row r="48" spans="1:19" x14ac:dyDescent="0.25">
      <c r="A48">
        <v>1</v>
      </c>
      <c r="B48" t="s">
        <v>763</v>
      </c>
      <c r="C48" t="s">
        <v>764</v>
      </c>
      <c r="D48" t="s">
        <v>137</v>
      </c>
      <c r="E48">
        <v>1.125</v>
      </c>
      <c r="F48">
        <v>0.83899999999999997</v>
      </c>
      <c r="G48">
        <v>1.1759999999999999</v>
      </c>
      <c r="I48" t="s">
        <v>765</v>
      </c>
      <c r="J48">
        <v>1</v>
      </c>
      <c r="K48">
        <v>1.3149999999999999</v>
      </c>
      <c r="L48">
        <v>3</v>
      </c>
      <c r="M48">
        <v>8</v>
      </c>
      <c r="N48">
        <f>13.8125</f>
        <v>13.8125</v>
      </c>
      <c r="P48">
        <v>1</v>
      </c>
      <c r="Q48" t="s">
        <v>20</v>
      </c>
      <c r="R48" t="s">
        <v>23</v>
      </c>
      <c r="S48">
        <v>7</v>
      </c>
    </row>
    <row r="49" spans="1:19" x14ac:dyDescent="0.25">
      <c r="A49">
        <v>1.25</v>
      </c>
      <c r="B49" t="s">
        <v>763</v>
      </c>
      <c r="C49" t="s">
        <v>764</v>
      </c>
      <c r="D49" t="s">
        <v>137</v>
      </c>
      <c r="E49">
        <v>1.375</v>
      </c>
      <c r="F49">
        <v>1.04</v>
      </c>
      <c r="G49">
        <v>1.57</v>
      </c>
      <c r="I49" t="s">
        <v>762</v>
      </c>
      <c r="J49">
        <v>1</v>
      </c>
      <c r="K49">
        <v>1.3149999999999999</v>
      </c>
      <c r="L49">
        <v>0.5</v>
      </c>
      <c r="M49">
        <v>2</v>
      </c>
      <c r="N49">
        <v>5.3125</v>
      </c>
      <c r="P49">
        <v>1</v>
      </c>
      <c r="Q49" t="s">
        <v>20</v>
      </c>
      <c r="R49" t="s">
        <v>24</v>
      </c>
      <c r="S49">
        <v>9</v>
      </c>
    </row>
    <row r="50" spans="1:19" x14ac:dyDescent="0.25">
      <c r="A50">
        <v>1.5</v>
      </c>
      <c r="B50" t="s">
        <v>763</v>
      </c>
      <c r="C50" t="s">
        <v>764</v>
      </c>
      <c r="D50" t="s">
        <v>137</v>
      </c>
      <c r="E50">
        <v>1.625</v>
      </c>
      <c r="F50">
        <v>1.36</v>
      </c>
      <c r="G50">
        <v>2.109</v>
      </c>
      <c r="I50" t="s">
        <v>762</v>
      </c>
      <c r="J50">
        <v>1</v>
      </c>
      <c r="K50">
        <v>1.3149999999999999</v>
      </c>
      <c r="L50">
        <v>0.75</v>
      </c>
      <c r="M50">
        <v>2.5</v>
      </c>
      <c r="N50">
        <f>6.1875</f>
        <v>6.1875</v>
      </c>
      <c r="P50">
        <v>1</v>
      </c>
      <c r="Q50" t="s">
        <v>137</v>
      </c>
      <c r="R50" t="s">
        <v>23</v>
      </c>
      <c r="S50">
        <v>6</v>
      </c>
    </row>
    <row r="51" spans="1:19" x14ac:dyDescent="0.25">
      <c r="A51">
        <v>2</v>
      </c>
      <c r="B51" t="s">
        <v>763</v>
      </c>
      <c r="C51" t="s">
        <v>764</v>
      </c>
      <c r="D51" t="s">
        <v>137</v>
      </c>
      <c r="E51">
        <v>2.125</v>
      </c>
      <c r="F51">
        <v>2.06</v>
      </c>
      <c r="G51">
        <v>3.3639999999999999</v>
      </c>
      <c r="I51" t="s">
        <v>762</v>
      </c>
      <c r="J51">
        <v>1</v>
      </c>
      <c r="K51">
        <v>1.3149999999999999</v>
      </c>
      <c r="L51">
        <v>1</v>
      </c>
      <c r="M51">
        <v>3</v>
      </c>
      <c r="N51">
        <v>6.75</v>
      </c>
      <c r="P51">
        <v>1</v>
      </c>
      <c r="Q51" t="s">
        <v>137</v>
      </c>
      <c r="R51" t="s">
        <v>24</v>
      </c>
      <c r="S51">
        <v>8</v>
      </c>
    </row>
    <row r="52" spans="1:19" x14ac:dyDescent="0.25">
      <c r="A52">
        <v>2.5</v>
      </c>
      <c r="B52" t="s">
        <v>763</v>
      </c>
      <c r="C52" t="s">
        <v>764</v>
      </c>
      <c r="D52" t="s">
        <v>137</v>
      </c>
      <c r="E52">
        <v>2.625</v>
      </c>
      <c r="F52">
        <v>2.93</v>
      </c>
      <c r="G52">
        <v>4.9269999999999996</v>
      </c>
      <c r="I52" t="s">
        <v>762</v>
      </c>
      <c r="J52">
        <v>1</v>
      </c>
      <c r="K52">
        <v>1.3149999999999999</v>
      </c>
      <c r="L52">
        <v>1.5</v>
      </c>
      <c r="M52">
        <v>4</v>
      </c>
      <c r="N52">
        <v>7.25</v>
      </c>
      <c r="P52">
        <v>1</v>
      </c>
      <c r="Q52" t="s">
        <v>139</v>
      </c>
      <c r="R52" t="s">
        <v>23</v>
      </c>
      <c r="S52">
        <v>6</v>
      </c>
    </row>
    <row r="53" spans="1:19" x14ac:dyDescent="0.25">
      <c r="A53">
        <v>3</v>
      </c>
      <c r="B53" t="s">
        <v>763</v>
      </c>
      <c r="C53" t="s">
        <v>764</v>
      </c>
      <c r="D53" t="s">
        <v>137</v>
      </c>
      <c r="E53">
        <v>3.125</v>
      </c>
      <c r="F53">
        <v>4</v>
      </c>
      <c r="G53">
        <v>6.87</v>
      </c>
      <c r="I53" t="s">
        <v>762</v>
      </c>
      <c r="J53">
        <v>1</v>
      </c>
      <c r="K53">
        <v>1.3149999999999999</v>
      </c>
      <c r="L53">
        <v>2</v>
      </c>
      <c r="M53">
        <v>5</v>
      </c>
      <c r="N53">
        <v>10</v>
      </c>
      <c r="P53">
        <v>1</v>
      </c>
      <c r="Q53" t="s">
        <v>139</v>
      </c>
      <c r="R53" t="s">
        <v>24</v>
      </c>
      <c r="S53">
        <v>8</v>
      </c>
    </row>
    <row r="54" spans="1:19" x14ac:dyDescent="0.25">
      <c r="A54">
        <v>3.5</v>
      </c>
      <c r="B54" t="s">
        <v>763</v>
      </c>
      <c r="C54" t="s">
        <v>764</v>
      </c>
      <c r="D54" t="s">
        <v>137</v>
      </c>
      <c r="E54">
        <v>3.625</v>
      </c>
      <c r="F54">
        <v>5.12</v>
      </c>
      <c r="G54">
        <v>9.0510000000000002</v>
      </c>
      <c r="I54" t="s">
        <v>762</v>
      </c>
      <c r="J54">
        <v>1</v>
      </c>
      <c r="K54">
        <v>1.3149999999999999</v>
      </c>
      <c r="L54">
        <v>2.5</v>
      </c>
      <c r="M54">
        <v>6</v>
      </c>
      <c r="N54">
        <v>11.0625</v>
      </c>
      <c r="P54">
        <v>1</v>
      </c>
      <c r="Q54" t="s">
        <v>140</v>
      </c>
      <c r="R54" t="s">
        <v>23</v>
      </c>
      <c r="S54">
        <v>3</v>
      </c>
    </row>
    <row r="55" spans="1:19" x14ac:dyDescent="0.25">
      <c r="A55">
        <v>4</v>
      </c>
      <c r="B55" t="s">
        <v>763</v>
      </c>
      <c r="C55" t="s">
        <v>764</v>
      </c>
      <c r="D55" t="s">
        <v>137</v>
      </c>
      <c r="E55">
        <v>4.125</v>
      </c>
      <c r="F55">
        <v>6.51</v>
      </c>
      <c r="G55">
        <v>11.564</v>
      </c>
      <c r="I55" t="s">
        <v>762</v>
      </c>
      <c r="J55">
        <v>1</v>
      </c>
      <c r="K55">
        <v>1.3149999999999999</v>
      </c>
      <c r="L55">
        <v>3</v>
      </c>
      <c r="M55">
        <v>8</v>
      </c>
      <c r="N55">
        <f>13.8125</f>
        <v>13.8125</v>
      </c>
      <c r="P55">
        <v>1</v>
      </c>
      <c r="Q55" t="s">
        <v>140</v>
      </c>
      <c r="R55" t="s">
        <v>24</v>
      </c>
      <c r="S55">
        <v>3</v>
      </c>
    </row>
    <row r="56" spans="1:19" x14ac:dyDescent="0.25">
      <c r="A56">
        <v>5</v>
      </c>
      <c r="B56" t="s">
        <v>763</v>
      </c>
      <c r="C56" t="s">
        <v>764</v>
      </c>
      <c r="D56" t="s">
        <v>137</v>
      </c>
      <c r="E56">
        <v>5.125</v>
      </c>
      <c r="F56">
        <v>9.67</v>
      </c>
      <c r="G56">
        <v>17.532</v>
      </c>
      <c r="I56" t="s">
        <v>763</v>
      </c>
      <c r="J56">
        <v>1.25</v>
      </c>
      <c r="K56">
        <v>1.375</v>
      </c>
      <c r="L56">
        <v>0.5</v>
      </c>
      <c r="M56">
        <v>2</v>
      </c>
      <c r="N56">
        <v>5.3125</v>
      </c>
      <c r="P56">
        <v>1</v>
      </c>
      <c r="Q56" t="s">
        <v>141</v>
      </c>
      <c r="R56" t="s">
        <v>23</v>
      </c>
      <c r="S56">
        <v>3</v>
      </c>
    </row>
    <row r="57" spans="1:19" x14ac:dyDescent="0.25">
      <c r="A57">
        <v>6</v>
      </c>
      <c r="B57" t="s">
        <v>763</v>
      </c>
      <c r="C57" t="s">
        <v>764</v>
      </c>
      <c r="D57" t="s">
        <v>137</v>
      </c>
      <c r="E57">
        <v>6.125</v>
      </c>
      <c r="F57">
        <v>13.9</v>
      </c>
      <c r="G57">
        <v>25.132000000000001</v>
      </c>
      <c r="I57" t="s">
        <v>763</v>
      </c>
      <c r="J57">
        <v>1.25</v>
      </c>
      <c r="K57">
        <v>1.375</v>
      </c>
      <c r="L57">
        <v>0.75</v>
      </c>
      <c r="M57">
        <v>2.5</v>
      </c>
      <c r="N57">
        <f>6.1875</f>
        <v>6.1875</v>
      </c>
      <c r="P57">
        <v>1</v>
      </c>
      <c r="Q57" t="s">
        <v>141</v>
      </c>
      <c r="R57" t="s">
        <v>24</v>
      </c>
      <c r="S57">
        <v>3</v>
      </c>
    </row>
    <row r="58" spans="1:19" x14ac:dyDescent="0.25">
      <c r="A58">
        <v>8</v>
      </c>
      <c r="B58" t="s">
        <v>763</v>
      </c>
      <c r="C58" t="s">
        <v>764</v>
      </c>
      <c r="D58" t="s">
        <v>137</v>
      </c>
      <c r="E58">
        <v>8.125</v>
      </c>
      <c r="F58">
        <v>25.9</v>
      </c>
      <c r="G58">
        <v>45.494</v>
      </c>
      <c r="I58" t="s">
        <v>763</v>
      </c>
      <c r="J58">
        <v>1.25</v>
      </c>
      <c r="K58">
        <v>1.375</v>
      </c>
      <c r="L58">
        <v>1</v>
      </c>
      <c r="M58">
        <v>3</v>
      </c>
      <c r="N58">
        <v>6.75</v>
      </c>
      <c r="P58">
        <v>1.25</v>
      </c>
      <c r="Q58" t="s">
        <v>132</v>
      </c>
      <c r="R58" t="s">
        <v>23</v>
      </c>
      <c r="S58">
        <v>7</v>
      </c>
    </row>
    <row r="59" spans="1:19" x14ac:dyDescent="0.25">
      <c r="A59">
        <v>10</v>
      </c>
      <c r="B59" t="s">
        <v>763</v>
      </c>
      <c r="C59" t="s">
        <v>764</v>
      </c>
      <c r="D59" t="s">
        <v>137</v>
      </c>
      <c r="E59">
        <v>10.125</v>
      </c>
      <c r="F59">
        <v>40.299999999999997</v>
      </c>
      <c r="G59">
        <v>70.688999999999993</v>
      </c>
      <c r="I59" t="s">
        <v>763</v>
      </c>
      <c r="J59">
        <v>1.25</v>
      </c>
      <c r="K59">
        <v>1.375</v>
      </c>
      <c r="L59">
        <v>1.5</v>
      </c>
      <c r="M59">
        <v>4</v>
      </c>
      <c r="N59">
        <v>7.25</v>
      </c>
      <c r="P59">
        <v>1.25</v>
      </c>
      <c r="Q59" t="s">
        <v>132</v>
      </c>
      <c r="R59" t="s">
        <v>24</v>
      </c>
      <c r="S59">
        <v>9</v>
      </c>
    </row>
    <row r="60" spans="1:19" x14ac:dyDescent="0.25">
      <c r="A60">
        <v>12</v>
      </c>
      <c r="B60" t="s">
        <v>763</v>
      </c>
      <c r="C60" t="s">
        <v>764</v>
      </c>
      <c r="D60" t="s">
        <v>137</v>
      </c>
      <c r="E60">
        <v>12.125</v>
      </c>
      <c r="F60">
        <v>57.8</v>
      </c>
      <c r="G60">
        <v>101.355</v>
      </c>
      <c r="I60" t="s">
        <v>765</v>
      </c>
      <c r="J60">
        <v>1.25</v>
      </c>
      <c r="K60">
        <v>1.66</v>
      </c>
      <c r="L60">
        <v>0.5</v>
      </c>
      <c r="M60">
        <v>2.5</v>
      </c>
      <c r="N60">
        <f>6.1875</f>
        <v>6.1875</v>
      </c>
      <c r="P60">
        <v>1.25</v>
      </c>
      <c r="Q60" t="s">
        <v>20</v>
      </c>
      <c r="R60" t="s">
        <v>23</v>
      </c>
      <c r="S60">
        <v>7</v>
      </c>
    </row>
    <row r="61" spans="1:19" x14ac:dyDescent="0.25">
      <c r="A61">
        <v>0.25</v>
      </c>
      <c r="B61" t="s">
        <v>763</v>
      </c>
      <c r="C61" t="s">
        <v>766</v>
      </c>
      <c r="D61" t="s">
        <v>139</v>
      </c>
      <c r="E61">
        <v>0.375</v>
      </c>
      <c r="F61">
        <v>0.126</v>
      </c>
      <c r="G61">
        <v>0.16</v>
      </c>
      <c r="I61" t="s">
        <v>765</v>
      </c>
      <c r="J61">
        <v>1.25</v>
      </c>
      <c r="K61">
        <v>1.66</v>
      </c>
      <c r="L61">
        <v>0.75</v>
      </c>
      <c r="M61">
        <v>3</v>
      </c>
      <c r="N61">
        <v>6.75</v>
      </c>
      <c r="P61">
        <v>1.25</v>
      </c>
      <c r="Q61" t="s">
        <v>20</v>
      </c>
      <c r="R61" t="s">
        <v>24</v>
      </c>
      <c r="S61">
        <v>9</v>
      </c>
    </row>
    <row r="62" spans="1:19" x14ac:dyDescent="0.25">
      <c r="A62">
        <v>0.375</v>
      </c>
      <c r="B62" t="s">
        <v>763</v>
      </c>
      <c r="C62" t="s">
        <v>766</v>
      </c>
      <c r="D62" t="s">
        <v>139</v>
      </c>
      <c r="E62">
        <v>0.5</v>
      </c>
      <c r="F62">
        <v>0.19800000000000001</v>
      </c>
      <c r="G62">
        <v>0.26100000000000001</v>
      </c>
      <c r="I62" t="s">
        <v>765</v>
      </c>
      <c r="J62">
        <v>1.25</v>
      </c>
      <c r="K62">
        <v>1.66</v>
      </c>
      <c r="L62">
        <v>1</v>
      </c>
      <c r="M62">
        <v>3</v>
      </c>
      <c r="N62">
        <v>6.75</v>
      </c>
      <c r="P62">
        <v>1.25</v>
      </c>
      <c r="Q62" t="s">
        <v>137</v>
      </c>
      <c r="R62" t="s">
        <v>23</v>
      </c>
      <c r="S62">
        <v>7</v>
      </c>
    </row>
    <row r="63" spans="1:19" x14ac:dyDescent="0.25">
      <c r="A63">
        <v>0.5</v>
      </c>
      <c r="B63" t="s">
        <v>763</v>
      </c>
      <c r="C63" t="s">
        <v>766</v>
      </c>
      <c r="D63" t="s">
        <v>139</v>
      </c>
      <c r="E63">
        <v>0.625</v>
      </c>
      <c r="F63">
        <v>0.28499999999999998</v>
      </c>
      <c r="G63">
        <v>0.38500000000000001</v>
      </c>
      <c r="I63" t="s">
        <v>765</v>
      </c>
      <c r="J63">
        <v>1.25</v>
      </c>
      <c r="K63">
        <v>1.66</v>
      </c>
      <c r="L63">
        <v>1.5</v>
      </c>
      <c r="M63">
        <v>5</v>
      </c>
      <c r="N63">
        <v>10</v>
      </c>
      <c r="P63">
        <v>1.25</v>
      </c>
      <c r="Q63" t="s">
        <v>137</v>
      </c>
      <c r="R63" t="s">
        <v>24</v>
      </c>
      <c r="S63">
        <v>9</v>
      </c>
    </row>
    <row r="64" spans="1:19" x14ac:dyDescent="0.25">
      <c r="A64">
        <v>0.625</v>
      </c>
      <c r="B64" t="s">
        <v>763</v>
      </c>
      <c r="C64" t="s">
        <v>766</v>
      </c>
      <c r="D64" t="s">
        <v>139</v>
      </c>
      <c r="E64">
        <v>0.75</v>
      </c>
      <c r="F64">
        <v>0.36199999999999999</v>
      </c>
      <c r="G64">
        <v>0.51200000000000001</v>
      </c>
      <c r="I64" t="s">
        <v>765</v>
      </c>
      <c r="J64">
        <v>1.25</v>
      </c>
      <c r="K64">
        <v>1.66</v>
      </c>
      <c r="L64">
        <v>2</v>
      </c>
      <c r="M64">
        <v>5</v>
      </c>
      <c r="N64">
        <v>10</v>
      </c>
      <c r="P64">
        <v>1.25</v>
      </c>
      <c r="Q64" t="s">
        <v>139</v>
      </c>
      <c r="R64" t="s">
        <v>23</v>
      </c>
      <c r="S64">
        <v>7</v>
      </c>
    </row>
    <row r="65" spans="1:19" x14ac:dyDescent="0.25">
      <c r="A65">
        <v>0.75</v>
      </c>
      <c r="B65" t="s">
        <v>763</v>
      </c>
      <c r="C65" t="s">
        <v>766</v>
      </c>
      <c r="D65" t="s">
        <v>139</v>
      </c>
      <c r="E65">
        <v>0.875</v>
      </c>
      <c r="F65">
        <v>0.45500000000000002</v>
      </c>
      <c r="G65">
        <v>0.66700000000000004</v>
      </c>
      <c r="I65" t="s">
        <v>765</v>
      </c>
      <c r="J65">
        <v>1.25</v>
      </c>
      <c r="K65">
        <v>1.66</v>
      </c>
      <c r="L65">
        <v>2.5</v>
      </c>
      <c r="M65">
        <v>6</v>
      </c>
      <c r="N65">
        <v>11.0625</v>
      </c>
      <c r="P65">
        <v>1.25</v>
      </c>
      <c r="Q65" t="s">
        <v>139</v>
      </c>
      <c r="R65" t="s">
        <v>24</v>
      </c>
      <c r="S65">
        <v>9</v>
      </c>
    </row>
    <row r="66" spans="1:19" x14ac:dyDescent="0.25">
      <c r="A66">
        <v>1</v>
      </c>
      <c r="B66" t="s">
        <v>763</v>
      </c>
      <c r="C66" t="s">
        <v>766</v>
      </c>
      <c r="D66" t="s">
        <v>139</v>
      </c>
      <c r="E66">
        <v>1.125</v>
      </c>
      <c r="F66">
        <v>0.65500000000000003</v>
      </c>
      <c r="G66">
        <v>1.0109999999999999</v>
      </c>
      <c r="I66" t="s">
        <v>765</v>
      </c>
      <c r="J66">
        <v>1.25</v>
      </c>
      <c r="K66">
        <v>1.66</v>
      </c>
      <c r="L66">
        <v>3</v>
      </c>
      <c r="M66">
        <v>8</v>
      </c>
      <c r="N66">
        <f>13.8125</f>
        <v>13.8125</v>
      </c>
      <c r="P66">
        <v>1.25</v>
      </c>
      <c r="Q66" t="s">
        <v>140</v>
      </c>
      <c r="R66" t="s">
        <v>23</v>
      </c>
      <c r="S66">
        <v>4</v>
      </c>
    </row>
    <row r="67" spans="1:19" x14ac:dyDescent="0.25">
      <c r="A67">
        <v>1.25</v>
      </c>
      <c r="B67" t="s">
        <v>763</v>
      </c>
      <c r="C67" t="s">
        <v>766</v>
      </c>
      <c r="D67" t="s">
        <v>139</v>
      </c>
      <c r="E67">
        <v>1.375</v>
      </c>
      <c r="F67">
        <v>0.88400000000000001</v>
      </c>
      <c r="G67">
        <v>1.427</v>
      </c>
      <c r="I67" t="s">
        <v>762</v>
      </c>
      <c r="J67">
        <v>1.25</v>
      </c>
      <c r="K67">
        <v>1.66</v>
      </c>
      <c r="L67">
        <v>0.5</v>
      </c>
      <c r="M67">
        <v>2.5</v>
      </c>
      <c r="N67">
        <f>6.1875</f>
        <v>6.1875</v>
      </c>
      <c r="P67">
        <v>1.25</v>
      </c>
      <c r="Q67" t="s">
        <v>140</v>
      </c>
      <c r="R67" t="s">
        <v>24</v>
      </c>
      <c r="S67">
        <v>4</v>
      </c>
    </row>
    <row r="68" spans="1:19" x14ac:dyDescent="0.25">
      <c r="A68">
        <v>1.5</v>
      </c>
      <c r="B68" t="s">
        <v>763</v>
      </c>
      <c r="C68" t="s">
        <v>766</v>
      </c>
      <c r="D68" t="s">
        <v>139</v>
      </c>
      <c r="E68">
        <v>1.625</v>
      </c>
      <c r="F68">
        <v>1.1399999999999999</v>
      </c>
      <c r="G68">
        <v>1.889</v>
      </c>
      <c r="I68" t="s">
        <v>762</v>
      </c>
      <c r="J68">
        <v>1.25</v>
      </c>
      <c r="K68">
        <v>1.66</v>
      </c>
      <c r="L68">
        <v>0.75</v>
      </c>
      <c r="M68">
        <v>3</v>
      </c>
      <c r="N68">
        <v>6.75</v>
      </c>
      <c r="P68">
        <v>1.25</v>
      </c>
      <c r="Q68" t="s">
        <v>141</v>
      </c>
      <c r="R68" t="s">
        <v>23</v>
      </c>
      <c r="S68">
        <v>4</v>
      </c>
    </row>
    <row r="69" spans="1:19" x14ac:dyDescent="0.25">
      <c r="A69">
        <v>2</v>
      </c>
      <c r="B69" t="s">
        <v>763</v>
      </c>
      <c r="C69" t="s">
        <v>766</v>
      </c>
      <c r="D69" t="s">
        <v>139</v>
      </c>
      <c r="E69">
        <v>2.125</v>
      </c>
      <c r="F69">
        <v>1.75</v>
      </c>
      <c r="G69">
        <v>3.0920000000000001</v>
      </c>
      <c r="I69" t="s">
        <v>762</v>
      </c>
      <c r="J69">
        <v>1.25</v>
      </c>
      <c r="K69">
        <v>1.66</v>
      </c>
      <c r="L69">
        <v>1</v>
      </c>
      <c r="M69">
        <v>3</v>
      </c>
      <c r="N69">
        <v>6.75</v>
      </c>
      <c r="P69">
        <v>1.25</v>
      </c>
      <c r="Q69" t="s">
        <v>141</v>
      </c>
      <c r="R69" t="s">
        <v>24</v>
      </c>
      <c r="S69">
        <v>4</v>
      </c>
    </row>
    <row r="70" spans="1:19" x14ac:dyDescent="0.25">
      <c r="A70">
        <v>2.5</v>
      </c>
      <c r="B70" t="s">
        <v>763</v>
      </c>
      <c r="C70" t="s">
        <v>766</v>
      </c>
      <c r="D70" t="s">
        <v>139</v>
      </c>
      <c r="E70">
        <v>2.625</v>
      </c>
      <c r="F70">
        <v>2.48</v>
      </c>
      <c r="G70">
        <v>4.5389999999999997</v>
      </c>
      <c r="I70" t="s">
        <v>762</v>
      </c>
      <c r="J70">
        <v>1.25</v>
      </c>
      <c r="K70">
        <v>1.66</v>
      </c>
      <c r="L70">
        <v>1.5</v>
      </c>
      <c r="M70">
        <v>5</v>
      </c>
      <c r="N70">
        <v>10</v>
      </c>
      <c r="P70">
        <v>1.5</v>
      </c>
      <c r="Q70" t="s">
        <v>132</v>
      </c>
      <c r="R70" t="s">
        <v>23</v>
      </c>
      <c r="S70">
        <v>9</v>
      </c>
    </row>
    <row r="71" spans="1:19" x14ac:dyDescent="0.25">
      <c r="A71">
        <v>3</v>
      </c>
      <c r="B71" t="s">
        <v>763</v>
      </c>
      <c r="C71" t="s">
        <v>766</v>
      </c>
      <c r="D71" t="s">
        <v>139</v>
      </c>
      <c r="E71">
        <v>3.125</v>
      </c>
      <c r="F71">
        <v>3.33</v>
      </c>
      <c r="G71">
        <v>6.2629999999999999</v>
      </c>
      <c r="I71" t="s">
        <v>762</v>
      </c>
      <c r="J71">
        <v>1.25</v>
      </c>
      <c r="K71">
        <v>1.66</v>
      </c>
      <c r="L71">
        <v>2</v>
      </c>
      <c r="M71">
        <v>5</v>
      </c>
      <c r="N71">
        <v>10</v>
      </c>
      <c r="P71">
        <v>1.5</v>
      </c>
      <c r="Q71" t="s">
        <v>132</v>
      </c>
      <c r="R71" t="s">
        <v>24</v>
      </c>
      <c r="S71">
        <v>12</v>
      </c>
    </row>
    <row r="72" spans="1:19" x14ac:dyDescent="0.25">
      <c r="A72">
        <v>3.5</v>
      </c>
      <c r="B72" t="s">
        <v>763</v>
      </c>
      <c r="C72" t="s">
        <v>766</v>
      </c>
      <c r="D72" t="s">
        <v>139</v>
      </c>
      <c r="E72">
        <v>3.625</v>
      </c>
      <c r="F72">
        <v>4.29</v>
      </c>
      <c r="G72">
        <v>8.2840000000000007</v>
      </c>
      <c r="I72" t="s">
        <v>762</v>
      </c>
      <c r="J72">
        <v>1.25</v>
      </c>
      <c r="K72">
        <v>1.66</v>
      </c>
      <c r="L72">
        <v>2.5</v>
      </c>
      <c r="M72">
        <v>6</v>
      </c>
      <c r="N72">
        <v>11.0625</v>
      </c>
      <c r="P72">
        <v>1.5</v>
      </c>
      <c r="Q72" t="s">
        <v>20</v>
      </c>
      <c r="R72" t="s">
        <v>23</v>
      </c>
      <c r="S72">
        <v>9</v>
      </c>
    </row>
    <row r="73" spans="1:19" x14ac:dyDescent="0.25">
      <c r="A73">
        <v>4</v>
      </c>
      <c r="B73" t="s">
        <v>763</v>
      </c>
      <c r="C73" t="s">
        <v>766</v>
      </c>
      <c r="D73" t="s">
        <v>139</v>
      </c>
      <c r="E73">
        <v>4.125</v>
      </c>
      <c r="F73">
        <v>5.38</v>
      </c>
      <c r="G73">
        <v>10.558999999999999</v>
      </c>
      <c r="I73" t="s">
        <v>762</v>
      </c>
      <c r="J73">
        <v>1.25</v>
      </c>
      <c r="K73">
        <v>1.66</v>
      </c>
      <c r="L73">
        <v>3</v>
      </c>
      <c r="M73">
        <v>8</v>
      </c>
      <c r="N73">
        <f>13.8125</f>
        <v>13.8125</v>
      </c>
      <c r="P73">
        <v>1.5</v>
      </c>
      <c r="Q73" t="s">
        <v>20</v>
      </c>
      <c r="R73" t="s">
        <v>24</v>
      </c>
      <c r="S73">
        <v>12</v>
      </c>
    </row>
    <row r="74" spans="1:19" x14ac:dyDescent="0.25">
      <c r="A74">
        <v>5</v>
      </c>
      <c r="B74" t="s">
        <v>763</v>
      </c>
      <c r="C74" t="s">
        <v>766</v>
      </c>
      <c r="D74" t="s">
        <v>139</v>
      </c>
      <c r="E74">
        <v>5.125</v>
      </c>
      <c r="F74">
        <v>7.61</v>
      </c>
      <c r="G74">
        <v>15.696999999999999</v>
      </c>
      <c r="I74" t="s">
        <v>763</v>
      </c>
      <c r="J74">
        <v>1.5</v>
      </c>
      <c r="K74">
        <v>1.625</v>
      </c>
      <c r="L74">
        <v>0.5</v>
      </c>
      <c r="M74">
        <v>2.5</v>
      </c>
      <c r="N74">
        <f>6.1875</f>
        <v>6.1875</v>
      </c>
      <c r="P74">
        <v>1.5</v>
      </c>
      <c r="Q74" t="s">
        <v>137</v>
      </c>
      <c r="R74" t="s">
        <v>23</v>
      </c>
      <c r="S74">
        <v>8</v>
      </c>
    </row>
    <row r="75" spans="1:19" x14ac:dyDescent="0.25">
      <c r="A75">
        <v>6</v>
      </c>
      <c r="B75" t="s">
        <v>763</v>
      </c>
      <c r="C75" t="s">
        <v>766</v>
      </c>
      <c r="D75" t="s">
        <v>139</v>
      </c>
      <c r="E75">
        <v>6.125</v>
      </c>
      <c r="F75">
        <v>10.199999999999999</v>
      </c>
      <c r="G75">
        <v>21.806000000000001</v>
      </c>
      <c r="I75" t="s">
        <v>763</v>
      </c>
      <c r="J75">
        <v>1.5</v>
      </c>
      <c r="K75">
        <v>1.625</v>
      </c>
      <c r="L75">
        <v>0.75</v>
      </c>
      <c r="M75">
        <v>3</v>
      </c>
      <c r="N75">
        <v>6.75</v>
      </c>
      <c r="P75">
        <v>1.5</v>
      </c>
      <c r="Q75" t="s">
        <v>137</v>
      </c>
      <c r="R75" t="s">
        <v>24</v>
      </c>
      <c r="S75">
        <v>10</v>
      </c>
    </row>
    <row r="76" spans="1:19" x14ac:dyDescent="0.25">
      <c r="A76">
        <v>8</v>
      </c>
      <c r="B76" t="s">
        <v>763</v>
      </c>
      <c r="C76" t="s">
        <v>766</v>
      </c>
      <c r="D76" t="s">
        <v>139</v>
      </c>
      <c r="E76">
        <v>8.125</v>
      </c>
      <c r="F76">
        <v>19.3</v>
      </c>
      <c r="G76">
        <v>39.58</v>
      </c>
      <c r="I76" t="s">
        <v>763</v>
      </c>
      <c r="J76">
        <v>1.5</v>
      </c>
      <c r="K76">
        <v>1.625</v>
      </c>
      <c r="L76">
        <v>1</v>
      </c>
      <c r="M76">
        <v>3.5</v>
      </c>
      <c r="N76">
        <v>7.25</v>
      </c>
      <c r="P76">
        <v>1.5</v>
      </c>
      <c r="Q76" t="s">
        <v>139</v>
      </c>
      <c r="R76" t="s">
        <v>23</v>
      </c>
      <c r="S76">
        <v>8</v>
      </c>
    </row>
    <row r="77" spans="1:19" x14ac:dyDescent="0.25">
      <c r="A77">
        <v>10</v>
      </c>
      <c r="B77" t="s">
        <v>763</v>
      </c>
      <c r="C77" t="s">
        <v>766</v>
      </c>
      <c r="D77" t="s">
        <v>139</v>
      </c>
      <c r="E77">
        <v>10.125</v>
      </c>
      <c r="F77">
        <v>30.1</v>
      </c>
      <c r="G77">
        <v>61.612000000000002</v>
      </c>
      <c r="I77" t="s">
        <v>763</v>
      </c>
      <c r="J77">
        <v>1.5</v>
      </c>
      <c r="K77">
        <v>1.625</v>
      </c>
      <c r="L77">
        <v>1.5</v>
      </c>
      <c r="M77">
        <v>5</v>
      </c>
      <c r="N77">
        <v>10</v>
      </c>
      <c r="P77">
        <v>1.5</v>
      </c>
      <c r="Q77" t="s">
        <v>139</v>
      </c>
      <c r="R77" t="s">
        <v>24</v>
      </c>
      <c r="S77">
        <v>10</v>
      </c>
    </row>
    <row r="78" spans="1:19" x14ac:dyDescent="0.25">
      <c r="A78">
        <v>12</v>
      </c>
      <c r="B78" t="s">
        <v>763</v>
      </c>
      <c r="C78" t="s">
        <v>766</v>
      </c>
      <c r="D78" t="s">
        <v>139</v>
      </c>
      <c r="E78">
        <v>12.125</v>
      </c>
      <c r="F78">
        <v>40.4</v>
      </c>
      <c r="G78">
        <v>85.89</v>
      </c>
      <c r="I78" t="s">
        <v>765</v>
      </c>
      <c r="J78">
        <v>1.5</v>
      </c>
      <c r="K78">
        <v>1.9</v>
      </c>
      <c r="L78">
        <v>0.5</v>
      </c>
      <c r="M78">
        <v>2.5</v>
      </c>
      <c r="N78">
        <f>6.1875</f>
        <v>6.1875</v>
      </c>
      <c r="P78">
        <v>1.5</v>
      </c>
      <c r="Q78" t="s">
        <v>140</v>
      </c>
      <c r="R78" t="s">
        <v>23</v>
      </c>
      <c r="S78">
        <v>4</v>
      </c>
    </row>
    <row r="79" spans="1:19" x14ac:dyDescent="0.25">
      <c r="A79">
        <v>0.125</v>
      </c>
      <c r="B79" t="s">
        <v>765</v>
      </c>
      <c r="C79">
        <v>40</v>
      </c>
      <c r="D79" t="s">
        <v>140</v>
      </c>
      <c r="E79">
        <v>0.40500000000000003</v>
      </c>
      <c r="F79">
        <v>4.2999999999999997E-2</v>
      </c>
      <c r="G79">
        <v>6.8000000000000005E-2</v>
      </c>
      <c r="I79" t="s">
        <v>765</v>
      </c>
      <c r="J79">
        <v>1.5</v>
      </c>
      <c r="K79">
        <v>1.9</v>
      </c>
      <c r="L79">
        <v>0.75</v>
      </c>
      <c r="M79">
        <v>3</v>
      </c>
      <c r="N79">
        <v>6.75</v>
      </c>
      <c r="P79">
        <v>1.5</v>
      </c>
      <c r="Q79" t="s">
        <v>140</v>
      </c>
      <c r="R79" t="s">
        <v>24</v>
      </c>
      <c r="S79">
        <v>4</v>
      </c>
    </row>
    <row r="80" spans="1:19" x14ac:dyDescent="0.25">
      <c r="A80">
        <v>0.25</v>
      </c>
      <c r="B80" t="s">
        <v>765</v>
      </c>
      <c r="C80">
        <v>40</v>
      </c>
      <c r="D80" t="s">
        <v>140</v>
      </c>
      <c r="E80">
        <v>0.54</v>
      </c>
      <c r="F80">
        <v>7.3999999999999996E-2</v>
      </c>
      <c r="G80">
        <v>0.11899999999999999</v>
      </c>
      <c r="I80" t="s">
        <v>765</v>
      </c>
      <c r="J80">
        <v>1.5</v>
      </c>
      <c r="K80">
        <v>1.9</v>
      </c>
      <c r="L80">
        <v>1</v>
      </c>
      <c r="M80">
        <v>3.5</v>
      </c>
      <c r="N80">
        <v>7.25</v>
      </c>
      <c r="P80">
        <v>1.5</v>
      </c>
      <c r="Q80" t="s">
        <v>141</v>
      </c>
      <c r="R80" t="s">
        <v>23</v>
      </c>
      <c r="S80">
        <v>4</v>
      </c>
    </row>
    <row r="81" spans="1:19" x14ac:dyDescent="0.25">
      <c r="A81">
        <v>0.375</v>
      </c>
      <c r="B81" t="s">
        <v>765</v>
      </c>
      <c r="C81">
        <v>40</v>
      </c>
      <c r="D81" t="s">
        <v>140</v>
      </c>
      <c r="E81">
        <v>0.67500000000000004</v>
      </c>
      <c r="F81">
        <v>0.1</v>
      </c>
      <c r="G81">
        <v>0.183</v>
      </c>
      <c r="I81" t="s">
        <v>765</v>
      </c>
      <c r="J81">
        <v>1.5</v>
      </c>
      <c r="K81">
        <v>1.9</v>
      </c>
      <c r="L81">
        <v>1.5</v>
      </c>
      <c r="M81">
        <v>5</v>
      </c>
      <c r="N81">
        <v>10</v>
      </c>
      <c r="P81">
        <v>1.5</v>
      </c>
      <c r="Q81" t="s">
        <v>141</v>
      </c>
      <c r="R81" t="s">
        <v>24</v>
      </c>
      <c r="S81">
        <v>4</v>
      </c>
    </row>
    <row r="82" spans="1:19" x14ac:dyDescent="0.25">
      <c r="A82">
        <v>0.5</v>
      </c>
      <c r="B82" t="s">
        <v>765</v>
      </c>
      <c r="C82">
        <v>40</v>
      </c>
      <c r="D82" t="s">
        <v>140</v>
      </c>
      <c r="E82">
        <v>0.84</v>
      </c>
      <c r="F82">
        <v>0.15</v>
      </c>
      <c r="G82">
        <v>0.28199999999999997</v>
      </c>
      <c r="I82" t="s">
        <v>765</v>
      </c>
      <c r="J82">
        <v>1.5</v>
      </c>
      <c r="K82">
        <v>1.9</v>
      </c>
      <c r="L82">
        <v>2</v>
      </c>
      <c r="M82">
        <v>6</v>
      </c>
      <c r="N82">
        <v>11.0625</v>
      </c>
      <c r="P82">
        <v>2</v>
      </c>
      <c r="Q82" t="s">
        <v>132</v>
      </c>
      <c r="R82" t="s">
        <v>23</v>
      </c>
      <c r="S82">
        <v>10</v>
      </c>
    </row>
    <row r="83" spans="1:19" x14ac:dyDescent="0.25">
      <c r="A83">
        <v>0.75</v>
      </c>
      <c r="B83" t="s">
        <v>765</v>
      </c>
      <c r="C83">
        <v>40</v>
      </c>
      <c r="D83" t="s">
        <v>140</v>
      </c>
      <c r="E83">
        <v>1.05</v>
      </c>
      <c r="F83">
        <v>0.19900000000000001</v>
      </c>
      <c r="G83">
        <v>0.42899999999999999</v>
      </c>
      <c r="I83" t="s">
        <v>765</v>
      </c>
      <c r="J83">
        <v>1.5</v>
      </c>
      <c r="K83">
        <v>1.9</v>
      </c>
      <c r="L83">
        <v>2.5</v>
      </c>
      <c r="M83">
        <v>8</v>
      </c>
      <c r="N83">
        <f>13.8125</f>
        <v>13.8125</v>
      </c>
      <c r="P83">
        <v>2</v>
      </c>
      <c r="Q83" t="s">
        <v>132</v>
      </c>
      <c r="R83" t="s">
        <v>24</v>
      </c>
      <c r="S83">
        <v>13</v>
      </c>
    </row>
    <row r="84" spans="1:19" x14ac:dyDescent="0.25">
      <c r="A84">
        <v>1</v>
      </c>
      <c r="B84" t="s">
        <v>765</v>
      </c>
      <c r="C84">
        <v>40</v>
      </c>
      <c r="D84" t="s">
        <v>140</v>
      </c>
      <c r="E84">
        <v>1.3149999999999999</v>
      </c>
      <c r="F84">
        <v>0.29499999999999998</v>
      </c>
      <c r="G84">
        <v>0.66900000000000004</v>
      </c>
      <c r="I84" t="s">
        <v>765</v>
      </c>
      <c r="J84">
        <v>1.5</v>
      </c>
      <c r="K84">
        <v>1.9</v>
      </c>
      <c r="L84">
        <v>3</v>
      </c>
      <c r="M84">
        <v>8</v>
      </c>
      <c r="N84">
        <f>13.8125</f>
        <v>13.8125</v>
      </c>
      <c r="P84">
        <v>2</v>
      </c>
      <c r="Q84" t="s">
        <v>20</v>
      </c>
      <c r="R84" t="s">
        <v>23</v>
      </c>
      <c r="S84">
        <v>10</v>
      </c>
    </row>
    <row r="85" spans="1:19" x14ac:dyDescent="0.25">
      <c r="A85">
        <v>1.25</v>
      </c>
      <c r="B85" t="s">
        <v>765</v>
      </c>
      <c r="C85">
        <v>40</v>
      </c>
      <c r="D85" t="s">
        <v>140</v>
      </c>
      <c r="E85">
        <v>1.66</v>
      </c>
      <c r="F85">
        <v>0.4</v>
      </c>
      <c r="G85">
        <v>1.0469999999999999</v>
      </c>
      <c r="I85" t="s">
        <v>762</v>
      </c>
      <c r="J85">
        <v>1.5</v>
      </c>
      <c r="K85">
        <v>1.9</v>
      </c>
      <c r="L85">
        <v>0.5</v>
      </c>
      <c r="M85">
        <v>2.5</v>
      </c>
      <c r="N85">
        <f>6.1875</f>
        <v>6.1875</v>
      </c>
      <c r="P85">
        <v>2</v>
      </c>
      <c r="Q85" t="s">
        <v>20</v>
      </c>
      <c r="R85" t="s">
        <v>24</v>
      </c>
      <c r="S85">
        <v>13</v>
      </c>
    </row>
    <row r="86" spans="1:19" x14ac:dyDescent="0.25">
      <c r="A86">
        <v>1.5</v>
      </c>
      <c r="B86" t="s">
        <v>765</v>
      </c>
      <c r="C86">
        <v>40</v>
      </c>
      <c r="D86" t="s">
        <v>140</v>
      </c>
      <c r="E86">
        <v>1.9</v>
      </c>
      <c r="F86">
        <v>0.47799999999999998</v>
      </c>
      <c r="G86">
        <v>1.36</v>
      </c>
      <c r="I86" t="s">
        <v>762</v>
      </c>
      <c r="J86">
        <v>1.5</v>
      </c>
      <c r="K86">
        <v>1.9</v>
      </c>
      <c r="L86">
        <v>0.75</v>
      </c>
      <c r="M86">
        <v>3</v>
      </c>
      <c r="N86">
        <v>6.75</v>
      </c>
      <c r="P86">
        <v>2</v>
      </c>
      <c r="Q86" t="s">
        <v>137</v>
      </c>
      <c r="R86" t="s">
        <v>23</v>
      </c>
      <c r="S86">
        <v>8</v>
      </c>
    </row>
    <row r="87" spans="1:19" x14ac:dyDescent="0.25">
      <c r="A87">
        <v>2</v>
      </c>
      <c r="B87" t="s">
        <v>765</v>
      </c>
      <c r="C87">
        <v>40</v>
      </c>
      <c r="D87" t="s">
        <v>140</v>
      </c>
      <c r="E87">
        <v>2.375</v>
      </c>
      <c r="F87">
        <v>0.64300000000000002</v>
      </c>
      <c r="G87">
        <v>2.0950000000000002</v>
      </c>
      <c r="I87" t="s">
        <v>762</v>
      </c>
      <c r="J87">
        <v>1.5</v>
      </c>
      <c r="K87">
        <v>1.9</v>
      </c>
      <c r="L87">
        <v>1</v>
      </c>
      <c r="M87">
        <v>3.5</v>
      </c>
      <c r="N87">
        <v>7.25</v>
      </c>
      <c r="P87">
        <v>2</v>
      </c>
      <c r="Q87" t="s">
        <v>137</v>
      </c>
      <c r="R87" t="s">
        <v>24</v>
      </c>
      <c r="S87">
        <v>11</v>
      </c>
    </row>
    <row r="88" spans="1:19" x14ac:dyDescent="0.25">
      <c r="A88">
        <v>2.5</v>
      </c>
      <c r="B88" t="s">
        <v>765</v>
      </c>
      <c r="C88">
        <v>40</v>
      </c>
      <c r="D88" t="s">
        <v>140</v>
      </c>
      <c r="E88">
        <v>2.875</v>
      </c>
      <c r="F88">
        <v>1.02</v>
      </c>
      <c r="G88">
        <v>3.0920000000000001</v>
      </c>
      <c r="I88" t="s">
        <v>762</v>
      </c>
      <c r="J88">
        <v>1.5</v>
      </c>
      <c r="K88">
        <v>1.9</v>
      </c>
      <c r="L88">
        <v>1.5</v>
      </c>
      <c r="M88">
        <v>5</v>
      </c>
      <c r="N88">
        <v>10</v>
      </c>
      <c r="P88">
        <v>2</v>
      </c>
      <c r="Q88" t="s">
        <v>139</v>
      </c>
      <c r="R88" t="s">
        <v>23</v>
      </c>
      <c r="S88">
        <v>8</v>
      </c>
    </row>
    <row r="89" spans="1:19" x14ac:dyDescent="0.25">
      <c r="A89">
        <v>3</v>
      </c>
      <c r="B89" t="s">
        <v>765</v>
      </c>
      <c r="C89">
        <v>40</v>
      </c>
      <c r="D89" t="s">
        <v>140</v>
      </c>
      <c r="E89">
        <v>3.5</v>
      </c>
      <c r="F89">
        <v>1.333</v>
      </c>
      <c r="G89">
        <v>4.5330000000000004</v>
      </c>
      <c r="I89" t="s">
        <v>762</v>
      </c>
      <c r="J89">
        <v>1.5</v>
      </c>
      <c r="K89">
        <v>1.9</v>
      </c>
      <c r="L89">
        <v>2</v>
      </c>
      <c r="M89">
        <v>6</v>
      </c>
      <c r="N89">
        <v>11.0625</v>
      </c>
      <c r="P89">
        <v>2</v>
      </c>
      <c r="Q89" t="s">
        <v>139</v>
      </c>
      <c r="R89" t="s">
        <v>24</v>
      </c>
      <c r="S89">
        <v>11</v>
      </c>
    </row>
    <row r="90" spans="1:19" x14ac:dyDescent="0.25">
      <c r="A90">
        <v>3.5</v>
      </c>
      <c r="B90" t="s">
        <v>765</v>
      </c>
      <c r="C90">
        <v>40</v>
      </c>
      <c r="D90" t="s">
        <v>140</v>
      </c>
      <c r="E90">
        <v>4</v>
      </c>
      <c r="F90">
        <v>1.5980000000000001</v>
      </c>
      <c r="G90">
        <v>5.8780000000000001</v>
      </c>
      <c r="I90" t="s">
        <v>762</v>
      </c>
      <c r="J90">
        <v>1.5</v>
      </c>
      <c r="K90">
        <v>1.9</v>
      </c>
      <c r="L90">
        <v>2.5</v>
      </c>
      <c r="M90">
        <v>8</v>
      </c>
      <c r="N90">
        <f>13.8125</f>
        <v>13.8125</v>
      </c>
      <c r="P90">
        <v>2</v>
      </c>
      <c r="Q90" t="s">
        <v>140</v>
      </c>
      <c r="R90" t="s">
        <v>23</v>
      </c>
      <c r="S90">
        <v>4</v>
      </c>
    </row>
    <row r="91" spans="1:19" x14ac:dyDescent="0.25">
      <c r="A91">
        <v>4</v>
      </c>
      <c r="B91" t="s">
        <v>765</v>
      </c>
      <c r="C91">
        <v>40</v>
      </c>
      <c r="D91" t="s">
        <v>140</v>
      </c>
      <c r="E91">
        <v>4.5</v>
      </c>
      <c r="F91">
        <v>1.899</v>
      </c>
      <c r="G91">
        <v>7.4089999999999998</v>
      </c>
      <c r="I91" t="s">
        <v>762</v>
      </c>
      <c r="J91">
        <v>1.5</v>
      </c>
      <c r="K91">
        <v>1.9</v>
      </c>
      <c r="L91">
        <v>3</v>
      </c>
      <c r="M91">
        <v>8</v>
      </c>
      <c r="N91">
        <f>13.8125</f>
        <v>13.8125</v>
      </c>
      <c r="P91">
        <v>2</v>
      </c>
      <c r="Q91" t="s">
        <v>140</v>
      </c>
      <c r="R91" t="s">
        <v>24</v>
      </c>
      <c r="S91">
        <v>4</v>
      </c>
    </row>
    <row r="92" spans="1:19" x14ac:dyDescent="0.25">
      <c r="A92">
        <v>5</v>
      </c>
      <c r="B92" t="s">
        <v>765</v>
      </c>
      <c r="C92">
        <v>40</v>
      </c>
      <c r="D92" t="s">
        <v>140</v>
      </c>
      <c r="E92">
        <v>5.5629999999999997</v>
      </c>
      <c r="F92">
        <v>2.77</v>
      </c>
      <c r="G92">
        <v>11.43</v>
      </c>
      <c r="I92" t="s">
        <v>763</v>
      </c>
      <c r="J92">
        <v>2</v>
      </c>
      <c r="K92">
        <v>2.125</v>
      </c>
      <c r="L92">
        <v>0.5</v>
      </c>
      <c r="M92">
        <v>3</v>
      </c>
      <c r="N92">
        <v>6.75</v>
      </c>
      <c r="P92">
        <v>2</v>
      </c>
      <c r="Q92" t="s">
        <v>141</v>
      </c>
      <c r="R92" t="s">
        <v>23</v>
      </c>
      <c r="S92">
        <v>4</v>
      </c>
    </row>
    <row r="93" spans="1:19" x14ac:dyDescent="0.25">
      <c r="A93">
        <v>6</v>
      </c>
      <c r="B93" t="s">
        <v>765</v>
      </c>
      <c r="C93">
        <v>40</v>
      </c>
      <c r="D93" t="s">
        <v>140</v>
      </c>
      <c r="E93">
        <v>6.625</v>
      </c>
      <c r="F93">
        <v>3.339</v>
      </c>
      <c r="G93">
        <v>15.489000000000001</v>
      </c>
      <c r="I93" t="s">
        <v>763</v>
      </c>
      <c r="J93">
        <v>2</v>
      </c>
      <c r="K93">
        <v>2.125</v>
      </c>
      <c r="L93">
        <v>0.75</v>
      </c>
      <c r="M93">
        <v>3.5</v>
      </c>
      <c r="N93">
        <v>7.25</v>
      </c>
      <c r="P93">
        <v>2</v>
      </c>
      <c r="Q93" t="s">
        <v>141</v>
      </c>
      <c r="R93" t="s">
        <v>24</v>
      </c>
      <c r="S93">
        <v>4</v>
      </c>
    </row>
    <row r="94" spans="1:19" x14ac:dyDescent="0.25">
      <c r="A94">
        <v>8</v>
      </c>
      <c r="B94" t="s">
        <v>765</v>
      </c>
      <c r="C94">
        <v>40</v>
      </c>
      <c r="D94" t="s">
        <v>140</v>
      </c>
      <c r="E94">
        <v>8.625</v>
      </c>
      <c r="F94">
        <v>5.28</v>
      </c>
      <c r="G94">
        <v>26.88</v>
      </c>
      <c r="I94" t="s">
        <v>763</v>
      </c>
      <c r="J94">
        <v>2</v>
      </c>
      <c r="K94">
        <v>2.125</v>
      </c>
      <c r="L94">
        <v>1</v>
      </c>
      <c r="M94">
        <v>4</v>
      </c>
      <c r="N94">
        <v>7.25</v>
      </c>
      <c r="P94">
        <v>2.5</v>
      </c>
      <c r="Q94" t="s">
        <v>132</v>
      </c>
      <c r="R94" t="s">
        <v>23</v>
      </c>
      <c r="S94">
        <v>11</v>
      </c>
    </row>
    <row r="95" spans="1:19" x14ac:dyDescent="0.25">
      <c r="A95">
        <v>10</v>
      </c>
      <c r="B95" t="s">
        <v>765</v>
      </c>
      <c r="C95">
        <v>40</v>
      </c>
      <c r="D95" t="s">
        <v>140</v>
      </c>
      <c r="E95">
        <v>10.75</v>
      </c>
      <c r="F95">
        <v>7.5049999999999999</v>
      </c>
      <c r="G95">
        <v>41.604999999999997</v>
      </c>
      <c r="I95" t="s">
        <v>763</v>
      </c>
      <c r="J95">
        <v>2</v>
      </c>
      <c r="K95">
        <v>2.125</v>
      </c>
      <c r="L95">
        <v>1.5</v>
      </c>
      <c r="M95">
        <v>5</v>
      </c>
      <c r="N95">
        <v>10</v>
      </c>
      <c r="P95">
        <v>2.5</v>
      </c>
      <c r="Q95" t="s">
        <v>132</v>
      </c>
      <c r="R95" t="s">
        <v>24</v>
      </c>
      <c r="S95">
        <v>14</v>
      </c>
    </row>
    <row r="96" spans="1:19" x14ac:dyDescent="0.25">
      <c r="A96">
        <v>12</v>
      </c>
      <c r="B96" t="s">
        <v>765</v>
      </c>
      <c r="C96">
        <v>40</v>
      </c>
      <c r="D96" t="s">
        <v>140</v>
      </c>
      <c r="E96">
        <v>12.75</v>
      </c>
      <c r="F96">
        <v>10.023</v>
      </c>
      <c r="G96">
        <v>58.523000000000003</v>
      </c>
      <c r="I96" t="s">
        <v>765</v>
      </c>
      <c r="J96">
        <v>2</v>
      </c>
      <c r="K96">
        <v>2.375</v>
      </c>
      <c r="L96">
        <v>0.5</v>
      </c>
      <c r="M96">
        <v>3</v>
      </c>
      <c r="N96">
        <v>6.75</v>
      </c>
      <c r="P96">
        <v>2.5</v>
      </c>
      <c r="Q96" t="s">
        <v>20</v>
      </c>
      <c r="R96" t="s">
        <v>23</v>
      </c>
      <c r="S96">
        <v>11</v>
      </c>
    </row>
    <row r="97" spans="1:19" x14ac:dyDescent="0.25">
      <c r="A97">
        <v>0.125</v>
      </c>
      <c r="B97" t="s">
        <v>765</v>
      </c>
      <c r="C97">
        <v>80</v>
      </c>
      <c r="D97" t="s">
        <v>141</v>
      </c>
      <c r="E97">
        <v>0.40500000000000003</v>
      </c>
      <c r="F97">
        <v>5.5E-2</v>
      </c>
      <c r="G97">
        <v>7.0999999999999994E-2</v>
      </c>
      <c r="I97" t="s">
        <v>765</v>
      </c>
      <c r="J97">
        <v>2</v>
      </c>
      <c r="K97">
        <v>2.375</v>
      </c>
      <c r="L97">
        <v>0.75</v>
      </c>
      <c r="M97">
        <v>3.5</v>
      </c>
      <c r="N97">
        <v>7.25</v>
      </c>
      <c r="P97">
        <v>2.5</v>
      </c>
      <c r="Q97" t="s">
        <v>20</v>
      </c>
      <c r="R97" t="s">
        <v>24</v>
      </c>
      <c r="S97">
        <v>14</v>
      </c>
    </row>
    <row r="98" spans="1:19" x14ac:dyDescent="0.25">
      <c r="A98">
        <v>0.25</v>
      </c>
      <c r="B98" t="s">
        <v>765</v>
      </c>
      <c r="C98">
        <v>80</v>
      </c>
      <c r="D98" t="s">
        <v>141</v>
      </c>
      <c r="E98">
        <v>0.54</v>
      </c>
      <c r="F98">
        <v>9.4E-2</v>
      </c>
      <c r="G98">
        <v>0.125</v>
      </c>
      <c r="I98" t="s">
        <v>765</v>
      </c>
      <c r="J98">
        <v>2</v>
      </c>
      <c r="K98">
        <v>2.375</v>
      </c>
      <c r="L98">
        <v>1</v>
      </c>
      <c r="M98">
        <v>4</v>
      </c>
      <c r="N98">
        <v>7.25</v>
      </c>
      <c r="P98">
        <v>2.5</v>
      </c>
      <c r="Q98" t="s">
        <v>137</v>
      </c>
      <c r="R98" t="s">
        <v>23</v>
      </c>
      <c r="S98">
        <v>9</v>
      </c>
    </row>
    <row r="99" spans="1:19" x14ac:dyDescent="0.25">
      <c r="A99">
        <v>0.375</v>
      </c>
      <c r="B99" t="s">
        <v>765</v>
      </c>
      <c r="C99">
        <v>80</v>
      </c>
      <c r="D99" t="s">
        <v>141</v>
      </c>
      <c r="E99">
        <v>0.67500000000000004</v>
      </c>
      <c r="F99">
        <v>0.129</v>
      </c>
      <c r="G99">
        <v>0.19</v>
      </c>
      <c r="I99" t="s">
        <v>765</v>
      </c>
      <c r="J99">
        <v>2</v>
      </c>
      <c r="K99">
        <v>2.375</v>
      </c>
      <c r="L99">
        <v>1.5</v>
      </c>
      <c r="M99">
        <v>5</v>
      </c>
      <c r="N99">
        <v>10</v>
      </c>
      <c r="P99">
        <v>2.5</v>
      </c>
      <c r="Q99" t="s">
        <v>137</v>
      </c>
      <c r="R99" t="s">
        <v>24</v>
      </c>
      <c r="S99">
        <v>13</v>
      </c>
    </row>
    <row r="100" spans="1:19" x14ac:dyDescent="0.25">
      <c r="A100">
        <v>0.5</v>
      </c>
      <c r="B100" t="s">
        <v>765</v>
      </c>
      <c r="C100">
        <v>80</v>
      </c>
      <c r="D100" t="s">
        <v>141</v>
      </c>
      <c r="E100">
        <v>0.84</v>
      </c>
      <c r="F100">
        <v>0.15</v>
      </c>
      <c r="G100">
        <v>0.251</v>
      </c>
      <c r="I100" t="s">
        <v>765</v>
      </c>
      <c r="J100">
        <v>2</v>
      </c>
      <c r="K100">
        <v>2.375</v>
      </c>
      <c r="L100">
        <v>2</v>
      </c>
      <c r="M100">
        <v>6</v>
      </c>
      <c r="N100">
        <v>11.0625</v>
      </c>
      <c r="P100">
        <v>2.5</v>
      </c>
      <c r="Q100" t="s">
        <v>139</v>
      </c>
      <c r="R100" t="s">
        <v>23</v>
      </c>
      <c r="S100">
        <v>9</v>
      </c>
    </row>
    <row r="101" spans="1:19" x14ac:dyDescent="0.25">
      <c r="A101">
        <v>0.75</v>
      </c>
      <c r="B101" t="s">
        <v>765</v>
      </c>
      <c r="C101">
        <v>80</v>
      </c>
      <c r="D101" t="s">
        <v>141</v>
      </c>
      <c r="E101">
        <v>1.05</v>
      </c>
      <c r="F101">
        <v>0.29499999999999998</v>
      </c>
      <c r="G101">
        <v>0.48099999999999998</v>
      </c>
      <c r="I101" t="s">
        <v>765</v>
      </c>
      <c r="J101">
        <v>2</v>
      </c>
      <c r="K101">
        <v>2.375</v>
      </c>
      <c r="L101">
        <v>2.5</v>
      </c>
      <c r="M101">
        <v>8</v>
      </c>
      <c r="N101">
        <f>13.8125</f>
        <v>13.8125</v>
      </c>
      <c r="P101">
        <v>2.5</v>
      </c>
      <c r="Q101" t="s">
        <v>139</v>
      </c>
      <c r="R101" t="s">
        <v>24</v>
      </c>
      <c r="S101">
        <v>13</v>
      </c>
    </row>
    <row r="102" spans="1:19" x14ac:dyDescent="0.25">
      <c r="A102">
        <v>1</v>
      </c>
      <c r="B102" t="s">
        <v>765</v>
      </c>
      <c r="C102">
        <v>80</v>
      </c>
      <c r="D102" t="s">
        <v>141</v>
      </c>
      <c r="E102">
        <v>1.3149999999999999</v>
      </c>
      <c r="F102">
        <v>0.38200000000000001</v>
      </c>
      <c r="G102">
        <v>0.69299999999999995</v>
      </c>
      <c r="I102" t="s">
        <v>765</v>
      </c>
      <c r="J102">
        <v>2</v>
      </c>
      <c r="K102">
        <v>2.375</v>
      </c>
      <c r="L102">
        <v>3</v>
      </c>
      <c r="M102">
        <v>8</v>
      </c>
      <c r="N102">
        <f>13.8125</f>
        <v>13.8125</v>
      </c>
      <c r="P102">
        <v>2.5</v>
      </c>
      <c r="Q102" t="s">
        <v>140</v>
      </c>
      <c r="R102" t="s">
        <v>23</v>
      </c>
      <c r="S102">
        <v>4</v>
      </c>
    </row>
    <row r="103" spans="1:19" x14ac:dyDescent="0.25">
      <c r="A103">
        <v>1.25</v>
      </c>
      <c r="B103" t="s">
        <v>765</v>
      </c>
      <c r="C103">
        <v>80</v>
      </c>
      <c r="D103" t="s">
        <v>141</v>
      </c>
      <c r="E103">
        <v>1.66</v>
      </c>
      <c r="F103">
        <v>0.52700000000000002</v>
      </c>
      <c r="G103">
        <v>1.0820000000000001</v>
      </c>
      <c r="I103" t="s">
        <v>765</v>
      </c>
      <c r="J103">
        <v>2</v>
      </c>
      <c r="K103">
        <v>2.375</v>
      </c>
      <c r="L103">
        <v>3.5</v>
      </c>
      <c r="M103">
        <v>10</v>
      </c>
      <c r="N103">
        <f>16.3125</f>
        <v>16.3125</v>
      </c>
      <c r="P103">
        <v>2.5</v>
      </c>
      <c r="Q103" t="s">
        <v>140</v>
      </c>
      <c r="R103" t="s">
        <v>24</v>
      </c>
      <c r="S103">
        <v>4</v>
      </c>
    </row>
    <row r="104" spans="1:19" x14ac:dyDescent="0.25">
      <c r="A104">
        <v>1.5</v>
      </c>
      <c r="B104" t="s">
        <v>765</v>
      </c>
      <c r="C104">
        <v>80</v>
      </c>
      <c r="D104" t="s">
        <v>141</v>
      </c>
      <c r="E104">
        <v>1.9</v>
      </c>
      <c r="F104">
        <v>0.63900000000000001</v>
      </c>
      <c r="G104">
        <v>1.4039999999999999</v>
      </c>
      <c r="I104" t="s">
        <v>762</v>
      </c>
      <c r="J104">
        <v>2</v>
      </c>
      <c r="K104">
        <v>2.375</v>
      </c>
      <c r="L104">
        <v>0.5</v>
      </c>
      <c r="M104">
        <v>3</v>
      </c>
      <c r="N104">
        <v>6.75</v>
      </c>
      <c r="P104">
        <v>2.5</v>
      </c>
      <c r="Q104" t="s">
        <v>141</v>
      </c>
      <c r="R104" t="s">
        <v>23</v>
      </c>
      <c r="S104">
        <v>4</v>
      </c>
    </row>
    <row r="105" spans="1:19" x14ac:dyDescent="0.25">
      <c r="A105">
        <v>2</v>
      </c>
      <c r="B105" t="s">
        <v>765</v>
      </c>
      <c r="C105">
        <v>80</v>
      </c>
      <c r="D105" t="s">
        <v>141</v>
      </c>
      <c r="E105">
        <v>2.375</v>
      </c>
      <c r="F105">
        <v>0.88400000000000001</v>
      </c>
      <c r="G105">
        <v>2.1629999999999998</v>
      </c>
      <c r="I105" t="s">
        <v>762</v>
      </c>
      <c r="J105">
        <v>2</v>
      </c>
      <c r="K105">
        <v>2.375</v>
      </c>
      <c r="L105">
        <v>0.75</v>
      </c>
      <c r="M105">
        <v>3.5</v>
      </c>
      <c r="N105">
        <v>7.25</v>
      </c>
      <c r="P105">
        <v>2.5</v>
      </c>
      <c r="Q105" t="s">
        <v>141</v>
      </c>
      <c r="R105" t="s">
        <v>24</v>
      </c>
      <c r="S105">
        <v>4</v>
      </c>
    </row>
    <row r="106" spans="1:19" x14ac:dyDescent="0.25">
      <c r="A106">
        <v>2.5</v>
      </c>
      <c r="B106" t="s">
        <v>765</v>
      </c>
      <c r="C106">
        <v>80</v>
      </c>
      <c r="D106" t="s">
        <v>141</v>
      </c>
      <c r="E106">
        <v>2.875</v>
      </c>
      <c r="F106">
        <v>1.35</v>
      </c>
      <c r="G106">
        <v>3.1840000000000002</v>
      </c>
      <c r="I106" t="s">
        <v>762</v>
      </c>
      <c r="J106">
        <v>2</v>
      </c>
      <c r="K106">
        <v>2.375</v>
      </c>
      <c r="L106">
        <v>1</v>
      </c>
      <c r="M106">
        <v>4</v>
      </c>
      <c r="N106">
        <v>7.25</v>
      </c>
      <c r="P106">
        <v>3</v>
      </c>
      <c r="Q106" t="s">
        <v>132</v>
      </c>
      <c r="R106" t="s">
        <v>23</v>
      </c>
      <c r="S106">
        <v>12</v>
      </c>
    </row>
    <row r="107" spans="1:19" x14ac:dyDescent="0.25">
      <c r="A107">
        <v>3</v>
      </c>
      <c r="B107" t="s">
        <v>765</v>
      </c>
      <c r="C107">
        <v>80</v>
      </c>
      <c r="D107" t="s">
        <v>141</v>
      </c>
      <c r="E107">
        <v>3.5</v>
      </c>
      <c r="F107">
        <v>1.804</v>
      </c>
      <c r="G107">
        <v>4.6639999999999997</v>
      </c>
      <c r="I107" t="s">
        <v>762</v>
      </c>
      <c r="J107">
        <v>2</v>
      </c>
      <c r="K107">
        <v>2.375</v>
      </c>
      <c r="L107">
        <v>1.5</v>
      </c>
      <c r="M107">
        <v>5</v>
      </c>
      <c r="N107">
        <v>10</v>
      </c>
      <c r="P107">
        <v>3</v>
      </c>
      <c r="Q107" t="s">
        <v>132</v>
      </c>
      <c r="R107" t="s">
        <v>24</v>
      </c>
      <c r="S107">
        <v>15</v>
      </c>
    </row>
    <row r="108" spans="1:19" x14ac:dyDescent="0.25">
      <c r="A108">
        <v>3.5</v>
      </c>
      <c r="B108" t="s">
        <v>765</v>
      </c>
      <c r="C108">
        <v>80</v>
      </c>
      <c r="D108" t="s">
        <v>141</v>
      </c>
      <c r="E108">
        <v>4</v>
      </c>
      <c r="F108">
        <v>2.1949999999999998</v>
      </c>
      <c r="G108">
        <v>6.0449999999999999</v>
      </c>
      <c r="I108" t="s">
        <v>762</v>
      </c>
      <c r="J108">
        <v>2</v>
      </c>
      <c r="K108">
        <v>2.375</v>
      </c>
      <c r="L108">
        <v>2</v>
      </c>
      <c r="M108">
        <v>6</v>
      </c>
      <c r="N108">
        <v>11.0625</v>
      </c>
      <c r="P108">
        <v>3</v>
      </c>
      <c r="Q108" t="s">
        <v>20</v>
      </c>
      <c r="R108" t="s">
        <v>23</v>
      </c>
      <c r="S108">
        <v>12</v>
      </c>
    </row>
    <row r="109" spans="1:19" x14ac:dyDescent="0.25">
      <c r="A109">
        <v>4</v>
      </c>
      <c r="B109" t="s">
        <v>765</v>
      </c>
      <c r="C109">
        <v>80</v>
      </c>
      <c r="D109" t="s">
        <v>141</v>
      </c>
      <c r="E109">
        <v>4.5</v>
      </c>
      <c r="F109">
        <v>2.6360000000000001</v>
      </c>
      <c r="G109">
        <v>7.6159999999999997</v>
      </c>
      <c r="I109" t="s">
        <v>762</v>
      </c>
      <c r="J109">
        <v>2</v>
      </c>
      <c r="K109">
        <v>2.375</v>
      </c>
      <c r="L109">
        <v>2.5</v>
      </c>
      <c r="M109">
        <v>8</v>
      </c>
      <c r="N109">
        <f>13.8125</f>
        <v>13.8125</v>
      </c>
      <c r="P109">
        <v>3</v>
      </c>
      <c r="Q109" t="s">
        <v>20</v>
      </c>
      <c r="R109" t="s">
        <v>24</v>
      </c>
      <c r="S109">
        <v>15</v>
      </c>
    </row>
    <row r="110" spans="1:19" x14ac:dyDescent="0.25">
      <c r="A110">
        <v>5</v>
      </c>
      <c r="B110" t="s">
        <v>765</v>
      </c>
      <c r="C110">
        <v>80</v>
      </c>
      <c r="D110" t="s">
        <v>141</v>
      </c>
      <c r="E110">
        <v>5.5629999999999997</v>
      </c>
      <c r="F110">
        <v>4.1260000000000003</v>
      </c>
      <c r="G110">
        <v>11.996</v>
      </c>
      <c r="I110" t="s">
        <v>762</v>
      </c>
      <c r="J110">
        <v>2</v>
      </c>
      <c r="K110">
        <v>2.375</v>
      </c>
      <c r="L110">
        <v>3</v>
      </c>
      <c r="M110">
        <v>8</v>
      </c>
      <c r="N110">
        <f>13.8125</f>
        <v>13.8125</v>
      </c>
      <c r="P110">
        <v>3</v>
      </c>
      <c r="Q110" t="s">
        <v>137</v>
      </c>
      <c r="R110" t="s">
        <v>23</v>
      </c>
      <c r="S110">
        <v>10</v>
      </c>
    </row>
    <row r="111" spans="1:19" x14ac:dyDescent="0.25">
      <c r="A111">
        <v>6</v>
      </c>
      <c r="B111" t="s">
        <v>765</v>
      </c>
      <c r="C111">
        <v>80</v>
      </c>
      <c r="D111" t="s">
        <v>141</v>
      </c>
      <c r="E111">
        <v>6.625</v>
      </c>
      <c r="F111">
        <v>5.0279999999999996</v>
      </c>
      <c r="G111">
        <v>16.318000000000001</v>
      </c>
      <c r="I111" t="s">
        <v>762</v>
      </c>
      <c r="J111">
        <v>2</v>
      </c>
      <c r="K111">
        <v>2.375</v>
      </c>
      <c r="L111">
        <v>3.5</v>
      </c>
      <c r="M111">
        <v>10</v>
      </c>
      <c r="N111">
        <f>16.3125</f>
        <v>16.3125</v>
      </c>
      <c r="P111">
        <v>3</v>
      </c>
      <c r="Q111" t="s">
        <v>137</v>
      </c>
      <c r="R111" t="s">
        <v>24</v>
      </c>
      <c r="S111">
        <v>14</v>
      </c>
    </row>
    <row r="112" spans="1:19" x14ac:dyDescent="0.25">
      <c r="A112">
        <v>8</v>
      </c>
      <c r="B112" t="s">
        <v>765</v>
      </c>
      <c r="C112">
        <v>80</v>
      </c>
      <c r="D112" t="s">
        <v>141</v>
      </c>
      <c r="E112">
        <v>8.625</v>
      </c>
      <c r="F112">
        <v>8.0229999999999997</v>
      </c>
      <c r="G112">
        <v>27.823</v>
      </c>
      <c r="I112" t="s">
        <v>763</v>
      </c>
      <c r="J112">
        <v>2.5</v>
      </c>
      <c r="K112">
        <v>2.625</v>
      </c>
      <c r="L112">
        <v>0.5</v>
      </c>
      <c r="M112">
        <v>3.5</v>
      </c>
      <c r="N112">
        <v>7.25</v>
      </c>
      <c r="P112">
        <v>3</v>
      </c>
      <c r="Q112" t="s">
        <v>139</v>
      </c>
      <c r="R112" t="s">
        <v>23</v>
      </c>
      <c r="S112">
        <v>10</v>
      </c>
    </row>
    <row r="113" spans="1:19" x14ac:dyDescent="0.25">
      <c r="A113">
        <v>10</v>
      </c>
      <c r="B113" t="s">
        <v>765</v>
      </c>
      <c r="C113">
        <v>80</v>
      </c>
      <c r="D113" t="s">
        <v>141</v>
      </c>
      <c r="E113">
        <v>10.75</v>
      </c>
      <c r="F113">
        <v>11.894</v>
      </c>
      <c r="G113">
        <v>42.994</v>
      </c>
      <c r="I113" t="s">
        <v>763</v>
      </c>
      <c r="J113">
        <v>2.5</v>
      </c>
      <c r="K113">
        <v>2.625</v>
      </c>
      <c r="L113">
        <v>0.75</v>
      </c>
      <c r="M113">
        <v>4</v>
      </c>
      <c r="N113">
        <v>7.25</v>
      </c>
      <c r="P113">
        <v>3</v>
      </c>
      <c r="Q113" t="s">
        <v>139</v>
      </c>
      <c r="R113" t="s">
        <v>24</v>
      </c>
      <c r="S113">
        <v>14</v>
      </c>
    </row>
    <row r="114" spans="1:19" x14ac:dyDescent="0.25">
      <c r="A114">
        <v>12</v>
      </c>
      <c r="B114" t="s">
        <v>765</v>
      </c>
      <c r="C114">
        <v>80</v>
      </c>
      <c r="D114" t="s">
        <v>141</v>
      </c>
      <c r="E114">
        <v>12.75</v>
      </c>
      <c r="F114">
        <v>16.364999999999998</v>
      </c>
      <c r="G114">
        <v>60.365000000000002</v>
      </c>
      <c r="I114" t="s">
        <v>763</v>
      </c>
      <c r="J114">
        <v>2.5</v>
      </c>
      <c r="K114">
        <v>2.625</v>
      </c>
      <c r="L114">
        <v>1</v>
      </c>
      <c r="M114">
        <v>4</v>
      </c>
      <c r="N114">
        <v>7.25</v>
      </c>
      <c r="P114">
        <v>3</v>
      </c>
      <c r="Q114" t="s">
        <v>140</v>
      </c>
      <c r="R114" t="s">
        <v>23</v>
      </c>
      <c r="S114">
        <v>4</v>
      </c>
    </row>
    <row r="115" spans="1:19" x14ac:dyDescent="0.25">
      <c r="I115" t="s">
        <v>763</v>
      </c>
      <c r="J115">
        <v>2.5</v>
      </c>
      <c r="K115">
        <v>2.625</v>
      </c>
      <c r="L115">
        <v>1.5</v>
      </c>
      <c r="M115">
        <v>5</v>
      </c>
      <c r="N115">
        <v>10</v>
      </c>
      <c r="P115">
        <v>3</v>
      </c>
      <c r="Q115" t="s">
        <v>140</v>
      </c>
      <c r="R115" t="s">
        <v>24</v>
      </c>
      <c r="S115">
        <v>4</v>
      </c>
    </row>
    <row r="116" spans="1:19" x14ac:dyDescent="0.25">
      <c r="B116" t="s">
        <v>767</v>
      </c>
      <c r="C116" t="s">
        <v>169</v>
      </c>
      <c r="F116" t="s">
        <v>767</v>
      </c>
      <c r="G116" t="s">
        <v>169</v>
      </c>
      <c r="I116" t="s">
        <v>765</v>
      </c>
      <c r="J116">
        <v>2.5</v>
      </c>
      <c r="K116">
        <v>2.875</v>
      </c>
      <c r="L116">
        <v>0.5</v>
      </c>
      <c r="M116">
        <v>3.5</v>
      </c>
      <c r="N116">
        <v>7.25</v>
      </c>
      <c r="P116">
        <v>3</v>
      </c>
      <c r="Q116" t="s">
        <v>141</v>
      </c>
      <c r="R116" t="s">
        <v>23</v>
      </c>
      <c r="S116">
        <v>4</v>
      </c>
    </row>
    <row r="117" spans="1:19" x14ac:dyDescent="0.25">
      <c r="A117" t="s">
        <v>768</v>
      </c>
      <c r="B117" t="str">
        <f>Calculations!B9</f>
        <v>CPVC - Schedule 80</v>
      </c>
      <c r="C117">
        <f>Calculations!B11</f>
        <v>2.5</v>
      </c>
      <c r="E117" t="s">
        <v>769</v>
      </c>
      <c r="F117" t="str">
        <f>Calculations!B21</f>
        <v>None</v>
      </c>
      <c r="G117">
        <f>Calculations!B23</f>
        <v>0</v>
      </c>
      <c r="I117" t="s">
        <v>765</v>
      </c>
      <c r="J117">
        <v>2.5</v>
      </c>
      <c r="K117">
        <v>2.875</v>
      </c>
      <c r="L117">
        <v>0.75</v>
      </c>
      <c r="M117">
        <v>4</v>
      </c>
      <c r="N117">
        <v>7.25</v>
      </c>
      <c r="P117">
        <v>3</v>
      </c>
      <c r="Q117" t="s">
        <v>141</v>
      </c>
      <c r="R117" t="s">
        <v>24</v>
      </c>
      <c r="S117">
        <v>4</v>
      </c>
    </row>
    <row r="118" spans="1:19" x14ac:dyDescent="0.25">
      <c r="A118" t="s">
        <v>770</v>
      </c>
      <c r="B118" t="s">
        <v>771</v>
      </c>
      <c r="E118" t="s">
        <v>770</v>
      </c>
      <c r="F118" t="s">
        <v>771</v>
      </c>
      <c r="I118" t="s">
        <v>765</v>
      </c>
      <c r="J118">
        <v>2.5</v>
      </c>
      <c r="K118">
        <v>2.875</v>
      </c>
      <c r="L118">
        <v>1</v>
      </c>
      <c r="M118">
        <v>5</v>
      </c>
      <c r="N118">
        <v>10</v>
      </c>
      <c r="P118">
        <v>3.5</v>
      </c>
      <c r="Q118" t="s">
        <v>132</v>
      </c>
      <c r="R118" t="s">
        <v>23</v>
      </c>
      <c r="S118">
        <v>13</v>
      </c>
    </row>
    <row r="119" spans="1:19" x14ac:dyDescent="0.25">
      <c r="A119" cm="1">
        <f t="array" ref="A119:B119">_xlfn._xlws.FILTER(Pipe_weight[[Empty weight (lb/ft)]:[Water filled weight (lb/ft)]],(Pipe_weight[Input name]=B117)*(Pipe_weight[Pipe size]=C117),"no results")</f>
        <v>1.35</v>
      </c>
      <c r="B119">
        <v>3.1840000000000002</v>
      </c>
      <c r="E119" t="str" cm="1">
        <f t="array" ref="E119">_xlfn._xlws.FILTER(Pipe_weight[[Empty weight (lb/ft)]:[Water filled weight (lb/ft)]],(Pipe_weight[Input name]=F117)*(Pipe_weight[Pipe size]=G117),"no results")</f>
        <v>no results</v>
      </c>
      <c r="I119" t="s">
        <v>765</v>
      </c>
      <c r="J119">
        <v>2.5</v>
      </c>
      <c r="K119">
        <v>2.875</v>
      </c>
      <c r="L119">
        <v>1.5</v>
      </c>
      <c r="M119">
        <v>6</v>
      </c>
      <c r="N119">
        <v>11.0625</v>
      </c>
      <c r="P119">
        <v>3.5</v>
      </c>
      <c r="Q119" t="s">
        <v>132</v>
      </c>
      <c r="R119" t="s">
        <v>24</v>
      </c>
      <c r="S119">
        <v>16</v>
      </c>
    </row>
    <row r="120" spans="1:19" x14ac:dyDescent="0.25">
      <c r="A120" t="s">
        <v>104</v>
      </c>
      <c r="B120" t="s">
        <v>104</v>
      </c>
      <c r="E120" t="s">
        <v>104</v>
      </c>
      <c r="F120" t="s">
        <v>104</v>
      </c>
      <c r="I120" t="s">
        <v>765</v>
      </c>
      <c r="J120">
        <v>2.5</v>
      </c>
      <c r="K120">
        <v>2.875</v>
      </c>
      <c r="L120">
        <v>2</v>
      </c>
      <c r="M120">
        <v>8</v>
      </c>
      <c r="N120">
        <f>13.8125</f>
        <v>13.8125</v>
      </c>
      <c r="P120">
        <v>3.5</v>
      </c>
      <c r="Q120" t="s">
        <v>20</v>
      </c>
      <c r="R120" t="s">
        <v>23</v>
      </c>
      <c r="S120">
        <v>13</v>
      </c>
    </row>
    <row r="121" spans="1:19" x14ac:dyDescent="0.25">
      <c r="I121" t="s">
        <v>765</v>
      </c>
      <c r="J121">
        <v>2.5</v>
      </c>
      <c r="K121">
        <v>2.875</v>
      </c>
      <c r="L121">
        <v>2.5</v>
      </c>
      <c r="M121">
        <v>8</v>
      </c>
      <c r="N121">
        <f>13.8125</f>
        <v>13.8125</v>
      </c>
      <c r="P121">
        <v>3.5</v>
      </c>
      <c r="Q121" t="s">
        <v>20</v>
      </c>
      <c r="R121" t="s">
        <v>24</v>
      </c>
      <c r="S121">
        <v>16</v>
      </c>
    </row>
    <row r="122" spans="1:19" x14ac:dyDescent="0.25">
      <c r="I122" t="s">
        <v>765</v>
      </c>
      <c r="J122">
        <v>2.5</v>
      </c>
      <c r="K122">
        <v>2.875</v>
      </c>
      <c r="L122">
        <v>3</v>
      </c>
      <c r="M122">
        <v>10</v>
      </c>
      <c r="N122">
        <f>16.3125</f>
        <v>16.3125</v>
      </c>
      <c r="P122">
        <v>3.5</v>
      </c>
      <c r="Q122" t="s">
        <v>137</v>
      </c>
      <c r="R122" t="s">
        <v>23</v>
      </c>
      <c r="S122">
        <v>11</v>
      </c>
    </row>
    <row r="123" spans="1:19" x14ac:dyDescent="0.25">
      <c r="I123" t="s">
        <v>765</v>
      </c>
      <c r="J123">
        <v>2.5</v>
      </c>
      <c r="K123">
        <v>2.875</v>
      </c>
      <c r="L123">
        <v>3.5</v>
      </c>
      <c r="M123">
        <v>10</v>
      </c>
      <c r="N123">
        <f>16.3125</f>
        <v>16.3125</v>
      </c>
      <c r="P123">
        <v>3.5</v>
      </c>
      <c r="Q123" t="s">
        <v>137</v>
      </c>
      <c r="R123" t="s">
        <v>24</v>
      </c>
      <c r="S123">
        <v>15</v>
      </c>
    </row>
    <row r="124" spans="1:19" x14ac:dyDescent="0.25">
      <c r="I124" t="s">
        <v>762</v>
      </c>
      <c r="J124">
        <v>2.5</v>
      </c>
      <c r="K124">
        <v>2.875</v>
      </c>
      <c r="L124">
        <v>0.5</v>
      </c>
      <c r="M124">
        <v>3.5</v>
      </c>
      <c r="N124">
        <v>7.25</v>
      </c>
      <c r="P124">
        <v>3.5</v>
      </c>
      <c r="Q124" t="s">
        <v>139</v>
      </c>
      <c r="R124" t="s">
        <v>23</v>
      </c>
      <c r="S124">
        <v>11</v>
      </c>
    </row>
    <row r="125" spans="1:19" x14ac:dyDescent="0.25">
      <c r="I125" t="s">
        <v>762</v>
      </c>
      <c r="J125">
        <v>2.5</v>
      </c>
      <c r="K125">
        <v>2.875</v>
      </c>
      <c r="L125">
        <v>0.75</v>
      </c>
      <c r="M125">
        <v>4</v>
      </c>
      <c r="N125">
        <v>7.25</v>
      </c>
      <c r="P125">
        <v>3.5</v>
      </c>
      <c r="Q125" t="s">
        <v>139</v>
      </c>
      <c r="R125" t="s">
        <v>24</v>
      </c>
      <c r="S125">
        <v>15</v>
      </c>
    </row>
    <row r="126" spans="1:19" x14ac:dyDescent="0.25">
      <c r="I126" t="s">
        <v>762</v>
      </c>
      <c r="J126">
        <v>2.5</v>
      </c>
      <c r="K126">
        <v>2.875</v>
      </c>
      <c r="L126">
        <v>1</v>
      </c>
      <c r="M126">
        <v>5</v>
      </c>
      <c r="N126">
        <v>10</v>
      </c>
      <c r="P126">
        <v>3.5</v>
      </c>
      <c r="Q126" t="s">
        <v>140</v>
      </c>
      <c r="R126" t="s">
        <v>23</v>
      </c>
      <c r="S126">
        <v>4</v>
      </c>
    </row>
    <row r="127" spans="1:19" x14ac:dyDescent="0.25">
      <c r="I127" t="s">
        <v>762</v>
      </c>
      <c r="J127">
        <v>2.5</v>
      </c>
      <c r="K127">
        <v>2.875</v>
      </c>
      <c r="L127">
        <v>1.5</v>
      </c>
      <c r="M127">
        <v>6</v>
      </c>
      <c r="N127">
        <v>11.0625</v>
      </c>
      <c r="P127">
        <v>3.5</v>
      </c>
      <c r="Q127" t="s">
        <v>140</v>
      </c>
      <c r="R127" t="s">
        <v>24</v>
      </c>
      <c r="S127">
        <v>4</v>
      </c>
    </row>
    <row r="128" spans="1:19" x14ac:dyDescent="0.25">
      <c r="I128" t="s">
        <v>762</v>
      </c>
      <c r="J128">
        <v>2.5</v>
      </c>
      <c r="K128">
        <v>2.875</v>
      </c>
      <c r="L128">
        <v>2</v>
      </c>
      <c r="M128">
        <v>8</v>
      </c>
      <c r="N128">
        <f>13.8125</f>
        <v>13.8125</v>
      </c>
      <c r="P128">
        <v>3.5</v>
      </c>
      <c r="Q128" t="s">
        <v>141</v>
      </c>
      <c r="R128" t="s">
        <v>23</v>
      </c>
      <c r="S128">
        <v>4</v>
      </c>
    </row>
    <row r="129" spans="9:19" x14ac:dyDescent="0.25">
      <c r="I129" t="s">
        <v>762</v>
      </c>
      <c r="J129">
        <v>2.5</v>
      </c>
      <c r="K129">
        <v>2.875</v>
      </c>
      <c r="L129">
        <v>2.5</v>
      </c>
      <c r="M129">
        <v>8</v>
      </c>
      <c r="N129">
        <f>13.8125</f>
        <v>13.8125</v>
      </c>
      <c r="P129">
        <v>3.5</v>
      </c>
      <c r="Q129" t="s">
        <v>141</v>
      </c>
      <c r="R129" t="s">
        <v>24</v>
      </c>
      <c r="S129">
        <v>4</v>
      </c>
    </row>
    <row r="130" spans="9:19" x14ac:dyDescent="0.25">
      <c r="I130" t="s">
        <v>762</v>
      </c>
      <c r="J130">
        <v>2.5</v>
      </c>
      <c r="K130">
        <v>2.875</v>
      </c>
      <c r="L130">
        <v>3</v>
      </c>
      <c r="M130">
        <v>10</v>
      </c>
      <c r="N130">
        <f>16.3125</f>
        <v>16.3125</v>
      </c>
      <c r="P130">
        <v>4</v>
      </c>
      <c r="Q130" t="s">
        <v>132</v>
      </c>
      <c r="R130" t="s">
        <v>23</v>
      </c>
      <c r="S130">
        <v>14</v>
      </c>
    </row>
    <row r="131" spans="9:19" x14ac:dyDescent="0.25">
      <c r="I131" t="s">
        <v>762</v>
      </c>
      <c r="J131">
        <v>2.5</v>
      </c>
      <c r="K131">
        <v>2.875</v>
      </c>
      <c r="L131">
        <v>3.5</v>
      </c>
      <c r="M131">
        <v>10</v>
      </c>
      <c r="N131">
        <f>16.3125</f>
        <v>16.3125</v>
      </c>
      <c r="P131">
        <v>4</v>
      </c>
      <c r="Q131" t="s">
        <v>132</v>
      </c>
      <c r="R131" t="s">
        <v>24</v>
      </c>
      <c r="S131">
        <v>17</v>
      </c>
    </row>
    <row r="132" spans="9:19" x14ac:dyDescent="0.25">
      <c r="I132" t="s">
        <v>763</v>
      </c>
      <c r="J132">
        <v>3</v>
      </c>
      <c r="K132">
        <v>3.125</v>
      </c>
      <c r="L132">
        <v>0.5</v>
      </c>
      <c r="M132">
        <v>4</v>
      </c>
      <c r="N132">
        <v>7.25</v>
      </c>
      <c r="P132">
        <v>4</v>
      </c>
      <c r="Q132" t="s">
        <v>20</v>
      </c>
      <c r="R132" t="s">
        <v>23</v>
      </c>
      <c r="S132">
        <v>14</v>
      </c>
    </row>
    <row r="133" spans="9:19" x14ac:dyDescent="0.25">
      <c r="I133" t="s">
        <v>763</v>
      </c>
      <c r="J133">
        <v>3</v>
      </c>
      <c r="K133">
        <v>3.125</v>
      </c>
      <c r="L133">
        <v>0.75</v>
      </c>
      <c r="M133">
        <v>5</v>
      </c>
      <c r="N133">
        <v>10</v>
      </c>
      <c r="P133">
        <v>4</v>
      </c>
      <c r="Q133" t="s">
        <v>20</v>
      </c>
      <c r="R133" t="s">
        <v>24</v>
      </c>
      <c r="S133">
        <v>17</v>
      </c>
    </row>
    <row r="134" spans="9:19" x14ac:dyDescent="0.25">
      <c r="I134" t="s">
        <v>763</v>
      </c>
      <c r="J134">
        <v>3</v>
      </c>
      <c r="K134">
        <v>3.125</v>
      </c>
      <c r="L134">
        <v>1</v>
      </c>
      <c r="M134">
        <v>5</v>
      </c>
      <c r="N134">
        <v>10</v>
      </c>
      <c r="P134">
        <v>4</v>
      </c>
      <c r="Q134" t="s">
        <v>137</v>
      </c>
      <c r="R134" t="s">
        <v>23</v>
      </c>
      <c r="S134">
        <v>12</v>
      </c>
    </row>
    <row r="135" spans="9:19" x14ac:dyDescent="0.25">
      <c r="I135" t="s">
        <v>763</v>
      </c>
      <c r="J135">
        <v>3</v>
      </c>
      <c r="K135">
        <v>3.125</v>
      </c>
      <c r="L135">
        <v>1.5</v>
      </c>
      <c r="M135">
        <v>6</v>
      </c>
      <c r="N135">
        <v>11.0625</v>
      </c>
      <c r="P135">
        <v>4</v>
      </c>
      <c r="Q135" t="s">
        <v>137</v>
      </c>
      <c r="R135" t="s">
        <v>24</v>
      </c>
      <c r="S135">
        <v>16</v>
      </c>
    </row>
    <row r="136" spans="9:19" x14ac:dyDescent="0.25">
      <c r="I136" t="s">
        <v>765</v>
      </c>
      <c r="J136">
        <v>3</v>
      </c>
      <c r="K136">
        <v>3.5</v>
      </c>
      <c r="L136">
        <v>0.5</v>
      </c>
      <c r="M136">
        <v>4</v>
      </c>
      <c r="N136">
        <v>7.25</v>
      </c>
      <c r="P136">
        <v>4</v>
      </c>
      <c r="Q136" t="s">
        <v>139</v>
      </c>
      <c r="R136" t="s">
        <v>23</v>
      </c>
      <c r="S136">
        <v>12</v>
      </c>
    </row>
    <row r="137" spans="9:19" x14ac:dyDescent="0.25">
      <c r="I137" t="s">
        <v>765</v>
      </c>
      <c r="J137">
        <v>3</v>
      </c>
      <c r="K137">
        <v>3.5</v>
      </c>
      <c r="L137">
        <v>0.75</v>
      </c>
      <c r="M137">
        <v>5</v>
      </c>
      <c r="N137">
        <v>10</v>
      </c>
      <c r="P137">
        <v>4</v>
      </c>
      <c r="Q137" t="s">
        <v>139</v>
      </c>
      <c r="R137" t="s">
        <v>24</v>
      </c>
      <c r="S137">
        <v>16</v>
      </c>
    </row>
    <row r="138" spans="9:19" x14ac:dyDescent="0.25">
      <c r="I138" t="s">
        <v>765</v>
      </c>
      <c r="J138">
        <v>3</v>
      </c>
      <c r="K138">
        <v>3.5</v>
      </c>
      <c r="L138">
        <v>1</v>
      </c>
      <c r="M138">
        <v>5</v>
      </c>
      <c r="N138">
        <v>10</v>
      </c>
      <c r="P138">
        <v>4</v>
      </c>
      <c r="Q138" t="s">
        <v>140</v>
      </c>
      <c r="R138" t="s">
        <v>23</v>
      </c>
      <c r="S138">
        <v>4</v>
      </c>
    </row>
    <row r="139" spans="9:19" x14ac:dyDescent="0.25">
      <c r="I139" t="s">
        <v>765</v>
      </c>
      <c r="J139">
        <v>3</v>
      </c>
      <c r="K139">
        <v>3.5</v>
      </c>
      <c r="L139">
        <v>1.5</v>
      </c>
      <c r="M139">
        <v>8</v>
      </c>
      <c r="N139">
        <f>13.8125</f>
        <v>13.8125</v>
      </c>
      <c r="P139">
        <v>4</v>
      </c>
      <c r="Q139" t="s">
        <v>140</v>
      </c>
      <c r="R139" t="s">
        <v>24</v>
      </c>
      <c r="S139">
        <v>4</v>
      </c>
    </row>
    <row r="140" spans="9:19" x14ac:dyDescent="0.25">
      <c r="I140" t="s">
        <v>765</v>
      </c>
      <c r="J140">
        <v>3</v>
      </c>
      <c r="K140">
        <v>3.5</v>
      </c>
      <c r="L140">
        <v>2</v>
      </c>
      <c r="M140">
        <v>8</v>
      </c>
      <c r="N140">
        <f>13.8125</f>
        <v>13.8125</v>
      </c>
      <c r="P140">
        <v>4</v>
      </c>
      <c r="Q140" t="s">
        <v>141</v>
      </c>
      <c r="R140" t="s">
        <v>23</v>
      </c>
      <c r="S140">
        <v>4</v>
      </c>
    </row>
    <row r="141" spans="9:19" x14ac:dyDescent="0.25">
      <c r="I141" t="s">
        <v>765</v>
      </c>
      <c r="J141">
        <v>3</v>
      </c>
      <c r="K141">
        <v>3.5</v>
      </c>
      <c r="L141">
        <v>2.5</v>
      </c>
      <c r="M141">
        <v>10</v>
      </c>
      <c r="N141">
        <f>16.3125</f>
        <v>16.3125</v>
      </c>
      <c r="P141">
        <v>4</v>
      </c>
      <c r="Q141" t="s">
        <v>141</v>
      </c>
      <c r="R141" t="s">
        <v>24</v>
      </c>
      <c r="S141">
        <v>4</v>
      </c>
    </row>
    <row r="142" spans="9:19" x14ac:dyDescent="0.25">
      <c r="I142" t="s">
        <v>765</v>
      </c>
      <c r="J142">
        <v>3</v>
      </c>
      <c r="K142">
        <v>3.5</v>
      </c>
      <c r="L142">
        <v>3</v>
      </c>
      <c r="M142">
        <v>10</v>
      </c>
      <c r="N142">
        <f>16.3125</f>
        <v>16.3125</v>
      </c>
      <c r="P142">
        <v>5</v>
      </c>
      <c r="Q142" t="s">
        <v>132</v>
      </c>
      <c r="R142" t="s">
        <v>23</v>
      </c>
      <c r="S142">
        <v>16</v>
      </c>
    </row>
    <row r="143" spans="9:19" x14ac:dyDescent="0.25">
      <c r="I143" t="s">
        <v>765</v>
      </c>
      <c r="J143">
        <v>3</v>
      </c>
      <c r="K143">
        <v>3.5</v>
      </c>
      <c r="L143">
        <v>3.5</v>
      </c>
      <c r="M143">
        <v>10</v>
      </c>
      <c r="N143">
        <f>16.3125</f>
        <v>16.3125</v>
      </c>
      <c r="P143">
        <v>5</v>
      </c>
      <c r="Q143" t="s">
        <v>132</v>
      </c>
      <c r="R143" t="s">
        <v>24</v>
      </c>
      <c r="S143">
        <v>19</v>
      </c>
    </row>
    <row r="144" spans="9:19" x14ac:dyDescent="0.25">
      <c r="I144" t="s">
        <v>765</v>
      </c>
      <c r="J144">
        <v>3</v>
      </c>
      <c r="K144">
        <v>3.5</v>
      </c>
      <c r="L144">
        <v>4</v>
      </c>
      <c r="M144">
        <v>12</v>
      </c>
      <c r="N144">
        <v>19.625</v>
      </c>
      <c r="P144">
        <v>5</v>
      </c>
      <c r="Q144" t="s">
        <v>20</v>
      </c>
      <c r="R144" t="s">
        <v>23</v>
      </c>
      <c r="S144">
        <v>16</v>
      </c>
    </row>
    <row r="145" spans="9:19" x14ac:dyDescent="0.25">
      <c r="I145" t="s">
        <v>762</v>
      </c>
      <c r="J145">
        <v>3</v>
      </c>
      <c r="K145">
        <v>3.5</v>
      </c>
      <c r="L145">
        <v>0.5</v>
      </c>
      <c r="M145">
        <v>4</v>
      </c>
      <c r="N145">
        <v>7.25</v>
      </c>
      <c r="P145">
        <v>5</v>
      </c>
      <c r="Q145" t="s">
        <v>20</v>
      </c>
      <c r="R145" t="s">
        <v>24</v>
      </c>
      <c r="S145">
        <v>19</v>
      </c>
    </row>
    <row r="146" spans="9:19" x14ac:dyDescent="0.25">
      <c r="I146" t="s">
        <v>762</v>
      </c>
      <c r="J146">
        <v>3</v>
      </c>
      <c r="K146">
        <v>3.5</v>
      </c>
      <c r="L146">
        <v>0.75</v>
      </c>
      <c r="M146">
        <v>5</v>
      </c>
      <c r="N146">
        <v>10</v>
      </c>
      <c r="P146">
        <v>5</v>
      </c>
      <c r="Q146" t="s">
        <v>137</v>
      </c>
      <c r="R146" t="s">
        <v>23</v>
      </c>
      <c r="S146">
        <v>13</v>
      </c>
    </row>
    <row r="147" spans="9:19" x14ac:dyDescent="0.25">
      <c r="I147" t="s">
        <v>762</v>
      </c>
      <c r="J147">
        <v>3</v>
      </c>
      <c r="K147">
        <v>3.5</v>
      </c>
      <c r="L147">
        <v>1</v>
      </c>
      <c r="M147">
        <v>5</v>
      </c>
      <c r="N147">
        <v>10</v>
      </c>
      <c r="P147">
        <v>5</v>
      </c>
      <c r="Q147" t="s">
        <v>137</v>
      </c>
      <c r="R147" t="s">
        <v>24</v>
      </c>
      <c r="S147">
        <v>18</v>
      </c>
    </row>
    <row r="148" spans="9:19" x14ac:dyDescent="0.25">
      <c r="I148" t="s">
        <v>762</v>
      </c>
      <c r="J148">
        <v>3</v>
      </c>
      <c r="K148">
        <v>3.5</v>
      </c>
      <c r="L148">
        <v>1.5</v>
      </c>
      <c r="M148">
        <v>8</v>
      </c>
      <c r="N148">
        <f>13.8125</f>
        <v>13.8125</v>
      </c>
      <c r="P148">
        <v>5</v>
      </c>
      <c r="Q148" t="s">
        <v>139</v>
      </c>
      <c r="R148" t="s">
        <v>23</v>
      </c>
      <c r="S148">
        <v>13</v>
      </c>
    </row>
    <row r="149" spans="9:19" x14ac:dyDescent="0.25">
      <c r="I149" t="s">
        <v>762</v>
      </c>
      <c r="J149">
        <v>3</v>
      </c>
      <c r="K149">
        <v>3.5</v>
      </c>
      <c r="L149">
        <v>2</v>
      </c>
      <c r="M149">
        <v>8</v>
      </c>
      <c r="N149">
        <f>13.8125</f>
        <v>13.8125</v>
      </c>
      <c r="P149">
        <v>5</v>
      </c>
      <c r="Q149" t="s">
        <v>139</v>
      </c>
      <c r="R149" t="s">
        <v>24</v>
      </c>
      <c r="S149">
        <v>18</v>
      </c>
    </row>
    <row r="150" spans="9:19" x14ac:dyDescent="0.25">
      <c r="I150" t="s">
        <v>762</v>
      </c>
      <c r="J150">
        <v>3</v>
      </c>
      <c r="K150">
        <v>3.5</v>
      </c>
      <c r="L150">
        <v>2.5</v>
      </c>
      <c r="M150">
        <v>10</v>
      </c>
      <c r="N150">
        <f>16.3125</f>
        <v>16.3125</v>
      </c>
      <c r="P150">
        <v>5</v>
      </c>
      <c r="Q150" t="s">
        <v>140</v>
      </c>
      <c r="R150" t="s">
        <v>23</v>
      </c>
      <c r="S150">
        <v>4</v>
      </c>
    </row>
    <row r="151" spans="9:19" x14ac:dyDescent="0.25">
      <c r="I151" t="s">
        <v>762</v>
      </c>
      <c r="J151">
        <v>3</v>
      </c>
      <c r="K151">
        <v>3.5</v>
      </c>
      <c r="L151">
        <v>3</v>
      </c>
      <c r="M151">
        <v>10</v>
      </c>
      <c r="N151">
        <f>16.3125</f>
        <v>16.3125</v>
      </c>
      <c r="P151">
        <v>5</v>
      </c>
      <c r="Q151" t="s">
        <v>140</v>
      </c>
      <c r="R151" t="s">
        <v>24</v>
      </c>
      <c r="S151">
        <v>4</v>
      </c>
    </row>
    <row r="152" spans="9:19" x14ac:dyDescent="0.25">
      <c r="I152" t="s">
        <v>762</v>
      </c>
      <c r="J152">
        <v>3</v>
      </c>
      <c r="K152">
        <v>3.5</v>
      </c>
      <c r="L152">
        <v>3.5</v>
      </c>
      <c r="M152">
        <v>10</v>
      </c>
      <c r="N152">
        <f>16.3125</f>
        <v>16.3125</v>
      </c>
      <c r="P152">
        <v>5</v>
      </c>
      <c r="Q152" t="s">
        <v>141</v>
      </c>
      <c r="R152" t="s">
        <v>23</v>
      </c>
      <c r="S152">
        <v>4</v>
      </c>
    </row>
    <row r="153" spans="9:19" x14ac:dyDescent="0.25">
      <c r="I153" t="s">
        <v>762</v>
      </c>
      <c r="J153">
        <v>3</v>
      </c>
      <c r="K153">
        <v>3.5</v>
      </c>
      <c r="L153">
        <v>4</v>
      </c>
      <c r="M153">
        <v>12</v>
      </c>
      <c r="N153">
        <v>19.625</v>
      </c>
      <c r="P153">
        <v>5</v>
      </c>
      <c r="Q153" t="s">
        <v>141</v>
      </c>
      <c r="R153" t="s">
        <v>24</v>
      </c>
      <c r="S153">
        <v>4</v>
      </c>
    </row>
    <row r="154" spans="9:19" x14ac:dyDescent="0.25">
      <c r="I154" t="s">
        <v>763</v>
      </c>
      <c r="J154">
        <v>3.5</v>
      </c>
      <c r="K154">
        <v>3.625</v>
      </c>
      <c r="L154">
        <v>0.5</v>
      </c>
      <c r="M154">
        <v>5</v>
      </c>
      <c r="N154">
        <v>10</v>
      </c>
      <c r="P154">
        <v>6</v>
      </c>
      <c r="Q154" t="s">
        <v>132</v>
      </c>
      <c r="R154" t="s">
        <v>23</v>
      </c>
      <c r="S154">
        <v>17</v>
      </c>
    </row>
    <row r="155" spans="9:19" x14ac:dyDescent="0.25">
      <c r="I155" t="s">
        <v>763</v>
      </c>
      <c r="J155">
        <v>3.5</v>
      </c>
      <c r="K155">
        <v>3.625</v>
      </c>
      <c r="L155">
        <v>0.75</v>
      </c>
      <c r="M155">
        <v>5</v>
      </c>
      <c r="N155">
        <v>10</v>
      </c>
      <c r="P155">
        <v>6</v>
      </c>
      <c r="Q155" t="s">
        <v>132</v>
      </c>
      <c r="R155" t="s">
        <v>24</v>
      </c>
      <c r="S155">
        <v>21</v>
      </c>
    </row>
    <row r="156" spans="9:19" x14ac:dyDescent="0.25">
      <c r="I156" t="s">
        <v>763</v>
      </c>
      <c r="J156">
        <v>3.5</v>
      </c>
      <c r="K156">
        <v>3.625</v>
      </c>
      <c r="L156">
        <v>1</v>
      </c>
      <c r="M156">
        <v>6</v>
      </c>
      <c r="N156">
        <v>11.0625</v>
      </c>
      <c r="P156">
        <v>6</v>
      </c>
      <c r="Q156" t="s">
        <v>20</v>
      </c>
      <c r="R156" t="s">
        <v>23</v>
      </c>
      <c r="S156">
        <v>17</v>
      </c>
    </row>
    <row r="157" spans="9:19" x14ac:dyDescent="0.25">
      <c r="I157" t="s">
        <v>763</v>
      </c>
      <c r="J157">
        <v>3.5</v>
      </c>
      <c r="K157">
        <v>3.625</v>
      </c>
      <c r="L157">
        <v>1.5</v>
      </c>
      <c r="M157">
        <v>6</v>
      </c>
      <c r="N157">
        <v>11.0625</v>
      </c>
      <c r="P157">
        <v>6</v>
      </c>
      <c r="Q157" t="s">
        <v>20</v>
      </c>
      <c r="R157" t="s">
        <v>24</v>
      </c>
      <c r="S157">
        <v>21</v>
      </c>
    </row>
    <row r="158" spans="9:19" x14ac:dyDescent="0.25">
      <c r="I158" t="s">
        <v>765</v>
      </c>
      <c r="J158">
        <v>3.5</v>
      </c>
      <c r="K158">
        <v>4</v>
      </c>
      <c r="L158">
        <v>0.5</v>
      </c>
      <c r="M158">
        <v>5</v>
      </c>
      <c r="N158">
        <v>10</v>
      </c>
      <c r="P158">
        <v>6</v>
      </c>
      <c r="Q158" t="s">
        <v>137</v>
      </c>
      <c r="R158" t="s">
        <v>23</v>
      </c>
      <c r="S158">
        <v>14</v>
      </c>
    </row>
    <row r="159" spans="9:19" x14ac:dyDescent="0.25">
      <c r="I159" t="s">
        <v>765</v>
      </c>
      <c r="J159">
        <v>3.5</v>
      </c>
      <c r="K159">
        <v>4</v>
      </c>
      <c r="L159">
        <v>0.75</v>
      </c>
      <c r="M159">
        <v>5</v>
      </c>
      <c r="N159">
        <v>10</v>
      </c>
      <c r="P159">
        <v>6</v>
      </c>
      <c r="Q159" t="s">
        <v>137</v>
      </c>
      <c r="R159" t="s">
        <v>24</v>
      </c>
      <c r="S159">
        <v>20</v>
      </c>
    </row>
    <row r="160" spans="9:19" x14ac:dyDescent="0.25">
      <c r="I160" t="s">
        <v>765</v>
      </c>
      <c r="J160">
        <v>3.5</v>
      </c>
      <c r="K160">
        <v>4</v>
      </c>
      <c r="L160">
        <v>1</v>
      </c>
      <c r="M160">
        <v>6</v>
      </c>
      <c r="N160">
        <v>11.0625</v>
      </c>
      <c r="P160">
        <v>6</v>
      </c>
      <c r="Q160" t="s">
        <v>139</v>
      </c>
      <c r="R160" t="s">
        <v>23</v>
      </c>
      <c r="S160">
        <v>14</v>
      </c>
    </row>
    <row r="161" spans="9:19" x14ac:dyDescent="0.25">
      <c r="I161" t="s">
        <v>765</v>
      </c>
      <c r="J161">
        <v>3.5</v>
      </c>
      <c r="K161">
        <v>4</v>
      </c>
      <c r="L161">
        <v>1.5</v>
      </c>
      <c r="M161">
        <v>8</v>
      </c>
      <c r="N161">
        <f>13.8125</f>
        <v>13.8125</v>
      </c>
      <c r="P161">
        <v>6</v>
      </c>
      <c r="Q161" t="s">
        <v>139</v>
      </c>
      <c r="R161" t="s">
        <v>24</v>
      </c>
      <c r="S161">
        <v>20</v>
      </c>
    </row>
    <row r="162" spans="9:19" x14ac:dyDescent="0.25">
      <c r="I162" t="s">
        <v>765</v>
      </c>
      <c r="J162">
        <v>3.5</v>
      </c>
      <c r="K162">
        <v>4</v>
      </c>
      <c r="L162">
        <v>2</v>
      </c>
      <c r="M162">
        <v>8</v>
      </c>
      <c r="N162">
        <f>13.8125</f>
        <v>13.8125</v>
      </c>
      <c r="P162">
        <v>6</v>
      </c>
      <c r="Q162" t="s">
        <v>140</v>
      </c>
      <c r="R162" t="s">
        <v>23</v>
      </c>
      <c r="S162">
        <v>4</v>
      </c>
    </row>
    <row r="163" spans="9:19" x14ac:dyDescent="0.25">
      <c r="I163" t="s">
        <v>765</v>
      </c>
      <c r="J163">
        <v>3.5</v>
      </c>
      <c r="K163">
        <v>4</v>
      </c>
      <c r="L163">
        <v>2.5</v>
      </c>
      <c r="M163">
        <v>10</v>
      </c>
      <c r="N163">
        <f>16.3125</f>
        <v>16.3125</v>
      </c>
      <c r="P163">
        <v>6</v>
      </c>
      <c r="Q163" t="s">
        <v>140</v>
      </c>
      <c r="R163" t="s">
        <v>24</v>
      </c>
      <c r="S163">
        <v>4</v>
      </c>
    </row>
    <row r="164" spans="9:19" x14ac:dyDescent="0.25">
      <c r="I164" t="s">
        <v>765</v>
      </c>
      <c r="J164">
        <v>3.5</v>
      </c>
      <c r="K164">
        <v>4</v>
      </c>
      <c r="L164">
        <v>3</v>
      </c>
      <c r="M164">
        <v>10</v>
      </c>
      <c r="N164">
        <f>16.3125</f>
        <v>16.3125</v>
      </c>
      <c r="P164">
        <v>6</v>
      </c>
      <c r="Q164" t="s">
        <v>141</v>
      </c>
      <c r="R164" t="s">
        <v>23</v>
      </c>
      <c r="S164">
        <v>4</v>
      </c>
    </row>
    <row r="165" spans="9:19" x14ac:dyDescent="0.25">
      <c r="I165" t="s">
        <v>765</v>
      </c>
      <c r="J165">
        <v>3.5</v>
      </c>
      <c r="K165">
        <v>4</v>
      </c>
      <c r="L165">
        <v>3.5</v>
      </c>
      <c r="M165">
        <v>12</v>
      </c>
      <c r="N165">
        <v>19.625</v>
      </c>
      <c r="P165">
        <v>6</v>
      </c>
      <c r="Q165" t="s">
        <v>141</v>
      </c>
      <c r="R165" t="s">
        <v>24</v>
      </c>
      <c r="S165">
        <v>4</v>
      </c>
    </row>
    <row r="166" spans="9:19" x14ac:dyDescent="0.25">
      <c r="I166" t="s">
        <v>765</v>
      </c>
      <c r="J166">
        <v>3.5</v>
      </c>
      <c r="K166">
        <v>4</v>
      </c>
      <c r="L166">
        <v>4</v>
      </c>
      <c r="M166">
        <v>12</v>
      </c>
      <c r="N166">
        <v>19.625</v>
      </c>
      <c r="P166">
        <v>8</v>
      </c>
      <c r="Q166" t="s">
        <v>132</v>
      </c>
      <c r="R166" t="s">
        <v>23</v>
      </c>
      <c r="S166">
        <v>19</v>
      </c>
    </row>
    <row r="167" spans="9:19" x14ac:dyDescent="0.25">
      <c r="I167" t="s">
        <v>762</v>
      </c>
      <c r="J167">
        <v>3.5</v>
      </c>
      <c r="K167">
        <v>4</v>
      </c>
      <c r="L167">
        <v>0.5</v>
      </c>
      <c r="M167">
        <v>5</v>
      </c>
      <c r="N167">
        <v>10</v>
      </c>
      <c r="P167">
        <v>8</v>
      </c>
      <c r="Q167" t="s">
        <v>132</v>
      </c>
      <c r="R167" t="s">
        <v>24</v>
      </c>
      <c r="S167">
        <v>24</v>
      </c>
    </row>
    <row r="168" spans="9:19" x14ac:dyDescent="0.25">
      <c r="I168" t="s">
        <v>762</v>
      </c>
      <c r="J168">
        <v>3.5</v>
      </c>
      <c r="K168">
        <v>4</v>
      </c>
      <c r="L168">
        <v>0.75</v>
      </c>
      <c r="M168">
        <v>5</v>
      </c>
      <c r="N168">
        <v>10</v>
      </c>
      <c r="P168">
        <v>8</v>
      </c>
      <c r="Q168" t="s">
        <v>20</v>
      </c>
      <c r="R168" t="s">
        <v>23</v>
      </c>
      <c r="S168">
        <v>19</v>
      </c>
    </row>
    <row r="169" spans="9:19" x14ac:dyDescent="0.25">
      <c r="I169" t="s">
        <v>762</v>
      </c>
      <c r="J169">
        <v>3.5</v>
      </c>
      <c r="K169">
        <v>4</v>
      </c>
      <c r="L169">
        <v>1</v>
      </c>
      <c r="M169">
        <v>6</v>
      </c>
      <c r="N169">
        <v>11.0625</v>
      </c>
      <c r="P169">
        <v>8</v>
      </c>
      <c r="Q169" t="s">
        <v>20</v>
      </c>
      <c r="R169" t="s">
        <v>24</v>
      </c>
      <c r="S169">
        <v>24</v>
      </c>
    </row>
    <row r="170" spans="9:19" x14ac:dyDescent="0.25">
      <c r="I170" t="s">
        <v>762</v>
      </c>
      <c r="J170">
        <v>3.5</v>
      </c>
      <c r="K170">
        <v>4</v>
      </c>
      <c r="L170">
        <v>1.5</v>
      </c>
      <c r="M170">
        <v>8</v>
      </c>
      <c r="N170">
        <f>13.8125</f>
        <v>13.8125</v>
      </c>
      <c r="P170">
        <v>8</v>
      </c>
      <c r="Q170" t="s">
        <v>137</v>
      </c>
      <c r="R170" t="s">
        <v>23</v>
      </c>
      <c r="S170">
        <v>16</v>
      </c>
    </row>
    <row r="171" spans="9:19" x14ac:dyDescent="0.25">
      <c r="I171" t="s">
        <v>762</v>
      </c>
      <c r="J171">
        <v>3.5</v>
      </c>
      <c r="K171">
        <v>4</v>
      </c>
      <c r="L171">
        <v>2</v>
      </c>
      <c r="M171">
        <v>8</v>
      </c>
      <c r="N171">
        <f>13.8125</f>
        <v>13.8125</v>
      </c>
      <c r="P171">
        <v>8</v>
      </c>
      <c r="Q171" t="s">
        <v>137</v>
      </c>
      <c r="R171" t="s">
        <v>24</v>
      </c>
      <c r="S171">
        <v>23</v>
      </c>
    </row>
    <row r="172" spans="9:19" x14ac:dyDescent="0.25">
      <c r="I172" t="s">
        <v>762</v>
      </c>
      <c r="J172">
        <v>3.5</v>
      </c>
      <c r="K172">
        <v>4</v>
      </c>
      <c r="L172">
        <v>2.5</v>
      </c>
      <c r="M172">
        <v>10</v>
      </c>
      <c r="N172">
        <f>16.3125</f>
        <v>16.3125</v>
      </c>
      <c r="P172">
        <v>8</v>
      </c>
      <c r="Q172" t="s">
        <v>139</v>
      </c>
      <c r="R172" t="s">
        <v>23</v>
      </c>
      <c r="S172">
        <v>16</v>
      </c>
    </row>
    <row r="173" spans="9:19" x14ac:dyDescent="0.25">
      <c r="I173" t="s">
        <v>762</v>
      </c>
      <c r="J173">
        <v>3.5</v>
      </c>
      <c r="K173">
        <v>4</v>
      </c>
      <c r="L173">
        <v>3</v>
      </c>
      <c r="M173">
        <v>10</v>
      </c>
      <c r="N173">
        <f>16.3125</f>
        <v>16.3125</v>
      </c>
      <c r="P173">
        <v>8</v>
      </c>
      <c r="Q173" t="s">
        <v>139</v>
      </c>
      <c r="R173" t="s">
        <v>24</v>
      </c>
      <c r="S173">
        <v>23</v>
      </c>
    </row>
    <row r="174" spans="9:19" x14ac:dyDescent="0.25">
      <c r="I174" t="s">
        <v>762</v>
      </c>
      <c r="J174">
        <v>3.5</v>
      </c>
      <c r="K174">
        <v>4</v>
      </c>
      <c r="L174">
        <v>3.5</v>
      </c>
      <c r="M174">
        <v>12</v>
      </c>
      <c r="N174">
        <v>19.625</v>
      </c>
      <c r="P174">
        <v>8</v>
      </c>
      <c r="Q174" t="s">
        <v>140</v>
      </c>
      <c r="R174" t="s">
        <v>23</v>
      </c>
      <c r="S174">
        <v>4</v>
      </c>
    </row>
    <row r="175" spans="9:19" x14ac:dyDescent="0.25">
      <c r="I175" t="s">
        <v>762</v>
      </c>
      <c r="J175">
        <v>3.5</v>
      </c>
      <c r="K175">
        <v>4</v>
      </c>
      <c r="L175">
        <v>4</v>
      </c>
      <c r="M175">
        <v>12</v>
      </c>
      <c r="N175">
        <v>19.625</v>
      </c>
      <c r="P175">
        <v>8</v>
      </c>
      <c r="Q175" t="s">
        <v>140</v>
      </c>
      <c r="R175" t="s">
        <v>24</v>
      </c>
      <c r="S175">
        <v>4</v>
      </c>
    </row>
    <row r="176" spans="9:19" x14ac:dyDescent="0.25">
      <c r="I176" t="s">
        <v>763</v>
      </c>
      <c r="J176">
        <v>4</v>
      </c>
      <c r="K176">
        <v>4.125</v>
      </c>
      <c r="L176">
        <v>0.5</v>
      </c>
      <c r="M176">
        <v>5</v>
      </c>
      <c r="N176">
        <v>10</v>
      </c>
      <c r="P176">
        <v>8</v>
      </c>
      <c r="Q176" t="s">
        <v>141</v>
      </c>
      <c r="R176" t="s">
        <v>23</v>
      </c>
      <c r="S176">
        <v>4</v>
      </c>
    </row>
    <row r="177" spans="9:19" x14ac:dyDescent="0.25">
      <c r="I177" t="s">
        <v>763</v>
      </c>
      <c r="J177">
        <v>4</v>
      </c>
      <c r="K177">
        <v>4.125</v>
      </c>
      <c r="L177">
        <v>0.75</v>
      </c>
      <c r="M177">
        <v>5</v>
      </c>
      <c r="N177">
        <v>10</v>
      </c>
      <c r="P177">
        <v>8</v>
      </c>
      <c r="Q177" t="s">
        <v>141</v>
      </c>
      <c r="R177" t="s">
        <v>24</v>
      </c>
      <c r="S177">
        <v>4</v>
      </c>
    </row>
    <row r="178" spans="9:19" x14ac:dyDescent="0.25">
      <c r="I178" t="s">
        <v>763</v>
      </c>
      <c r="J178">
        <v>4</v>
      </c>
      <c r="K178">
        <v>4.125</v>
      </c>
      <c r="L178">
        <v>1</v>
      </c>
      <c r="M178">
        <v>8</v>
      </c>
      <c r="N178">
        <f>13.8125</f>
        <v>13.8125</v>
      </c>
      <c r="P178">
        <v>10</v>
      </c>
      <c r="Q178" t="s">
        <v>132</v>
      </c>
      <c r="R178" t="s">
        <v>23</v>
      </c>
      <c r="S178">
        <v>22</v>
      </c>
    </row>
    <row r="179" spans="9:19" x14ac:dyDescent="0.25">
      <c r="I179" t="s">
        <v>763</v>
      </c>
      <c r="J179">
        <v>4</v>
      </c>
      <c r="K179">
        <v>4.125</v>
      </c>
      <c r="L179">
        <v>1.5</v>
      </c>
      <c r="M179">
        <v>8</v>
      </c>
      <c r="N179">
        <f>13.8125</f>
        <v>13.8125</v>
      </c>
      <c r="P179">
        <v>10</v>
      </c>
      <c r="Q179" t="s">
        <v>132</v>
      </c>
      <c r="R179" t="s">
        <v>24</v>
      </c>
      <c r="S179">
        <v>26</v>
      </c>
    </row>
    <row r="180" spans="9:19" x14ac:dyDescent="0.25">
      <c r="I180" t="s">
        <v>765</v>
      </c>
      <c r="J180">
        <v>4</v>
      </c>
      <c r="K180">
        <v>4.5</v>
      </c>
      <c r="L180">
        <v>0.5</v>
      </c>
      <c r="M180">
        <v>5</v>
      </c>
      <c r="N180">
        <v>10</v>
      </c>
      <c r="P180">
        <v>10</v>
      </c>
      <c r="Q180" t="s">
        <v>20</v>
      </c>
      <c r="R180" t="s">
        <v>23</v>
      </c>
      <c r="S180">
        <v>22</v>
      </c>
    </row>
    <row r="181" spans="9:19" x14ac:dyDescent="0.25">
      <c r="I181" t="s">
        <v>765</v>
      </c>
      <c r="J181">
        <v>4</v>
      </c>
      <c r="K181">
        <v>4.5</v>
      </c>
      <c r="L181">
        <v>0.75</v>
      </c>
      <c r="M181">
        <v>6</v>
      </c>
      <c r="N181">
        <v>11.0625</v>
      </c>
      <c r="P181">
        <v>10</v>
      </c>
      <c r="Q181" t="s">
        <v>20</v>
      </c>
      <c r="R181" t="s">
        <v>24</v>
      </c>
      <c r="S181">
        <v>26</v>
      </c>
    </row>
    <row r="182" spans="9:19" x14ac:dyDescent="0.25">
      <c r="I182" t="s">
        <v>765</v>
      </c>
      <c r="J182">
        <v>4</v>
      </c>
      <c r="K182">
        <v>4.5</v>
      </c>
      <c r="L182">
        <v>1</v>
      </c>
      <c r="M182">
        <v>6</v>
      </c>
      <c r="N182">
        <v>11.0625</v>
      </c>
      <c r="P182">
        <v>10</v>
      </c>
      <c r="Q182" t="s">
        <v>137</v>
      </c>
      <c r="R182" t="s">
        <v>23</v>
      </c>
      <c r="S182">
        <v>18</v>
      </c>
    </row>
    <row r="183" spans="9:19" x14ac:dyDescent="0.25">
      <c r="I183" t="s">
        <v>765</v>
      </c>
      <c r="J183">
        <v>4</v>
      </c>
      <c r="K183">
        <v>4.5</v>
      </c>
      <c r="L183">
        <v>1.5</v>
      </c>
      <c r="M183">
        <v>8</v>
      </c>
      <c r="N183">
        <f>13.8125</f>
        <v>13.8125</v>
      </c>
      <c r="P183">
        <v>10</v>
      </c>
      <c r="Q183" t="s">
        <v>137</v>
      </c>
      <c r="R183" t="s">
        <v>24</v>
      </c>
      <c r="S183">
        <v>25</v>
      </c>
    </row>
    <row r="184" spans="9:19" x14ac:dyDescent="0.25">
      <c r="I184" t="s">
        <v>765</v>
      </c>
      <c r="J184">
        <v>4</v>
      </c>
      <c r="K184">
        <v>4.5</v>
      </c>
      <c r="L184">
        <v>2</v>
      </c>
      <c r="M184">
        <v>8</v>
      </c>
      <c r="N184">
        <f>13.8125</f>
        <v>13.8125</v>
      </c>
      <c r="P184">
        <v>10</v>
      </c>
      <c r="Q184" t="s">
        <v>139</v>
      </c>
      <c r="R184" t="s">
        <v>23</v>
      </c>
      <c r="S184">
        <v>18</v>
      </c>
    </row>
    <row r="185" spans="9:19" x14ac:dyDescent="0.25">
      <c r="I185" t="s">
        <v>765</v>
      </c>
      <c r="J185">
        <v>4</v>
      </c>
      <c r="K185">
        <v>4.5</v>
      </c>
      <c r="L185">
        <v>2.5</v>
      </c>
      <c r="M185">
        <v>10</v>
      </c>
      <c r="N185">
        <f>16.3125</f>
        <v>16.3125</v>
      </c>
      <c r="P185">
        <v>10</v>
      </c>
      <c r="Q185" t="s">
        <v>139</v>
      </c>
      <c r="R185" t="s">
        <v>24</v>
      </c>
      <c r="S185">
        <v>25</v>
      </c>
    </row>
    <row r="186" spans="9:19" x14ac:dyDescent="0.25">
      <c r="I186" t="s">
        <v>765</v>
      </c>
      <c r="J186">
        <v>4</v>
      </c>
      <c r="K186">
        <v>4.5</v>
      </c>
      <c r="L186">
        <v>3</v>
      </c>
      <c r="M186">
        <v>10</v>
      </c>
      <c r="N186">
        <f>16.3125</f>
        <v>16.3125</v>
      </c>
      <c r="P186">
        <v>10</v>
      </c>
      <c r="Q186" t="s">
        <v>140</v>
      </c>
      <c r="R186" t="s">
        <v>23</v>
      </c>
      <c r="S186">
        <v>4</v>
      </c>
    </row>
    <row r="187" spans="9:19" x14ac:dyDescent="0.25">
      <c r="I187" t="s">
        <v>765</v>
      </c>
      <c r="J187">
        <v>4</v>
      </c>
      <c r="K187">
        <v>4.5</v>
      </c>
      <c r="L187">
        <v>3.5</v>
      </c>
      <c r="M187">
        <v>12</v>
      </c>
      <c r="N187">
        <v>19.625</v>
      </c>
      <c r="P187">
        <v>10</v>
      </c>
      <c r="Q187" t="s">
        <v>140</v>
      </c>
      <c r="R187" t="s">
        <v>24</v>
      </c>
      <c r="S187">
        <v>4</v>
      </c>
    </row>
    <row r="188" spans="9:19" x14ac:dyDescent="0.25">
      <c r="I188" t="s">
        <v>765</v>
      </c>
      <c r="J188">
        <v>4</v>
      </c>
      <c r="K188">
        <v>4.5</v>
      </c>
      <c r="L188">
        <v>4</v>
      </c>
      <c r="M188">
        <v>12</v>
      </c>
      <c r="N188">
        <v>19.625</v>
      </c>
      <c r="P188">
        <v>10</v>
      </c>
      <c r="Q188" t="s">
        <v>141</v>
      </c>
      <c r="R188" t="s">
        <v>23</v>
      </c>
      <c r="S188">
        <v>4</v>
      </c>
    </row>
    <row r="189" spans="9:19" x14ac:dyDescent="0.25">
      <c r="I189" t="s">
        <v>762</v>
      </c>
      <c r="J189">
        <v>4</v>
      </c>
      <c r="K189">
        <v>4.5</v>
      </c>
      <c r="L189">
        <v>0.5</v>
      </c>
      <c r="M189">
        <v>5</v>
      </c>
      <c r="N189">
        <v>10</v>
      </c>
      <c r="P189">
        <v>10</v>
      </c>
      <c r="Q189" t="s">
        <v>141</v>
      </c>
      <c r="R189" t="s">
        <v>24</v>
      </c>
      <c r="S189">
        <v>4</v>
      </c>
    </row>
    <row r="190" spans="9:19" x14ac:dyDescent="0.25">
      <c r="I190" t="s">
        <v>762</v>
      </c>
      <c r="J190">
        <v>4</v>
      </c>
      <c r="K190">
        <v>4.5</v>
      </c>
      <c r="L190">
        <v>0.75</v>
      </c>
      <c r="M190">
        <v>6</v>
      </c>
      <c r="N190">
        <v>11.0625</v>
      </c>
      <c r="P190">
        <v>12</v>
      </c>
      <c r="Q190" t="s">
        <v>132</v>
      </c>
      <c r="R190" t="s">
        <v>23</v>
      </c>
      <c r="S190">
        <v>23</v>
      </c>
    </row>
    <row r="191" spans="9:19" x14ac:dyDescent="0.25">
      <c r="I191" t="s">
        <v>762</v>
      </c>
      <c r="J191">
        <v>4</v>
      </c>
      <c r="K191">
        <v>4.5</v>
      </c>
      <c r="L191">
        <v>1</v>
      </c>
      <c r="M191">
        <v>6</v>
      </c>
      <c r="N191">
        <v>11.0625</v>
      </c>
      <c r="P191">
        <v>12</v>
      </c>
      <c r="Q191" t="s">
        <v>132</v>
      </c>
      <c r="R191" t="s">
        <v>24</v>
      </c>
      <c r="S191">
        <v>30</v>
      </c>
    </row>
    <row r="192" spans="9:19" x14ac:dyDescent="0.25">
      <c r="I192" t="s">
        <v>762</v>
      </c>
      <c r="J192">
        <v>4</v>
      </c>
      <c r="K192">
        <v>4.5</v>
      </c>
      <c r="L192">
        <v>1.5</v>
      </c>
      <c r="M192">
        <v>8</v>
      </c>
      <c r="N192">
        <f>13.8125</f>
        <v>13.8125</v>
      </c>
      <c r="P192">
        <v>12</v>
      </c>
      <c r="Q192" t="s">
        <v>20</v>
      </c>
      <c r="R192" t="s">
        <v>23</v>
      </c>
      <c r="S192">
        <v>23</v>
      </c>
    </row>
    <row r="193" spans="9:19" x14ac:dyDescent="0.25">
      <c r="I193" t="s">
        <v>762</v>
      </c>
      <c r="J193">
        <v>4</v>
      </c>
      <c r="K193">
        <v>4.5</v>
      </c>
      <c r="L193">
        <v>2</v>
      </c>
      <c r="M193">
        <v>8</v>
      </c>
      <c r="N193">
        <f>13.8125</f>
        <v>13.8125</v>
      </c>
      <c r="P193">
        <v>12</v>
      </c>
      <c r="Q193" t="s">
        <v>20</v>
      </c>
      <c r="R193" t="s">
        <v>24</v>
      </c>
      <c r="S193">
        <v>30</v>
      </c>
    </row>
    <row r="194" spans="9:19" x14ac:dyDescent="0.25">
      <c r="I194" t="s">
        <v>762</v>
      </c>
      <c r="J194">
        <v>4</v>
      </c>
      <c r="K194">
        <v>4.5</v>
      </c>
      <c r="L194">
        <v>2.5</v>
      </c>
      <c r="M194">
        <v>10</v>
      </c>
      <c r="N194">
        <f>16.3125</f>
        <v>16.3125</v>
      </c>
      <c r="P194">
        <v>12</v>
      </c>
      <c r="Q194" t="s">
        <v>137</v>
      </c>
      <c r="R194" t="s">
        <v>23</v>
      </c>
      <c r="S194">
        <v>19</v>
      </c>
    </row>
    <row r="195" spans="9:19" x14ac:dyDescent="0.25">
      <c r="I195" t="s">
        <v>762</v>
      </c>
      <c r="J195">
        <v>4</v>
      </c>
      <c r="K195">
        <v>4.5</v>
      </c>
      <c r="L195">
        <v>3</v>
      </c>
      <c r="M195">
        <v>10</v>
      </c>
      <c r="N195">
        <f>16.3125</f>
        <v>16.3125</v>
      </c>
      <c r="P195">
        <v>12</v>
      </c>
      <c r="Q195" t="s">
        <v>137</v>
      </c>
      <c r="R195" t="s">
        <v>24</v>
      </c>
      <c r="S195">
        <v>28</v>
      </c>
    </row>
    <row r="196" spans="9:19" x14ac:dyDescent="0.25">
      <c r="I196" t="s">
        <v>762</v>
      </c>
      <c r="J196">
        <v>4</v>
      </c>
      <c r="K196">
        <v>4.5</v>
      </c>
      <c r="L196">
        <v>3.5</v>
      </c>
      <c r="M196">
        <v>12</v>
      </c>
      <c r="N196">
        <v>19.625</v>
      </c>
      <c r="P196">
        <v>12</v>
      </c>
      <c r="Q196" t="s">
        <v>139</v>
      </c>
      <c r="R196" t="s">
        <v>23</v>
      </c>
      <c r="S196">
        <v>19</v>
      </c>
    </row>
    <row r="197" spans="9:19" x14ac:dyDescent="0.25">
      <c r="I197" t="s">
        <v>762</v>
      </c>
      <c r="J197">
        <v>4</v>
      </c>
      <c r="K197">
        <v>4.5</v>
      </c>
      <c r="L197">
        <v>4</v>
      </c>
      <c r="M197">
        <v>12</v>
      </c>
      <c r="N197">
        <v>19.625</v>
      </c>
      <c r="P197">
        <v>12</v>
      </c>
      <c r="Q197" t="s">
        <v>139</v>
      </c>
      <c r="R197" t="s">
        <v>24</v>
      </c>
      <c r="S197">
        <v>28</v>
      </c>
    </row>
    <row r="198" spans="9:19" x14ac:dyDescent="0.25">
      <c r="I198" t="s">
        <v>763</v>
      </c>
      <c r="J198">
        <v>5</v>
      </c>
      <c r="K198">
        <v>5.125</v>
      </c>
      <c r="L198">
        <v>0.5</v>
      </c>
      <c r="M198">
        <v>6</v>
      </c>
      <c r="N198">
        <v>11.0625</v>
      </c>
      <c r="P198">
        <v>12</v>
      </c>
      <c r="Q198" t="s">
        <v>140</v>
      </c>
      <c r="R198" t="s">
        <v>23</v>
      </c>
      <c r="S198">
        <v>4</v>
      </c>
    </row>
    <row r="199" spans="9:19" x14ac:dyDescent="0.25">
      <c r="I199" t="s">
        <v>763</v>
      </c>
      <c r="J199">
        <v>5</v>
      </c>
      <c r="K199">
        <v>5.125</v>
      </c>
      <c r="L199">
        <v>0.75</v>
      </c>
      <c r="M199">
        <v>6</v>
      </c>
      <c r="N199">
        <v>11.0625</v>
      </c>
      <c r="P199">
        <v>12</v>
      </c>
      <c r="Q199" t="s">
        <v>140</v>
      </c>
      <c r="R199" t="s">
        <v>24</v>
      </c>
      <c r="S199">
        <v>4</v>
      </c>
    </row>
    <row r="200" spans="9:19" x14ac:dyDescent="0.25">
      <c r="I200" t="s">
        <v>763</v>
      </c>
      <c r="J200">
        <v>5</v>
      </c>
      <c r="K200">
        <v>5.125</v>
      </c>
      <c r="L200">
        <v>1</v>
      </c>
      <c r="M200">
        <v>8</v>
      </c>
      <c r="N200">
        <f>13.8125</f>
        <v>13.8125</v>
      </c>
      <c r="P200">
        <v>12</v>
      </c>
      <c r="Q200" t="s">
        <v>141</v>
      </c>
      <c r="R200" t="s">
        <v>23</v>
      </c>
      <c r="S200">
        <v>4</v>
      </c>
    </row>
    <row r="201" spans="9:19" x14ac:dyDescent="0.25">
      <c r="I201" t="s">
        <v>763</v>
      </c>
      <c r="J201">
        <v>5</v>
      </c>
      <c r="K201">
        <v>5.125</v>
      </c>
      <c r="L201">
        <v>1.5</v>
      </c>
      <c r="M201">
        <v>8</v>
      </c>
      <c r="N201">
        <f>13.8125</f>
        <v>13.8125</v>
      </c>
      <c r="P201">
        <v>12</v>
      </c>
      <c r="Q201" t="s">
        <v>141</v>
      </c>
      <c r="R201" t="s">
        <v>24</v>
      </c>
      <c r="S201">
        <v>4</v>
      </c>
    </row>
    <row r="202" spans="9:19" x14ac:dyDescent="0.25">
      <c r="I202" t="s">
        <v>765</v>
      </c>
      <c r="J202">
        <v>5</v>
      </c>
      <c r="K202">
        <v>5.5629999999999997</v>
      </c>
      <c r="L202">
        <v>0.5</v>
      </c>
      <c r="M202">
        <v>6</v>
      </c>
      <c r="N202">
        <v>11.0625</v>
      </c>
      <c r="P202">
        <v>14</v>
      </c>
      <c r="Q202" t="s">
        <v>132</v>
      </c>
      <c r="R202" t="s">
        <v>23</v>
      </c>
      <c r="S202">
        <v>25</v>
      </c>
    </row>
    <row r="203" spans="9:19" x14ac:dyDescent="0.25">
      <c r="I203" t="s">
        <v>765</v>
      </c>
      <c r="J203">
        <v>5</v>
      </c>
      <c r="K203">
        <v>5.5629999999999997</v>
      </c>
      <c r="L203">
        <v>0.75</v>
      </c>
      <c r="M203">
        <v>8</v>
      </c>
      <c r="N203">
        <f>13.8125</f>
        <v>13.8125</v>
      </c>
      <c r="P203">
        <v>14</v>
      </c>
      <c r="Q203" t="s">
        <v>132</v>
      </c>
      <c r="R203" t="s">
        <v>24</v>
      </c>
      <c r="S203">
        <v>32</v>
      </c>
    </row>
    <row r="204" spans="9:19" x14ac:dyDescent="0.25">
      <c r="I204" t="s">
        <v>765</v>
      </c>
      <c r="J204">
        <v>5</v>
      </c>
      <c r="K204">
        <v>5.5629999999999997</v>
      </c>
      <c r="L204">
        <v>1</v>
      </c>
      <c r="M204">
        <v>8</v>
      </c>
      <c r="N204">
        <f>13.8125</f>
        <v>13.8125</v>
      </c>
      <c r="P204">
        <v>14</v>
      </c>
      <c r="Q204" t="s">
        <v>20</v>
      </c>
      <c r="R204" t="s">
        <v>23</v>
      </c>
      <c r="S204">
        <v>25</v>
      </c>
    </row>
    <row r="205" spans="9:19" x14ac:dyDescent="0.25">
      <c r="I205" t="s">
        <v>765</v>
      </c>
      <c r="J205">
        <v>5</v>
      </c>
      <c r="K205">
        <v>5.5629999999999997</v>
      </c>
      <c r="L205">
        <v>1.5</v>
      </c>
      <c r="M205">
        <v>8</v>
      </c>
      <c r="N205">
        <f>13.8125</f>
        <v>13.8125</v>
      </c>
      <c r="P205">
        <v>14</v>
      </c>
      <c r="Q205" t="s">
        <v>20</v>
      </c>
      <c r="R205" t="s">
        <v>24</v>
      </c>
      <c r="S205">
        <v>32</v>
      </c>
    </row>
    <row r="206" spans="9:19" x14ac:dyDescent="0.25">
      <c r="I206" t="s">
        <v>765</v>
      </c>
      <c r="J206">
        <v>5</v>
      </c>
      <c r="K206">
        <v>5.5629999999999997</v>
      </c>
      <c r="L206">
        <v>2</v>
      </c>
      <c r="M206">
        <v>10</v>
      </c>
      <c r="N206">
        <f>16.3125</f>
        <v>16.3125</v>
      </c>
      <c r="P206">
        <v>14</v>
      </c>
      <c r="Q206" t="s">
        <v>140</v>
      </c>
      <c r="R206" t="s">
        <v>23</v>
      </c>
      <c r="S206">
        <v>4</v>
      </c>
    </row>
    <row r="207" spans="9:19" x14ac:dyDescent="0.25">
      <c r="I207" t="s">
        <v>765</v>
      </c>
      <c r="J207">
        <v>5</v>
      </c>
      <c r="K207">
        <v>5.5629999999999997</v>
      </c>
      <c r="L207">
        <v>2.5</v>
      </c>
      <c r="M207">
        <v>10</v>
      </c>
      <c r="N207">
        <f>16.3125</f>
        <v>16.3125</v>
      </c>
      <c r="P207">
        <v>14</v>
      </c>
      <c r="Q207" t="s">
        <v>140</v>
      </c>
      <c r="R207" t="s">
        <v>24</v>
      </c>
      <c r="S207">
        <v>4</v>
      </c>
    </row>
    <row r="208" spans="9:19" x14ac:dyDescent="0.25">
      <c r="I208" t="s">
        <v>765</v>
      </c>
      <c r="J208">
        <v>5</v>
      </c>
      <c r="K208">
        <v>5.5629999999999997</v>
      </c>
      <c r="L208">
        <v>3</v>
      </c>
      <c r="M208">
        <v>12</v>
      </c>
      <c r="N208">
        <v>19.625</v>
      </c>
      <c r="P208">
        <v>14</v>
      </c>
      <c r="Q208" t="s">
        <v>141</v>
      </c>
      <c r="R208" t="s">
        <v>23</v>
      </c>
      <c r="S208">
        <v>4</v>
      </c>
    </row>
    <row r="209" spans="9:19" x14ac:dyDescent="0.25">
      <c r="I209" t="s">
        <v>765</v>
      </c>
      <c r="J209">
        <v>5</v>
      </c>
      <c r="K209">
        <v>5.5629999999999997</v>
      </c>
      <c r="L209">
        <v>3.5</v>
      </c>
      <c r="M209">
        <v>12</v>
      </c>
      <c r="N209">
        <v>19.625</v>
      </c>
      <c r="P209">
        <v>14</v>
      </c>
      <c r="Q209" t="s">
        <v>141</v>
      </c>
      <c r="R209" t="s">
        <v>24</v>
      </c>
      <c r="S209">
        <v>4</v>
      </c>
    </row>
    <row r="210" spans="9:19" x14ac:dyDescent="0.25">
      <c r="I210" t="s">
        <v>762</v>
      </c>
      <c r="J210">
        <v>5</v>
      </c>
      <c r="K210">
        <v>5.5620000000000003</v>
      </c>
      <c r="L210">
        <v>0.5</v>
      </c>
      <c r="M210">
        <v>6</v>
      </c>
      <c r="N210">
        <v>11.0625</v>
      </c>
      <c r="P210">
        <v>16</v>
      </c>
      <c r="Q210" t="s">
        <v>132</v>
      </c>
      <c r="R210" t="s">
        <v>23</v>
      </c>
      <c r="S210">
        <v>27</v>
      </c>
    </row>
    <row r="211" spans="9:19" x14ac:dyDescent="0.25">
      <c r="I211" t="s">
        <v>762</v>
      </c>
      <c r="J211">
        <v>5</v>
      </c>
      <c r="K211">
        <v>5.5620000000000003</v>
      </c>
      <c r="L211">
        <v>0.75</v>
      </c>
      <c r="M211">
        <v>8</v>
      </c>
      <c r="N211">
        <f>13.8125</f>
        <v>13.8125</v>
      </c>
      <c r="P211">
        <v>16</v>
      </c>
      <c r="Q211" t="s">
        <v>132</v>
      </c>
      <c r="R211" t="s">
        <v>24</v>
      </c>
      <c r="S211">
        <v>35</v>
      </c>
    </row>
    <row r="212" spans="9:19" x14ac:dyDescent="0.25">
      <c r="I212" t="s">
        <v>762</v>
      </c>
      <c r="J212">
        <v>5</v>
      </c>
      <c r="K212">
        <v>5.5620000000000003</v>
      </c>
      <c r="L212">
        <v>1</v>
      </c>
      <c r="M212">
        <v>8</v>
      </c>
      <c r="N212">
        <f>13.8125</f>
        <v>13.8125</v>
      </c>
      <c r="P212">
        <v>16</v>
      </c>
      <c r="Q212" t="s">
        <v>20</v>
      </c>
      <c r="R212" t="s">
        <v>23</v>
      </c>
      <c r="S212">
        <v>27</v>
      </c>
    </row>
    <row r="213" spans="9:19" x14ac:dyDescent="0.25">
      <c r="I213" t="s">
        <v>762</v>
      </c>
      <c r="J213">
        <v>5</v>
      </c>
      <c r="K213">
        <v>5.5620000000000003</v>
      </c>
      <c r="L213">
        <v>1.5</v>
      </c>
      <c r="M213">
        <v>8</v>
      </c>
      <c r="N213">
        <f>13.8125</f>
        <v>13.8125</v>
      </c>
      <c r="P213">
        <v>16</v>
      </c>
      <c r="Q213" t="s">
        <v>20</v>
      </c>
      <c r="R213" t="s">
        <v>24</v>
      </c>
      <c r="S213">
        <v>35</v>
      </c>
    </row>
    <row r="214" spans="9:19" x14ac:dyDescent="0.25">
      <c r="I214" t="s">
        <v>762</v>
      </c>
      <c r="J214">
        <v>5</v>
      </c>
      <c r="K214">
        <v>5.5620000000000003</v>
      </c>
      <c r="L214">
        <v>2</v>
      </c>
      <c r="M214">
        <v>10</v>
      </c>
      <c r="N214">
        <f>16.3125</f>
        <v>16.3125</v>
      </c>
      <c r="P214">
        <v>16</v>
      </c>
      <c r="Q214" t="s">
        <v>140</v>
      </c>
      <c r="R214" t="s">
        <v>23</v>
      </c>
      <c r="S214">
        <v>4</v>
      </c>
    </row>
    <row r="215" spans="9:19" x14ac:dyDescent="0.25">
      <c r="I215" t="s">
        <v>762</v>
      </c>
      <c r="J215">
        <v>5</v>
      </c>
      <c r="K215">
        <v>5.5620000000000003</v>
      </c>
      <c r="L215">
        <v>2.5</v>
      </c>
      <c r="M215">
        <v>10</v>
      </c>
      <c r="N215">
        <f>16.3125</f>
        <v>16.3125</v>
      </c>
      <c r="P215">
        <v>16</v>
      </c>
      <c r="Q215" t="s">
        <v>140</v>
      </c>
      <c r="R215" t="s">
        <v>24</v>
      </c>
      <c r="S215">
        <v>4</v>
      </c>
    </row>
    <row r="216" spans="9:19" x14ac:dyDescent="0.25">
      <c r="I216" t="s">
        <v>762</v>
      </c>
      <c r="J216">
        <v>5</v>
      </c>
      <c r="K216">
        <v>5.5620000000000003</v>
      </c>
      <c r="L216">
        <v>3</v>
      </c>
      <c r="M216">
        <v>12</v>
      </c>
      <c r="N216">
        <v>19.625</v>
      </c>
      <c r="P216">
        <v>16</v>
      </c>
      <c r="Q216" t="s">
        <v>141</v>
      </c>
      <c r="R216" t="s">
        <v>23</v>
      </c>
      <c r="S216">
        <v>4</v>
      </c>
    </row>
    <row r="217" spans="9:19" x14ac:dyDescent="0.25">
      <c r="I217" t="s">
        <v>762</v>
      </c>
      <c r="J217">
        <v>5</v>
      </c>
      <c r="K217">
        <v>5.5620000000000003</v>
      </c>
      <c r="L217">
        <v>3.5</v>
      </c>
      <c r="M217">
        <v>12</v>
      </c>
      <c r="N217">
        <v>19.625</v>
      </c>
      <c r="P217">
        <v>16</v>
      </c>
      <c r="Q217" t="s">
        <v>141</v>
      </c>
      <c r="R217" t="s">
        <v>24</v>
      </c>
      <c r="S217">
        <v>4</v>
      </c>
    </row>
    <row r="218" spans="9:19" x14ac:dyDescent="0.25">
      <c r="I218" t="s">
        <v>763</v>
      </c>
      <c r="J218">
        <v>6</v>
      </c>
      <c r="K218">
        <v>6.125</v>
      </c>
      <c r="L218">
        <v>0.5</v>
      </c>
      <c r="M218">
        <v>8</v>
      </c>
      <c r="N218">
        <f>13.8125</f>
        <v>13.8125</v>
      </c>
      <c r="P218">
        <v>18</v>
      </c>
      <c r="Q218" t="s">
        <v>132</v>
      </c>
      <c r="R218" t="s">
        <v>23</v>
      </c>
      <c r="S218">
        <v>28</v>
      </c>
    </row>
    <row r="219" spans="9:19" x14ac:dyDescent="0.25">
      <c r="I219" t="s">
        <v>763</v>
      </c>
      <c r="J219">
        <v>6</v>
      </c>
      <c r="K219">
        <v>6.125</v>
      </c>
      <c r="L219">
        <v>0.75</v>
      </c>
      <c r="M219">
        <v>8</v>
      </c>
      <c r="N219">
        <f>13.8125</f>
        <v>13.8125</v>
      </c>
      <c r="P219">
        <v>18</v>
      </c>
      <c r="Q219" t="s">
        <v>132</v>
      </c>
      <c r="R219" t="s">
        <v>24</v>
      </c>
      <c r="S219">
        <v>37</v>
      </c>
    </row>
    <row r="220" spans="9:19" x14ac:dyDescent="0.25">
      <c r="I220" t="s">
        <v>763</v>
      </c>
      <c r="J220">
        <v>6</v>
      </c>
      <c r="K220">
        <v>6.125</v>
      </c>
      <c r="L220">
        <v>1</v>
      </c>
      <c r="M220">
        <v>10</v>
      </c>
      <c r="N220">
        <f>16.3125</f>
        <v>16.3125</v>
      </c>
      <c r="P220">
        <v>18</v>
      </c>
      <c r="Q220" t="s">
        <v>20</v>
      </c>
      <c r="R220" t="s">
        <v>23</v>
      </c>
      <c r="S220">
        <v>28</v>
      </c>
    </row>
    <row r="221" spans="9:19" x14ac:dyDescent="0.25">
      <c r="I221" t="s">
        <v>763</v>
      </c>
      <c r="J221">
        <v>6</v>
      </c>
      <c r="K221">
        <v>6.125</v>
      </c>
      <c r="L221">
        <v>1.5</v>
      </c>
      <c r="M221">
        <v>10</v>
      </c>
      <c r="N221">
        <f>16.3125</f>
        <v>16.3125</v>
      </c>
      <c r="P221">
        <v>18</v>
      </c>
      <c r="Q221" t="s">
        <v>20</v>
      </c>
      <c r="R221" t="s">
        <v>24</v>
      </c>
      <c r="S221">
        <v>37</v>
      </c>
    </row>
    <row r="222" spans="9:19" x14ac:dyDescent="0.25">
      <c r="I222" t="s">
        <v>765</v>
      </c>
      <c r="J222">
        <v>6</v>
      </c>
      <c r="K222">
        <v>6.625</v>
      </c>
      <c r="L222">
        <v>0.5</v>
      </c>
      <c r="M222">
        <v>8</v>
      </c>
      <c r="N222">
        <f>13.8125</f>
        <v>13.8125</v>
      </c>
      <c r="P222">
        <v>20</v>
      </c>
      <c r="Q222" t="s">
        <v>132</v>
      </c>
      <c r="R222" t="s">
        <v>23</v>
      </c>
      <c r="S222">
        <v>30</v>
      </c>
    </row>
    <row r="223" spans="9:19" x14ac:dyDescent="0.25">
      <c r="I223" t="s">
        <v>765</v>
      </c>
      <c r="J223">
        <v>6</v>
      </c>
      <c r="K223">
        <v>6.625</v>
      </c>
      <c r="L223">
        <v>0.75</v>
      </c>
      <c r="M223">
        <v>8</v>
      </c>
      <c r="N223">
        <f>13.8125</f>
        <v>13.8125</v>
      </c>
      <c r="P223">
        <v>20</v>
      </c>
      <c r="Q223" t="s">
        <v>132</v>
      </c>
      <c r="R223" t="s">
        <v>24</v>
      </c>
      <c r="S223">
        <v>39</v>
      </c>
    </row>
    <row r="224" spans="9:19" x14ac:dyDescent="0.25">
      <c r="I224" t="s">
        <v>765</v>
      </c>
      <c r="J224">
        <v>6</v>
      </c>
      <c r="K224">
        <v>6.625</v>
      </c>
      <c r="L224">
        <v>1</v>
      </c>
      <c r="M224">
        <v>8</v>
      </c>
      <c r="N224">
        <f>13.8125</f>
        <v>13.8125</v>
      </c>
      <c r="P224">
        <v>20</v>
      </c>
      <c r="Q224" t="s">
        <v>20</v>
      </c>
      <c r="R224" t="s">
        <v>23</v>
      </c>
      <c r="S224">
        <v>30</v>
      </c>
    </row>
    <row r="225" spans="9:19" x14ac:dyDescent="0.25">
      <c r="I225" t="s">
        <v>765</v>
      </c>
      <c r="J225">
        <v>6</v>
      </c>
      <c r="K225">
        <v>6.625</v>
      </c>
      <c r="L225">
        <v>1.5</v>
      </c>
      <c r="M225">
        <v>10</v>
      </c>
      <c r="N225">
        <f>16.3125</f>
        <v>16.3125</v>
      </c>
      <c r="P225">
        <v>20</v>
      </c>
      <c r="Q225" t="s">
        <v>20</v>
      </c>
      <c r="R225" t="s">
        <v>24</v>
      </c>
      <c r="S225">
        <v>39</v>
      </c>
    </row>
    <row r="226" spans="9:19" x14ac:dyDescent="0.25">
      <c r="I226" t="s">
        <v>765</v>
      </c>
      <c r="J226">
        <v>6</v>
      </c>
      <c r="K226">
        <v>6.625</v>
      </c>
      <c r="L226">
        <v>2</v>
      </c>
      <c r="M226">
        <v>10</v>
      </c>
      <c r="N226">
        <f>16.3125</f>
        <v>16.3125</v>
      </c>
      <c r="P226">
        <v>24</v>
      </c>
      <c r="Q226" t="s">
        <v>132</v>
      </c>
      <c r="R226" t="s">
        <v>23</v>
      </c>
      <c r="S226">
        <v>32</v>
      </c>
    </row>
    <row r="227" spans="9:19" x14ac:dyDescent="0.25">
      <c r="I227" t="s">
        <v>765</v>
      </c>
      <c r="J227">
        <v>6</v>
      </c>
      <c r="K227">
        <v>6.625</v>
      </c>
      <c r="L227">
        <v>2.5</v>
      </c>
      <c r="M227">
        <v>12</v>
      </c>
      <c r="N227">
        <v>19.625</v>
      </c>
      <c r="P227">
        <v>24</v>
      </c>
      <c r="Q227" t="s">
        <v>132</v>
      </c>
      <c r="R227" t="s">
        <v>24</v>
      </c>
      <c r="S227">
        <v>42</v>
      </c>
    </row>
    <row r="228" spans="9:19" x14ac:dyDescent="0.25">
      <c r="I228" t="s">
        <v>765</v>
      </c>
      <c r="J228">
        <v>6</v>
      </c>
      <c r="K228">
        <v>6.625</v>
      </c>
      <c r="L228">
        <v>3</v>
      </c>
      <c r="M228">
        <v>12</v>
      </c>
      <c r="N228">
        <v>19.625</v>
      </c>
      <c r="P228">
        <v>24</v>
      </c>
      <c r="Q228" t="s">
        <v>20</v>
      </c>
      <c r="R228" t="s">
        <v>23</v>
      </c>
      <c r="S228">
        <v>32</v>
      </c>
    </row>
    <row r="229" spans="9:19" x14ac:dyDescent="0.25">
      <c r="I229" t="s">
        <v>762</v>
      </c>
      <c r="J229">
        <v>6</v>
      </c>
      <c r="K229">
        <v>6.625</v>
      </c>
      <c r="L229">
        <v>0.5</v>
      </c>
      <c r="M229">
        <v>8</v>
      </c>
      <c r="N229">
        <f>13.8125</f>
        <v>13.8125</v>
      </c>
      <c r="P229">
        <v>24</v>
      </c>
      <c r="Q229" t="s">
        <v>20</v>
      </c>
      <c r="R229" t="s">
        <v>24</v>
      </c>
      <c r="S229">
        <v>42</v>
      </c>
    </row>
    <row r="230" spans="9:19" x14ac:dyDescent="0.25">
      <c r="I230" t="s">
        <v>762</v>
      </c>
      <c r="J230">
        <v>6</v>
      </c>
      <c r="K230">
        <v>6.625</v>
      </c>
      <c r="L230">
        <v>0.75</v>
      </c>
      <c r="M230">
        <v>8</v>
      </c>
      <c r="N230">
        <f>13.8125</f>
        <v>13.8125</v>
      </c>
      <c r="P230">
        <v>30</v>
      </c>
      <c r="Q230" t="s">
        <v>132</v>
      </c>
      <c r="R230" t="s">
        <v>23</v>
      </c>
      <c r="S230">
        <v>33</v>
      </c>
    </row>
    <row r="231" spans="9:19" x14ac:dyDescent="0.25">
      <c r="I231" t="s">
        <v>762</v>
      </c>
      <c r="J231">
        <v>6</v>
      </c>
      <c r="K231">
        <v>6.625</v>
      </c>
      <c r="L231">
        <v>1</v>
      </c>
      <c r="M231">
        <v>8</v>
      </c>
      <c r="N231">
        <f>13.8125</f>
        <v>13.8125</v>
      </c>
      <c r="P231">
        <v>30</v>
      </c>
      <c r="Q231" t="s">
        <v>132</v>
      </c>
      <c r="R231" t="s">
        <v>24</v>
      </c>
      <c r="S231">
        <v>44</v>
      </c>
    </row>
    <row r="232" spans="9:19" x14ac:dyDescent="0.25">
      <c r="I232" t="s">
        <v>762</v>
      </c>
      <c r="J232">
        <v>6</v>
      </c>
      <c r="K232">
        <v>6.625</v>
      </c>
      <c r="L232">
        <v>1.5</v>
      </c>
      <c r="M232">
        <v>10</v>
      </c>
      <c r="N232">
        <f>16.3125</f>
        <v>16.3125</v>
      </c>
      <c r="P232">
        <v>30</v>
      </c>
      <c r="Q232" t="s">
        <v>20</v>
      </c>
      <c r="R232" t="s">
        <v>23</v>
      </c>
      <c r="S232">
        <v>33</v>
      </c>
    </row>
    <row r="233" spans="9:19" x14ac:dyDescent="0.25">
      <c r="I233" t="s">
        <v>762</v>
      </c>
      <c r="J233">
        <v>6</v>
      </c>
      <c r="K233">
        <v>6.625</v>
      </c>
      <c r="L233">
        <v>2</v>
      </c>
      <c r="M233">
        <v>10</v>
      </c>
      <c r="N233">
        <f>16.3125</f>
        <v>16.3125</v>
      </c>
      <c r="P233">
        <v>30</v>
      </c>
      <c r="Q233" t="s">
        <v>20</v>
      </c>
      <c r="R233" t="s">
        <v>24</v>
      </c>
      <c r="S233">
        <v>44</v>
      </c>
    </row>
    <row r="234" spans="9:19" x14ac:dyDescent="0.25">
      <c r="I234" t="s">
        <v>762</v>
      </c>
      <c r="J234">
        <v>6</v>
      </c>
      <c r="K234">
        <v>6.625</v>
      </c>
      <c r="L234">
        <v>2.5</v>
      </c>
      <c r="M234">
        <v>12</v>
      </c>
      <c r="N234">
        <v>19.625</v>
      </c>
    </row>
    <row r="235" spans="9:19" x14ac:dyDescent="0.25">
      <c r="I235" t="s">
        <v>762</v>
      </c>
      <c r="J235">
        <v>6</v>
      </c>
      <c r="K235">
        <v>6.625</v>
      </c>
      <c r="L235">
        <v>3</v>
      </c>
      <c r="M235">
        <v>12</v>
      </c>
      <c r="N235">
        <v>19.625</v>
      </c>
      <c r="P235" t="s">
        <v>748</v>
      </c>
    </row>
    <row r="236" spans="9:19" x14ac:dyDescent="0.25">
      <c r="I236" t="s">
        <v>765</v>
      </c>
      <c r="J236">
        <v>8</v>
      </c>
      <c r="K236">
        <v>8.625</v>
      </c>
      <c r="L236">
        <v>0.5</v>
      </c>
      <c r="M236">
        <v>10</v>
      </c>
      <c r="N236">
        <f>16.3125</f>
        <v>16.3125</v>
      </c>
      <c r="P236">
        <f>Calculations!B11</f>
        <v>2.5</v>
      </c>
      <c r="Q236" t="str">
        <f>Calculations!B9</f>
        <v>CPVC - Schedule 80</v>
      </c>
      <c r="R236" t="str">
        <f>Calculations!B10</f>
        <v>Water</v>
      </c>
      <c r="S236" cm="1">
        <f t="array" ref="S236">_xlfn._xlws.FILTER(Pipe_spacing[Max spacing],(Pipe_spacing[Pipe size]=P236)*(Pipe_spacing[Material]=Q236)*(Pipe_spacing[contents]=R236),"no results")</f>
        <v>4</v>
      </c>
    </row>
    <row r="237" spans="9:19" x14ac:dyDescent="0.25">
      <c r="I237" t="s">
        <v>765</v>
      </c>
      <c r="J237">
        <v>8</v>
      </c>
      <c r="K237">
        <v>8.625</v>
      </c>
      <c r="L237">
        <v>0.75</v>
      </c>
      <c r="M237">
        <v>10</v>
      </c>
      <c r="N237">
        <f>16.3125</f>
        <v>16.3125</v>
      </c>
    </row>
    <row r="238" spans="9:19" x14ac:dyDescent="0.25">
      <c r="I238" t="s">
        <v>765</v>
      </c>
      <c r="J238">
        <v>8</v>
      </c>
      <c r="K238">
        <v>8.625</v>
      </c>
      <c r="L238">
        <v>1</v>
      </c>
      <c r="M238">
        <v>10</v>
      </c>
      <c r="N238">
        <f>16.3125</f>
        <v>16.3125</v>
      </c>
      <c r="P238" t="s">
        <v>749</v>
      </c>
    </row>
    <row r="239" spans="9:19" x14ac:dyDescent="0.25">
      <c r="I239" t="s">
        <v>765</v>
      </c>
      <c r="J239">
        <v>8</v>
      </c>
      <c r="K239">
        <v>8.625</v>
      </c>
      <c r="L239">
        <v>1.5</v>
      </c>
      <c r="M239">
        <v>12</v>
      </c>
      <c r="N239">
        <v>19.625</v>
      </c>
      <c r="P239">
        <f>Calculations!B23</f>
        <v>0</v>
      </c>
      <c r="Q239" t="str">
        <f>Calculations!B21</f>
        <v>None</v>
      </c>
      <c r="R239" t="str">
        <f>Calculations!B22</f>
        <v>None</v>
      </c>
      <c r="S239" t="str" cm="1">
        <f t="array" ref="S239">_xlfn._xlws.FILTER(Pipe_spacing[Max spacing],(Pipe_spacing[Pipe size]=P239)*(Pipe_spacing[Material]=Q239)*(Pipe_spacing[contents]=R239),"no results")</f>
        <v>no results</v>
      </c>
    </row>
    <row r="240" spans="9:19" x14ac:dyDescent="0.25">
      <c r="I240" t="s">
        <v>765</v>
      </c>
      <c r="J240">
        <v>8</v>
      </c>
      <c r="K240">
        <v>8.625</v>
      </c>
      <c r="L240">
        <v>2</v>
      </c>
      <c r="M240">
        <v>12</v>
      </c>
      <c r="N240">
        <v>19.625</v>
      </c>
    </row>
    <row r="241" spans="9:19" x14ac:dyDescent="0.25">
      <c r="I241" t="s">
        <v>762</v>
      </c>
      <c r="J241">
        <v>8</v>
      </c>
      <c r="K241">
        <v>8.625</v>
      </c>
      <c r="L241">
        <v>0.5</v>
      </c>
      <c r="M241">
        <v>10</v>
      </c>
      <c r="N241">
        <f>16.3125</f>
        <v>16.3125</v>
      </c>
      <c r="S241">
        <f>MIN(S236,S239)</f>
        <v>4</v>
      </c>
    </row>
    <row r="242" spans="9:19" x14ac:dyDescent="0.25">
      <c r="I242" t="s">
        <v>762</v>
      </c>
      <c r="J242">
        <v>8</v>
      </c>
      <c r="K242">
        <v>8.625</v>
      </c>
      <c r="L242">
        <v>0.75</v>
      </c>
      <c r="M242">
        <v>10</v>
      </c>
      <c r="N242">
        <f>16.3125</f>
        <v>16.3125</v>
      </c>
    </row>
    <row r="243" spans="9:19" x14ac:dyDescent="0.25">
      <c r="I243" t="s">
        <v>762</v>
      </c>
      <c r="J243">
        <v>8</v>
      </c>
      <c r="K243">
        <v>8.625</v>
      </c>
      <c r="L243">
        <v>1</v>
      </c>
      <c r="M243">
        <v>10</v>
      </c>
      <c r="N243">
        <f>16.3125</f>
        <v>16.3125</v>
      </c>
    </row>
    <row r="244" spans="9:19" x14ac:dyDescent="0.25">
      <c r="I244" t="s">
        <v>762</v>
      </c>
      <c r="J244">
        <v>8</v>
      </c>
      <c r="K244">
        <v>8.625</v>
      </c>
      <c r="L244">
        <v>1.5</v>
      </c>
      <c r="M244">
        <v>12</v>
      </c>
      <c r="N244">
        <v>19.625</v>
      </c>
    </row>
    <row r="245" spans="9:19" x14ac:dyDescent="0.25">
      <c r="I245" t="s">
        <v>762</v>
      </c>
      <c r="J245">
        <v>8</v>
      </c>
      <c r="K245">
        <v>8.625</v>
      </c>
      <c r="L245">
        <v>2</v>
      </c>
      <c r="M245">
        <v>12</v>
      </c>
      <c r="N245">
        <v>19.625</v>
      </c>
    </row>
    <row r="246" spans="9:19" x14ac:dyDescent="0.25">
      <c r="I246" t="s">
        <v>765</v>
      </c>
      <c r="J246">
        <v>10</v>
      </c>
      <c r="K246">
        <v>10.75</v>
      </c>
      <c r="L246">
        <v>0.5</v>
      </c>
      <c r="M246">
        <v>12</v>
      </c>
      <c r="N246">
        <v>19.625</v>
      </c>
    </row>
    <row r="247" spans="9:19" x14ac:dyDescent="0.25">
      <c r="I247" t="s">
        <v>765</v>
      </c>
      <c r="J247">
        <v>10</v>
      </c>
      <c r="K247">
        <v>10.75</v>
      </c>
      <c r="L247">
        <v>0.75</v>
      </c>
      <c r="M247">
        <v>12</v>
      </c>
      <c r="N247">
        <v>19.625</v>
      </c>
    </row>
    <row r="248" spans="9:19" x14ac:dyDescent="0.25">
      <c r="I248" t="s">
        <v>765</v>
      </c>
      <c r="J248">
        <v>10</v>
      </c>
      <c r="K248">
        <v>10.75</v>
      </c>
      <c r="L248">
        <v>1</v>
      </c>
      <c r="M248">
        <v>12</v>
      </c>
      <c r="N248">
        <v>19.625</v>
      </c>
    </row>
    <row r="249" spans="9:19" x14ac:dyDescent="0.25">
      <c r="I249" t="s">
        <v>762</v>
      </c>
      <c r="J249">
        <v>10</v>
      </c>
      <c r="K249">
        <v>10.75</v>
      </c>
      <c r="L249">
        <v>0.5</v>
      </c>
      <c r="M249">
        <v>12</v>
      </c>
      <c r="N249">
        <v>19.625</v>
      </c>
    </row>
    <row r="250" spans="9:19" x14ac:dyDescent="0.25">
      <c r="I250" t="s">
        <v>762</v>
      </c>
      <c r="J250">
        <v>10</v>
      </c>
      <c r="K250">
        <v>10.75</v>
      </c>
      <c r="L250">
        <v>0.75</v>
      </c>
      <c r="M250">
        <v>12</v>
      </c>
      <c r="N250">
        <v>19.625</v>
      </c>
    </row>
    <row r="251" spans="9:19" x14ac:dyDescent="0.25">
      <c r="I251" t="s">
        <v>762</v>
      </c>
      <c r="J251">
        <v>10</v>
      </c>
      <c r="K251">
        <v>10.75</v>
      </c>
      <c r="L251">
        <v>1</v>
      </c>
      <c r="M251">
        <v>12</v>
      </c>
      <c r="N251">
        <v>19.625</v>
      </c>
    </row>
    <row r="254" spans="9:19" x14ac:dyDescent="0.25">
      <c r="J254" t="s">
        <v>773</v>
      </c>
      <c r="K254" t="s">
        <v>169</v>
      </c>
      <c r="L254" t="s">
        <v>774</v>
      </c>
      <c r="M254" t="s">
        <v>775</v>
      </c>
    </row>
    <row r="255" spans="9:19" x14ac:dyDescent="0.25">
      <c r="I255" t="s">
        <v>18</v>
      </c>
      <c r="J255" t="str">
        <f>LEFT(Calculations!B9,FIND("-",Calculations!B9,1)-2)</f>
        <v>CPVC</v>
      </c>
      <c r="K255">
        <f>Calculations!B11</f>
        <v>2.5</v>
      </c>
      <c r="L255">
        <f>Calculations!B12</f>
        <v>3.5</v>
      </c>
      <c r="M255" cm="1">
        <f t="array" ref="M255">_xlfn._xlws.FILTER(Hanger_size[Shield or hanger size],(Hanger_size[Pipe material]=J255)*(Hanger_size[Pipe size]=K255)*(Hanger_size[Insulation thickness]=L255),"no results")</f>
        <v>10</v>
      </c>
    </row>
    <row r="256" spans="9:19" x14ac:dyDescent="0.25">
      <c r="I256" t="s">
        <v>19</v>
      </c>
      <c r="J256" t="e">
        <f>LEFT(Calculations!B21,FIND("-",Calculations!B21,1)-2)</f>
        <v>#VALUE!</v>
      </c>
      <c r="K256">
        <f>Calculations!B23</f>
        <v>0</v>
      </c>
      <c r="L256">
        <f>Calculations!B24</f>
        <v>0</v>
      </c>
      <c r="M256" t="e" cm="1">
        <f t="array" ref="M256">_xlfn._xlws.FILTER(Hanger_size[Shield or hanger size],(Hanger_size[Pipe material]=J256)*(Hanger_size[Pipe size]=K256)*(Hanger_size[Insulation thickness]=L256),"no results")</f>
        <v>#VALUE!</v>
      </c>
    </row>
  </sheetData>
  <phoneticPr fontId="2" type="noConversion"/>
  <pageMargins left="0.7" right="0.7" top="0.75" bottom="0.75" header="0.3" footer="0.3"/>
  <tableParts count="3">
    <tablePart r:id="rId1"/>
    <tablePart r:id="rId2"/>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2718E8-E812-4D7D-8796-6BD78E722C6B}">
  <sheetPr codeName="Sheet7"/>
  <dimension ref="A2:G6"/>
  <sheetViews>
    <sheetView zoomScale="70" zoomScaleNormal="70" workbookViewId="0">
      <selection activeCell="B11" sqref="B11"/>
    </sheetView>
  </sheetViews>
  <sheetFormatPr defaultRowHeight="15" x14ac:dyDescent="0.25"/>
  <cols>
    <col min="1" max="1" width="15.85546875" customWidth="1"/>
    <col min="2" max="2" width="58.5703125" customWidth="1"/>
    <col min="5" max="5" width="63" customWidth="1"/>
    <col min="7" max="7" width="106.42578125" customWidth="1"/>
  </cols>
  <sheetData>
    <row r="2" spans="1:7" ht="282" customHeight="1" x14ac:dyDescent="0.25">
      <c r="A2" t="s">
        <v>131</v>
      </c>
      <c r="E2" t="str">
        <f>IF(Inputs!C16="strut clamp","Pipe_to_strut",Inputs!C4)</f>
        <v>Pipe</v>
      </c>
      <c r="F2" t="s">
        <v>131</v>
      </c>
      <c r="G2" t="e">
        <f>IF(Calculations!#REF!=0,"We recommend frames "&amp;'H-frame item list'!E245&amp;" inches tall x "&amp;'H-frame item list'!F245&amp;" inches wide with "&amp;SUM(2+Calculations!#REF!)&amp;" bases per frame and the duct "&amp;Calculations!B5&amp;" inches off the deck. The bottom cross piece will be "&amp;Calculations!#REF!&amp;" strut for the standard spacing of "&amp;Calculations!#REF!&amp;" feet between frames. Any elbows or branches will likely require an additional frame leading to the total of "&amp;Calculations!#REF!&amp;" frames.","We recommend frames "&amp;'H-frame item list'!E245&amp;" inches tall x "&amp;'H-frame item list'!F245&amp;" inches wide with "&amp;SUM(2+Calculations!#REF!)&amp;" bases per frame and the duct "&amp;Calculations!B5&amp;" inches off the deck. The bottom cross piece will be "&amp;Calculations!#REF!&amp;" strut for the standard spacing of "&amp;Calculations!#REF!&amp;" feet between frames and there will be an extra cross piece of A12 strut at the top. Any elbows or branches will likely require an additional frame leading to the total of "&amp;Calculations!#REF!&amp;" frames.")</f>
        <v>#REF!</v>
      </c>
    </row>
    <row r="3" spans="1:7" ht="259.5" customHeight="1" x14ac:dyDescent="0.25">
      <c r="A3" t="s">
        <v>10</v>
      </c>
      <c r="F3" t="s">
        <v>10</v>
      </c>
      <c r="G3" t="e">
        <f>IF(Inputs!C18="Yes","We recommend frames "&amp;'H-frame item list'!E245&amp;" inches tall x "&amp;'H-frame item list'!F245&amp;" inches wide with "&amp;SUM(2+Calculations!#REF!)&amp;" bases per frame and the pipes "&amp;Calculations!B5&amp;" inches off the deck. The bottom cross piece will be "&amp;Calculations!#REF!&amp;" strut for the standard spacing of "&amp;Calculations!#REF!&amp;" feet between frames. Any elbows or branches will likely require an additional frame leading to the total of "&amp;Calculations!#REF!&amp;" frames. Pipe type 1 will be secured by "&amp;Calculations!B13&amp;", and Pipe type 2 will be secured by "&amp;Calculations!B25&amp;".","We recommend frames "&amp;'H-frame item list'!E245&amp;" inches tall x "&amp;'H-frame item list'!F245&amp;" inches wide with "&amp;SUM(2+Calculations!#REF!)&amp;" bases per frame and the pipes "&amp;Calculations!B5&amp;" inches off the deck. The bottom cross piece will be "&amp;Calculations!#REF!&amp;" strut for the standard spacing of "&amp;Calculations!#REF!&amp;" feet between frames. Any elbows or branches will likely require an additional frame leading to the total of "&amp;Calculations!#REF!&amp;" frames. Pipe type 1 will be secured by "&amp;Calculations!B13&amp;".")</f>
        <v>#REF!</v>
      </c>
    </row>
    <row r="4" spans="1:7" ht="259.5" customHeight="1" x14ac:dyDescent="0.25"/>
    <row r="5" spans="1:7" ht="259.5" customHeight="1" x14ac:dyDescent="0.25">
      <c r="A5" t="s">
        <v>136</v>
      </c>
      <c r="F5" t="s">
        <v>136</v>
      </c>
      <c r="G5" t="e">
        <f>IF(Calculations!#REF!=0,"We recommend frames "&amp;'H-frame item list'!E245&amp;" inches tall x "&amp;'H-frame item list'!F245&amp;" inches wide with "&amp;SUM(2+Calculations!#REF!)&amp;" bases per frame and the utility will be "&amp;Calculations!B5&amp;" inches off the deck. The bottom cross piece will be "&amp;Calculations!#REF!&amp;" strut for the standard spacing of "&amp;Calculations!#REF!&amp;" feet between frames. Any elbows or branches will likely require an additional frame leading to the total of "&amp;Calculations!#REF!&amp;" frames.","We recommend frames "&amp;Calculations!#REF!&amp;" inches tall x "&amp;Calculations!#REF!&amp;" inches wide with "&amp;SUM(2+Calculations!#REF!)&amp;" bases per frame and the utility will be "&amp;Calculations!B5&amp;" inches off the deck. The bottom cross piece will be "&amp;Calculations!#REF!&amp;" strut for the standard spacing of "&amp;Calculations!#REF!&amp;" feet between frames and there will be an extra cross piece of A12 strut at the top. Any elbows or branches will likely require an additional frame leading to the total of "&amp;Calculations!#REF!&amp;" frames.")</f>
        <v>#REF!</v>
      </c>
    </row>
    <row r="6" spans="1:7" ht="259.5" customHeight="1" x14ac:dyDescent="0.25">
      <c r="A6" t="s">
        <v>797</v>
      </c>
      <c r="F6" t="s">
        <v>797</v>
      </c>
      <c r="G6" t="e">
        <f>"We recommend frames "&amp;'H-frame item list'!E245&amp;" inches tall x "&amp;'H-frame item list'!F245&amp;" inches wide with "&amp;SUM(2+Calculations!#REF!)&amp;" bases per frame and the pipes "&amp;Calculations!B5&amp;" inches off the deck. The bottom cross piece will be "&amp;Calculations!#REF!&amp;" strut for the standard spacing of "&amp;Calculations!#REF!&amp;" feet between frames. Any elbows or branches will likely require an additional frame leading to the total of "&amp;Calculations!#REF!&amp;" frames. Pipe type 1 will be secured by "&amp;Calculations!B13&amp;" , and Pipe type 2 will be secured by "&amp;Calculations!B25&amp;"."</f>
        <v>#REF!</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F44353-9BF4-447E-8DE7-547828C574EB}">
  <sheetPr codeName="Sheet8"/>
  <dimension ref="A1:AP44"/>
  <sheetViews>
    <sheetView topLeftCell="A4" zoomScale="83" zoomScaleNormal="83" workbookViewId="0">
      <selection activeCell="B11" sqref="B11"/>
    </sheetView>
  </sheetViews>
  <sheetFormatPr defaultRowHeight="15" x14ac:dyDescent="0.25"/>
  <cols>
    <col min="1" max="1" width="11.85546875" customWidth="1"/>
    <col min="2" max="2" width="18" customWidth="1"/>
    <col min="3" max="4" width="16.7109375" customWidth="1"/>
    <col min="6" max="6" width="12" bestFit="1" customWidth="1"/>
    <col min="7" max="7" width="23.85546875" customWidth="1"/>
    <col min="8" max="8" width="18.28515625" customWidth="1"/>
    <col min="21" max="21" width="5.140625" customWidth="1"/>
  </cols>
  <sheetData>
    <row r="1" spans="1:8" x14ac:dyDescent="0.25">
      <c r="A1" t="s">
        <v>776</v>
      </c>
      <c r="B1" t="s">
        <v>777</v>
      </c>
      <c r="C1" t="s">
        <v>798</v>
      </c>
      <c r="D1" t="s">
        <v>799</v>
      </c>
      <c r="F1" t="s">
        <v>776</v>
      </c>
      <c r="G1" t="s">
        <v>781</v>
      </c>
      <c r="H1" t="s">
        <v>782</v>
      </c>
    </row>
    <row r="2" spans="1:8" x14ac:dyDescent="0.25">
      <c r="A2" t="s">
        <v>176</v>
      </c>
      <c r="B2">
        <v>18</v>
      </c>
      <c r="C2">
        <v>2256</v>
      </c>
      <c r="D2">
        <v>0</v>
      </c>
      <c r="F2" t="s">
        <v>176</v>
      </c>
      <c r="G2">
        <v>18</v>
      </c>
      <c r="H2">
        <v>9481</v>
      </c>
    </row>
    <row r="3" spans="1:8" x14ac:dyDescent="0.25">
      <c r="A3" t="s">
        <v>181</v>
      </c>
      <c r="B3">
        <v>18</v>
      </c>
      <c r="C3">
        <v>6289</v>
      </c>
      <c r="D3">
        <v>0</v>
      </c>
      <c r="F3" t="s">
        <v>176</v>
      </c>
      <c r="G3">
        <v>24</v>
      </c>
      <c r="H3">
        <v>8582</v>
      </c>
    </row>
    <row r="4" spans="1:8" x14ac:dyDescent="0.25">
      <c r="A4" t="s">
        <v>784</v>
      </c>
      <c r="B4">
        <v>18</v>
      </c>
      <c r="C4">
        <v>7111</v>
      </c>
      <c r="D4">
        <v>0</v>
      </c>
      <c r="F4" t="s">
        <v>176</v>
      </c>
      <c r="G4">
        <v>30</v>
      </c>
      <c r="H4">
        <v>7601</v>
      </c>
    </row>
    <row r="5" spans="1:8" x14ac:dyDescent="0.25">
      <c r="A5" t="s">
        <v>176</v>
      </c>
      <c r="B5">
        <v>24</v>
      </c>
      <c r="C5">
        <v>1692</v>
      </c>
      <c r="D5">
        <v>0</v>
      </c>
      <c r="F5" t="s">
        <v>176</v>
      </c>
      <c r="G5">
        <v>36</v>
      </c>
      <c r="H5">
        <v>6595</v>
      </c>
    </row>
    <row r="6" spans="1:8" x14ac:dyDescent="0.25">
      <c r="A6" t="s">
        <v>181</v>
      </c>
      <c r="B6">
        <v>24</v>
      </c>
      <c r="C6">
        <v>4717</v>
      </c>
      <c r="D6">
        <v>0</v>
      </c>
      <c r="F6" t="s">
        <v>176</v>
      </c>
      <c r="G6">
        <v>42</v>
      </c>
      <c r="H6">
        <v>5595</v>
      </c>
    </row>
    <row r="7" spans="1:8" x14ac:dyDescent="0.25">
      <c r="A7" t="s">
        <v>784</v>
      </c>
      <c r="B7">
        <v>24</v>
      </c>
      <c r="C7">
        <v>5333</v>
      </c>
      <c r="D7">
        <v>0</v>
      </c>
      <c r="F7" t="s">
        <v>176</v>
      </c>
      <c r="G7">
        <v>48</v>
      </c>
      <c r="H7">
        <v>4718</v>
      </c>
    </row>
    <row r="8" spans="1:8" x14ac:dyDescent="0.25">
      <c r="A8" t="s">
        <v>176</v>
      </c>
      <c r="B8">
        <v>30</v>
      </c>
      <c r="C8">
        <v>1353</v>
      </c>
      <c r="D8">
        <v>0</v>
      </c>
      <c r="F8" t="s">
        <v>176</v>
      </c>
      <c r="G8">
        <v>54</v>
      </c>
      <c r="H8">
        <v>4090</v>
      </c>
    </row>
    <row r="9" spans="1:8" x14ac:dyDescent="0.25">
      <c r="A9" t="s">
        <v>181</v>
      </c>
      <c r="B9">
        <v>30</v>
      </c>
      <c r="C9">
        <v>3773</v>
      </c>
      <c r="D9">
        <v>0</v>
      </c>
      <c r="F9" t="s">
        <v>176</v>
      </c>
      <c r="G9">
        <v>60</v>
      </c>
      <c r="H9">
        <v>3616</v>
      </c>
    </row>
    <row r="10" spans="1:8" x14ac:dyDescent="0.25">
      <c r="A10" t="s">
        <v>784</v>
      </c>
      <c r="B10">
        <v>30</v>
      </c>
      <c r="C10">
        <v>4267</v>
      </c>
      <c r="D10">
        <v>0</v>
      </c>
      <c r="F10" t="s">
        <v>176</v>
      </c>
      <c r="G10">
        <v>72</v>
      </c>
      <c r="H10">
        <v>2936</v>
      </c>
    </row>
    <row r="11" spans="1:8" x14ac:dyDescent="0.25">
      <c r="A11" t="s">
        <v>176</v>
      </c>
      <c r="B11">
        <v>36</v>
      </c>
      <c r="C11">
        <v>1128</v>
      </c>
      <c r="D11">
        <v>0</v>
      </c>
      <c r="F11" t="s">
        <v>176</v>
      </c>
      <c r="G11">
        <v>84</v>
      </c>
      <c r="H11">
        <v>2461</v>
      </c>
    </row>
    <row r="12" spans="1:8" x14ac:dyDescent="0.25">
      <c r="A12" t="s">
        <v>181</v>
      </c>
      <c r="B12">
        <v>36</v>
      </c>
      <c r="C12">
        <v>3144</v>
      </c>
      <c r="D12">
        <v>0</v>
      </c>
      <c r="F12" t="s">
        <v>176</v>
      </c>
      <c r="G12">
        <v>96</v>
      </c>
      <c r="H12">
        <v>2101</v>
      </c>
    </row>
    <row r="13" spans="1:8" x14ac:dyDescent="0.25">
      <c r="A13" t="s">
        <v>784</v>
      </c>
      <c r="B13">
        <v>36</v>
      </c>
      <c r="C13">
        <v>3556</v>
      </c>
      <c r="D13">
        <v>0</v>
      </c>
      <c r="F13" t="s">
        <v>176</v>
      </c>
      <c r="G13">
        <v>108</v>
      </c>
      <c r="H13">
        <v>1816</v>
      </c>
    </row>
    <row r="14" spans="1:8" x14ac:dyDescent="0.25">
      <c r="A14" t="s">
        <v>176</v>
      </c>
      <c r="B14">
        <v>42</v>
      </c>
      <c r="C14">
        <v>967</v>
      </c>
      <c r="D14">
        <v>0</v>
      </c>
      <c r="F14" t="s">
        <v>176</v>
      </c>
      <c r="G14">
        <v>120</v>
      </c>
      <c r="H14">
        <v>1583</v>
      </c>
    </row>
    <row r="15" spans="1:8" x14ac:dyDescent="0.25">
      <c r="A15" t="s">
        <v>181</v>
      </c>
      <c r="B15">
        <v>42</v>
      </c>
      <c r="C15">
        <v>2695</v>
      </c>
      <c r="D15">
        <v>0</v>
      </c>
    </row>
    <row r="16" spans="1:8" x14ac:dyDescent="0.25">
      <c r="A16" t="s">
        <v>784</v>
      </c>
      <c r="B16">
        <v>42</v>
      </c>
      <c r="C16">
        <v>3048</v>
      </c>
      <c r="D16">
        <v>0</v>
      </c>
    </row>
    <row r="17" spans="1:10" x14ac:dyDescent="0.25">
      <c r="A17" t="s">
        <v>176</v>
      </c>
      <c r="B17">
        <v>48</v>
      </c>
      <c r="C17">
        <v>757</v>
      </c>
      <c r="D17">
        <v>0</v>
      </c>
    </row>
    <row r="18" spans="1:10" x14ac:dyDescent="0.25">
      <c r="A18" t="s">
        <v>181</v>
      </c>
      <c r="B18">
        <v>48</v>
      </c>
      <c r="C18">
        <v>2358</v>
      </c>
      <c r="D18">
        <v>0</v>
      </c>
    </row>
    <row r="19" spans="1:10" x14ac:dyDescent="0.25">
      <c r="A19" t="s">
        <v>784</v>
      </c>
      <c r="B19">
        <v>48</v>
      </c>
      <c r="C19">
        <v>2667</v>
      </c>
      <c r="D19">
        <v>0</v>
      </c>
    </row>
    <row r="20" spans="1:10" x14ac:dyDescent="0.25">
      <c r="A20" t="s">
        <v>176</v>
      </c>
      <c r="B20">
        <v>54</v>
      </c>
      <c r="C20">
        <v>598</v>
      </c>
      <c r="D20">
        <v>0</v>
      </c>
    </row>
    <row r="21" spans="1:10" x14ac:dyDescent="0.25">
      <c r="A21" t="s">
        <v>181</v>
      </c>
      <c r="B21">
        <v>54</v>
      </c>
      <c r="C21">
        <v>2096</v>
      </c>
      <c r="D21">
        <v>0</v>
      </c>
    </row>
    <row r="22" spans="1:10" x14ac:dyDescent="0.25">
      <c r="A22" t="s">
        <v>784</v>
      </c>
      <c r="B22">
        <v>54</v>
      </c>
      <c r="C22">
        <v>2370</v>
      </c>
      <c r="D22">
        <v>0</v>
      </c>
    </row>
    <row r="23" spans="1:10" x14ac:dyDescent="0.25">
      <c r="A23" t="s">
        <v>176</v>
      </c>
      <c r="B23">
        <v>60</v>
      </c>
      <c r="C23">
        <v>485</v>
      </c>
      <c r="D23">
        <v>0</v>
      </c>
    </row>
    <row r="24" spans="1:10" x14ac:dyDescent="0.25">
      <c r="A24" t="s">
        <v>181</v>
      </c>
      <c r="B24">
        <v>60</v>
      </c>
      <c r="C24">
        <v>1887</v>
      </c>
      <c r="D24">
        <v>0</v>
      </c>
    </row>
    <row r="25" spans="1:10" x14ac:dyDescent="0.25">
      <c r="A25" t="s">
        <v>784</v>
      </c>
      <c r="B25">
        <v>60</v>
      </c>
      <c r="C25">
        <v>2133</v>
      </c>
      <c r="D25">
        <v>0</v>
      </c>
    </row>
    <row r="26" spans="1:10" x14ac:dyDescent="0.25">
      <c r="A26" t="s">
        <v>176</v>
      </c>
      <c r="B26">
        <v>72</v>
      </c>
      <c r="C26">
        <v>337</v>
      </c>
      <c r="D26">
        <v>0</v>
      </c>
    </row>
    <row r="27" spans="1:10" x14ac:dyDescent="0.25">
      <c r="A27" t="s">
        <v>181</v>
      </c>
      <c r="B27">
        <v>72</v>
      </c>
      <c r="C27">
        <v>1572</v>
      </c>
      <c r="D27">
        <v>0</v>
      </c>
      <c r="F27" t="s">
        <v>785</v>
      </c>
    </row>
    <row r="28" spans="1:10" x14ac:dyDescent="0.25">
      <c r="A28" t="s">
        <v>784</v>
      </c>
      <c r="B28">
        <v>72</v>
      </c>
      <c r="C28">
        <v>1778</v>
      </c>
      <c r="D28">
        <v>0</v>
      </c>
      <c r="F28" t="s">
        <v>786</v>
      </c>
      <c r="G28" t="s">
        <v>777</v>
      </c>
      <c r="H28" t="s">
        <v>787</v>
      </c>
      <c r="J28" t="s">
        <v>788</v>
      </c>
    </row>
    <row r="29" spans="1:10" x14ac:dyDescent="0.25">
      <c r="A29" t="s">
        <v>176</v>
      </c>
      <c r="B29">
        <v>84</v>
      </c>
      <c r="C29">
        <v>247</v>
      </c>
      <c r="D29">
        <v>0</v>
      </c>
      <c r="F29" t="e">
        <f>IF($E44="no results",
IF($J44="no results",
IF($N44="no results",
IF($R44="no results",V44,R44),
N44),
J44),
E44)</f>
        <v>#REF!</v>
      </c>
      <c r="G29" t="e">
        <f>IF($E44="no results",
IF($J44="no results",
IF($N44="no results",
IF($R44="no results",W44,S44),
O44),
K44),
F44)</f>
        <v>#REF!</v>
      </c>
      <c r="H29" t="e">
        <f>IF($E44="no results",
IF($J44="no results",
IF($N44="no results",
IF($R44="no results",X44,T44),
P44),
L44),
G44)</f>
        <v>#REF!</v>
      </c>
      <c r="J29" t="e">
        <f>ROUNDDOWN(Calculations!B$35/'Strut loadsAltered'!G29,0)</f>
        <v>#REF!</v>
      </c>
    </row>
    <row r="30" spans="1:10" x14ac:dyDescent="0.25">
      <c r="A30" t="s">
        <v>181</v>
      </c>
      <c r="B30">
        <v>84</v>
      </c>
      <c r="C30">
        <v>1210</v>
      </c>
      <c r="D30">
        <v>0</v>
      </c>
    </row>
    <row r="31" spans="1:10" x14ac:dyDescent="0.25">
      <c r="A31" t="s">
        <v>784</v>
      </c>
      <c r="B31">
        <v>84</v>
      </c>
      <c r="C31">
        <v>1461</v>
      </c>
      <c r="D31">
        <v>0</v>
      </c>
      <c r="F31" t="s">
        <v>789</v>
      </c>
      <c r="J31" t="s">
        <v>788</v>
      </c>
    </row>
    <row r="32" spans="1:10" x14ac:dyDescent="0.25">
      <c r="A32" t="s">
        <v>176</v>
      </c>
      <c r="B32">
        <v>96</v>
      </c>
      <c r="C32">
        <v>189</v>
      </c>
      <c r="D32">
        <v>0</v>
      </c>
      <c r="F32" t="e">
        <f>IF($Z44="no results",
IF($AD44="no results",
IF($AH44="no results",
IF($AL44="no results",AP44,AL44),
AH44),
AD44),
Z44)</f>
        <v>#REF!</v>
      </c>
      <c r="G32" t="e">
        <f t="shared" ref="G32:H32" si="0">IF($Z44="no results",
IF($AD44="no results",
IF($AH44="no results",
IF($AL44="no results",AQ44,AM44),
AI44),
AE44),
AA44)</f>
        <v>#REF!</v>
      </c>
      <c r="H32" t="e">
        <f t="shared" si="0"/>
        <v>#REF!</v>
      </c>
      <c r="J32" t="e">
        <f>ROUNDDOWN(Calculations!B$35/'Strut loadsAltered'!G32,0)</f>
        <v>#REF!</v>
      </c>
    </row>
    <row r="33" spans="1:42" x14ac:dyDescent="0.25">
      <c r="A33" t="s">
        <v>181</v>
      </c>
      <c r="B33">
        <v>96</v>
      </c>
      <c r="C33">
        <v>926</v>
      </c>
      <c r="D33">
        <v>0</v>
      </c>
    </row>
    <row r="34" spans="1:42" x14ac:dyDescent="0.25">
      <c r="A34" t="s">
        <v>784</v>
      </c>
      <c r="B34">
        <v>96</v>
      </c>
      <c r="C34">
        <v>1119</v>
      </c>
      <c r="D34">
        <v>0</v>
      </c>
    </row>
    <row r="35" spans="1:42" x14ac:dyDescent="0.25">
      <c r="A35" t="s">
        <v>176</v>
      </c>
      <c r="B35">
        <v>108</v>
      </c>
      <c r="C35">
        <v>150</v>
      </c>
      <c r="D35">
        <v>0</v>
      </c>
    </row>
    <row r="36" spans="1:42" x14ac:dyDescent="0.25">
      <c r="A36" t="s">
        <v>181</v>
      </c>
      <c r="B36">
        <v>108</v>
      </c>
      <c r="C36">
        <v>732</v>
      </c>
      <c r="D36">
        <v>0</v>
      </c>
    </row>
    <row r="37" spans="1:42" x14ac:dyDescent="0.25">
      <c r="A37" t="s">
        <v>784</v>
      </c>
      <c r="B37">
        <v>108</v>
      </c>
      <c r="C37">
        <v>884</v>
      </c>
      <c r="D37">
        <v>0</v>
      </c>
    </row>
    <row r="38" spans="1:42" x14ac:dyDescent="0.25">
      <c r="A38" t="s">
        <v>176</v>
      </c>
      <c r="B38">
        <v>120</v>
      </c>
      <c r="C38">
        <v>121</v>
      </c>
      <c r="D38">
        <v>0</v>
      </c>
    </row>
    <row r="39" spans="1:42" x14ac:dyDescent="0.25">
      <c r="A39" t="s">
        <v>181</v>
      </c>
      <c r="B39">
        <v>120</v>
      </c>
      <c r="C39">
        <v>593</v>
      </c>
      <c r="D39">
        <v>0</v>
      </c>
    </row>
    <row r="40" spans="1:42" x14ac:dyDescent="0.25">
      <c r="A40" t="s">
        <v>784</v>
      </c>
      <c r="B40">
        <v>120</v>
      </c>
      <c r="C40">
        <v>716</v>
      </c>
      <c r="D40">
        <v>0</v>
      </c>
    </row>
    <row r="42" spans="1:42" x14ac:dyDescent="0.25">
      <c r="A42" s="64" t="s">
        <v>791</v>
      </c>
      <c r="B42" s="64"/>
      <c r="C42" s="64"/>
      <c r="D42" s="64"/>
      <c r="E42" s="64"/>
      <c r="F42" s="64"/>
      <c r="G42" s="64"/>
      <c r="H42" s="64"/>
      <c r="I42" s="64"/>
      <c r="J42" s="64"/>
      <c r="K42" s="64"/>
      <c r="L42" s="64"/>
      <c r="M42" s="64"/>
      <c r="N42" s="64"/>
      <c r="O42" s="64"/>
      <c r="P42" s="64"/>
      <c r="Q42" s="64"/>
      <c r="R42" s="64"/>
      <c r="S42" s="64"/>
      <c r="T42" s="64"/>
      <c r="U42" s="12"/>
      <c r="V42" s="64" t="s">
        <v>92</v>
      </c>
      <c r="W42" s="64"/>
      <c r="X42" s="64"/>
      <c r="Y42" s="64"/>
      <c r="Z42" s="64"/>
      <c r="AA42" s="64"/>
      <c r="AB42" s="64"/>
      <c r="AC42" s="64"/>
      <c r="AD42" s="64"/>
      <c r="AE42" s="64"/>
      <c r="AF42" s="64"/>
      <c r="AG42" s="64"/>
      <c r="AH42" s="64"/>
      <c r="AI42" s="64"/>
      <c r="AJ42" s="64"/>
      <c r="AK42" s="64"/>
      <c r="AL42" s="64"/>
      <c r="AM42" s="64"/>
      <c r="AN42" s="64"/>
    </row>
    <row r="43" spans="1:42" x14ac:dyDescent="0.25">
      <c r="E43" t="s">
        <v>792</v>
      </c>
      <c r="J43" t="s">
        <v>796</v>
      </c>
      <c r="N43" t="s">
        <v>793</v>
      </c>
      <c r="R43" t="s">
        <v>794</v>
      </c>
      <c r="V43" t="s">
        <v>795</v>
      </c>
      <c r="Z43" t="s">
        <v>792</v>
      </c>
      <c r="AD43" t="s">
        <v>796</v>
      </c>
      <c r="AH43" t="s">
        <v>793</v>
      </c>
      <c r="AL43" t="s">
        <v>794</v>
      </c>
      <c r="AP43" t="s">
        <v>795</v>
      </c>
    </row>
    <row r="44" spans="1:42" x14ac:dyDescent="0.25">
      <c r="E44" t="e" cm="1">
        <f t="array" ref="E44">_xlfn._xlws.FILTER(Beam_loads10[],(Beam_loads10[Beam span]&gt;Calculations!B35)*(Beam_loads10[Max beam load]&gt;Calculations!#REF!),"no results")</f>
        <v>#REF!</v>
      </c>
      <c r="J44" t="e" cm="1">
        <f t="array" ref="J44">_xlfn._xlws.FILTER(Beam_loads10[],(Beam_loads10[Beam span]&gt;(Calculations!B35/2))*(Beam_loads10[Max beam load]&gt;Calculations!#REF!),"no results")</f>
        <v>#REF!</v>
      </c>
      <c r="N44" t="e" cm="1">
        <f t="array" ref="N44">_xlfn._xlws.FILTER(Beam_loads10[],(Beam_loads10[Beam span]&gt;(Calculations!B35/3))*(Beam_loads10[Max beam load]&gt;Calculations!#REF!),"no results")</f>
        <v>#REF!</v>
      </c>
      <c r="R44" t="e" cm="1">
        <f t="array" ref="R44">_xlfn._xlws.FILTER(Beam_loads10[],(Beam_loads10[Beam span]&gt;(Calculations!B35/4))*(Beam_loads10[Max beam load]&gt;Calculations!#REF!),"no results")</f>
        <v>#REF!</v>
      </c>
      <c r="V44" t="e" cm="1">
        <f t="array" ref="V44">_xlfn._xlws.FILTER(Beam_loads10[],(Beam_loads10[Beam span]&gt;(Calculations!B35/5))*(Beam_loads10[Max beam load]&gt;Calculations!#REF!),"no results")</f>
        <v>#REF!</v>
      </c>
      <c r="Z44" t="e" cm="1">
        <f t="array" ref="Z44">_xlfn._xlws.FILTER(Beam_loads10[],(Beam_loads10[Beam span]&gt;Calculations!#REF!)*(Beam_loads10[Max beam load]&gt;Calculations!#REF!),"no results")</f>
        <v>#REF!</v>
      </c>
      <c r="AD44" t="e" cm="1">
        <f t="array" ref="AD44">_xlfn._xlws.FILTER(Beam_loads10[],(Beam_loads10[Beam span]&gt;(Calculations!#REF!/2))*(Beam_loads10[Max beam load]&gt;Calculations!#REF!),"no results")</f>
        <v>#REF!</v>
      </c>
      <c r="AH44" t="e" cm="1">
        <f t="array" ref="AH44">_xlfn._xlws.FILTER(Beam_loads10[],(Beam_loads10[Beam span]&gt;(Calculations!#REF!/3))*(Beam_loads10[Max beam load]&gt;Calculations!#REF!),"no results")</f>
        <v>#REF!</v>
      </c>
      <c r="AL44" t="e" cm="1">
        <f t="array" ref="AL44">_xlfn._xlws.FILTER(Beam_loads10[],(Beam_loads10[Beam span]&gt;(Calculations!#REF!/4))*(Beam_loads10[Max beam load]&gt;Calculations!#REF!),"no results")</f>
        <v>#REF!</v>
      </c>
      <c r="AP44" t="e" cm="1">
        <f t="array" ref="AP44">_xlfn._xlws.FILTER(Beam_loads10[],(Beam_loads10[Beam span]&gt;(Calculations!#REF!/5))*(Beam_loads10[Max beam load]&gt;Calculations!#REF!),"no results")</f>
        <v>#REF!</v>
      </c>
    </row>
  </sheetData>
  <mergeCells count="2">
    <mergeCell ref="A42:T42"/>
    <mergeCell ref="V42:AN42"/>
  </mergeCells>
  <pageMargins left="0.7" right="0.7" top="0.75" bottom="0.75" header="0.3" footer="0.3"/>
  <pageSetup orientation="portrait" r:id="rId1"/>
  <tableParts count="2">
    <tablePart r:id="rId2"/>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32E448-C2AB-4AD4-B5B7-F319E90F4C23}">
  <sheetPr codeName="Sheet9"/>
  <dimension ref="A1:R44"/>
  <sheetViews>
    <sheetView zoomScale="208" zoomScaleNormal="208" workbookViewId="0">
      <selection activeCell="B11" sqref="B11"/>
    </sheetView>
  </sheetViews>
  <sheetFormatPr defaultRowHeight="15" x14ac:dyDescent="0.25"/>
  <cols>
    <col min="1" max="1" width="14.7109375" customWidth="1"/>
    <col min="2" max="2" width="41.28515625" customWidth="1"/>
    <col min="3" max="3" width="15.28515625" customWidth="1"/>
    <col min="4" max="4" width="16.85546875" customWidth="1"/>
    <col min="5" max="5" width="29.5703125" customWidth="1"/>
    <col min="6" max="6" width="21.85546875" bestFit="1" customWidth="1"/>
    <col min="7" max="7" width="12.42578125" customWidth="1"/>
    <col min="8" max="8" width="12" customWidth="1"/>
    <col min="14" max="14" width="10.42578125" customWidth="1"/>
    <col min="15" max="15" width="11.85546875" customWidth="1"/>
    <col min="17" max="17" width="17.5703125" customWidth="1"/>
    <col min="18" max="18" width="11.85546875" customWidth="1"/>
  </cols>
  <sheetData>
    <row r="1" spans="1:18" x14ac:dyDescent="0.25">
      <c r="A1" t="s">
        <v>111</v>
      </c>
      <c r="B1" t="s">
        <v>112</v>
      </c>
      <c r="C1" t="s">
        <v>123</v>
      </c>
      <c r="D1" t="s">
        <v>697</v>
      </c>
      <c r="E1" t="s">
        <v>698</v>
      </c>
      <c r="F1" t="s">
        <v>699</v>
      </c>
      <c r="G1" t="s">
        <v>700</v>
      </c>
      <c r="H1" t="s">
        <v>701</v>
      </c>
      <c r="I1" t="s">
        <v>702</v>
      </c>
      <c r="J1" t="s">
        <v>703</v>
      </c>
      <c r="N1" t="s">
        <v>704</v>
      </c>
      <c r="O1" t="s">
        <v>705</v>
      </c>
      <c r="Q1" t="s">
        <v>706</v>
      </c>
      <c r="R1" t="s">
        <v>705</v>
      </c>
    </row>
    <row r="2" spans="1:18" x14ac:dyDescent="0.25">
      <c r="A2" s="1" t="s">
        <v>707</v>
      </c>
      <c r="B2" s="1" t="str">
        <f>D2&amp;" inch clevis hanger on 0."&amp;E2&amp;" rod"</f>
        <v xml:space="preserve"> inch clevis hanger on 0. rod</v>
      </c>
      <c r="C2" s="10"/>
      <c r="D2" s="1"/>
      <c r="E2" s="1"/>
      <c r="F2" t="e">
        <f>(1.5*_xlfn.XLOOKUP(Hanger_list[[#This Row],[Rod diameter (3/8 =1, 1/2" =2)]],Rod_costs[Rod size],Rod_costs[Unit price],"no result"))+_xlfn.XLOOKUP(Hanger_list[[#This Row],[Rod diameter (3/8 =1, 1/2" =2)]],Table6[Nut/washer size],Table6[Unit price])</f>
        <v>#VALUE!</v>
      </c>
      <c r="G2" s="7">
        <v>0.7</v>
      </c>
      <c r="H2" s="11">
        <v>10.199999999999999</v>
      </c>
      <c r="I2" s="5" t="e">
        <f>SUM(F2:H2)/(1-Hanger_list[[#This Row],[margin]])</f>
        <v>#VALUE!</v>
      </c>
      <c r="J2" s="36">
        <v>0.75</v>
      </c>
      <c r="N2">
        <v>500</v>
      </c>
      <c r="O2" s="5">
        <v>1.6</v>
      </c>
      <c r="Q2" s="22">
        <v>500</v>
      </c>
      <c r="R2" s="5">
        <v>0.52</v>
      </c>
    </row>
    <row r="3" spans="1:18" x14ac:dyDescent="0.25">
      <c r="A3" s="39" t="s">
        <v>708</v>
      </c>
      <c r="B3" s="39" t="str">
        <f t="shared" ref="B3:B31" si="0">D3&amp;" inch clevis hanger on 0."&amp;E3&amp;" rod"</f>
        <v>3 inch clevis hanger on 0.500 rod</v>
      </c>
      <c r="C3" s="40" t="s">
        <v>134</v>
      </c>
      <c r="D3" s="39">
        <v>3</v>
      </c>
      <c r="E3" s="39">
        <v>500</v>
      </c>
      <c r="F3">
        <f>(1.5*_xlfn.XLOOKUP(Hanger_list[[#This Row],[Rod diameter (3/8 =1, 1/2" =2)]],Rod_costs[Rod size],Rod_costs[Unit price],"no result"))+_xlfn.XLOOKUP(Hanger_list[[#This Row],[Rod diameter (3/8 =1, 1/2" =2)]],Table6[Nut/washer size],Table6[Unit price])</f>
        <v>2.9200000000000004</v>
      </c>
      <c r="G3" s="41">
        <v>4.8</v>
      </c>
      <c r="H3" s="42">
        <f t="shared" ref="H3:H41" si="1">H$2</f>
        <v>10.199999999999999</v>
      </c>
      <c r="I3" s="43">
        <f>SUM(F3:H3)/(1-Hanger_list[[#This Row],[margin]])</f>
        <v>71.680000000000007</v>
      </c>
      <c r="J3" s="44">
        <f>J2</f>
        <v>0.75</v>
      </c>
      <c r="N3">
        <v>625</v>
      </c>
      <c r="O3" s="5">
        <v>2.85</v>
      </c>
      <c r="Q3" s="21">
        <v>625</v>
      </c>
      <c r="R3" s="5">
        <v>1</v>
      </c>
    </row>
    <row r="4" spans="1:18" x14ac:dyDescent="0.25">
      <c r="A4" s="39" t="s">
        <v>709</v>
      </c>
      <c r="B4" s="39" t="str">
        <f t="shared" si="0"/>
        <v>4 inch clevis hanger on 0.625 rod</v>
      </c>
      <c r="C4" s="40" t="s">
        <v>134</v>
      </c>
      <c r="D4" s="39">
        <v>4</v>
      </c>
      <c r="E4" s="39">
        <v>625</v>
      </c>
      <c r="F4">
        <f>(1.5*_xlfn.XLOOKUP(Hanger_list[[#This Row],[Rod diameter (3/8 =1, 1/2" =2)]],Rod_costs[Rod size],Rod_costs[Unit price],"no result"))+_xlfn.XLOOKUP(Hanger_list[[#This Row],[Rod diameter (3/8 =1, 1/2" =2)]],Table6[Nut/washer size],Table6[Unit price])</f>
        <v>5.2750000000000004</v>
      </c>
      <c r="G4" s="41">
        <v>6.23</v>
      </c>
      <c r="H4" s="42">
        <f t="shared" si="1"/>
        <v>10.199999999999999</v>
      </c>
      <c r="I4" s="43">
        <f>SUM(F4:H4)/(1-Hanger_list[[#This Row],[margin]])</f>
        <v>86.82</v>
      </c>
      <c r="J4" s="44">
        <f t="shared" ref="J4:J41" si="2">J3</f>
        <v>0.75</v>
      </c>
      <c r="N4">
        <v>750</v>
      </c>
      <c r="O4" s="5">
        <v>4.17</v>
      </c>
      <c r="Q4" s="22">
        <v>750</v>
      </c>
      <c r="R4" s="5">
        <v>1.53</v>
      </c>
    </row>
    <row r="5" spans="1:18" x14ac:dyDescent="0.25">
      <c r="A5" s="39" t="s">
        <v>710</v>
      </c>
      <c r="B5" s="39" t="str">
        <f t="shared" si="0"/>
        <v>5 inch clevis hanger on 0.625 rod</v>
      </c>
      <c r="C5" s="40" t="s">
        <v>134</v>
      </c>
      <c r="D5" s="39">
        <v>5</v>
      </c>
      <c r="E5" s="39">
        <v>625</v>
      </c>
      <c r="F5">
        <f>(1.5*_xlfn.XLOOKUP(Hanger_list[[#This Row],[Rod diameter (3/8 =1, 1/2" =2)]],Rod_costs[Rod size],Rod_costs[Unit price],"no result"))+_xlfn.XLOOKUP(Hanger_list[[#This Row],[Rod diameter (3/8 =1, 1/2" =2)]],Table6[Nut/washer size],Table6[Unit price])</f>
        <v>5.2750000000000004</v>
      </c>
      <c r="G5" s="41">
        <v>9.74</v>
      </c>
      <c r="H5" s="42">
        <f t="shared" si="1"/>
        <v>10.199999999999999</v>
      </c>
      <c r="I5" s="43">
        <f>SUM(F5:H5)/(1-Hanger_list[[#This Row],[margin]])</f>
        <v>100.86</v>
      </c>
      <c r="J5" s="44">
        <f t="shared" si="2"/>
        <v>0.75</v>
      </c>
      <c r="N5">
        <v>875</v>
      </c>
      <c r="O5" s="5">
        <v>5.77</v>
      </c>
      <c r="Q5" s="21">
        <v>875</v>
      </c>
      <c r="R5" s="5">
        <v>2.77</v>
      </c>
    </row>
    <row r="6" spans="1:18" x14ac:dyDescent="0.25">
      <c r="A6" s="39" t="s">
        <v>711</v>
      </c>
      <c r="B6" s="39" t="str">
        <f t="shared" si="0"/>
        <v>6 inch clevis hanger on 0.750 rod</v>
      </c>
      <c r="C6" s="40" t="s">
        <v>134</v>
      </c>
      <c r="D6" s="39">
        <v>6</v>
      </c>
      <c r="E6" s="39">
        <v>750</v>
      </c>
      <c r="F6">
        <f>(1.5*_xlfn.XLOOKUP(Hanger_list[[#This Row],[Rod diameter (3/8 =1, 1/2" =2)]],Rod_costs[Rod size],Rod_costs[Unit price],"no result"))+_xlfn.XLOOKUP(Hanger_list[[#This Row],[Rod diameter (3/8 =1, 1/2" =2)]],Table6[Nut/washer size],Table6[Unit price])</f>
        <v>7.7850000000000001</v>
      </c>
      <c r="G6" s="41">
        <v>12.48</v>
      </c>
      <c r="H6" s="42">
        <f t="shared" si="1"/>
        <v>10.199999999999999</v>
      </c>
      <c r="I6" s="43">
        <f>SUM(F6:H6)/(1-Hanger_list[[#This Row],[margin]])</f>
        <v>121.86</v>
      </c>
      <c r="J6" s="44">
        <f t="shared" si="2"/>
        <v>0.75</v>
      </c>
    </row>
    <row r="7" spans="1:18" x14ac:dyDescent="0.25">
      <c r="A7" s="39" t="s">
        <v>712</v>
      </c>
      <c r="B7" s="39" t="str">
        <f t="shared" si="0"/>
        <v>8 inch clevis hanger on 0.875 rod</v>
      </c>
      <c r="C7" s="40" t="s">
        <v>134</v>
      </c>
      <c r="D7" s="39">
        <v>8</v>
      </c>
      <c r="E7" s="39">
        <v>875</v>
      </c>
      <c r="F7">
        <f>(1.5*_xlfn.XLOOKUP(Hanger_list[[#This Row],[Rod diameter (3/8 =1, 1/2" =2)]],Rod_costs[Rod size],Rod_costs[Unit price],"no result"))+_xlfn.XLOOKUP(Hanger_list[[#This Row],[Rod diameter (3/8 =1, 1/2" =2)]],Table6[Nut/washer size],Table6[Unit price])</f>
        <v>11.424999999999999</v>
      </c>
      <c r="G7" s="41">
        <v>19.98</v>
      </c>
      <c r="H7" s="42">
        <f t="shared" si="1"/>
        <v>10.199999999999999</v>
      </c>
      <c r="I7" s="43">
        <f>SUM(F7:H7)/(1-Hanger_list[[#This Row],[margin]])</f>
        <v>166.42000000000002</v>
      </c>
      <c r="J7" s="44">
        <f t="shared" si="2"/>
        <v>0.75</v>
      </c>
    </row>
    <row r="8" spans="1:18" x14ac:dyDescent="0.25">
      <c r="A8" s="39" t="s">
        <v>713</v>
      </c>
      <c r="B8" s="39" t="str">
        <f t="shared" si="0"/>
        <v>10 inch clevis hanger on 0.875 rod</v>
      </c>
      <c r="C8" s="40" t="s">
        <v>134</v>
      </c>
      <c r="D8" s="39">
        <v>10</v>
      </c>
      <c r="E8" s="39">
        <v>875</v>
      </c>
      <c r="F8">
        <f>(1.5*_xlfn.XLOOKUP(Hanger_list[[#This Row],[Rod diameter (3/8 =1, 1/2" =2)]],Rod_costs[Rod size],Rod_costs[Unit price],"no result"))+_xlfn.XLOOKUP(Hanger_list[[#This Row],[Rod diameter (3/8 =1, 1/2" =2)]],Table6[Nut/washer size],Table6[Unit price])</f>
        <v>11.424999999999999</v>
      </c>
      <c r="G8" s="41">
        <v>37.31</v>
      </c>
      <c r="H8" s="42">
        <f t="shared" si="1"/>
        <v>10.199999999999999</v>
      </c>
      <c r="I8" s="43">
        <f>SUM(F8:H8)/(1-Hanger_list[[#This Row],[margin]])</f>
        <v>235.74</v>
      </c>
      <c r="J8" s="44">
        <f t="shared" si="2"/>
        <v>0.75</v>
      </c>
    </row>
    <row r="9" spans="1:18" x14ac:dyDescent="0.25">
      <c r="A9" s="39" t="s">
        <v>714</v>
      </c>
      <c r="B9" s="39" t="str">
        <f t="shared" si="0"/>
        <v>12 inch clevis hanger on 0.875 rod</v>
      </c>
      <c r="C9" s="40" t="s">
        <v>134</v>
      </c>
      <c r="D9" s="39">
        <v>12</v>
      </c>
      <c r="E9" s="39">
        <v>875</v>
      </c>
      <c r="F9">
        <f>(1.5*_xlfn.XLOOKUP(Hanger_list[[#This Row],[Rod diameter (3/8 =1, 1/2" =2)]],Rod_costs[Rod size],Rod_costs[Unit price],"no result"))+_xlfn.XLOOKUP(Hanger_list[[#This Row],[Rod diameter (3/8 =1, 1/2" =2)]],Table6[Nut/washer size],Table6[Unit price])</f>
        <v>11.424999999999999</v>
      </c>
      <c r="G9" s="41">
        <v>49.69</v>
      </c>
      <c r="H9" s="42">
        <f t="shared" si="1"/>
        <v>10.199999999999999</v>
      </c>
      <c r="I9" s="43">
        <f>SUM(F9:H9)/(1-Hanger_list[[#This Row],[margin]])</f>
        <v>285.26</v>
      </c>
      <c r="J9" s="44">
        <f t="shared" si="2"/>
        <v>0.75</v>
      </c>
    </row>
    <row r="10" spans="1:18" x14ac:dyDescent="0.25">
      <c r="A10" s="1" t="s">
        <v>715</v>
      </c>
      <c r="B10" s="1" t="str">
        <f t="shared" si="0"/>
        <v xml:space="preserve"> inch clevis hanger on 0. rod</v>
      </c>
      <c r="C10" s="10"/>
      <c r="D10" s="1"/>
      <c r="E10" s="1"/>
      <c r="F10" t="e">
        <f>(1.5*_xlfn.XLOOKUP(Hanger_list[[#This Row],[Rod diameter (3/8 =1, 1/2" =2)]],Rod_costs[Rod size],Rod_costs[Unit price],"no result"))+_xlfn.XLOOKUP(Hanger_list[[#This Row],[Rod diameter (3/8 =1, 1/2" =2)]],Table6[Nut/washer size],Table6[Unit price])</f>
        <v>#VALUE!</v>
      </c>
      <c r="G10" s="7">
        <v>11.666666666666668</v>
      </c>
      <c r="H10" s="11">
        <f t="shared" si="1"/>
        <v>10.199999999999999</v>
      </c>
      <c r="I10" s="5" t="e">
        <f>SUM(F10:H10)/(1-Hanger_list[[#This Row],[margin]])</f>
        <v>#VALUE!</v>
      </c>
      <c r="J10" s="36">
        <f t="shared" si="2"/>
        <v>0.75</v>
      </c>
      <c r="L10" s="39" t="s">
        <v>716</v>
      </c>
    </row>
    <row r="11" spans="1:18" x14ac:dyDescent="0.25">
      <c r="A11" s="1" t="s">
        <v>717</v>
      </c>
      <c r="B11" s="1" t="str">
        <f t="shared" si="0"/>
        <v xml:space="preserve"> inch clevis hanger on 0. rod</v>
      </c>
      <c r="C11" s="10"/>
      <c r="D11" s="1"/>
      <c r="E11" s="1"/>
      <c r="F11" t="e">
        <f>(1.5*_xlfn.XLOOKUP(Hanger_list[[#This Row],[Rod diameter (3/8 =1, 1/2" =2)]],Rod_costs[Rod size],Rod_costs[Unit price],"no result"))+_xlfn.XLOOKUP(Hanger_list[[#This Row],[Rod diameter (3/8 =1, 1/2" =2)]],Table6[Nut/washer size],Table6[Unit price])</f>
        <v>#VALUE!</v>
      </c>
      <c r="G11" s="7">
        <v>13.333333333333334</v>
      </c>
      <c r="H11" s="11">
        <f t="shared" si="1"/>
        <v>10.199999999999999</v>
      </c>
      <c r="I11" s="5" t="e">
        <f>SUM(F11:H11)/(1-Hanger_list[[#This Row],[margin]])</f>
        <v>#VALUE!</v>
      </c>
      <c r="J11" s="36">
        <f t="shared" si="2"/>
        <v>0.75</v>
      </c>
    </row>
    <row r="12" spans="1:18" x14ac:dyDescent="0.25">
      <c r="A12" s="1" t="s">
        <v>718</v>
      </c>
      <c r="B12" t="str">
        <f>D12&amp;" inch roller hanger on 0."&amp;E12&amp;" rod"</f>
        <v xml:space="preserve"> inch roller hanger on 0. rod</v>
      </c>
      <c r="C12" s="12"/>
      <c r="F12" t="e">
        <f>(1.5*_xlfn.XLOOKUP(Hanger_list[[#This Row],[Rod diameter (3/8 =1, 1/2" =2)]],Rod_costs[Rod size],Rod_costs[Unit price],"no result"))+_xlfn.XLOOKUP(Hanger_list[[#This Row],[Rod diameter (3/8 =1, 1/2" =2)]],Table6[Nut/washer size],Table6[Unit price])</f>
        <v>#VALUE!</v>
      </c>
      <c r="G12" s="7">
        <v>1.6666666666666667</v>
      </c>
      <c r="H12" s="11">
        <f t="shared" si="1"/>
        <v>10.199999999999999</v>
      </c>
      <c r="I12" s="5" t="e">
        <f>SUM(F12:H12)/(1-Hanger_list[[#This Row],[margin]])</f>
        <v>#VALUE!</v>
      </c>
      <c r="J12" s="36">
        <f t="shared" si="2"/>
        <v>0.75</v>
      </c>
    </row>
    <row r="13" spans="1:18" x14ac:dyDescent="0.25">
      <c r="A13" s="39" t="s">
        <v>719</v>
      </c>
      <c r="B13" s="39" t="str">
        <f t="shared" ref="B13:B21" si="3">D13&amp;" inch roller hanger on 0."&amp;E13&amp;" rod"</f>
        <v>3 inch roller hanger on 0.500 rod</v>
      </c>
      <c r="C13" s="40" t="s">
        <v>31</v>
      </c>
      <c r="D13" s="39">
        <v>3</v>
      </c>
      <c r="E13" s="39">
        <v>500</v>
      </c>
      <c r="F13">
        <f>(1.5*_xlfn.XLOOKUP(Hanger_list[[#This Row],[Rod diameter (3/8 =1, 1/2" =2)]],Rod_costs[Rod size],Rod_costs[Unit price],"no result"))+_xlfn.XLOOKUP(Hanger_list[[#This Row],[Rod diameter (3/8 =1, 1/2" =2)]],Table6[Nut/washer size],Table6[Unit price])</f>
        <v>2.9200000000000004</v>
      </c>
      <c r="G13" s="41">
        <v>13.71</v>
      </c>
      <c r="H13" s="42">
        <f t="shared" si="1"/>
        <v>10.199999999999999</v>
      </c>
      <c r="I13" s="43">
        <f>SUM(F13:H13)/(1-Hanger_list[[#This Row],[margin]])</f>
        <v>107.32000000000001</v>
      </c>
      <c r="J13" s="44">
        <f>J12</f>
        <v>0.75</v>
      </c>
    </row>
    <row r="14" spans="1:18" x14ac:dyDescent="0.25">
      <c r="A14" s="39" t="s">
        <v>720</v>
      </c>
      <c r="B14" s="39" t="str">
        <f t="shared" si="3"/>
        <v>4 inch roller hanger on 0.625 rod</v>
      </c>
      <c r="C14" s="40" t="s">
        <v>31</v>
      </c>
      <c r="D14" s="39">
        <v>4</v>
      </c>
      <c r="E14" s="39">
        <v>625</v>
      </c>
      <c r="F14">
        <f>(1.5*_xlfn.XLOOKUP(Hanger_list[[#This Row],[Rod diameter (3/8 =1, 1/2" =2)]],Rod_costs[Rod size],Rod_costs[Unit price],"no result"))+_xlfn.XLOOKUP(Hanger_list[[#This Row],[Rod diameter (3/8 =1, 1/2" =2)]],Table6[Nut/washer size],Table6[Unit price])</f>
        <v>5.2750000000000004</v>
      </c>
      <c r="G14" s="41">
        <v>14.93</v>
      </c>
      <c r="H14" s="42">
        <f t="shared" si="1"/>
        <v>10.199999999999999</v>
      </c>
      <c r="I14" s="43">
        <f>SUM(F14:H14)/(1-Hanger_list[[#This Row],[margin]])</f>
        <v>121.61999999999999</v>
      </c>
      <c r="J14" s="44">
        <f t="shared" si="2"/>
        <v>0.75</v>
      </c>
    </row>
    <row r="15" spans="1:18" x14ac:dyDescent="0.25">
      <c r="A15" s="39" t="s">
        <v>721</v>
      </c>
      <c r="B15" s="39" t="str">
        <f t="shared" si="3"/>
        <v>5 inch roller hanger on 0.625 rod</v>
      </c>
      <c r="C15" s="40" t="s">
        <v>31</v>
      </c>
      <c r="D15" s="39">
        <v>5</v>
      </c>
      <c r="E15" s="39">
        <v>625</v>
      </c>
      <c r="F15">
        <f>(1.5*_xlfn.XLOOKUP(Hanger_list[[#This Row],[Rod diameter (3/8 =1, 1/2" =2)]],Rod_costs[Rod size],Rod_costs[Unit price],"no result"))+_xlfn.XLOOKUP(Hanger_list[[#This Row],[Rod diameter (3/8 =1, 1/2" =2)]],Table6[Nut/washer size],Table6[Unit price])</f>
        <v>5.2750000000000004</v>
      </c>
      <c r="G15" s="41">
        <v>20.43</v>
      </c>
      <c r="H15" s="42">
        <f t="shared" si="1"/>
        <v>10.199999999999999</v>
      </c>
      <c r="I15" s="43">
        <f>SUM(F15:H15)/(1-Hanger_list[[#This Row],[margin]])</f>
        <v>143.62</v>
      </c>
      <c r="J15" s="44">
        <f t="shared" si="2"/>
        <v>0.75</v>
      </c>
    </row>
    <row r="16" spans="1:18" x14ac:dyDescent="0.25">
      <c r="A16" s="39" t="s">
        <v>722</v>
      </c>
      <c r="B16" s="39" t="str">
        <f t="shared" si="3"/>
        <v>6 inch roller hanger on 0.750 rod</v>
      </c>
      <c r="C16" s="40" t="s">
        <v>31</v>
      </c>
      <c r="D16" s="39">
        <v>6</v>
      </c>
      <c r="E16" s="39">
        <v>750</v>
      </c>
      <c r="F16">
        <f>(1.5*_xlfn.XLOOKUP(Hanger_list[[#This Row],[Rod diameter (3/8 =1, 1/2" =2)]],Rod_costs[Rod size],Rod_costs[Unit price],"no result"))+_xlfn.XLOOKUP(Hanger_list[[#This Row],[Rod diameter (3/8 =1, 1/2" =2)]],Table6[Nut/washer size],Table6[Unit price])</f>
        <v>7.7850000000000001</v>
      </c>
      <c r="G16" s="41">
        <v>25</v>
      </c>
      <c r="H16" s="42">
        <f t="shared" si="1"/>
        <v>10.199999999999999</v>
      </c>
      <c r="I16" s="43">
        <f>SUM(F16:H16)/(1-Hanger_list[[#This Row],[margin]])</f>
        <v>171.94</v>
      </c>
      <c r="J16" s="44">
        <f t="shared" si="2"/>
        <v>0.75</v>
      </c>
    </row>
    <row r="17" spans="1:10" x14ac:dyDescent="0.25">
      <c r="A17" s="39" t="s">
        <v>723</v>
      </c>
      <c r="B17" s="39" t="str">
        <f t="shared" si="3"/>
        <v>8 inch roller hanger on 0.875 rod</v>
      </c>
      <c r="C17" s="40" t="s">
        <v>31</v>
      </c>
      <c r="D17" s="39">
        <v>8</v>
      </c>
      <c r="E17" s="39">
        <v>875</v>
      </c>
      <c r="F17">
        <f>(1.5*_xlfn.XLOOKUP(Hanger_list[[#This Row],[Rod diameter (3/8 =1, 1/2" =2)]],Rod_costs[Rod size],Rod_costs[Unit price],"no result"))+_xlfn.XLOOKUP(Hanger_list[[#This Row],[Rod diameter (3/8 =1, 1/2" =2)]],Table6[Nut/washer size],Table6[Unit price])</f>
        <v>11.424999999999999</v>
      </c>
      <c r="G17" s="41">
        <v>40.71</v>
      </c>
      <c r="H17" s="42">
        <f t="shared" si="1"/>
        <v>10.199999999999999</v>
      </c>
      <c r="I17" s="43">
        <f>SUM(F17:H17)/(1-Hanger_list[[#This Row],[margin]])</f>
        <v>249.33999999999997</v>
      </c>
      <c r="J17" s="44">
        <f t="shared" si="2"/>
        <v>0.75</v>
      </c>
    </row>
    <row r="18" spans="1:10" x14ac:dyDescent="0.25">
      <c r="A18" s="39" t="s">
        <v>724</v>
      </c>
      <c r="B18" s="39" t="str">
        <f t="shared" si="3"/>
        <v>10 inch roller hanger on 0.875 rod</v>
      </c>
      <c r="C18" s="40" t="s">
        <v>31</v>
      </c>
      <c r="D18" s="39">
        <v>10</v>
      </c>
      <c r="E18" s="39">
        <v>875</v>
      </c>
      <c r="F18">
        <f>(1.5*_xlfn.XLOOKUP(Hanger_list[[#This Row],[Rod diameter (3/8 =1, 1/2" =2)]],Rod_costs[Rod size],Rod_costs[Unit price],"no result"))+_xlfn.XLOOKUP(Hanger_list[[#This Row],[Rod diameter (3/8 =1, 1/2" =2)]],Table6[Nut/washer size],Table6[Unit price])</f>
        <v>11.424999999999999</v>
      </c>
      <c r="G18" s="41">
        <v>55.71</v>
      </c>
      <c r="H18" s="42">
        <f t="shared" si="1"/>
        <v>10.199999999999999</v>
      </c>
      <c r="I18" s="43">
        <f>SUM(F18:H18)/(1-Hanger_list[[#This Row],[margin]])</f>
        <v>309.34000000000003</v>
      </c>
      <c r="J18" s="44">
        <f t="shared" si="2"/>
        <v>0.75</v>
      </c>
    </row>
    <row r="19" spans="1:10" x14ac:dyDescent="0.25">
      <c r="A19" s="39" t="s">
        <v>725</v>
      </c>
      <c r="B19" s="39" t="str">
        <f t="shared" si="3"/>
        <v>12 inch roller hanger on 0.875 rod</v>
      </c>
      <c r="C19" s="40" t="s">
        <v>31</v>
      </c>
      <c r="D19" s="39">
        <v>12</v>
      </c>
      <c r="E19" s="39">
        <v>875</v>
      </c>
      <c r="F19">
        <f>(1.5*_xlfn.XLOOKUP(Hanger_list[[#This Row],[Rod diameter (3/8 =1, 1/2" =2)]],Rod_costs[Rod size],Rod_costs[Unit price],"no result"))+_xlfn.XLOOKUP(Hanger_list[[#This Row],[Rod diameter (3/8 =1, 1/2" =2)]],Table6[Nut/washer size],Table6[Unit price])</f>
        <v>11.424999999999999</v>
      </c>
      <c r="G19" s="41">
        <v>80</v>
      </c>
      <c r="H19" s="42">
        <f t="shared" si="1"/>
        <v>10.199999999999999</v>
      </c>
      <c r="I19" s="43">
        <f>SUM(F19:H19)/(1-Hanger_list[[#This Row],[margin]])</f>
        <v>406.5</v>
      </c>
      <c r="J19" s="44">
        <f t="shared" si="2"/>
        <v>0.75</v>
      </c>
    </row>
    <row r="20" spans="1:10" x14ac:dyDescent="0.25">
      <c r="A20" s="1" t="s">
        <v>726</v>
      </c>
      <c r="B20" t="str">
        <f t="shared" si="3"/>
        <v xml:space="preserve"> inch roller hanger on 0. rod</v>
      </c>
      <c r="C20" s="12"/>
      <c r="F20" t="e">
        <f>(1.5*_xlfn.XLOOKUP(Hanger_list[[#This Row],[Rod diameter (3/8 =1, 1/2" =2)]],Rod_costs[Rod size],Rod_costs[Unit price],"no result"))+_xlfn.XLOOKUP(Hanger_list[[#This Row],[Rod diameter (3/8 =1, 1/2" =2)]],Table6[Nut/washer size],Table6[Unit price])</f>
        <v>#VALUE!</v>
      </c>
      <c r="G20" s="7">
        <v>53.5</v>
      </c>
      <c r="H20" s="11">
        <f t="shared" si="1"/>
        <v>10.199999999999999</v>
      </c>
      <c r="I20" s="5" t="e">
        <f>SUM(F20:H20)/(1-Hanger_list[[#This Row],[margin]])</f>
        <v>#VALUE!</v>
      </c>
      <c r="J20" s="36">
        <f t="shared" si="2"/>
        <v>0.75</v>
      </c>
    </row>
    <row r="21" spans="1:10" x14ac:dyDescent="0.25">
      <c r="A21" s="1" t="s">
        <v>727</v>
      </c>
      <c r="B21" t="str">
        <f t="shared" si="3"/>
        <v xml:space="preserve"> inch roller hanger on 0. rod</v>
      </c>
      <c r="C21" s="12"/>
      <c r="F21" t="e">
        <f>(1.5*_xlfn.XLOOKUP(Hanger_list[[#This Row],[Rod diameter (3/8 =1, 1/2" =2)]],Rod_costs[Rod size],Rod_costs[Unit price],"no result"))+_xlfn.XLOOKUP(Hanger_list[[#This Row],[Rod diameter (3/8 =1, 1/2" =2)]],Table6[Nut/washer size],Table6[Unit price])</f>
        <v>#VALUE!</v>
      </c>
      <c r="G21" s="7">
        <v>81.75</v>
      </c>
      <c r="H21" s="11">
        <f t="shared" si="1"/>
        <v>10.199999999999999</v>
      </c>
      <c r="I21" s="5" t="e">
        <f>SUM(F21:H21)/(1-Hanger_list[[#This Row],[margin]])</f>
        <v>#VALUE!</v>
      </c>
      <c r="J21" s="36">
        <f t="shared" si="2"/>
        <v>0.75</v>
      </c>
    </row>
    <row r="22" spans="1:10" x14ac:dyDescent="0.25">
      <c r="A22" s="1" t="s">
        <v>728</v>
      </c>
      <c r="B22" s="1" t="str">
        <f t="shared" si="0"/>
        <v xml:space="preserve"> inch clevis hanger on 0. rod</v>
      </c>
      <c r="C22" s="10"/>
      <c r="D22" s="1"/>
      <c r="E22" s="1"/>
      <c r="F22" t="e">
        <f>(1.5*_xlfn.XLOOKUP(Hanger_list[[#This Row],[Rod diameter (3/8 =1, 1/2" =2)]],Rod_costs[Rod size],Rod_costs[Unit price],"no result"))+_xlfn.XLOOKUP(Hanger_list[[#This Row],[Rod diameter (3/8 =1, 1/2" =2)]],Table6[Nut/washer size],Table6[Unit price])</f>
        <v>#VALUE!</v>
      </c>
      <c r="G22" s="7">
        <v>0.7</v>
      </c>
      <c r="H22" s="11">
        <f t="shared" si="1"/>
        <v>10.199999999999999</v>
      </c>
      <c r="I22" s="5" t="e">
        <f>SUM(F22:H22)/(1-Hanger_list[[#This Row],[margin]])</f>
        <v>#VALUE!</v>
      </c>
      <c r="J22" s="36">
        <f t="shared" si="2"/>
        <v>0.75</v>
      </c>
    </row>
    <row r="23" spans="1:10" x14ac:dyDescent="0.25">
      <c r="A23" s="1" t="s">
        <v>729</v>
      </c>
      <c r="B23" s="1" t="str">
        <f t="shared" si="0"/>
        <v xml:space="preserve"> inch clevis hanger on 0. rod</v>
      </c>
      <c r="C23" s="10"/>
      <c r="D23" s="1"/>
      <c r="E23" s="1"/>
      <c r="F23" t="e">
        <f>(1.5*_xlfn.XLOOKUP(Hanger_list[[#This Row],[Rod diameter (3/8 =1, 1/2" =2)]],Rod_costs[Rod size],Rod_costs[Unit price],"no result"))+_xlfn.XLOOKUP(Hanger_list[[#This Row],[Rod diameter (3/8 =1, 1/2" =2)]],Table6[Nut/washer size],Table6[Unit price])</f>
        <v>#VALUE!</v>
      </c>
      <c r="G23" s="7">
        <v>4.8</v>
      </c>
      <c r="H23" s="11">
        <f t="shared" si="1"/>
        <v>10.199999999999999</v>
      </c>
      <c r="I23" s="5" t="e">
        <f>SUM(F23:H23)/(1-Hanger_list[[#This Row],[margin]])</f>
        <v>#VALUE!</v>
      </c>
      <c r="J23" s="36">
        <f t="shared" si="2"/>
        <v>0.75</v>
      </c>
    </row>
    <row r="24" spans="1:10" x14ac:dyDescent="0.25">
      <c r="A24" s="1" t="s">
        <v>730</v>
      </c>
      <c r="B24" s="1" t="str">
        <f t="shared" si="0"/>
        <v xml:space="preserve"> inch clevis hanger on 0. rod</v>
      </c>
      <c r="C24" s="10"/>
      <c r="D24" s="1"/>
      <c r="E24" s="1"/>
      <c r="F24" t="e">
        <f>(1.5*_xlfn.XLOOKUP(Hanger_list[[#This Row],[Rod diameter (3/8 =1, 1/2" =2)]],Rod_costs[Rod size],Rod_costs[Unit price],"no result"))+_xlfn.XLOOKUP(Hanger_list[[#This Row],[Rod diameter (3/8 =1, 1/2" =2)]],Table6[Nut/washer size],Table6[Unit price])</f>
        <v>#VALUE!</v>
      </c>
      <c r="G24" s="7">
        <v>6.23</v>
      </c>
      <c r="H24" s="11">
        <f t="shared" si="1"/>
        <v>10.199999999999999</v>
      </c>
      <c r="I24" s="5" t="e">
        <f>SUM(F24:H24)/(1-Hanger_list[[#This Row],[margin]])</f>
        <v>#VALUE!</v>
      </c>
      <c r="J24" s="36">
        <f t="shared" si="2"/>
        <v>0.75</v>
      </c>
    </row>
    <row r="25" spans="1:10" x14ac:dyDescent="0.25">
      <c r="A25" s="1" t="s">
        <v>731</v>
      </c>
      <c r="B25" s="1" t="str">
        <f t="shared" si="0"/>
        <v xml:space="preserve"> inch clevis hanger on 0. rod</v>
      </c>
      <c r="C25" s="10"/>
      <c r="D25" s="1"/>
      <c r="E25" s="1"/>
      <c r="F25" t="e">
        <f>(1.5*_xlfn.XLOOKUP(Hanger_list[[#This Row],[Rod diameter (3/8 =1, 1/2" =2)]],Rod_costs[Rod size],Rod_costs[Unit price],"no result"))+_xlfn.XLOOKUP(Hanger_list[[#This Row],[Rod diameter (3/8 =1, 1/2" =2)]],Table6[Nut/washer size],Table6[Unit price])</f>
        <v>#VALUE!</v>
      </c>
      <c r="G25" s="7">
        <v>9.74</v>
      </c>
      <c r="H25" s="11">
        <f t="shared" si="1"/>
        <v>10.199999999999999</v>
      </c>
      <c r="I25" s="5" t="e">
        <f>SUM(F25:H25)/(1-Hanger_list[[#This Row],[margin]])</f>
        <v>#VALUE!</v>
      </c>
      <c r="J25" s="36">
        <f t="shared" si="2"/>
        <v>0.75</v>
      </c>
    </row>
    <row r="26" spans="1:10" x14ac:dyDescent="0.25">
      <c r="A26" s="1" t="s">
        <v>732</v>
      </c>
      <c r="B26" s="1" t="str">
        <f t="shared" si="0"/>
        <v xml:space="preserve"> inch clevis hanger on 0. rod</v>
      </c>
      <c r="C26" s="10"/>
      <c r="D26" s="1"/>
      <c r="E26" s="1"/>
      <c r="F26" t="e">
        <f>(1.5*_xlfn.XLOOKUP(Hanger_list[[#This Row],[Rod diameter (3/8 =1, 1/2" =2)]],Rod_costs[Rod size],Rod_costs[Unit price],"no result"))+_xlfn.XLOOKUP(Hanger_list[[#This Row],[Rod diameter (3/8 =1, 1/2" =2)]],Table6[Nut/washer size],Table6[Unit price])</f>
        <v>#VALUE!</v>
      </c>
      <c r="G26" s="7">
        <v>12.48</v>
      </c>
      <c r="H26" s="11">
        <f t="shared" si="1"/>
        <v>10.199999999999999</v>
      </c>
      <c r="I26" s="5" t="e">
        <f>SUM(F26:H26)/(1-Hanger_list[[#This Row],[margin]])</f>
        <v>#VALUE!</v>
      </c>
      <c r="J26" s="36">
        <f t="shared" si="2"/>
        <v>0.75</v>
      </c>
    </row>
    <row r="27" spans="1:10" x14ac:dyDescent="0.25">
      <c r="A27" s="1" t="s">
        <v>733</v>
      </c>
      <c r="B27" s="1" t="str">
        <f t="shared" si="0"/>
        <v xml:space="preserve"> inch clevis hanger on 0. rod</v>
      </c>
      <c r="C27" s="10"/>
      <c r="D27" s="1"/>
      <c r="E27" s="1"/>
      <c r="F27" t="e">
        <f>(1.5*_xlfn.XLOOKUP(Hanger_list[[#This Row],[Rod diameter (3/8 =1, 1/2" =2)]],Rod_costs[Rod size],Rod_costs[Unit price],"no result"))+_xlfn.XLOOKUP(Hanger_list[[#This Row],[Rod diameter (3/8 =1, 1/2" =2)]],Table6[Nut/washer size],Table6[Unit price])</f>
        <v>#VALUE!</v>
      </c>
      <c r="G27" s="7">
        <v>19.98</v>
      </c>
      <c r="H27" s="11">
        <f t="shared" si="1"/>
        <v>10.199999999999999</v>
      </c>
      <c r="I27" s="5" t="e">
        <f>SUM(F27:H27)/(1-Hanger_list[[#This Row],[margin]])</f>
        <v>#VALUE!</v>
      </c>
      <c r="J27" s="36">
        <f t="shared" si="2"/>
        <v>0.75</v>
      </c>
    </row>
    <row r="28" spans="1:10" x14ac:dyDescent="0.25">
      <c r="A28" s="1" t="s">
        <v>734</v>
      </c>
      <c r="B28" s="1" t="str">
        <f t="shared" si="0"/>
        <v xml:space="preserve"> inch clevis hanger on 0. rod</v>
      </c>
      <c r="C28" s="10"/>
      <c r="D28" s="1"/>
      <c r="E28" s="1"/>
      <c r="F28" t="e">
        <f>(1.5*_xlfn.XLOOKUP(Hanger_list[[#This Row],[Rod diameter (3/8 =1, 1/2" =2)]],Rod_costs[Rod size],Rod_costs[Unit price],"no result"))+_xlfn.XLOOKUP(Hanger_list[[#This Row],[Rod diameter (3/8 =1, 1/2" =2)]],Table6[Nut/washer size],Table6[Unit price])</f>
        <v>#VALUE!</v>
      </c>
      <c r="G28" s="7">
        <v>37.31</v>
      </c>
      <c r="H28" s="11">
        <f t="shared" si="1"/>
        <v>10.199999999999999</v>
      </c>
      <c r="I28" s="5" t="e">
        <f>SUM(F28:H28)/(1-Hanger_list[[#This Row],[margin]])</f>
        <v>#VALUE!</v>
      </c>
      <c r="J28" s="36">
        <f t="shared" si="2"/>
        <v>0.75</v>
      </c>
    </row>
    <row r="29" spans="1:10" x14ac:dyDescent="0.25">
      <c r="A29" s="1" t="s">
        <v>735</v>
      </c>
      <c r="B29" s="1" t="str">
        <f t="shared" si="0"/>
        <v xml:space="preserve"> inch clevis hanger on 0. rod</v>
      </c>
      <c r="C29" s="10"/>
      <c r="D29" s="1"/>
      <c r="E29" s="1"/>
      <c r="F29" t="e">
        <f>(1.5*_xlfn.XLOOKUP(Hanger_list[[#This Row],[Rod diameter (3/8 =1, 1/2" =2)]],Rod_costs[Rod size],Rod_costs[Unit price],"no result"))+_xlfn.XLOOKUP(Hanger_list[[#This Row],[Rod diameter (3/8 =1, 1/2" =2)]],Table6[Nut/washer size],Table6[Unit price])</f>
        <v>#VALUE!</v>
      </c>
      <c r="G29" s="7">
        <v>49.69</v>
      </c>
      <c r="H29" s="11">
        <f t="shared" si="1"/>
        <v>10.199999999999999</v>
      </c>
      <c r="I29" s="5" t="e">
        <f>SUM(F29:H29)/(1-Hanger_list[[#This Row],[margin]])</f>
        <v>#VALUE!</v>
      </c>
      <c r="J29" s="36">
        <f t="shared" si="2"/>
        <v>0.75</v>
      </c>
    </row>
    <row r="30" spans="1:10" x14ac:dyDescent="0.25">
      <c r="A30" s="1" t="s">
        <v>736</v>
      </c>
      <c r="B30" s="1" t="str">
        <f t="shared" si="0"/>
        <v xml:space="preserve"> inch clevis hanger on 0. rod</v>
      </c>
      <c r="C30" s="10"/>
      <c r="D30" s="1"/>
      <c r="E30" s="1"/>
      <c r="F30" t="e">
        <f>(1.5*_xlfn.XLOOKUP(Hanger_list[[#This Row],[Rod diameter (3/8 =1, 1/2" =2)]],Rod_costs[Rod size],Rod_costs[Unit price],"no result"))+_xlfn.XLOOKUP(Hanger_list[[#This Row],[Rod diameter (3/8 =1, 1/2" =2)]],Table6[Nut/washer size],Table6[Unit price])</f>
        <v>#VALUE!</v>
      </c>
      <c r="G30" s="7">
        <v>11.666666666666668</v>
      </c>
      <c r="H30" s="11">
        <f t="shared" si="1"/>
        <v>10.199999999999999</v>
      </c>
      <c r="I30" s="5" t="e">
        <f>SUM(F30:H30)/(1-Hanger_list[[#This Row],[margin]])</f>
        <v>#VALUE!</v>
      </c>
      <c r="J30" s="36">
        <f t="shared" si="2"/>
        <v>0.75</v>
      </c>
    </row>
    <row r="31" spans="1:10" x14ac:dyDescent="0.25">
      <c r="A31" s="1" t="s">
        <v>737</v>
      </c>
      <c r="B31" s="1" t="str">
        <f t="shared" si="0"/>
        <v xml:space="preserve"> inch clevis hanger on 0. rod</v>
      </c>
      <c r="C31" s="10"/>
      <c r="D31" s="1"/>
      <c r="E31" s="1"/>
      <c r="F31" t="e">
        <f>(1.5*_xlfn.XLOOKUP(Hanger_list[[#This Row],[Rod diameter (3/8 =1, 1/2" =2)]],Rod_costs[Rod size],Rod_costs[Unit price],"no result"))+_xlfn.XLOOKUP(Hanger_list[[#This Row],[Rod diameter (3/8 =1, 1/2" =2)]],Table6[Nut/washer size],Table6[Unit price])</f>
        <v>#VALUE!</v>
      </c>
      <c r="G31" s="7">
        <v>13.333333333333334</v>
      </c>
      <c r="H31" s="11">
        <f t="shared" si="1"/>
        <v>10.199999999999999</v>
      </c>
      <c r="I31" s="5" t="e">
        <f>SUM(F31:H31)/(1-Hanger_list[[#This Row],[margin]])</f>
        <v>#VALUE!</v>
      </c>
      <c r="J31" s="36">
        <f t="shared" si="2"/>
        <v>0.75</v>
      </c>
    </row>
    <row r="32" spans="1:10" x14ac:dyDescent="0.25">
      <c r="A32" s="1" t="s">
        <v>738</v>
      </c>
      <c r="B32" t="str">
        <f>D32&amp;" inch roller hanger on 0."&amp;E32&amp;" rod"</f>
        <v xml:space="preserve"> inch roller hanger on 0. rod</v>
      </c>
      <c r="C32" s="12"/>
      <c r="E32" s="1"/>
      <c r="F32" t="e">
        <f>(1.5*_xlfn.XLOOKUP(Hanger_list[[#This Row],[Rod diameter (3/8 =1, 1/2" =2)]],Rod_costs[Rod size],Rod_costs[Unit price],"no result"))+_xlfn.XLOOKUP(Hanger_list[[#This Row],[Rod diameter (3/8 =1, 1/2" =2)]],Table6[Nut/washer size],Table6[Unit price])</f>
        <v>#VALUE!</v>
      </c>
      <c r="G32" s="7">
        <v>1.6666666666666667</v>
      </c>
      <c r="H32" s="11">
        <f t="shared" si="1"/>
        <v>10.199999999999999</v>
      </c>
      <c r="I32" s="5" t="e">
        <f>SUM(F32:H32)/(1-Hanger_list[[#This Row],[margin]])</f>
        <v>#VALUE!</v>
      </c>
      <c r="J32" s="36">
        <f t="shared" si="2"/>
        <v>0.75</v>
      </c>
    </row>
    <row r="33" spans="1:12" x14ac:dyDescent="0.25">
      <c r="A33" s="1" t="s">
        <v>739</v>
      </c>
      <c r="B33" t="str">
        <f t="shared" ref="B33:B41" si="4">D33&amp;" inch roller hanger on 0."&amp;E33&amp;" rod"</f>
        <v xml:space="preserve"> inch roller hanger on 0. rod</v>
      </c>
      <c r="C33" s="12"/>
      <c r="E33" s="1"/>
      <c r="F33" t="e">
        <f>(1.5*_xlfn.XLOOKUP(Hanger_list[[#This Row],[Rod diameter (3/8 =1, 1/2" =2)]],Rod_costs[Rod size],Rod_costs[Unit price],"no result"))+_xlfn.XLOOKUP(Hanger_list[[#This Row],[Rod diameter (3/8 =1, 1/2" =2)]],Table6[Nut/washer size],Table6[Unit price])</f>
        <v>#VALUE!</v>
      </c>
      <c r="G33" s="7">
        <v>13.71</v>
      </c>
      <c r="H33" s="11">
        <f t="shared" si="1"/>
        <v>10.199999999999999</v>
      </c>
      <c r="I33" s="5" t="e">
        <f>SUM(F33:H33)/(1-Hanger_list[[#This Row],[margin]])</f>
        <v>#VALUE!</v>
      </c>
      <c r="J33" s="36">
        <f t="shared" si="2"/>
        <v>0.75</v>
      </c>
    </row>
    <row r="34" spans="1:12" x14ac:dyDescent="0.25">
      <c r="A34" s="1" t="s">
        <v>740</v>
      </c>
      <c r="B34" t="str">
        <f t="shared" si="4"/>
        <v xml:space="preserve"> inch roller hanger on 0. rod</v>
      </c>
      <c r="C34" s="12"/>
      <c r="E34" s="1"/>
      <c r="F34" t="e">
        <f>(1.5*_xlfn.XLOOKUP(Hanger_list[[#This Row],[Rod diameter (3/8 =1, 1/2" =2)]],Rod_costs[Rod size],Rod_costs[Unit price],"no result"))+_xlfn.XLOOKUP(Hanger_list[[#This Row],[Rod diameter (3/8 =1, 1/2" =2)]],Table6[Nut/washer size],Table6[Unit price])</f>
        <v>#VALUE!</v>
      </c>
      <c r="G34" s="7">
        <v>14.93</v>
      </c>
      <c r="H34" s="11">
        <f t="shared" si="1"/>
        <v>10.199999999999999</v>
      </c>
      <c r="I34" s="5" t="e">
        <f>SUM(F34:H34)/(1-Hanger_list[[#This Row],[margin]])</f>
        <v>#VALUE!</v>
      </c>
      <c r="J34" s="36">
        <f t="shared" si="2"/>
        <v>0.75</v>
      </c>
    </row>
    <row r="35" spans="1:12" x14ac:dyDescent="0.25">
      <c r="A35" s="1" t="s">
        <v>741</v>
      </c>
      <c r="B35" t="str">
        <f t="shared" si="4"/>
        <v xml:space="preserve"> inch roller hanger on 0. rod</v>
      </c>
      <c r="C35" s="12"/>
      <c r="E35" s="1"/>
      <c r="F35" t="e">
        <f>(1.5*_xlfn.XLOOKUP(Hanger_list[[#This Row],[Rod diameter (3/8 =1, 1/2" =2)]],Rod_costs[Rod size],Rod_costs[Unit price],"no result"))+_xlfn.XLOOKUP(Hanger_list[[#This Row],[Rod diameter (3/8 =1, 1/2" =2)]],Table6[Nut/washer size],Table6[Unit price])</f>
        <v>#VALUE!</v>
      </c>
      <c r="G35" s="7">
        <v>20.43</v>
      </c>
      <c r="H35" s="11">
        <f t="shared" si="1"/>
        <v>10.199999999999999</v>
      </c>
      <c r="I35" s="5" t="e">
        <f>SUM(F35:H35)/(1-Hanger_list[[#This Row],[margin]])</f>
        <v>#VALUE!</v>
      </c>
      <c r="J35" s="36">
        <f t="shared" si="2"/>
        <v>0.75</v>
      </c>
    </row>
    <row r="36" spans="1:12" x14ac:dyDescent="0.25">
      <c r="A36" s="1" t="s">
        <v>742</v>
      </c>
      <c r="B36" t="str">
        <f t="shared" si="4"/>
        <v xml:space="preserve"> inch roller hanger on 0. rod</v>
      </c>
      <c r="C36" s="12"/>
      <c r="E36" s="1"/>
      <c r="F36" t="e">
        <f>(1.5*_xlfn.XLOOKUP(Hanger_list[[#This Row],[Rod diameter (3/8 =1, 1/2" =2)]],Rod_costs[Rod size],Rod_costs[Unit price],"no result"))+_xlfn.XLOOKUP(Hanger_list[[#This Row],[Rod diameter (3/8 =1, 1/2" =2)]],Table6[Nut/washer size],Table6[Unit price])</f>
        <v>#VALUE!</v>
      </c>
      <c r="G36" s="7">
        <v>25</v>
      </c>
      <c r="H36" s="11">
        <f t="shared" si="1"/>
        <v>10.199999999999999</v>
      </c>
      <c r="I36" s="5" t="e">
        <f>SUM(F36:H36)/(1-Hanger_list[[#This Row],[margin]])</f>
        <v>#VALUE!</v>
      </c>
      <c r="J36" s="36">
        <f t="shared" si="2"/>
        <v>0.75</v>
      </c>
    </row>
    <row r="37" spans="1:12" x14ac:dyDescent="0.25">
      <c r="A37" s="1" t="s">
        <v>743</v>
      </c>
      <c r="B37" t="str">
        <f t="shared" si="4"/>
        <v xml:space="preserve"> inch roller hanger on 0. rod</v>
      </c>
      <c r="C37" s="12"/>
      <c r="E37" s="1"/>
      <c r="F37" t="e">
        <f>(1.5*_xlfn.XLOOKUP(Hanger_list[[#This Row],[Rod diameter (3/8 =1, 1/2" =2)]],Rod_costs[Rod size],Rod_costs[Unit price],"no result"))+_xlfn.XLOOKUP(Hanger_list[[#This Row],[Rod diameter (3/8 =1, 1/2" =2)]],Table6[Nut/washer size],Table6[Unit price])</f>
        <v>#VALUE!</v>
      </c>
      <c r="G37" s="7">
        <v>40.71</v>
      </c>
      <c r="H37" s="11">
        <f t="shared" si="1"/>
        <v>10.199999999999999</v>
      </c>
      <c r="I37" s="5" t="e">
        <f>SUM(F37:H37)/(1-Hanger_list[[#This Row],[margin]])</f>
        <v>#VALUE!</v>
      </c>
      <c r="J37" s="36">
        <f t="shared" si="2"/>
        <v>0.75</v>
      </c>
    </row>
    <row r="38" spans="1:12" x14ac:dyDescent="0.25">
      <c r="A38" s="1" t="s">
        <v>744</v>
      </c>
      <c r="B38" t="str">
        <f t="shared" si="4"/>
        <v xml:space="preserve"> inch roller hanger on 0. rod</v>
      </c>
      <c r="C38" s="12"/>
      <c r="E38" s="1"/>
      <c r="F38" t="e">
        <f>(1.5*_xlfn.XLOOKUP(Hanger_list[[#This Row],[Rod diameter (3/8 =1, 1/2" =2)]],Rod_costs[Rod size],Rod_costs[Unit price],"no result"))+_xlfn.XLOOKUP(Hanger_list[[#This Row],[Rod diameter (3/8 =1, 1/2" =2)]],Table6[Nut/washer size],Table6[Unit price])</f>
        <v>#VALUE!</v>
      </c>
      <c r="G38" s="7">
        <v>55.71</v>
      </c>
      <c r="H38" s="11">
        <f t="shared" si="1"/>
        <v>10.199999999999999</v>
      </c>
      <c r="I38" s="5" t="e">
        <f>SUM(F38:H38)/(1-Hanger_list[[#This Row],[margin]])</f>
        <v>#VALUE!</v>
      </c>
      <c r="J38" s="36">
        <f t="shared" si="2"/>
        <v>0.75</v>
      </c>
    </row>
    <row r="39" spans="1:12" x14ac:dyDescent="0.25">
      <c r="A39" s="1" t="s">
        <v>745</v>
      </c>
      <c r="B39" t="str">
        <f t="shared" si="4"/>
        <v xml:space="preserve"> inch roller hanger on 0. rod</v>
      </c>
      <c r="C39" s="12"/>
      <c r="E39" s="1"/>
      <c r="F39" t="e">
        <f>(1.5*_xlfn.XLOOKUP(Hanger_list[[#This Row],[Rod diameter (3/8 =1, 1/2" =2)]],Rod_costs[Rod size],Rod_costs[Unit price],"no result"))+_xlfn.XLOOKUP(Hanger_list[[#This Row],[Rod diameter (3/8 =1, 1/2" =2)]],Table6[Nut/washer size],Table6[Unit price])</f>
        <v>#VALUE!</v>
      </c>
      <c r="G39" s="7">
        <v>80</v>
      </c>
      <c r="H39" s="11">
        <f t="shared" si="1"/>
        <v>10.199999999999999</v>
      </c>
      <c r="I39" s="5" t="e">
        <f>SUM(F39:H39)/(1-Hanger_list[[#This Row],[margin]])</f>
        <v>#VALUE!</v>
      </c>
      <c r="J39" s="36">
        <f t="shared" si="2"/>
        <v>0.75</v>
      </c>
    </row>
    <row r="40" spans="1:12" x14ac:dyDescent="0.25">
      <c r="A40" s="1" t="s">
        <v>746</v>
      </c>
      <c r="B40" t="str">
        <f t="shared" si="4"/>
        <v xml:space="preserve"> inch roller hanger on 0. rod</v>
      </c>
      <c r="C40" s="12"/>
      <c r="E40" s="1"/>
      <c r="F40" t="e">
        <f>(1.5*_xlfn.XLOOKUP(Hanger_list[[#This Row],[Rod diameter (3/8 =1, 1/2" =2)]],Rod_costs[Rod size],Rod_costs[Unit price],"no result"))+_xlfn.XLOOKUP(Hanger_list[[#This Row],[Rod diameter (3/8 =1, 1/2" =2)]],Table6[Nut/washer size],Table6[Unit price])</f>
        <v>#VALUE!</v>
      </c>
      <c r="G40" s="7">
        <v>53.5</v>
      </c>
      <c r="H40" s="11">
        <f t="shared" si="1"/>
        <v>10.199999999999999</v>
      </c>
      <c r="I40" s="5" t="e">
        <f>SUM(F40:H40)/(1-Hanger_list[[#This Row],[margin]])</f>
        <v>#VALUE!</v>
      </c>
      <c r="J40" s="36">
        <f t="shared" si="2"/>
        <v>0.75</v>
      </c>
    </row>
    <row r="41" spans="1:12" x14ac:dyDescent="0.25">
      <c r="A41" s="1" t="s">
        <v>747</v>
      </c>
      <c r="B41" t="str">
        <f t="shared" si="4"/>
        <v xml:space="preserve"> inch roller hanger on 0. rod</v>
      </c>
      <c r="C41" s="12"/>
      <c r="E41" s="1"/>
      <c r="F41" t="e">
        <f>(1.5*_xlfn.XLOOKUP(Hanger_list[[#This Row],[Rod diameter (3/8 =1, 1/2" =2)]],Rod_costs[Rod size],Rod_costs[Unit price],"no result"))+_xlfn.XLOOKUP(Hanger_list[[#This Row],[Rod diameter (3/8 =1, 1/2" =2)]],Table6[Nut/washer size],Table6[Unit price])</f>
        <v>#VALUE!</v>
      </c>
      <c r="G41" s="7">
        <v>81.75</v>
      </c>
      <c r="H41" s="11">
        <f t="shared" si="1"/>
        <v>10.199999999999999</v>
      </c>
      <c r="I41" s="5" t="e">
        <f>SUM(F41:H41)/(1-Hanger_list[[#This Row],[margin]])</f>
        <v>#VALUE!</v>
      </c>
      <c r="J41" s="36">
        <f t="shared" si="2"/>
        <v>0.75</v>
      </c>
    </row>
    <row r="43" spans="1:12" x14ac:dyDescent="0.25">
      <c r="A43" t="s">
        <v>748</v>
      </c>
      <c r="L43" t="s">
        <v>749</v>
      </c>
    </row>
    <row r="44" spans="1:12" x14ac:dyDescent="0.25">
      <c r="A44" t="str" cm="1">
        <f t="array" ref="A44">IF(Inputs!C11="","",_xlfn._xlws.FILTER(Hanger_list[],(Hanger_list[Hanger type]=Calculations!B13)*(Hanger_list[Hanger size (in)]=Calculations!B16),""))</f>
        <v/>
      </c>
      <c r="L44" t="str" cm="1">
        <f t="array" ref="L44">IF(Inputs!D11="","",_xlfn._xlws.FILTER(Hanger_list[],(Hanger_list[Hanger type]=Calculations!B25)*(Hanger_list[Hanger size (in)]=Calculations!B28),""))</f>
        <v/>
      </c>
    </row>
  </sheetData>
  <phoneticPr fontId="2" type="noConversion"/>
  <pageMargins left="0.7" right="0.7" top="0.75" bottom="0.75" header="0.3" footer="0.3"/>
  <tableParts count="3">
    <tablePart r:id="rId1"/>
    <tablePart r:id="rId2"/>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E83D5D-4B91-4C3D-9C65-180CFCBD1722}">
  <sheetPr codeName="Sheet10"/>
  <dimension ref="A1:L21"/>
  <sheetViews>
    <sheetView workbookViewId="0">
      <selection activeCell="B11" sqref="B11"/>
    </sheetView>
  </sheetViews>
  <sheetFormatPr defaultColWidth="9.140625" defaultRowHeight="16.5" x14ac:dyDescent="0.3"/>
  <cols>
    <col min="1" max="1" width="5.7109375" style="27" customWidth="1"/>
    <col min="2" max="2" width="12.5703125" style="27" bestFit="1" customWidth="1"/>
    <col min="3" max="3" width="56.5703125" style="27" bestFit="1" customWidth="1"/>
    <col min="4" max="4" width="9.5703125" style="27" bestFit="1" customWidth="1"/>
    <col min="5" max="5" width="11" style="27" customWidth="1"/>
    <col min="6" max="6" width="14.42578125" style="27" bestFit="1" customWidth="1"/>
    <col min="7" max="16384" width="9.140625" style="27"/>
  </cols>
  <sheetData>
    <row r="1" spans="1:12" x14ac:dyDescent="0.3">
      <c r="B1" s="28" t="s">
        <v>107</v>
      </c>
      <c r="C1" s="27" t="str">
        <f>Inputs!B2&amp;" "&amp;Inputs!C2</f>
        <v xml:space="preserve"> </v>
      </c>
    </row>
    <row r="2" spans="1:12" x14ac:dyDescent="0.3">
      <c r="B2" s="28" t="s">
        <v>108</v>
      </c>
    </row>
    <row r="3" spans="1:12" x14ac:dyDescent="0.3">
      <c r="B3" s="28" t="s">
        <v>109</v>
      </c>
      <c r="C3" s="31"/>
    </row>
    <row r="6" spans="1:12" x14ac:dyDescent="0.3">
      <c r="A6" s="27" t="s">
        <v>110</v>
      </c>
      <c r="B6" s="27" t="s">
        <v>111</v>
      </c>
      <c r="C6" s="27" t="s">
        <v>112</v>
      </c>
      <c r="D6" s="27" t="s">
        <v>113</v>
      </c>
      <c r="E6" s="27" t="s">
        <v>114</v>
      </c>
      <c r="F6" s="27" t="s">
        <v>115</v>
      </c>
    </row>
    <row r="7" spans="1:12" x14ac:dyDescent="0.3">
      <c r="A7" s="27">
        <v>1</v>
      </c>
      <c r="B7" s="27" t="e">
        <f>'H-frame item list'!A245</f>
        <v>#REF!</v>
      </c>
      <c r="C7" s="27" t="e">
        <f>IF(B7="","",'H-frame item list'!B245)</f>
        <v>#REF!</v>
      </c>
      <c r="D7" s="29" t="e">
        <f>IF(B7="","",Calculations!#REF!)</f>
        <v>#REF!</v>
      </c>
      <c r="E7" s="30" t="e">
        <f>IF(B7="","",'H-frame item list'!V245)</f>
        <v>#REF!</v>
      </c>
      <c r="F7" s="30" t="e">
        <f>IF(OR(D7=0,D7=""),"",E7*D7)</f>
        <v>#REF!</v>
      </c>
    </row>
    <row r="8" spans="1:12" x14ac:dyDescent="0.3">
      <c r="A8" s="27">
        <v>2</v>
      </c>
      <c r="B8" s="27" t="str">
        <f>IF(Hanger_list!A44="","",Hanger_list!A44)</f>
        <v/>
      </c>
      <c r="C8" s="27" t="str">
        <f>IF(Hanger_list!A44="","",Hanger_list!B44)</f>
        <v/>
      </c>
      <c r="D8" s="32" t="e">
        <f>IF(Calculations!B14=0,"",Calculations!B14*D$7)</f>
        <v>#REF!</v>
      </c>
      <c r="E8" s="30" t="str">
        <f>IF(Hanger_list!I44="","",Hanger_list!I44)</f>
        <v/>
      </c>
      <c r="F8" s="30" t="e">
        <f t="shared" ref="F8:F16" si="0">IF(OR(D8=0,D8=""),"",E8*D8)</f>
        <v>#REF!</v>
      </c>
    </row>
    <row r="9" spans="1:12" x14ac:dyDescent="0.3">
      <c r="A9" s="27">
        <v>3</v>
      </c>
      <c r="B9" s="27" t="str">
        <f>IF(Hanger_list!$L44="","",Hanger_list!L44)</f>
        <v/>
      </c>
      <c r="C9" s="27" t="str">
        <f>IF(Hanger_list!$L44="","",Hanger_list!M44)</f>
        <v/>
      </c>
      <c r="D9" s="32" t="str">
        <f>IF(B9="","",Calculations!B26*D$7)</f>
        <v/>
      </c>
      <c r="E9" s="30" t="str">
        <f>IF(Hanger_list!T44="","",Hanger_list!T44)</f>
        <v/>
      </c>
      <c r="F9" s="30" t="str">
        <f t="shared" si="0"/>
        <v/>
      </c>
    </row>
    <row r="10" spans="1:12" x14ac:dyDescent="0.3">
      <c r="A10" s="27">
        <v>4</v>
      </c>
      <c r="B10" s="33"/>
      <c r="C10" s="33"/>
      <c r="D10" s="34"/>
      <c r="E10" s="35"/>
      <c r="F10" s="35"/>
    </row>
    <row r="11" spans="1:12" x14ac:dyDescent="0.3">
      <c r="A11" s="27">
        <v>5</v>
      </c>
      <c r="B11" s="33"/>
      <c r="C11" s="33"/>
      <c r="D11" s="34"/>
      <c r="E11" s="35"/>
      <c r="F11" s="35"/>
    </row>
    <row r="12" spans="1:12" x14ac:dyDescent="0.3">
      <c r="A12" s="27">
        <v>6</v>
      </c>
      <c r="B12" s="33"/>
      <c r="C12" s="33"/>
      <c r="D12" s="34"/>
      <c r="E12" s="35"/>
      <c r="F12" s="35"/>
    </row>
    <row r="13" spans="1:12" x14ac:dyDescent="0.3">
      <c r="A13" s="27">
        <v>7</v>
      </c>
      <c r="B13" s="33"/>
      <c r="C13" s="33"/>
      <c r="D13" s="34"/>
      <c r="E13" s="35"/>
      <c r="F13" s="35" t="str">
        <f t="shared" si="0"/>
        <v/>
      </c>
      <c r="L13" s="27" t="s">
        <v>104</v>
      </c>
    </row>
    <row r="14" spans="1:12" x14ac:dyDescent="0.3">
      <c r="A14" s="27">
        <v>8</v>
      </c>
      <c r="B14" s="33"/>
      <c r="C14" s="33"/>
      <c r="D14" s="34"/>
      <c r="E14" s="35"/>
      <c r="F14" s="35" t="str">
        <f t="shared" si="0"/>
        <v/>
      </c>
    </row>
    <row r="15" spans="1:12" x14ac:dyDescent="0.3">
      <c r="A15" s="27">
        <v>9</v>
      </c>
      <c r="B15" s="33"/>
      <c r="C15" s="33"/>
      <c r="D15" s="34"/>
      <c r="E15" s="35"/>
      <c r="F15" s="35" t="str">
        <f t="shared" si="0"/>
        <v/>
      </c>
    </row>
    <row r="16" spans="1:12" x14ac:dyDescent="0.3">
      <c r="A16" s="27">
        <v>10</v>
      </c>
      <c r="B16" s="33"/>
      <c r="C16" s="33"/>
      <c r="D16" s="34"/>
      <c r="E16" s="35"/>
      <c r="F16" s="35" t="str">
        <f t="shared" si="0"/>
        <v/>
      </c>
    </row>
    <row r="17" spans="2:6" x14ac:dyDescent="0.3">
      <c r="E17" s="28" t="s">
        <v>116</v>
      </c>
      <c r="F17" s="30" t="e">
        <f>SUM(F7:F11)</f>
        <v>#REF!</v>
      </c>
    </row>
    <row r="19" spans="2:6" x14ac:dyDescent="0.3">
      <c r="B19" s="27" t="s">
        <v>117</v>
      </c>
      <c r="C19" s="27" t="s">
        <v>118</v>
      </c>
      <c r="D19" s="27">
        <f>SUMIF(B7:B16,"H"&amp;"*",D7:D16)</f>
        <v>0</v>
      </c>
    </row>
    <row r="20" spans="2:6" x14ac:dyDescent="0.3">
      <c r="C20" s="27" t="s">
        <v>119</v>
      </c>
    </row>
    <row r="21" spans="2:6" x14ac:dyDescent="0.3">
      <c r="C21" s="27" t="s">
        <v>120</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DF7FCF-8E67-46E0-8219-8549ABA38275}">
  <sheetPr codeName="Sheet11"/>
  <dimension ref="A2:AQ184"/>
  <sheetViews>
    <sheetView workbookViewId="0">
      <selection activeCell="B11" sqref="B11"/>
    </sheetView>
  </sheetViews>
  <sheetFormatPr defaultRowHeight="15" x14ac:dyDescent="0.25"/>
  <cols>
    <col min="12" max="12" width="21.140625" bestFit="1" customWidth="1"/>
    <col min="13" max="14" width="27.28515625" bestFit="1" customWidth="1"/>
    <col min="15" max="15" width="41.5703125" bestFit="1" customWidth="1"/>
    <col min="17" max="18" width="47.28515625" bestFit="1" customWidth="1"/>
    <col min="19" max="19" width="43.85546875" bestFit="1" customWidth="1"/>
    <col min="21" max="21" width="49.42578125" bestFit="1" customWidth="1"/>
    <col min="23" max="23" width="49.42578125" bestFit="1" customWidth="1"/>
    <col min="24" max="24" width="67.140625" bestFit="1" customWidth="1"/>
    <col min="25" max="25" width="7" bestFit="1" customWidth="1"/>
    <col min="26" max="26" width="21.140625" bestFit="1" customWidth="1"/>
    <col min="27" max="27" width="7" bestFit="1" customWidth="1"/>
    <col min="28" max="28" width="27.28515625" bestFit="1" customWidth="1"/>
    <col min="29" max="29" width="8" bestFit="1" customWidth="1"/>
    <col min="30" max="30" width="27.28515625" bestFit="1" customWidth="1"/>
    <col min="31" max="31" width="8" bestFit="1" customWidth="1"/>
    <col min="32" max="32" width="41.5703125" bestFit="1" customWidth="1"/>
    <col min="33" max="33" width="7" bestFit="1" customWidth="1"/>
    <col min="34" max="34" width="47.28515625" bestFit="1" customWidth="1"/>
    <col min="35" max="35" width="8" bestFit="1" customWidth="1"/>
    <col min="36" max="36" width="47.28515625" bestFit="1" customWidth="1"/>
    <col min="37" max="37" width="8" bestFit="1" customWidth="1"/>
    <col min="38" max="38" width="43.85546875" bestFit="1" customWidth="1"/>
    <col min="39" max="39" width="7" bestFit="1" customWidth="1"/>
    <col min="40" max="40" width="49.42578125" bestFit="1" customWidth="1"/>
    <col min="41" max="41" width="8" bestFit="1" customWidth="1"/>
    <col min="42" max="42" width="49.42578125" bestFit="1" customWidth="1"/>
    <col min="43" max="43" width="8" bestFit="1" customWidth="1"/>
  </cols>
  <sheetData>
    <row r="2" spans="1:43" x14ac:dyDescent="0.25">
      <c r="A2" t="s">
        <v>664</v>
      </c>
      <c r="I2" t="s">
        <v>665</v>
      </c>
    </row>
    <row r="3" spans="1:43" x14ac:dyDescent="0.25">
      <c r="B3" t="s">
        <v>666</v>
      </c>
      <c r="D3" t="s">
        <v>667</v>
      </c>
      <c r="F3" t="s">
        <v>668</v>
      </c>
      <c r="H3" t="s">
        <v>669</v>
      </c>
      <c r="J3" t="s">
        <v>670</v>
      </c>
      <c r="L3" t="s">
        <v>671</v>
      </c>
      <c r="M3" t="s">
        <v>672</v>
      </c>
      <c r="N3" t="s">
        <v>673</v>
      </c>
      <c r="O3" t="s">
        <v>674</v>
      </c>
      <c r="Q3" t="s">
        <v>675</v>
      </c>
      <c r="R3" t="s">
        <v>676</v>
      </c>
      <c r="S3" t="s">
        <v>677</v>
      </c>
      <c r="U3" t="s">
        <v>678</v>
      </c>
      <c r="W3" t="s">
        <v>679</v>
      </c>
      <c r="X3" t="s">
        <v>670</v>
      </c>
      <c r="Z3" t="s">
        <v>671</v>
      </c>
      <c r="AB3" t="s">
        <v>672</v>
      </c>
      <c r="AD3" t="s">
        <v>673</v>
      </c>
      <c r="AF3" t="s">
        <v>674</v>
      </c>
      <c r="AH3" t="s">
        <v>675</v>
      </c>
      <c r="AJ3" t="s">
        <v>676</v>
      </c>
      <c r="AL3" t="s">
        <v>677</v>
      </c>
      <c r="AN3" t="s">
        <v>678</v>
      </c>
      <c r="AP3" t="s">
        <v>679</v>
      </c>
    </row>
    <row r="4" spans="1:43" x14ac:dyDescent="0.25">
      <c r="X4" t="s">
        <v>680</v>
      </c>
      <c r="Y4" t="s">
        <v>681</v>
      </c>
      <c r="Z4" t="s">
        <v>680</v>
      </c>
      <c r="AA4" t="s">
        <v>681</v>
      </c>
      <c r="AB4" t="s">
        <v>680</v>
      </c>
      <c r="AC4" t="s">
        <v>681</v>
      </c>
      <c r="AD4" t="s">
        <v>680</v>
      </c>
      <c r="AE4" t="s">
        <v>681</v>
      </c>
      <c r="AF4" t="s">
        <v>680</v>
      </c>
      <c r="AG4" t="s">
        <v>681</v>
      </c>
      <c r="AH4" t="s">
        <v>680</v>
      </c>
      <c r="AI4" t="s">
        <v>681</v>
      </c>
      <c r="AJ4" t="s">
        <v>680</v>
      </c>
      <c r="AK4" t="s">
        <v>681</v>
      </c>
      <c r="AL4" t="s">
        <v>680</v>
      </c>
      <c r="AM4" t="s">
        <v>681</v>
      </c>
      <c r="AN4" t="s">
        <v>680</v>
      </c>
      <c r="AO4" t="s">
        <v>681</v>
      </c>
      <c r="AP4" t="s">
        <v>680</v>
      </c>
      <c r="AQ4" t="s">
        <v>681</v>
      </c>
    </row>
    <row r="5" spans="1:43" x14ac:dyDescent="0.25">
      <c r="A5">
        <v>2420</v>
      </c>
      <c r="B5" t="s">
        <v>682</v>
      </c>
      <c r="C5" t="s">
        <v>683</v>
      </c>
      <c r="D5" t="s">
        <v>684</v>
      </c>
      <c r="F5">
        <v>11</v>
      </c>
      <c r="H5">
        <v>15</v>
      </c>
      <c r="J5">
        <v>22</v>
      </c>
      <c r="L5">
        <v>25.22</v>
      </c>
      <c r="M5">
        <v>35.26</v>
      </c>
      <c r="N5">
        <v>48.52</v>
      </c>
      <c r="O5">
        <v>22</v>
      </c>
      <c r="Q5">
        <v>35.26</v>
      </c>
      <c r="R5">
        <v>48.52</v>
      </c>
      <c r="S5">
        <v>22</v>
      </c>
      <c r="U5">
        <v>35.26</v>
      </c>
      <c r="W5">
        <v>48.52</v>
      </c>
      <c r="X5">
        <v>342</v>
      </c>
      <c r="Y5">
        <v>440</v>
      </c>
      <c r="Z5">
        <v>377.41999999999996</v>
      </c>
      <c r="AA5">
        <v>488.29999999999995</v>
      </c>
      <c r="AB5">
        <v>487.85999999999996</v>
      </c>
      <c r="AC5">
        <v>638.9</v>
      </c>
      <c r="AD5">
        <v>633.72</v>
      </c>
      <c r="AE5">
        <v>837.80000000000007</v>
      </c>
      <c r="AF5">
        <v>342</v>
      </c>
      <c r="AG5">
        <v>440</v>
      </c>
      <c r="AH5">
        <v>487.85999999999996</v>
      </c>
      <c r="AI5">
        <v>638.9</v>
      </c>
      <c r="AJ5">
        <v>633.72</v>
      </c>
      <c r="AK5">
        <v>837.80000000000007</v>
      </c>
      <c r="AL5">
        <v>342</v>
      </c>
      <c r="AM5">
        <v>440</v>
      </c>
      <c r="AN5">
        <v>487.85999999999996</v>
      </c>
      <c r="AO5">
        <v>638.9</v>
      </c>
      <c r="AP5">
        <v>633.72</v>
      </c>
      <c r="AQ5">
        <v>837.80000000000007</v>
      </c>
    </row>
    <row r="6" spans="1:43" x14ac:dyDescent="0.25">
      <c r="A6">
        <v>3620</v>
      </c>
      <c r="B6" t="s">
        <v>685</v>
      </c>
      <c r="C6" t="s">
        <v>683</v>
      </c>
      <c r="D6" t="s">
        <v>684</v>
      </c>
      <c r="F6">
        <v>11</v>
      </c>
      <c r="H6">
        <v>15</v>
      </c>
      <c r="J6">
        <v>25.88</v>
      </c>
      <c r="L6">
        <v>29.1</v>
      </c>
      <c r="M6">
        <v>43.02</v>
      </c>
      <c r="N6">
        <v>60.16</v>
      </c>
      <c r="O6">
        <v>25.88</v>
      </c>
      <c r="Q6">
        <v>43.02</v>
      </c>
      <c r="R6">
        <v>60.16</v>
      </c>
      <c r="S6">
        <v>25.88</v>
      </c>
      <c r="U6">
        <v>43.02</v>
      </c>
      <c r="W6">
        <v>60.16</v>
      </c>
      <c r="X6">
        <v>384.68</v>
      </c>
      <c r="Y6">
        <v>498.2</v>
      </c>
      <c r="Z6">
        <v>420.1</v>
      </c>
      <c r="AA6">
        <v>546.5</v>
      </c>
      <c r="AB6">
        <v>573.22</v>
      </c>
      <c r="AC6">
        <v>755.30000000000007</v>
      </c>
      <c r="AD6">
        <v>761.76</v>
      </c>
      <c r="AE6">
        <v>1012.4</v>
      </c>
      <c r="AF6">
        <v>384.68</v>
      </c>
      <c r="AG6">
        <v>498.2</v>
      </c>
      <c r="AH6">
        <v>573.22</v>
      </c>
      <c r="AI6">
        <v>755.30000000000007</v>
      </c>
      <c r="AJ6">
        <v>761.76</v>
      </c>
      <c r="AK6">
        <v>1012.4</v>
      </c>
      <c r="AL6">
        <v>384.68</v>
      </c>
      <c r="AM6">
        <v>498.2</v>
      </c>
      <c r="AN6">
        <v>573.22</v>
      </c>
      <c r="AO6">
        <v>755.30000000000007</v>
      </c>
      <c r="AP6">
        <v>761.76</v>
      </c>
      <c r="AQ6">
        <v>1012.4</v>
      </c>
    </row>
    <row r="7" spans="1:43" x14ac:dyDescent="0.25">
      <c r="A7">
        <v>4820</v>
      </c>
      <c r="B7" t="s">
        <v>686</v>
      </c>
      <c r="C7" t="s">
        <v>683</v>
      </c>
      <c r="D7" t="s">
        <v>684</v>
      </c>
      <c r="F7">
        <v>11</v>
      </c>
      <c r="H7">
        <v>15</v>
      </c>
      <c r="J7">
        <v>29.76</v>
      </c>
      <c r="L7">
        <v>32.979999999999997</v>
      </c>
      <c r="M7">
        <v>50.78</v>
      </c>
      <c r="N7">
        <v>71.8</v>
      </c>
      <c r="O7">
        <v>29.76</v>
      </c>
      <c r="Q7">
        <v>50.78</v>
      </c>
      <c r="R7">
        <v>71.8</v>
      </c>
      <c r="S7">
        <v>18.760000000000002</v>
      </c>
      <c r="U7">
        <v>50.78</v>
      </c>
      <c r="W7">
        <v>71.8</v>
      </c>
      <c r="X7">
        <v>427.36</v>
      </c>
      <c r="Y7">
        <v>556.40000000000009</v>
      </c>
      <c r="Z7">
        <v>462.78</v>
      </c>
      <c r="AA7">
        <v>604.69999999999993</v>
      </c>
      <c r="AB7">
        <v>658.58</v>
      </c>
      <c r="AC7">
        <v>871.7</v>
      </c>
      <c r="AD7">
        <v>889.8</v>
      </c>
      <c r="AE7">
        <v>1187</v>
      </c>
      <c r="AF7">
        <v>427.36</v>
      </c>
      <c r="AG7">
        <v>556.40000000000009</v>
      </c>
      <c r="AH7">
        <v>658.58</v>
      </c>
      <c r="AI7">
        <v>871.7</v>
      </c>
      <c r="AJ7">
        <v>889.8</v>
      </c>
      <c r="AK7">
        <v>1187</v>
      </c>
      <c r="AL7">
        <v>306.36</v>
      </c>
      <c r="AM7">
        <v>391.40000000000003</v>
      </c>
      <c r="AN7">
        <v>658.58</v>
      </c>
      <c r="AO7">
        <v>871.7</v>
      </c>
      <c r="AP7">
        <v>889.8</v>
      </c>
      <c r="AQ7">
        <v>1187</v>
      </c>
    </row>
    <row r="8" spans="1:43" x14ac:dyDescent="0.25">
      <c r="A8">
        <v>7220</v>
      </c>
      <c r="B8" t="s">
        <v>687</v>
      </c>
      <c r="C8" t="s">
        <v>683</v>
      </c>
      <c r="D8" t="s">
        <v>684</v>
      </c>
      <c r="F8">
        <v>11</v>
      </c>
      <c r="H8">
        <v>15</v>
      </c>
      <c r="J8">
        <v>37.520000000000003</v>
      </c>
      <c r="L8">
        <v>40.74</v>
      </c>
      <c r="M8">
        <v>66.3</v>
      </c>
      <c r="N8">
        <v>95.08</v>
      </c>
      <c r="O8">
        <v>37.520000000000003</v>
      </c>
      <c r="Q8">
        <v>66.3</v>
      </c>
      <c r="R8">
        <v>95.08</v>
      </c>
      <c r="S8">
        <v>29.76</v>
      </c>
      <c r="U8">
        <v>66.3</v>
      </c>
      <c r="W8">
        <v>95.08</v>
      </c>
      <c r="X8">
        <v>512.72</v>
      </c>
      <c r="Y8">
        <v>672.80000000000007</v>
      </c>
      <c r="Z8">
        <v>548.1400000000001</v>
      </c>
      <c r="AA8">
        <v>721.1</v>
      </c>
      <c r="AB8">
        <v>829.3</v>
      </c>
      <c r="AC8">
        <v>1104.5</v>
      </c>
      <c r="AD8">
        <v>1145.8799999999999</v>
      </c>
      <c r="AE8">
        <v>1536.2</v>
      </c>
      <c r="AF8">
        <v>512.72</v>
      </c>
      <c r="AG8">
        <v>672.80000000000007</v>
      </c>
      <c r="AH8">
        <v>829.3</v>
      </c>
      <c r="AI8">
        <v>1104.5</v>
      </c>
      <c r="AJ8">
        <v>1145.8799999999999</v>
      </c>
      <c r="AK8">
        <v>1536.2</v>
      </c>
      <c r="AL8">
        <v>427.36</v>
      </c>
      <c r="AM8">
        <v>556.40000000000009</v>
      </c>
      <c r="AN8">
        <v>829.3</v>
      </c>
      <c r="AO8">
        <v>1104.5</v>
      </c>
      <c r="AP8">
        <v>1145.8799999999999</v>
      </c>
      <c r="AQ8">
        <v>1536.2</v>
      </c>
    </row>
    <row r="10" spans="1:43" x14ac:dyDescent="0.25">
      <c r="A10">
        <v>2436</v>
      </c>
      <c r="B10" t="s">
        <v>682</v>
      </c>
      <c r="C10" t="s">
        <v>683</v>
      </c>
      <c r="D10" t="s">
        <v>685</v>
      </c>
      <c r="F10">
        <v>9</v>
      </c>
      <c r="H10">
        <v>14</v>
      </c>
      <c r="J10">
        <v>24.58</v>
      </c>
      <c r="L10">
        <v>30.4</v>
      </c>
      <c r="M10">
        <v>37.840000000000003</v>
      </c>
      <c r="N10">
        <v>51.1</v>
      </c>
      <c r="O10">
        <v>24.58</v>
      </c>
      <c r="Q10">
        <v>37.840000000000003</v>
      </c>
      <c r="R10">
        <v>51.1</v>
      </c>
      <c r="S10">
        <v>24.58</v>
      </c>
      <c r="U10">
        <v>37.840000000000003</v>
      </c>
      <c r="W10">
        <v>53.04</v>
      </c>
      <c r="X10">
        <v>321.21999999999997</v>
      </c>
      <c r="Y10">
        <v>454.12</v>
      </c>
      <c r="Z10">
        <v>373.59999999999997</v>
      </c>
      <c r="AA10">
        <v>535.59999999999991</v>
      </c>
      <c r="AB10">
        <v>440.56000000000006</v>
      </c>
      <c r="AC10">
        <v>639.76</v>
      </c>
      <c r="AD10">
        <v>559.90000000000009</v>
      </c>
      <c r="AE10">
        <v>825.4</v>
      </c>
      <c r="AF10">
        <v>321.21999999999997</v>
      </c>
      <c r="AG10">
        <v>454.12</v>
      </c>
      <c r="AH10">
        <v>440.56000000000006</v>
      </c>
      <c r="AI10">
        <v>639.76</v>
      </c>
      <c r="AJ10">
        <v>559.90000000000009</v>
      </c>
      <c r="AK10">
        <v>825.4</v>
      </c>
      <c r="AL10">
        <v>321.21999999999997</v>
      </c>
      <c r="AM10">
        <v>454.12</v>
      </c>
      <c r="AN10">
        <v>440.56000000000006</v>
      </c>
      <c r="AO10">
        <v>639.76</v>
      </c>
      <c r="AP10">
        <v>577.36</v>
      </c>
      <c r="AQ10">
        <v>852.56</v>
      </c>
    </row>
    <row r="11" spans="1:43" x14ac:dyDescent="0.25">
      <c r="A11">
        <v>3636</v>
      </c>
      <c r="B11" t="s">
        <v>685</v>
      </c>
      <c r="C11" t="s">
        <v>683</v>
      </c>
      <c r="D11" t="s">
        <v>685</v>
      </c>
      <c r="F11">
        <v>9</v>
      </c>
      <c r="H11">
        <v>14</v>
      </c>
      <c r="J11">
        <v>28.46</v>
      </c>
      <c r="L11">
        <v>34.28</v>
      </c>
      <c r="M11">
        <v>45.6</v>
      </c>
      <c r="N11">
        <v>62.74</v>
      </c>
      <c r="O11">
        <v>28.46</v>
      </c>
      <c r="Q11">
        <v>45.6</v>
      </c>
      <c r="R11">
        <v>62.74</v>
      </c>
      <c r="S11">
        <v>28.46</v>
      </c>
      <c r="U11">
        <v>45.6</v>
      </c>
      <c r="W11">
        <v>64.680000000000007</v>
      </c>
      <c r="X11">
        <v>356.14</v>
      </c>
      <c r="Y11">
        <v>508.44</v>
      </c>
      <c r="Z11">
        <v>408.52</v>
      </c>
      <c r="AA11">
        <v>589.92000000000007</v>
      </c>
      <c r="AB11">
        <v>510.40000000000003</v>
      </c>
      <c r="AC11">
        <v>748.4</v>
      </c>
      <c r="AD11">
        <v>664.66</v>
      </c>
      <c r="AE11">
        <v>988.36</v>
      </c>
      <c r="AF11">
        <v>356.14</v>
      </c>
      <c r="AG11">
        <v>508.44</v>
      </c>
      <c r="AH11">
        <v>510.40000000000003</v>
      </c>
      <c r="AI11">
        <v>748.4</v>
      </c>
      <c r="AJ11">
        <v>664.66</v>
      </c>
      <c r="AK11">
        <v>988.36</v>
      </c>
      <c r="AL11">
        <v>356.14</v>
      </c>
      <c r="AM11">
        <v>508.44</v>
      </c>
      <c r="AN11">
        <v>510.40000000000003</v>
      </c>
      <c r="AO11">
        <v>748.4</v>
      </c>
      <c r="AP11">
        <v>682.12000000000012</v>
      </c>
      <c r="AQ11">
        <v>1015.5200000000001</v>
      </c>
    </row>
    <row r="12" spans="1:43" x14ac:dyDescent="0.25">
      <c r="A12">
        <v>4836</v>
      </c>
      <c r="B12" t="s">
        <v>686</v>
      </c>
      <c r="C12" t="s">
        <v>683</v>
      </c>
      <c r="D12" t="s">
        <v>685</v>
      </c>
      <c r="F12">
        <v>9</v>
      </c>
      <c r="H12">
        <v>14</v>
      </c>
      <c r="J12">
        <v>32.340000000000003</v>
      </c>
      <c r="L12">
        <v>38.159999999999997</v>
      </c>
      <c r="M12">
        <v>53.36</v>
      </c>
      <c r="N12">
        <v>74.38</v>
      </c>
      <c r="O12">
        <v>32.340000000000003</v>
      </c>
      <c r="Q12">
        <v>53.36</v>
      </c>
      <c r="R12">
        <v>74.38</v>
      </c>
      <c r="S12">
        <v>32.340000000000003</v>
      </c>
      <c r="U12">
        <v>53.36</v>
      </c>
      <c r="W12">
        <v>76.319999999999993</v>
      </c>
      <c r="X12">
        <v>391.06000000000006</v>
      </c>
      <c r="Y12">
        <v>562.76</v>
      </c>
      <c r="Z12">
        <v>443.43999999999994</v>
      </c>
      <c r="AA12">
        <v>644.24</v>
      </c>
      <c r="AB12">
        <v>580.24</v>
      </c>
      <c r="AC12">
        <v>857.04</v>
      </c>
      <c r="AD12">
        <v>769.42</v>
      </c>
      <c r="AE12">
        <v>1151.32</v>
      </c>
      <c r="AF12">
        <v>391.06000000000006</v>
      </c>
      <c r="AG12">
        <v>562.76</v>
      </c>
      <c r="AH12">
        <v>580.24</v>
      </c>
      <c r="AI12">
        <v>857.04</v>
      </c>
      <c r="AJ12">
        <v>769.42</v>
      </c>
      <c r="AK12">
        <v>1151.32</v>
      </c>
      <c r="AL12">
        <v>391.06000000000006</v>
      </c>
      <c r="AM12">
        <v>562.76</v>
      </c>
      <c r="AN12">
        <v>580.24</v>
      </c>
      <c r="AO12">
        <v>857.04</v>
      </c>
      <c r="AP12">
        <v>786.87999999999988</v>
      </c>
      <c r="AQ12">
        <v>1178.48</v>
      </c>
    </row>
    <row r="13" spans="1:43" x14ac:dyDescent="0.25">
      <c r="A13">
        <v>7236</v>
      </c>
      <c r="B13" t="s">
        <v>687</v>
      </c>
      <c r="C13" t="s">
        <v>683</v>
      </c>
      <c r="D13" t="s">
        <v>685</v>
      </c>
      <c r="F13">
        <v>9</v>
      </c>
      <c r="H13">
        <v>14</v>
      </c>
      <c r="J13">
        <v>40.1</v>
      </c>
      <c r="L13">
        <v>45.92</v>
      </c>
      <c r="M13">
        <v>68.88</v>
      </c>
      <c r="N13">
        <v>97.66</v>
      </c>
      <c r="O13">
        <v>40.1</v>
      </c>
      <c r="Q13">
        <v>68.88</v>
      </c>
      <c r="R13">
        <v>97.66</v>
      </c>
      <c r="S13">
        <v>40.1</v>
      </c>
      <c r="U13">
        <v>68.88</v>
      </c>
      <c r="W13">
        <v>99.6</v>
      </c>
      <c r="X13">
        <v>460.90000000000003</v>
      </c>
      <c r="Y13">
        <v>671.4</v>
      </c>
      <c r="Z13">
        <v>513.28</v>
      </c>
      <c r="AA13">
        <v>752.88</v>
      </c>
      <c r="AB13">
        <v>719.92</v>
      </c>
      <c r="AC13">
        <v>1074.32</v>
      </c>
      <c r="AD13">
        <v>978.93999999999994</v>
      </c>
      <c r="AE13">
        <v>1477.24</v>
      </c>
      <c r="AF13">
        <v>460.90000000000003</v>
      </c>
      <c r="AG13">
        <v>671.4</v>
      </c>
      <c r="AH13">
        <v>719.92</v>
      </c>
      <c r="AI13">
        <v>1074.32</v>
      </c>
      <c r="AJ13">
        <v>978.93999999999994</v>
      </c>
      <c r="AK13">
        <v>1477.24</v>
      </c>
      <c r="AL13">
        <v>460.90000000000003</v>
      </c>
      <c r="AM13">
        <v>671.4</v>
      </c>
      <c r="AN13">
        <v>719.92</v>
      </c>
      <c r="AO13">
        <v>1074.32</v>
      </c>
      <c r="AP13">
        <v>996.4</v>
      </c>
      <c r="AQ13">
        <v>1504.3999999999999</v>
      </c>
    </row>
    <row r="15" spans="1:43" x14ac:dyDescent="0.25">
      <c r="A15">
        <v>2448</v>
      </c>
      <c r="B15" t="s">
        <v>682</v>
      </c>
      <c r="C15" t="s">
        <v>683</v>
      </c>
      <c r="D15" t="s">
        <v>686</v>
      </c>
      <c r="F15">
        <v>7</v>
      </c>
      <c r="H15">
        <v>10</v>
      </c>
      <c r="J15">
        <v>26.52</v>
      </c>
      <c r="L15">
        <v>34.28</v>
      </c>
      <c r="M15">
        <v>39.78</v>
      </c>
      <c r="N15">
        <v>53.04</v>
      </c>
      <c r="O15">
        <v>26.52</v>
      </c>
      <c r="Q15">
        <v>39.78</v>
      </c>
      <c r="R15">
        <v>53.04</v>
      </c>
      <c r="S15">
        <v>26.52</v>
      </c>
      <c r="U15">
        <v>39.78</v>
      </c>
      <c r="W15">
        <v>53.04</v>
      </c>
      <c r="X15">
        <v>285.64</v>
      </c>
      <c r="Y15">
        <v>375.2</v>
      </c>
      <c r="Z15">
        <v>339.96000000000004</v>
      </c>
      <c r="AA15">
        <v>452.8</v>
      </c>
      <c r="AB15">
        <v>378.46000000000004</v>
      </c>
      <c r="AC15">
        <v>507.8</v>
      </c>
      <c r="AD15">
        <v>471.28</v>
      </c>
      <c r="AE15">
        <v>640.4</v>
      </c>
      <c r="AF15">
        <v>285.64</v>
      </c>
      <c r="AG15">
        <v>375.2</v>
      </c>
      <c r="AH15">
        <v>378.46000000000004</v>
      </c>
      <c r="AI15">
        <v>507.8</v>
      </c>
      <c r="AJ15">
        <v>471.28</v>
      </c>
      <c r="AK15">
        <v>640.4</v>
      </c>
      <c r="AL15">
        <v>285.64</v>
      </c>
      <c r="AM15">
        <v>375.2</v>
      </c>
      <c r="AN15">
        <v>378.46000000000004</v>
      </c>
      <c r="AO15">
        <v>507.8</v>
      </c>
      <c r="AP15">
        <v>471.28</v>
      </c>
      <c r="AQ15">
        <v>640.4</v>
      </c>
    </row>
    <row r="16" spans="1:43" x14ac:dyDescent="0.25">
      <c r="A16">
        <v>3648</v>
      </c>
      <c r="B16" t="s">
        <v>685</v>
      </c>
      <c r="C16" t="s">
        <v>683</v>
      </c>
      <c r="D16" t="s">
        <v>686</v>
      </c>
      <c r="F16">
        <v>7</v>
      </c>
      <c r="H16">
        <v>10</v>
      </c>
      <c r="J16">
        <v>30.4</v>
      </c>
      <c r="L16">
        <v>38.159999999999997</v>
      </c>
      <c r="M16">
        <v>47.54</v>
      </c>
      <c r="N16">
        <v>64.680000000000007</v>
      </c>
      <c r="O16">
        <v>30.4</v>
      </c>
      <c r="Q16">
        <v>47.54</v>
      </c>
      <c r="R16">
        <v>64.680000000000007</v>
      </c>
      <c r="S16">
        <v>30.4</v>
      </c>
      <c r="U16">
        <v>47.54</v>
      </c>
      <c r="W16">
        <v>64.680000000000007</v>
      </c>
      <c r="X16">
        <v>312.79999999999995</v>
      </c>
      <c r="Y16">
        <v>414</v>
      </c>
      <c r="Z16">
        <v>367.12</v>
      </c>
      <c r="AA16">
        <v>491.59999999999997</v>
      </c>
      <c r="AB16">
        <v>432.78</v>
      </c>
      <c r="AC16">
        <v>585.4</v>
      </c>
      <c r="AD16">
        <v>552.76</v>
      </c>
      <c r="AE16">
        <v>756.80000000000007</v>
      </c>
      <c r="AF16">
        <v>312.79999999999995</v>
      </c>
      <c r="AG16">
        <v>414</v>
      </c>
      <c r="AH16">
        <v>432.78</v>
      </c>
      <c r="AI16">
        <v>585.4</v>
      </c>
      <c r="AJ16">
        <v>552.76</v>
      </c>
      <c r="AK16">
        <v>756.80000000000007</v>
      </c>
      <c r="AL16">
        <v>312.79999999999995</v>
      </c>
      <c r="AM16">
        <v>414</v>
      </c>
      <c r="AN16">
        <v>432.78</v>
      </c>
      <c r="AO16">
        <v>585.4</v>
      </c>
      <c r="AP16">
        <v>552.76</v>
      </c>
      <c r="AQ16">
        <v>756.80000000000007</v>
      </c>
    </row>
    <row r="17" spans="1:43" x14ac:dyDescent="0.25">
      <c r="A17">
        <v>4848</v>
      </c>
      <c r="B17" t="s">
        <v>686</v>
      </c>
      <c r="C17" t="s">
        <v>683</v>
      </c>
      <c r="D17" t="s">
        <v>686</v>
      </c>
      <c r="F17">
        <v>7</v>
      </c>
      <c r="H17">
        <v>10</v>
      </c>
      <c r="J17">
        <v>34.28</v>
      </c>
      <c r="L17">
        <v>42.04</v>
      </c>
      <c r="M17">
        <v>55.3</v>
      </c>
      <c r="N17">
        <v>76.319999999999993</v>
      </c>
      <c r="O17">
        <v>34.28</v>
      </c>
      <c r="Q17">
        <v>55.3</v>
      </c>
      <c r="R17">
        <v>76.319999999999993</v>
      </c>
      <c r="S17">
        <v>34.28</v>
      </c>
      <c r="U17">
        <v>55.3</v>
      </c>
      <c r="W17">
        <v>76.319999999999993</v>
      </c>
      <c r="X17">
        <v>339.96000000000004</v>
      </c>
      <c r="Y17">
        <v>452.8</v>
      </c>
      <c r="Z17">
        <v>394.28</v>
      </c>
      <c r="AA17">
        <v>530.4</v>
      </c>
      <c r="AB17">
        <v>487.09999999999997</v>
      </c>
      <c r="AC17">
        <v>663</v>
      </c>
      <c r="AD17">
        <v>634.24</v>
      </c>
      <c r="AE17">
        <v>873.19999999999993</v>
      </c>
      <c r="AF17">
        <v>339.96000000000004</v>
      </c>
      <c r="AG17">
        <v>452.8</v>
      </c>
      <c r="AH17">
        <v>487.09999999999997</v>
      </c>
      <c r="AI17">
        <v>663</v>
      </c>
      <c r="AJ17">
        <v>634.24</v>
      </c>
      <c r="AK17">
        <v>873.19999999999993</v>
      </c>
      <c r="AL17">
        <v>339.96000000000004</v>
      </c>
      <c r="AM17">
        <v>452.8</v>
      </c>
      <c r="AN17">
        <v>487.09999999999997</v>
      </c>
      <c r="AO17">
        <v>663</v>
      </c>
      <c r="AP17">
        <v>634.24</v>
      </c>
      <c r="AQ17">
        <v>873.19999999999993</v>
      </c>
    </row>
    <row r="18" spans="1:43" x14ac:dyDescent="0.25">
      <c r="A18">
        <v>7248</v>
      </c>
      <c r="B18" t="s">
        <v>687</v>
      </c>
      <c r="C18" t="s">
        <v>683</v>
      </c>
      <c r="D18" t="s">
        <v>686</v>
      </c>
      <c r="F18">
        <v>7</v>
      </c>
      <c r="H18">
        <v>10</v>
      </c>
      <c r="J18">
        <v>42.04</v>
      </c>
      <c r="L18">
        <v>49.8</v>
      </c>
      <c r="M18">
        <v>70.819999999999993</v>
      </c>
      <c r="N18">
        <v>99.6</v>
      </c>
      <c r="O18">
        <v>42.04</v>
      </c>
      <c r="Q18">
        <v>70.819999999999993</v>
      </c>
      <c r="R18">
        <v>99.6</v>
      </c>
      <c r="S18">
        <v>42.04</v>
      </c>
      <c r="U18">
        <v>70.819999999999993</v>
      </c>
      <c r="W18">
        <v>99.6</v>
      </c>
      <c r="X18">
        <v>394.28</v>
      </c>
      <c r="Y18">
        <v>530.4</v>
      </c>
      <c r="Z18">
        <v>448.59999999999997</v>
      </c>
      <c r="AA18">
        <v>608</v>
      </c>
      <c r="AB18">
        <v>595.74</v>
      </c>
      <c r="AC18">
        <v>818.19999999999993</v>
      </c>
      <c r="AD18">
        <v>797.19999999999993</v>
      </c>
      <c r="AE18">
        <v>1106</v>
      </c>
      <c r="AF18">
        <v>394.28</v>
      </c>
      <c r="AG18">
        <v>530.4</v>
      </c>
      <c r="AH18">
        <v>595.74</v>
      </c>
      <c r="AI18">
        <v>818.19999999999993</v>
      </c>
      <c r="AJ18">
        <v>797.19999999999993</v>
      </c>
      <c r="AK18">
        <v>1106</v>
      </c>
      <c r="AL18">
        <v>394.28</v>
      </c>
      <c r="AM18">
        <v>530.4</v>
      </c>
      <c r="AN18">
        <v>595.74</v>
      </c>
      <c r="AO18">
        <v>818.19999999999993</v>
      </c>
      <c r="AP18">
        <v>797.19999999999993</v>
      </c>
      <c r="AQ18">
        <v>1106</v>
      </c>
    </row>
    <row r="20" spans="1:43" x14ac:dyDescent="0.25">
      <c r="A20">
        <v>2460</v>
      </c>
      <c r="B20" t="s">
        <v>682</v>
      </c>
      <c r="C20" t="s">
        <v>683</v>
      </c>
      <c r="D20" t="s">
        <v>688</v>
      </c>
      <c r="F20" t="s">
        <v>683</v>
      </c>
      <c r="H20">
        <v>7</v>
      </c>
      <c r="J20">
        <v>28.46</v>
      </c>
      <c r="L20">
        <v>38.159999999999997</v>
      </c>
      <c r="M20">
        <v>41.72</v>
      </c>
      <c r="N20">
        <v>54.98</v>
      </c>
      <c r="O20">
        <v>28.46</v>
      </c>
      <c r="Q20">
        <v>41.72</v>
      </c>
      <c r="R20">
        <v>54.98</v>
      </c>
      <c r="S20">
        <v>28.46</v>
      </c>
      <c r="U20">
        <v>41.72</v>
      </c>
      <c r="W20">
        <v>54.98</v>
      </c>
      <c r="X20" t="s">
        <v>683</v>
      </c>
      <c r="Y20">
        <v>309.22000000000003</v>
      </c>
      <c r="Z20" t="s">
        <v>683</v>
      </c>
      <c r="AA20">
        <v>377.12</v>
      </c>
      <c r="AB20" t="s">
        <v>683</v>
      </c>
      <c r="AC20">
        <v>402.03999999999996</v>
      </c>
      <c r="AD20" t="s">
        <v>683</v>
      </c>
      <c r="AE20">
        <v>494.85999999999996</v>
      </c>
      <c r="AF20" t="s">
        <v>683</v>
      </c>
      <c r="AG20">
        <v>309.22000000000003</v>
      </c>
      <c r="AH20" t="s">
        <v>683</v>
      </c>
      <c r="AI20">
        <v>402.03999999999996</v>
      </c>
      <c r="AJ20" t="s">
        <v>683</v>
      </c>
      <c r="AK20">
        <v>494.85999999999996</v>
      </c>
      <c r="AL20" t="s">
        <v>683</v>
      </c>
      <c r="AM20">
        <v>309.22000000000003</v>
      </c>
      <c r="AN20" t="s">
        <v>683</v>
      </c>
      <c r="AO20">
        <v>402.03999999999996</v>
      </c>
      <c r="AP20" t="s">
        <v>683</v>
      </c>
      <c r="AQ20">
        <v>494.85999999999996</v>
      </c>
    </row>
    <row r="21" spans="1:43" x14ac:dyDescent="0.25">
      <c r="A21">
        <v>3660</v>
      </c>
      <c r="B21" t="s">
        <v>685</v>
      </c>
      <c r="C21" t="s">
        <v>683</v>
      </c>
      <c r="D21" t="s">
        <v>688</v>
      </c>
      <c r="F21" t="s">
        <v>683</v>
      </c>
      <c r="H21">
        <v>7</v>
      </c>
      <c r="J21">
        <v>32.340000000000003</v>
      </c>
      <c r="L21">
        <v>42.04</v>
      </c>
      <c r="M21">
        <v>49.48</v>
      </c>
      <c r="N21">
        <v>66.62</v>
      </c>
      <c r="O21">
        <v>32.340000000000003</v>
      </c>
      <c r="Q21">
        <v>49.48</v>
      </c>
      <c r="R21">
        <v>66.62</v>
      </c>
      <c r="S21">
        <v>32.340000000000003</v>
      </c>
      <c r="U21">
        <v>49.48</v>
      </c>
      <c r="W21">
        <v>66.62</v>
      </c>
      <c r="X21" t="s">
        <v>683</v>
      </c>
      <c r="Y21">
        <v>336.38</v>
      </c>
      <c r="Z21" t="s">
        <v>683</v>
      </c>
      <c r="AA21">
        <v>404.28</v>
      </c>
      <c r="AB21" t="s">
        <v>683</v>
      </c>
      <c r="AC21">
        <v>456.35999999999996</v>
      </c>
      <c r="AD21" t="s">
        <v>683</v>
      </c>
      <c r="AE21">
        <v>576.34</v>
      </c>
      <c r="AF21" t="s">
        <v>683</v>
      </c>
      <c r="AG21">
        <v>336.38</v>
      </c>
      <c r="AH21" t="s">
        <v>683</v>
      </c>
      <c r="AI21">
        <v>456.35999999999996</v>
      </c>
      <c r="AJ21" t="s">
        <v>683</v>
      </c>
      <c r="AK21">
        <v>576.34</v>
      </c>
      <c r="AL21" t="s">
        <v>683</v>
      </c>
      <c r="AM21">
        <v>336.38</v>
      </c>
      <c r="AN21" t="s">
        <v>683</v>
      </c>
      <c r="AO21">
        <v>456.35999999999996</v>
      </c>
      <c r="AP21" t="s">
        <v>683</v>
      </c>
      <c r="AQ21">
        <v>576.34</v>
      </c>
    </row>
    <row r="22" spans="1:43" x14ac:dyDescent="0.25">
      <c r="A22">
        <v>4860</v>
      </c>
      <c r="B22" t="s">
        <v>686</v>
      </c>
      <c r="C22" t="s">
        <v>683</v>
      </c>
      <c r="D22" t="s">
        <v>688</v>
      </c>
      <c r="F22" t="s">
        <v>683</v>
      </c>
      <c r="H22">
        <v>7</v>
      </c>
      <c r="J22">
        <v>36.22</v>
      </c>
      <c r="L22">
        <v>45.92</v>
      </c>
      <c r="M22">
        <v>57.24</v>
      </c>
      <c r="N22">
        <v>78.260000000000005</v>
      </c>
      <c r="O22">
        <v>36.22</v>
      </c>
      <c r="Q22">
        <v>57.24</v>
      </c>
      <c r="R22">
        <v>78.260000000000005</v>
      </c>
      <c r="S22">
        <v>36.22</v>
      </c>
      <c r="U22">
        <v>57.24</v>
      </c>
      <c r="W22">
        <v>78.260000000000005</v>
      </c>
      <c r="X22" t="s">
        <v>683</v>
      </c>
      <c r="Y22">
        <v>363.53999999999996</v>
      </c>
      <c r="Z22" t="s">
        <v>683</v>
      </c>
      <c r="AA22">
        <v>431.44</v>
      </c>
      <c r="AB22" t="s">
        <v>683</v>
      </c>
      <c r="AC22">
        <v>510.68</v>
      </c>
      <c r="AD22" t="s">
        <v>683</v>
      </c>
      <c r="AE22">
        <v>657.82</v>
      </c>
      <c r="AF22" t="s">
        <v>683</v>
      </c>
      <c r="AG22">
        <v>363.53999999999996</v>
      </c>
      <c r="AH22" t="s">
        <v>683</v>
      </c>
      <c r="AI22">
        <v>510.68</v>
      </c>
      <c r="AJ22" t="s">
        <v>683</v>
      </c>
      <c r="AK22">
        <v>657.82</v>
      </c>
      <c r="AL22" t="s">
        <v>683</v>
      </c>
      <c r="AM22">
        <v>363.53999999999996</v>
      </c>
      <c r="AN22" t="s">
        <v>683</v>
      </c>
      <c r="AO22">
        <v>510.68</v>
      </c>
      <c r="AP22" t="s">
        <v>689</v>
      </c>
      <c r="AQ22">
        <v>657.82</v>
      </c>
    </row>
    <row r="23" spans="1:43" x14ac:dyDescent="0.25">
      <c r="A23">
        <v>7260</v>
      </c>
      <c r="B23" t="s">
        <v>687</v>
      </c>
      <c r="C23" t="s">
        <v>683</v>
      </c>
      <c r="D23" t="s">
        <v>688</v>
      </c>
      <c r="F23" t="s">
        <v>683</v>
      </c>
      <c r="H23">
        <v>7</v>
      </c>
      <c r="J23">
        <v>43.98</v>
      </c>
      <c r="L23">
        <v>53.68</v>
      </c>
      <c r="M23">
        <v>72.760000000000005</v>
      </c>
      <c r="N23">
        <v>101.54</v>
      </c>
      <c r="O23">
        <v>43.98</v>
      </c>
      <c r="Q23">
        <v>72.760000000000005</v>
      </c>
      <c r="R23">
        <v>101.54</v>
      </c>
      <c r="S23">
        <v>43.98</v>
      </c>
      <c r="U23">
        <v>72.760000000000005</v>
      </c>
      <c r="W23">
        <v>101.54</v>
      </c>
      <c r="X23" t="s">
        <v>683</v>
      </c>
      <c r="Y23">
        <v>417.85999999999996</v>
      </c>
      <c r="Z23" t="s">
        <v>683</v>
      </c>
      <c r="AA23">
        <v>485.76</v>
      </c>
      <c r="AB23" t="s">
        <v>683</v>
      </c>
      <c r="AC23">
        <v>619.32000000000005</v>
      </c>
      <c r="AD23" t="s">
        <v>683</v>
      </c>
      <c r="AE23">
        <v>820.78000000000009</v>
      </c>
      <c r="AF23" t="s">
        <v>683</v>
      </c>
      <c r="AG23">
        <v>417.85999999999996</v>
      </c>
      <c r="AH23" t="s">
        <v>683</v>
      </c>
      <c r="AI23">
        <v>619.32000000000005</v>
      </c>
      <c r="AJ23" t="s">
        <v>683</v>
      </c>
      <c r="AK23">
        <v>820.78000000000009</v>
      </c>
      <c r="AL23" t="s">
        <v>683</v>
      </c>
      <c r="AM23">
        <v>417.85999999999996</v>
      </c>
      <c r="AN23" t="s">
        <v>683</v>
      </c>
      <c r="AO23">
        <v>619.32000000000005</v>
      </c>
      <c r="AP23" t="s">
        <v>683</v>
      </c>
      <c r="AQ23">
        <v>820.78000000000009</v>
      </c>
    </row>
    <row r="25" spans="1:43" x14ac:dyDescent="0.25">
      <c r="A25">
        <v>2472</v>
      </c>
      <c r="B25" t="s">
        <v>682</v>
      </c>
      <c r="C25" t="s">
        <v>683</v>
      </c>
      <c r="D25" t="s">
        <v>687</v>
      </c>
      <c r="F25" t="s">
        <v>683</v>
      </c>
      <c r="H25">
        <v>7</v>
      </c>
      <c r="J25">
        <v>30.4</v>
      </c>
      <c r="L25">
        <v>42.04</v>
      </c>
      <c r="M25">
        <v>43.66</v>
      </c>
      <c r="N25">
        <v>56.92</v>
      </c>
      <c r="O25">
        <v>30.4</v>
      </c>
      <c r="Q25">
        <v>43.66</v>
      </c>
      <c r="R25">
        <v>56.92</v>
      </c>
      <c r="S25">
        <v>30.4</v>
      </c>
      <c r="U25">
        <v>43.66</v>
      </c>
      <c r="W25">
        <v>56.92</v>
      </c>
      <c r="X25" t="s">
        <v>683</v>
      </c>
      <c r="Y25">
        <v>322.79999999999995</v>
      </c>
      <c r="Z25" t="s">
        <v>683</v>
      </c>
      <c r="AA25">
        <v>404.28</v>
      </c>
      <c r="AB25" t="s">
        <v>683</v>
      </c>
      <c r="AC25">
        <v>415.62</v>
      </c>
      <c r="AD25" t="s">
        <v>683</v>
      </c>
      <c r="AE25">
        <v>508.44</v>
      </c>
      <c r="AF25" t="s">
        <v>683</v>
      </c>
      <c r="AG25">
        <v>322.79999999999995</v>
      </c>
      <c r="AH25" t="s">
        <v>683</v>
      </c>
      <c r="AI25">
        <v>415.62</v>
      </c>
      <c r="AJ25" t="s">
        <v>683</v>
      </c>
      <c r="AK25">
        <v>508.44</v>
      </c>
      <c r="AL25" t="s">
        <v>683</v>
      </c>
      <c r="AM25">
        <v>322.79999999999995</v>
      </c>
      <c r="AN25" t="s">
        <v>683</v>
      </c>
      <c r="AO25">
        <v>415.62</v>
      </c>
      <c r="AP25" t="s">
        <v>683</v>
      </c>
      <c r="AQ25">
        <v>508.44</v>
      </c>
    </row>
    <row r="26" spans="1:43" x14ac:dyDescent="0.25">
      <c r="A26">
        <v>3672</v>
      </c>
      <c r="B26" t="s">
        <v>685</v>
      </c>
      <c r="C26" t="s">
        <v>683</v>
      </c>
      <c r="D26" t="s">
        <v>687</v>
      </c>
      <c r="F26" t="s">
        <v>683</v>
      </c>
      <c r="H26">
        <v>7</v>
      </c>
      <c r="J26">
        <v>34.28</v>
      </c>
      <c r="L26">
        <v>45.92</v>
      </c>
      <c r="M26">
        <v>51.42</v>
      </c>
      <c r="N26">
        <v>68.56</v>
      </c>
      <c r="O26">
        <v>34.28</v>
      </c>
      <c r="Q26">
        <v>51.42</v>
      </c>
      <c r="R26">
        <v>68.56</v>
      </c>
      <c r="S26">
        <v>34.28</v>
      </c>
      <c r="U26">
        <v>51.42</v>
      </c>
      <c r="W26">
        <v>68.56</v>
      </c>
      <c r="X26" t="s">
        <v>683</v>
      </c>
      <c r="Y26">
        <v>349.96000000000004</v>
      </c>
      <c r="Z26" t="s">
        <v>683</v>
      </c>
      <c r="AA26">
        <v>431.44</v>
      </c>
      <c r="AB26" t="s">
        <v>683</v>
      </c>
      <c r="AC26">
        <v>469.94</v>
      </c>
      <c r="AD26" t="s">
        <v>683</v>
      </c>
      <c r="AE26">
        <v>589.92000000000007</v>
      </c>
      <c r="AF26" t="s">
        <v>683</v>
      </c>
      <c r="AG26">
        <v>349.96000000000004</v>
      </c>
      <c r="AH26" t="s">
        <v>683</v>
      </c>
      <c r="AI26">
        <v>469.94</v>
      </c>
      <c r="AJ26" t="s">
        <v>683</v>
      </c>
      <c r="AK26">
        <v>589.92000000000007</v>
      </c>
      <c r="AL26" t="s">
        <v>683</v>
      </c>
      <c r="AM26">
        <v>349.96000000000004</v>
      </c>
      <c r="AN26" t="s">
        <v>683</v>
      </c>
      <c r="AO26">
        <v>469.94</v>
      </c>
      <c r="AP26" t="s">
        <v>683</v>
      </c>
      <c r="AQ26">
        <v>589.92000000000007</v>
      </c>
    </row>
    <row r="27" spans="1:43" x14ac:dyDescent="0.25">
      <c r="A27">
        <v>4872</v>
      </c>
      <c r="B27" t="s">
        <v>686</v>
      </c>
      <c r="C27" t="s">
        <v>683</v>
      </c>
      <c r="D27" t="s">
        <v>687</v>
      </c>
      <c r="F27" t="s">
        <v>683</v>
      </c>
      <c r="H27">
        <v>7</v>
      </c>
      <c r="J27">
        <v>38.159999999999997</v>
      </c>
      <c r="L27">
        <v>49.8</v>
      </c>
      <c r="M27">
        <v>59.18</v>
      </c>
      <c r="N27">
        <v>80.2</v>
      </c>
      <c r="O27">
        <v>38.159999999999997</v>
      </c>
      <c r="Q27">
        <v>59.18</v>
      </c>
      <c r="R27">
        <v>80.2</v>
      </c>
      <c r="S27">
        <v>38.159999999999997</v>
      </c>
      <c r="U27">
        <v>59.18</v>
      </c>
      <c r="W27">
        <v>80.2</v>
      </c>
      <c r="X27" t="s">
        <v>683</v>
      </c>
      <c r="Y27">
        <v>377.12</v>
      </c>
      <c r="Z27" t="s">
        <v>683</v>
      </c>
      <c r="AA27">
        <v>458.59999999999997</v>
      </c>
      <c r="AB27" t="s">
        <v>683</v>
      </c>
      <c r="AC27">
        <v>524.26</v>
      </c>
      <c r="AD27" t="s">
        <v>683</v>
      </c>
      <c r="AE27">
        <v>671.4</v>
      </c>
      <c r="AF27" t="s">
        <v>683</v>
      </c>
      <c r="AG27">
        <v>377.12</v>
      </c>
      <c r="AH27" t="s">
        <v>683</v>
      </c>
      <c r="AI27">
        <v>524.26</v>
      </c>
      <c r="AJ27" t="s">
        <v>683</v>
      </c>
      <c r="AK27">
        <v>671.4</v>
      </c>
      <c r="AL27" t="s">
        <v>683</v>
      </c>
      <c r="AM27">
        <v>377.12</v>
      </c>
      <c r="AN27" t="s">
        <v>683</v>
      </c>
      <c r="AO27">
        <v>524.26</v>
      </c>
      <c r="AP27" t="s">
        <v>683</v>
      </c>
      <c r="AQ27">
        <v>671.4</v>
      </c>
    </row>
    <row r="28" spans="1:43" x14ac:dyDescent="0.25">
      <c r="A28">
        <v>7272</v>
      </c>
      <c r="B28" t="s">
        <v>687</v>
      </c>
      <c r="C28" t="s">
        <v>683</v>
      </c>
      <c r="D28" t="s">
        <v>687</v>
      </c>
      <c r="F28" t="s">
        <v>683</v>
      </c>
      <c r="H28">
        <v>7</v>
      </c>
      <c r="J28">
        <v>45.92</v>
      </c>
      <c r="L28">
        <v>57.56</v>
      </c>
      <c r="M28">
        <v>74.7</v>
      </c>
      <c r="N28">
        <v>103.48</v>
      </c>
      <c r="O28">
        <v>45.92</v>
      </c>
      <c r="Q28">
        <v>74.7</v>
      </c>
      <c r="R28">
        <v>103.48</v>
      </c>
      <c r="S28">
        <v>45.92</v>
      </c>
      <c r="U28">
        <v>74.7</v>
      </c>
      <c r="W28">
        <v>103.48</v>
      </c>
      <c r="X28" t="s">
        <v>683</v>
      </c>
      <c r="Y28">
        <v>431.44</v>
      </c>
      <c r="Z28" t="s">
        <v>683</v>
      </c>
      <c r="AA28">
        <v>512.92000000000007</v>
      </c>
      <c r="AB28" t="s">
        <v>683</v>
      </c>
      <c r="AC28">
        <v>632.9</v>
      </c>
      <c r="AD28" t="s">
        <v>683</v>
      </c>
      <c r="AE28">
        <v>834.36</v>
      </c>
      <c r="AF28" t="s">
        <v>683</v>
      </c>
      <c r="AG28">
        <v>431.44</v>
      </c>
      <c r="AH28" t="s">
        <v>683</v>
      </c>
      <c r="AI28">
        <v>632.9</v>
      </c>
      <c r="AJ28" t="s">
        <v>683</v>
      </c>
      <c r="AK28">
        <v>834.36</v>
      </c>
      <c r="AL28" t="s">
        <v>683</v>
      </c>
      <c r="AM28">
        <v>431.44</v>
      </c>
      <c r="AN28" t="s">
        <v>683</v>
      </c>
      <c r="AO28">
        <v>632.9</v>
      </c>
      <c r="AP28" t="s">
        <v>683</v>
      </c>
      <c r="AQ28">
        <v>834.36</v>
      </c>
    </row>
    <row r="30" spans="1:43" x14ac:dyDescent="0.25">
      <c r="A30">
        <v>2484</v>
      </c>
      <c r="B30" t="s">
        <v>682</v>
      </c>
      <c r="C30" t="s">
        <v>683</v>
      </c>
      <c r="D30" t="s">
        <v>690</v>
      </c>
      <c r="F30" t="s">
        <v>683</v>
      </c>
      <c r="H30">
        <v>7</v>
      </c>
      <c r="J30">
        <v>32.340000000000003</v>
      </c>
      <c r="L30">
        <v>45.92</v>
      </c>
      <c r="M30">
        <v>45.6</v>
      </c>
      <c r="N30">
        <v>58.86</v>
      </c>
      <c r="O30">
        <v>32.340000000000003</v>
      </c>
      <c r="Q30">
        <v>45.6</v>
      </c>
      <c r="R30">
        <v>58.86</v>
      </c>
      <c r="S30">
        <v>32.340000000000003</v>
      </c>
      <c r="U30">
        <v>45.6</v>
      </c>
      <c r="W30">
        <v>58.86</v>
      </c>
      <c r="X30" t="s">
        <v>683</v>
      </c>
      <c r="Y30">
        <v>336.38</v>
      </c>
      <c r="Z30" t="s">
        <v>683</v>
      </c>
      <c r="AA30">
        <v>431.44</v>
      </c>
      <c r="AB30" t="s">
        <v>683</v>
      </c>
      <c r="AC30">
        <v>429.2</v>
      </c>
      <c r="AD30" t="s">
        <v>683</v>
      </c>
      <c r="AE30">
        <v>522.02</v>
      </c>
      <c r="AF30" t="s">
        <v>683</v>
      </c>
      <c r="AG30">
        <v>336.38</v>
      </c>
      <c r="AH30" t="s">
        <v>683</v>
      </c>
      <c r="AI30">
        <v>429.2</v>
      </c>
      <c r="AJ30" t="s">
        <v>683</v>
      </c>
      <c r="AK30">
        <v>522.02</v>
      </c>
      <c r="AL30" t="s">
        <v>683</v>
      </c>
      <c r="AM30">
        <v>336.38</v>
      </c>
      <c r="AN30" t="s">
        <v>683</v>
      </c>
      <c r="AO30">
        <v>429.2</v>
      </c>
      <c r="AP30" t="s">
        <v>683</v>
      </c>
      <c r="AQ30">
        <v>522.02</v>
      </c>
    </row>
    <row r="31" spans="1:43" x14ac:dyDescent="0.25">
      <c r="A31">
        <v>3684</v>
      </c>
      <c r="B31" t="s">
        <v>685</v>
      </c>
      <c r="C31" t="s">
        <v>683</v>
      </c>
      <c r="D31" t="s">
        <v>690</v>
      </c>
      <c r="F31" t="s">
        <v>683</v>
      </c>
      <c r="H31">
        <v>7</v>
      </c>
      <c r="J31">
        <v>36.22</v>
      </c>
      <c r="L31">
        <v>49.8</v>
      </c>
      <c r="M31">
        <v>53.36</v>
      </c>
      <c r="N31">
        <v>70.5</v>
      </c>
      <c r="O31">
        <v>36.22</v>
      </c>
      <c r="Q31">
        <v>53.36</v>
      </c>
      <c r="R31">
        <v>70.5</v>
      </c>
      <c r="S31">
        <v>36.22</v>
      </c>
      <c r="U31">
        <v>53.36</v>
      </c>
      <c r="W31">
        <v>70.5</v>
      </c>
      <c r="X31" t="s">
        <v>683</v>
      </c>
      <c r="Y31">
        <v>363.53999999999996</v>
      </c>
      <c r="Z31" t="s">
        <v>683</v>
      </c>
      <c r="AA31">
        <v>458.59999999999997</v>
      </c>
      <c r="AB31" t="s">
        <v>683</v>
      </c>
      <c r="AC31">
        <v>483.52</v>
      </c>
      <c r="AD31" t="s">
        <v>683</v>
      </c>
      <c r="AE31">
        <v>603.5</v>
      </c>
      <c r="AF31" t="s">
        <v>683</v>
      </c>
      <c r="AG31">
        <v>363.53999999999996</v>
      </c>
      <c r="AH31" t="s">
        <v>683</v>
      </c>
      <c r="AI31">
        <v>483.52</v>
      </c>
      <c r="AJ31" t="s">
        <v>683</v>
      </c>
      <c r="AK31">
        <v>603.5</v>
      </c>
      <c r="AL31" t="s">
        <v>683</v>
      </c>
      <c r="AM31">
        <v>363.53999999999996</v>
      </c>
      <c r="AN31" t="s">
        <v>683</v>
      </c>
      <c r="AO31">
        <v>483.52</v>
      </c>
      <c r="AP31" t="s">
        <v>683</v>
      </c>
      <c r="AQ31">
        <v>603.5</v>
      </c>
    </row>
    <row r="32" spans="1:43" x14ac:dyDescent="0.25">
      <c r="A32">
        <v>4884</v>
      </c>
      <c r="B32" t="s">
        <v>686</v>
      </c>
      <c r="C32" t="s">
        <v>683</v>
      </c>
      <c r="D32" t="s">
        <v>690</v>
      </c>
      <c r="F32" t="s">
        <v>683</v>
      </c>
      <c r="H32">
        <v>7</v>
      </c>
      <c r="J32">
        <v>40.1</v>
      </c>
      <c r="L32">
        <v>53.68</v>
      </c>
      <c r="M32">
        <v>61.12</v>
      </c>
      <c r="N32">
        <v>82.14</v>
      </c>
      <c r="O32">
        <v>40.1</v>
      </c>
      <c r="Q32">
        <v>61.12</v>
      </c>
      <c r="R32">
        <v>82.14</v>
      </c>
      <c r="S32">
        <v>40.1</v>
      </c>
      <c r="U32">
        <v>61.12</v>
      </c>
      <c r="W32">
        <v>82.14</v>
      </c>
      <c r="X32" t="s">
        <v>683</v>
      </c>
      <c r="Y32">
        <v>390.7</v>
      </c>
      <c r="Z32" t="s">
        <v>683</v>
      </c>
      <c r="AA32">
        <v>485.76</v>
      </c>
      <c r="AB32" t="s">
        <v>683</v>
      </c>
      <c r="AC32">
        <v>537.83999999999992</v>
      </c>
      <c r="AD32" t="s">
        <v>683</v>
      </c>
      <c r="AE32">
        <v>684.98</v>
      </c>
      <c r="AF32" t="s">
        <v>683</v>
      </c>
      <c r="AG32">
        <v>390.7</v>
      </c>
      <c r="AH32" t="s">
        <v>683</v>
      </c>
      <c r="AI32">
        <v>537.83999999999992</v>
      </c>
      <c r="AJ32" t="s">
        <v>683</v>
      </c>
      <c r="AK32">
        <v>684.98</v>
      </c>
      <c r="AL32" t="s">
        <v>683</v>
      </c>
      <c r="AM32">
        <v>390.7</v>
      </c>
      <c r="AN32" t="s">
        <v>683</v>
      </c>
      <c r="AO32">
        <v>537.83999999999992</v>
      </c>
      <c r="AP32" t="s">
        <v>683</v>
      </c>
      <c r="AQ32">
        <v>684.98</v>
      </c>
    </row>
    <row r="33" spans="1:43" x14ac:dyDescent="0.25">
      <c r="A33">
        <v>7284</v>
      </c>
      <c r="B33" t="s">
        <v>687</v>
      </c>
      <c r="C33" t="s">
        <v>683</v>
      </c>
      <c r="D33" t="s">
        <v>690</v>
      </c>
      <c r="F33" t="s">
        <v>683</v>
      </c>
      <c r="H33">
        <v>7</v>
      </c>
      <c r="J33">
        <v>47.86</v>
      </c>
      <c r="L33">
        <v>61.44</v>
      </c>
      <c r="M33">
        <v>76.64</v>
      </c>
      <c r="N33">
        <v>105.42</v>
      </c>
      <c r="O33">
        <v>36.86</v>
      </c>
      <c r="Q33">
        <v>76.64</v>
      </c>
      <c r="R33">
        <v>105.42</v>
      </c>
      <c r="S33">
        <v>47.86</v>
      </c>
      <c r="U33">
        <v>76.64</v>
      </c>
      <c r="W33">
        <v>105.42</v>
      </c>
      <c r="X33" t="s">
        <v>683</v>
      </c>
      <c r="Y33">
        <v>445.02</v>
      </c>
      <c r="Z33" t="s">
        <v>683</v>
      </c>
      <c r="AA33">
        <v>540.07999999999993</v>
      </c>
      <c r="AB33" t="s">
        <v>683</v>
      </c>
      <c r="AC33">
        <v>646.48</v>
      </c>
      <c r="AD33" t="s">
        <v>683</v>
      </c>
      <c r="AE33">
        <v>847.94</v>
      </c>
      <c r="AF33" t="s">
        <v>683</v>
      </c>
      <c r="AG33">
        <v>368.02</v>
      </c>
      <c r="AH33" t="s">
        <v>683</v>
      </c>
      <c r="AI33">
        <v>646.48</v>
      </c>
      <c r="AJ33" t="s">
        <v>683</v>
      </c>
      <c r="AK33">
        <v>847.94</v>
      </c>
      <c r="AL33" t="s">
        <v>683</v>
      </c>
      <c r="AM33">
        <v>445.02</v>
      </c>
      <c r="AN33" t="s">
        <v>683</v>
      </c>
      <c r="AO33">
        <v>646.48</v>
      </c>
      <c r="AP33" t="s">
        <v>683</v>
      </c>
      <c r="AQ33">
        <v>847.94</v>
      </c>
    </row>
    <row r="35" spans="1:43" x14ac:dyDescent="0.25">
      <c r="A35" t="s">
        <v>691</v>
      </c>
      <c r="X35" t="s">
        <v>692</v>
      </c>
    </row>
    <row r="36" spans="1:43" x14ac:dyDescent="0.25">
      <c r="A36" t="s">
        <v>693</v>
      </c>
      <c r="X36" t="s">
        <v>694</v>
      </c>
    </row>
    <row r="37" spans="1:43" x14ac:dyDescent="0.25">
      <c r="A37" t="s">
        <v>695</v>
      </c>
      <c r="X37" t="s">
        <v>696</v>
      </c>
    </row>
    <row r="184" spans="1:1" x14ac:dyDescent="0.25">
      <c r="A184">
        <v>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D2FE0-75C9-447A-B835-BCED42DA5F25}">
  <sheetPr codeName="Sheet12"/>
  <dimension ref="A1:U12"/>
  <sheetViews>
    <sheetView workbookViewId="0">
      <selection activeCell="T1" sqref="T1:V1048576"/>
    </sheetView>
  </sheetViews>
  <sheetFormatPr defaultRowHeight="15" x14ac:dyDescent="0.25"/>
  <cols>
    <col min="1" max="1" width="14.28515625" bestFit="1" customWidth="1"/>
    <col min="2" max="2" width="3.42578125" customWidth="1"/>
    <col min="3" max="3" width="16.85546875" bestFit="1" customWidth="1"/>
    <col min="4" max="4" width="1.140625" customWidth="1"/>
    <col min="5" max="5" width="14" bestFit="1" customWidth="1"/>
    <col min="6" max="6" width="2.140625" customWidth="1"/>
    <col min="7" max="7" width="18.140625" bestFit="1" customWidth="1"/>
    <col min="8" max="8" width="3.5703125" customWidth="1"/>
    <col min="9" max="9" width="12" bestFit="1" customWidth="1"/>
    <col min="10" max="10" width="2.7109375" customWidth="1"/>
    <col min="11" max="11" width="21.140625" customWidth="1"/>
    <col min="12" max="12" width="2.140625" customWidth="1"/>
    <col min="13" max="13" width="18" customWidth="1"/>
    <col min="14" max="14" width="1.7109375" customWidth="1"/>
    <col min="15" max="15" width="15.140625" bestFit="1" customWidth="1"/>
    <col min="16" max="17" width="3.42578125" customWidth="1"/>
    <col min="18" max="18" width="13.28515625" bestFit="1" customWidth="1"/>
    <col min="19" max="19" width="3.5703125" customWidth="1"/>
    <col min="20" max="20" width="5.42578125" customWidth="1"/>
    <col min="21" max="21" width="19.140625" customWidth="1"/>
  </cols>
  <sheetData>
    <row r="1" spans="1:21" x14ac:dyDescent="0.25">
      <c r="A1" t="s">
        <v>121</v>
      </c>
      <c r="C1" t="s">
        <v>122</v>
      </c>
      <c r="E1" t="s">
        <v>123</v>
      </c>
      <c r="G1" t="s">
        <v>124</v>
      </c>
      <c r="I1" t="s">
        <v>125</v>
      </c>
      <c r="K1" t="s">
        <v>126</v>
      </c>
      <c r="M1" t="s">
        <v>127</v>
      </c>
      <c r="O1" t="s">
        <v>128</v>
      </c>
      <c r="R1" t="s">
        <v>129</v>
      </c>
      <c r="U1" t="s">
        <v>130</v>
      </c>
    </row>
    <row r="2" spans="1:21" x14ac:dyDescent="0.25">
      <c r="A2" t="s">
        <v>10</v>
      </c>
      <c r="C2" t="s">
        <v>132</v>
      </c>
      <c r="E2" t="s">
        <v>31</v>
      </c>
      <c r="G2" t="s">
        <v>24</v>
      </c>
      <c r="I2">
        <v>2</v>
      </c>
      <c r="K2" t="s">
        <v>133</v>
      </c>
      <c r="M2">
        <v>0</v>
      </c>
      <c r="O2">
        <v>0</v>
      </c>
      <c r="R2">
        <v>0</v>
      </c>
      <c r="U2" t="s">
        <v>8</v>
      </c>
    </row>
    <row r="3" spans="1:21" x14ac:dyDescent="0.25">
      <c r="C3" t="s">
        <v>20</v>
      </c>
      <c r="E3" t="s">
        <v>134</v>
      </c>
      <c r="G3" t="s">
        <v>23</v>
      </c>
      <c r="I3">
        <v>2.5</v>
      </c>
      <c r="K3">
        <v>0.5</v>
      </c>
      <c r="M3">
        <v>0.5</v>
      </c>
      <c r="O3">
        <v>1</v>
      </c>
      <c r="R3">
        <v>5</v>
      </c>
      <c r="U3" t="s">
        <v>135</v>
      </c>
    </row>
    <row r="4" spans="1:21" x14ac:dyDescent="0.25">
      <c r="C4" t="s">
        <v>137</v>
      </c>
      <c r="E4" t="s">
        <v>138</v>
      </c>
      <c r="G4" t="s">
        <v>801</v>
      </c>
      <c r="I4">
        <v>3</v>
      </c>
      <c r="K4">
        <v>0.75</v>
      </c>
      <c r="M4">
        <v>0.75</v>
      </c>
      <c r="O4">
        <v>2</v>
      </c>
      <c r="R4">
        <v>10</v>
      </c>
    </row>
    <row r="5" spans="1:21" x14ac:dyDescent="0.25">
      <c r="C5" t="s">
        <v>139</v>
      </c>
      <c r="E5" t="s">
        <v>801</v>
      </c>
      <c r="I5">
        <v>3.5</v>
      </c>
      <c r="K5">
        <v>1</v>
      </c>
      <c r="M5">
        <v>1</v>
      </c>
      <c r="O5">
        <v>3</v>
      </c>
      <c r="R5">
        <v>20</v>
      </c>
    </row>
    <row r="6" spans="1:21" x14ac:dyDescent="0.25">
      <c r="C6" t="s">
        <v>140</v>
      </c>
      <c r="I6">
        <v>4</v>
      </c>
      <c r="K6">
        <v>1.5</v>
      </c>
      <c r="M6">
        <v>1.5</v>
      </c>
      <c r="O6">
        <v>4</v>
      </c>
      <c r="R6">
        <v>40</v>
      </c>
    </row>
    <row r="7" spans="1:21" x14ac:dyDescent="0.25">
      <c r="C7" t="s">
        <v>141</v>
      </c>
      <c r="I7">
        <v>5</v>
      </c>
      <c r="M7">
        <v>2</v>
      </c>
      <c r="O7">
        <v>5</v>
      </c>
      <c r="R7">
        <v>60</v>
      </c>
    </row>
    <row r="8" spans="1:21" x14ac:dyDescent="0.25">
      <c r="C8" t="s">
        <v>801</v>
      </c>
      <c r="I8">
        <v>6</v>
      </c>
      <c r="M8">
        <v>2.5</v>
      </c>
      <c r="O8">
        <v>6</v>
      </c>
    </row>
    <row r="9" spans="1:21" x14ac:dyDescent="0.25">
      <c r="I9">
        <v>8</v>
      </c>
      <c r="M9">
        <v>3</v>
      </c>
      <c r="O9">
        <v>7</v>
      </c>
    </row>
    <row r="10" spans="1:21" x14ac:dyDescent="0.25">
      <c r="I10">
        <v>10</v>
      </c>
      <c r="M10">
        <v>3.5</v>
      </c>
      <c r="O10">
        <v>8</v>
      </c>
    </row>
    <row r="11" spans="1:21" x14ac:dyDescent="0.25">
      <c r="I11">
        <v>0</v>
      </c>
      <c r="M11">
        <v>4</v>
      </c>
      <c r="O11">
        <v>9</v>
      </c>
    </row>
    <row r="12" spans="1:21" x14ac:dyDescent="0.25">
      <c r="O12">
        <v>10</v>
      </c>
    </row>
  </sheetData>
  <pageMargins left="0.7" right="0.7" top="0.75" bottom="0.75" header="0.3" footer="0.3"/>
  <tableParts count="10">
    <tablePart r:id="rId1"/>
    <tablePart r:id="rId2"/>
    <tablePart r:id="rId3"/>
    <tablePart r:id="rId4"/>
    <tablePart r:id="rId5"/>
    <tablePart r:id="rId6"/>
    <tablePart r:id="rId7"/>
    <tablePart r:id="rId8"/>
    <tablePart r:id="rId9"/>
    <tablePart r:id="rId10"/>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9DCBB1-F0D0-4E45-AFB5-5E91D5EF5AFC}">
  <sheetPr codeName="Sheet13"/>
  <dimension ref="A1:AO250"/>
  <sheetViews>
    <sheetView topLeftCell="D1" workbookViewId="0">
      <pane ySplit="1" topLeftCell="A90" activePane="bottomLeft" state="frozen"/>
      <selection activeCell="B11" sqref="B11"/>
      <selection pane="bottomLeft" activeCell="B11" sqref="B11"/>
    </sheetView>
  </sheetViews>
  <sheetFormatPr defaultRowHeight="15" x14ac:dyDescent="0.25"/>
  <cols>
    <col min="1" max="1" width="14.7109375" customWidth="1"/>
    <col min="2" max="2" width="48.140625" customWidth="1"/>
    <col min="3" max="3" width="12.5703125" customWidth="1"/>
    <col min="4" max="4" width="12.28515625" customWidth="1"/>
    <col min="5" max="5" width="11.5703125" customWidth="1"/>
    <col min="6" max="6" width="15.7109375" customWidth="1"/>
    <col min="7" max="7" width="16.140625" customWidth="1"/>
    <col min="8" max="8" width="11.42578125" customWidth="1"/>
    <col min="9" max="9" width="12" customWidth="1"/>
    <col min="10" max="10" width="10.5703125" customWidth="1"/>
    <col min="11" max="11" width="17.140625" customWidth="1"/>
    <col min="12" max="12" width="11" customWidth="1"/>
    <col min="13" max="13" width="11.42578125" customWidth="1"/>
    <col min="14" max="14" width="12.140625" customWidth="1"/>
    <col min="15" max="15" width="14.140625" customWidth="1"/>
    <col min="16" max="16" width="14.42578125" customWidth="1"/>
    <col min="17" max="18" width="16.5703125" customWidth="1"/>
    <col min="19" max="19" width="15.28515625" customWidth="1"/>
    <col min="20" max="20" width="11.7109375" style="5" customWidth="1"/>
    <col min="21" max="21" width="12.85546875" customWidth="1"/>
    <col min="22" max="22" width="12.140625" customWidth="1"/>
    <col min="23" max="23" width="9.140625" style="36" customWidth="1"/>
    <col min="24" max="24" width="29.42578125" style="36" bestFit="1" customWidth="1"/>
    <col min="25" max="25" width="18.85546875" style="36" bestFit="1" customWidth="1"/>
    <col min="26" max="26" width="18.85546875" style="36" customWidth="1"/>
    <col min="27" max="27" width="9.42578125" style="36" bestFit="1" customWidth="1"/>
    <col min="28" max="29" width="11.85546875" style="36" bestFit="1" customWidth="1"/>
    <col min="30" max="32" width="11.85546875" style="36" customWidth="1"/>
    <col min="35" max="35" width="11.42578125" customWidth="1"/>
    <col min="37" max="37" width="29.42578125" bestFit="1" customWidth="1"/>
    <col min="38" max="38" width="13.140625" customWidth="1"/>
    <col min="40" max="40" width="13.5703125" customWidth="1"/>
    <col min="41" max="41" width="13.85546875" customWidth="1"/>
  </cols>
  <sheetData>
    <row r="1" spans="1:41" s="9" customFormat="1" ht="45" x14ac:dyDescent="0.25">
      <c r="A1" s="8" t="s">
        <v>111</v>
      </c>
      <c r="B1" s="8" t="s">
        <v>112</v>
      </c>
      <c r="C1" s="8" t="s">
        <v>142</v>
      </c>
      <c r="D1" s="8" t="s">
        <v>143</v>
      </c>
      <c r="E1" s="8" t="s">
        <v>144</v>
      </c>
      <c r="F1" s="8" t="s">
        <v>145</v>
      </c>
      <c r="G1" s="8" t="s">
        <v>146</v>
      </c>
      <c r="H1" s="8" t="s">
        <v>147</v>
      </c>
      <c r="I1" s="8" t="s">
        <v>148</v>
      </c>
      <c r="J1" s="8" t="s">
        <v>149</v>
      </c>
      <c r="K1" s="8" t="s">
        <v>150</v>
      </c>
      <c r="L1" s="8" t="s">
        <v>151</v>
      </c>
      <c r="M1" s="8" t="s">
        <v>152</v>
      </c>
      <c r="N1" s="8" t="s">
        <v>153</v>
      </c>
      <c r="O1" s="8" t="s">
        <v>154</v>
      </c>
      <c r="P1" s="8" t="s">
        <v>155</v>
      </c>
      <c r="Q1" s="8" t="s">
        <v>156</v>
      </c>
      <c r="R1" s="8" t="s">
        <v>157</v>
      </c>
      <c r="S1" s="8" t="s">
        <v>158</v>
      </c>
      <c r="T1" s="45" t="s">
        <v>159</v>
      </c>
      <c r="U1" s="8" t="s">
        <v>160</v>
      </c>
      <c r="V1" s="8" t="s">
        <v>161</v>
      </c>
      <c r="W1" s="37" t="s">
        <v>162</v>
      </c>
      <c r="X1" s="37" t="s">
        <v>163</v>
      </c>
      <c r="Y1" s="37" t="s">
        <v>164</v>
      </c>
      <c r="Z1" s="37" t="s">
        <v>165</v>
      </c>
      <c r="AA1" s="37" t="s">
        <v>166</v>
      </c>
      <c r="AB1" s="37" t="s">
        <v>167</v>
      </c>
      <c r="AC1" s="37" t="s">
        <v>168</v>
      </c>
      <c r="AD1" s="37"/>
      <c r="AE1" s="37"/>
      <c r="AF1" s="37"/>
      <c r="AH1" s="9" t="s">
        <v>169</v>
      </c>
      <c r="AI1" s="9" t="s">
        <v>170</v>
      </c>
      <c r="AK1" s="9" t="s">
        <v>163</v>
      </c>
      <c r="AL1" s="9" t="s">
        <v>171</v>
      </c>
      <c r="AN1" s="9" t="s">
        <v>172</v>
      </c>
      <c r="AO1" s="9" t="s">
        <v>173</v>
      </c>
    </row>
    <row r="2" spans="1:41" x14ac:dyDescent="0.25">
      <c r="A2" s="1" t="s">
        <v>174</v>
      </c>
      <c r="B2" s="1" t="s">
        <v>175</v>
      </c>
      <c r="C2" s="1">
        <f t="shared" ref="C2:C65" si="0">E2+1.675</f>
        <v>25.675000000000001</v>
      </c>
      <c r="D2" s="1">
        <f t="shared" ref="D2:D65" si="1">F2+1.675+12.376</f>
        <v>34.051000000000002</v>
      </c>
      <c r="E2" s="1">
        <v>24</v>
      </c>
      <c r="F2" s="1">
        <v>20</v>
      </c>
      <c r="G2" s="1">
        <f>F2-(1.88*2)</f>
        <v>16.240000000000002</v>
      </c>
      <c r="H2" s="1">
        <v>0</v>
      </c>
      <c r="I2" s="1" t="s">
        <v>176</v>
      </c>
      <c r="J2" s="1">
        <v>1</v>
      </c>
      <c r="K2" s="2">
        <f t="shared" ref="K2:K65" si="2">((F2)/(L2-1))-(H2*0.8125)</f>
        <v>20</v>
      </c>
      <c r="L2" s="1">
        <f t="shared" ref="L2:L65" si="3">2+(H2)</f>
        <v>2</v>
      </c>
      <c r="M2" s="1">
        <f>3*N2</f>
        <v>6</v>
      </c>
      <c r="N2" s="1">
        <f>(2+(2*H2))*J2</f>
        <v>2</v>
      </c>
      <c r="O2" s="3">
        <f>((E2*(L2+H2))+(F2*J2))/12</f>
        <v>5.666666666666667</v>
      </c>
      <c r="P2" s="1">
        <f>ROUNDUP(O2/10,0)</f>
        <v>1</v>
      </c>
      <c r="Q2">
        <f>2*(L2+J2)</f>
        <v>6</v>
      </c>
      <c r="R2">
        <f>_xlfn.XLOOKUP(HFrame_List[[#This Row],[Cross piece style]],$AH$2:$AH$4,$AI$2:$AI$4,0,0)*(HFrame_List[[#This Row],[Width between brackets]]/12)</f>
        <v>7.3892000000000007</v>
      </c>
      <c r="S2">
        <f>Strut_costs[[#This Row],[Strut cost]]*(HFrame_List[[#This Row],[cross piece quantity]]-1)*(HFrame_List[[#This Row],[Width between brackets]]/12)</f>
        <v>0</v>
      </c>
      <c r="T2" s="5">
        <f>HFrame_List[[#This Row],[Bottom cross piece cost]]+HFrame_List[[#This Row],[Top cross piece cost]]+HFrame_List[[#This Row],[Component costs]]+HFrame_List[[#This Row],[Vertical strut cost]]</f>
        <v>57.287199999999999</v>
      </c>
      <c r="U2" s="7">
        <f>_xlfn.XLOOKUP(HFrame_List[[#This Row],[Fabrication type]],Fabrication_costs[Fabrication type],Fabrication_costs[unit pricing],"no result",0)</f>
        <v>19.8</v>
      </c>
      <c r="V2" s="5">
        <f>SUM(T2:U2)/(1-HFrame_List[[#This Row],[Margin]])</f>
        <v>220.24914285714286</v>
      </c>
      <c r="W2" s="36">
        <v>0.65</v>
      </c>
      <c r="X2" t="s">
        <v>177</v>
      </c>
      <c r="Y2">
        <f>_xlfn.XLOOKUP("A12",Strut_costs[size],Strut_costs[Strut cost])/12*HFrame_List[[#This Row],[Strut height (in)]]*(2+HFrame_List[[#This Row],[Extra supports]])</f>
        <v>21.84</v>
      </c>
      <c r="Z2">
        <f>(_xlfn.XLOOKUP("PHB",CADDY_costs[Component],CADDY_costs[Current cost])*HFrame_List[[#This Row],[Number of feet]])+(_xlfn.XLOOKUP("HFRMHDW",CADDY_costs[Component],CADDY_costs[Current cost])*(HFrame_List[[#This Row],[number of L-brackets]]/2))</f>
        <v>28.058</v>
      </c>
      <c r="AA2">
        <v>2420</v>
      </c>
      <c r="AB2">
        <f>VLOOKUP(HFrame_List[[#This Row],[lookup]],'Pallet and shipping info'!$A$5:$H$33,6,FALSE)</f>
        <v>11</v>
      </c>
      <c r="AC2">
        <f>VLOOKUP(HFrame_List[[#This Row],[lookup]],'Pallet and shipping info'!$A$5:$H$33,8,FALSE)</f>
        <v>15</v>
      </c>
      <c r="AD2"/>
      <c r="AE2"/>
      <c r="AF2"/>
      <c r="AH2" t="s">
        <v>176</v>
      </c>
      <c r="AI2">
        <v>5.46</v>
      </c>
      <c r="AK2" t="s">
        <v>177</v>
      </c>
      <c r="AL2" s="38">
        <v>19.8</v>
      </c>
      <c r="AN2" t="s">
        <v>178</v>
      </c>
      <c r="AO2" s="5">
        <v>9.2959999999999994</v>
      </c>
    </row>
    <row r="3" spans="1:41" x14ac:dyDescent="0.25">
      <c r="A3" s="1" t="s">
        <v>179</v>
      </c>
      <c r="B3" s="1" t="s">
        <v>180</v>
      </c>
      <c r="C3" s="1">
        <f t="shared" si="0"/>
        <v>37.674999999999997</v>
      </c>
      <c r="D3" s="1">
        <f t="shared" si="1"/>
        <v>34.051000000000002</v>
      </c>
      <c r="E3" s="1">
        <v>36</v>
      </c>
      <c r="F3" s="1">
        <f>F2</f>
        <v>20</v>
      </c>
      <c r="G3" s="1">
        <f t="shared" ref="G3:G25" si="4">F3-(1.88*2)</f>
        <v>16.240000000000002</v>
      </c>
      <c r="H3" s="1">
        <v>0</v>
      </c>
      <c r="I3" s="1" t="s">
        <v>176</v>
      </c>
      <c r="J3" s="1">
        <v>1</v>
      </c>
      <c r="K3" s="2">
        <f t="shared" si="2"/>
        <v>20</v>
      </c>
      <c r="L3" s="1">
        <f t="shared" si="3"/>
        <v>2</v>
      </c>
      <c r="M3" s="1">
        <f t="shared" ref="M3:M25" si="5">3*N3</f>
        <v>6</v>
      </c>
      <c r="N3" s="1">
        <f t="shared" ref="N3:N25" si="6">(2+(2*H3))*J3</f>
        <v>2</v>
      </c>
      <c r="O3" s="3">
        <f t="shared" ref="O3:O66" si="7">((E3*(L3+H3))+(F3*J3))/12</f>
        <v>7.666666666666667</v>
      </c>
      <c r="P3" s="1">
        <f t="shared" ref="P3:P66" si="8">ROUNDUP(O3/10,0)</f>
        <v>1</v>
      </c>
      <c r="Q3">
        <f t="shared" ref="Q3:Q66" si="9">2*(L3+J3)</f>
        <v>6</v>
      </c>
      <c r="R3">
        <f>_xlfn.XLOOKUP(HFrame_List[[#This Row],[Cross piece style]],$AH$2:$AH$4,$AI$2:$AI$4,0,0)*(HFrame_List[[#This Row],[Width between brackets]]/12)</f>
        <v>7.3892000000000007</v>
      </c>
      <c r="S3">
        <f>5.46*(HFrame_List[[#This Row],[cross piece quantity]]-1)*(HFrame_List[[#This Row],[Width between brackets]]/12)</f>
        <v>0</v>
      </c>
      <c r="T3" s="5">
        <f>HFrame_List[[#This Row],[Bottom cross piece cost]]+HFrame_List[[#This Row],[Top cross piece cost]]+HFrame_List[[#This Row],[Component costs]]+HFrame_List[[#This Row],[Vertical strut cost]]</f>
        <v>68.2072</v>
      </c>
      <c r="U3" s="7">
        <f>_xlfn.XLOOKUP(HFrame_List[[#This Row],[Fabrication type]],Fabrication_costs[Fabrication type],Fabrication_costs[unit pricing],"no result",0)</f>
        <v>19.8</v>
      </c>
      <c r="V3" s="5">
        <f>SUM(T3:U3)/(1-HFrame_List[[#This Row],[Margin]])</f>
        <v>251.44914285714287</v>
      </c>
      <c r="W3" s="36">
        <f>W2</f>
        <v>0.65</v>
      </c>
      <c r="X3" t="s">
        <v>177</v>
      </c>
      <c r="Y3">
        <f>_xlfn.XLOOKUP("A12",Strut_costs[size],Strut_costs[Strut cost])/12*HFrame_List[[#This Row],[Strut height (in)]]*(2+HFrame_List[[#This Row],[Extra supports]])</f>
        <v>32.76</v>
      </c>
      <c r="Z3">
        <f>(_xlfn.XLOOKUP("PHB",CADDY_costs[Component],CADDY_costs[Current cost])*HFrame_List[[#This Row],[Number of feet]])+(_xlfn.XLOOKUP("HFRMHDW",CADDY_costs[Component],CADDY_costs[Current cost])*(HFrame_List[[#This Row],[number of L-brackets]]/2))</f>
        <v>28.058</v>
      </c>
      <c r="AA3">
        <v>3620</v>
      </c>
      <c r="AB3">
        <f>VLOOKUP(HFrame_List[[#This Row],[lookup]],'Pallet and shipping info'!$A$5:$H$33,6,FALSE)</f>
        <v>11</v>
      </c>
      <c r="AC3">
        <f>VLOOKUP(HFrame_List[[#This Row],[lookup]],'Pallet and shipping info'!$A$5:$H$33,8,FALSE)</f>
        <v>15</v>
      </c>
      <c r="AD3"/>
      <c r="AE3"/>
      <c r="AF3"/>
      <c r="AH3" t="s">
        <v>181</v>
      </c>
      <c r="AI3">
        <v>13.93</v>
      </c>
      <c r="AK3" t="s">
        <v>182</v>
      </c>
      <c r="AL3" s="38">
        <v>27.72</v>
      </c>
      <c r="AN3" t="s">
        <v>183</v>
      </c>
      <c r="AO3" s="5">
        <v>9.4659999999999993</v>
      </c>
    </row>
    <row r="4" spans="1:41" x14ac:dyDescent="0.25">
      <c r="A4" s="1" t="s">
        <v>184</v>
      </c>
      <c r="B4" s="1" t="s">
        <v>185</v>
      </c>
      <c r="C4" s="1">
        <f t="shared" si="0"/>
        <v>49.674999999999997</v>
      </c>
      <c r="D4" s="1">
        <f t="shared" si="1"/>
        <v>34.051000000000002</v>
      </c>
      <c r="E4" s="1">
        <v>48</v>
      </c>
      <c r="F4" s="1">
        <f t="shared" ref="F4:F5" si="10">F3</f>
        <v>20</v>
      </c>
      <c r="G4" s="1">
        <f t="shared" si="4"/>
        <v>16.240000000000002</v>
      </c>
      <c r="H4" s="1">
        <v>0</v>
      </c>
      <c r="I4" s="1" t="s">
        <v>176</v>
      </c>
      <c r="J4" s="1">
        <v>1</v>
      </c>
      <c r="K4" s="2">
        <f t="shared" si="2"/>
        <v>20</v>
      </c>
      <c r="L4" s="1">
        <f t="shared" si="3"/>
        <v>2</v>
      </c>
      <c r="M4" s="1">
        <f t="shared" si="5"/>
        <v>6</v>
      </c>
      <c r="N4" s="1">
        <f t="shared" si="6"/>
        <v>2</v>
      </c>
      <c r="O4" s="3">
        <f t="shared" si="7"/>
        <v>9.6666666666666661</v>
      </c>
      <c r="P4" s="1">
        <f t="shared" si="8"/>
        <v>1</v>
      </c>
      <c r="Q4">
        <f t="shared" si="9"/>
        <v>6</v>
      </c>
      <c r="R4">
        <f>_xlfn.XLOOKUP(HFrame_List[[#This Row],[Cross piece style]],$AH$2:$AH$4,$AI$2:$AI$4,0,0)*(HFrame_List[[#This Row],[Width between brackets]]/12)</f>
        <v>7.3892000000000007</v>
      </c>
      <c r="S4">
        <f>5.46*(HFrame_List[[#This Row],[cross piece quantity]]-1)*(HFrame_List[[#This Row],[Width between brackets]]/12)</f>
        <v>0</v>
      </c>
      <c r="T4" s="5">
        <f>HFrame_List[[#This Row],[Bottom cross piece cost]]+HFrame_List[[#This Row],[Top cross piece cost]]+HFrame_List[[#This Row],[Component costs]]+HFrame_List[[#This Row],[Vertical strut cost]]</f>
        <v>79.127200000000002</v>
      </c>
      <c r="U4" s="7">
        <f>_xlfn.XLOOKUP(HFrame_List[[#This Row],[Fabrication type]],Fabrication_costs[Fabrication type],Fabrication_costs[unit pricing],"no result",0)</f>
        <v>19.8</v>
      </c>
      <c r="V4" s="5">
        <f>SUM(T4:U4)/(1-HFrame_List[[#This Row],[Margin]])</f>
        <v>282.64914285714286</v>
      </c>
      <c r="W4" s="36">
        <f t="shared" ref="W4:W67" si="11">W3</f>
        <v>0.65</v>
      </c>
      <c r="X4" t="s">
        <v>177</v>
      </c>
      <c r="Y4">
        <f>_xlfn.XLOOKUP("A12",Strut_costs[size],Strut_costs[Strut cost])/12*HFrame_List[[#This Row],[Strut height (in)]]*(2+HFrame_List[[#This Row],[Extra supports]])</f>
        <v>43.68</v>
      </c>
      <c r="Z4">
        <f>(_xlfn.XLOOKUP("PHB",CADDY_costs[Component],CADDY_costs[Current cost])*HFrame_List[[#This Row],[Number of feet]])+(_xlfn.XLOOKUP("HFRMHDW",CADDY_costs[Component],CADDY_costs[Current cost])*(HFrame_List[[#This Row],[number of L-brackets]]/2))</f>
        <v>28.058</v>
      </c>
      <c r="AA4">
        <v>4820</v>
      </c>
      <c r="AB4">
        <f>VLOOKUP(HFrame_List[[#This Row],[lookup]],'Pallet and shipping info'!$A$5:$H$33,6,FALSE)</f>
        <v>11</v>
      </c>
      <c r="AC4">
        <f>VLOOKUP(HFrame_List[[#This Row],[lookup]],'Pallet and shipping info'!$A$5:$H$33,8,FALSE)</f>
        <v>15</v>
      </c>
      <c r="AD4"/>
      <c r="AE4"/>
      <c r="AF4"/>
      <c r="AH4" t="s">
        <v>186</v>
      </c>
      <c r="AI4">
        <v>29.7</v>
      </c>
      <c r="AK4" t="s">
        <v>187</v>
      </c>
      <c r="AL4" s="38">
        <v>30</v>
      </c>
    </row>
    <row r="5" spans="1:41" x14ac:dyDescent="0.25">
      <c r="A5" s="1" t="s">
        <v>188</v>
      </c>
      <c r="B5" s="1" t="s">
        <v>189</v>
      </c>
      <c r="C5" s="1">
        <f t="shared" si="0"/>
        <v>73.674999999999997</v>
      </c>
      <c r="D5" s="1">
        <f t="shared" si="1"/>
        <v>34.051000000000002</v>
      </c>
      <c r="E5" s="1">
        <v>72</v>
      </c>
      <c r="F5" s="1">
        <f t="shared" si="10"/>
        <v>20</v>
      </c>
      <c r="G5" s="1">
        <f t="shared" si="4"/>
        <v>16.240000000000002</v>
      </c>
      <c r="H5" s="1">
        <v>0</v>
      </c>
      <c r="I5" s="1" t="s">
        <v>176</v>
      </c>
      <c r="J5" s="1">
        <v>1</v>
      </c>
      <c r="K5" s="2">
        <f t="shared" si="2"/>
        <v>20</v>
      </c>
      <c r="L5" s="1">
        <f t="shared" si="3"/>
        <v>2</v>
      </c>
      <c r="M5" s="1">
        <f t="shared" si="5"/>
        <v>6</v>
      </c>
      <c r="N5" s="1">
        <f t="shared" si="6"/>
        <v>2</v>
      </c>
      <c r="O5" s="3">
        <f t="shared" si="7"/>
        <v>13.666666666666666</v>
      </c>
      <c r="P5" s="1">
        <f t="shared" si="8"/>
        <v>2</v>
      </c>
      <c r="Q5">
        <f t="shared" si="9"/>
        <v>6</v>
      </c>
      <c r="R5">
        <f>_xlfn.XLOOKUP(HFrame_List[[#This Row],[Cross piece style]],$AH$2:$AH$4,$AI$2:$AI$4,0,0)*(HFrame_List[[#This Row],[Width between brackets]]/12)</f>
        <v>7.3892000000000007</v>
      </c>
      <c r="S5">
        <f>5.46*(HFrame_List[[#This Row],[cross piece quantity]]-1)*(HFrame_List[[#This Row],[Width between brackets]]/12)</f>
        <v>0</v>
      </c>
      <c r="T5" s="5">
        <f>HFrame_List[[#This Row],[Bottom cross piece cost]]+HFrame_List[[#This Row],[Top cross piece cost]]+HFrame_List[[#This Row],[Component costs]]+HFrame_List[[#This Row],[Vertical strut cost]]</f>
        <v>100.96719999999999</v>
      </c>
      <c r="U5" s="7">
        <f>_xlfn.XLOOKUP(HFrame_List[[#This Row],[Fabrication type]],Fabrication_costs[Fabrication type],Fabrication_costs[unit pricing],"no result",0)</f>
        <v>19.8</v>
      </c>
      <c r="V5" s="5">
        <f>SUM(T5:U5)/(1-HFrame_List[[#This Row],[Margin]])</f>
        <v>345.04914285714284</v>
      </c>
      <c r="W5" s="36">
        <f t="shared" si="11"/>
        <v>0.65</v>
      </c>
      <c r="X5" t="s">
        <v>177</v>
      </c>
      <c r="Y5">
        <f>_xlfn.XLOOKUP("A12",Strut_costs[size],Strut_costs[Strut cost])/12*HFrame_List[[#This Row],[Strut height (in)]]*(2+HFrame_List[[#This Row],[Extra supports]])</f>
        <v>65.52</v>
      </c>
      <c r="Z5">
        <f>(_xlfn.XLOOKUP("PHB",CADDY_costs[Component],CADDY_costs[Current cost])*HFrame_List[[#This Row],[Number of feet]])+(_xlfn.XLOOKUP("HFRMHDW",CADDY_costs[Component],CADDY_costs[Current cost])*(HFrame_List[[#This Row],[number of L-brackets]]/2))</f>
        <v>28.058</v>
      </c>
      <c r="AA5">
        <v>7220</v>
      </c>
      <c r="AB5">
        <f>VLOOKUP(HFrame_List[[#This Row],[lookup]],'Pallet and shipping info'!$A$5:$H$33,6,FALSE)</f>
        <v>11</v>
      </c>
      <c r="AC5">
        <f>VLOOKUP(HFrame_List[[#This Row],[lookup]],'Pallet and shipping info'!$A$5:$H$33,8,FALSE)</f>
        <v>15</v>
      </c>
      <c r="AD5"/>
      <c r="AE5"/>
      <c r="AF5"/>
      <c r="AK5" t="s">
        <v>190</v>
      </c>
      <c r="AL5" s="38">
        <v>40.200000000000003</v>
      </c>
    </row>
    <row r="6" spans="1:41" x14ac:dyDescent="0.25">
      <c r="A6" s="1" t="s">
        <v>191</v>
      </c>
      <c r="B6" s="1" t="s">
        <v>192</v>
      </c>
      <c r="C6" s="1">
        <f t="shared" si="0"/>
        <v>25.675000000000001</v>
      </c>
      <c r="D6" s="1">
        <f t="shared" si="1"/>
        <v>50.050999999999995</v>
      </c>
      <c r="E6" s="1">
        <v>24</v>
      </c>
      <c r="F6" s="1">
        <v>36</v>
      </c>
      <c r="G6" s="1">
        <f t="shared" si="4"/>
        <v>32.24</v>
      </c>
      <c r="H6" s="1">
        <v>0</v>
      </c>
      <c r="I6" s="1" t="s">
        <v>176</v>
      </c>
      <c r="J6" s="1">
        <v>1</v>
      </c>
      <c r="K6" s="2">
        <f t="shared" si="2"/>
        <v>36</v>
      </c>
      <c r="L6" s="1">
        <f t="shared" si="3"/>
        <v>2</v>
      </c>
      <c r="M6" s="1">
        <f t="shared" si="5"/>
        <v>6</v>
      </c>
      <c r="N6" s="1">
        <f t="shared" si="6"/>
        <v>2</v>
      </c>
      <c r="O6" s="3">
        <f t="shared" si="7"/>
        <v>7</v>
      </c>
      <c r="P6" s="1">
        <f t="shared" si="8"/>
        <v>1</v>
      </c>
      <c r="Q6">
        <f t="shared" si="9"/>
        <v>6</v>
      </c>
      <c r="R6">
        <f>_xlfn.XLOOKUP(HFrame_List[[#This Row],[Cross piece style]],$AH$2:$AH$4,$AI$2:$AI$4,0,0)*(HFrame_List[[#This Row],[Width between brackets]]/12)</f>
        <v>14.669200000000002</v>
      </c>
      <c r="S6">
        <f>5.46*(HFrame_List[[#This Row],[cross piece quantity]]-1)*(HFrame_List[[#This Row],[Width between brackets]]/12)</f>
        <v>0</v>
      </c>
      <c r="T6" s="5">
        <f>HFrame_List[[#This Row],[Bottom cross piece cost]]+HFrame_List[[#This Row],[Top cross piece cost]]+HFrame_List[[#This Row],[Component costs]]+HFrame_List[[#This Row],[Vertical strut cost]]</f>
        <v>64.5672</v>
      </c>
      <c r="U6" s="7">
        <f>_xlfn.XLOOKUP(HFrame_List[[#This Row],[Fabrication type]],Fabrication_costs[Fabrication type],Fabrication_costs[unit pricing],"no result",0)</f>
        <v>19.8</v>
      </c>
      <c r="V6" s="5">
        <f>SUM(T6:U6)/(1-HFrame_List[[#This Row],[Margin]])</f>
        <v>241.04914285714287</v>
      </c>
      <c r="W6" s="36">
        <f t="shared" si="11"/>
        <v>0.65</v>
      </c>
      <c r="X6" t="s">
        <v>177</v>
      </c>
      <c r="Y6">
        <f>_xlfn.XLOOKUP("A12",Strut_costs[size],Strut_costs[Strut cost])/12*HFrame_List[[#This Row],[Strut height (in)]]*(2+HFrame_List[[#This Row],[Extra supports]])</f>
        <v>21.84</v>
      </c>
      <c r="Z6">
        <f>(_xlfn.XLOOKUP("PHB",CADDY_costs[Component],CADDY_costs[Current cost])*HFrame_List[[#This Row],[Number of feet]])+(_xlfn.XLOOKUP("HFRMHDW",CADDY_costs[Component],CADDY_costs[Current cost])*(HFrame_List[[#This Row],[number of L-brackets]]/2))</f>
        <v>28.058</v>
      </c>
      <c r="AA6">
        <v>2436</v>
      </c>
      <c r="AB6">
        <f>VLOOKUP(HFrame_List[[#This Row],[lookup]],'Pallet and shipping info'!$A$5:$H$33,6,FALSE)</f>
        <v>9</v>
      </c>
      <c r="AC6">
        <f>VLOOKUP(HFrame_List[[#This Row],[lookup]],'Pallet and shipping info'!$A$5:$H$33,8,FALSE)</f>
        <v>14</v>
      </c>
      <c r="AD6"/>
      <c r="AE6"/>
      <c r="AF6"/>
      <c r="AK6" t="s">
        <v>193</v>
      </c>
      <c r="AL6" s="38">
        <v>30</v>
      </c>
    </row>
    <row r="7" spans="1:41" x14ac:dyDescent="0.25">
      <c r="A7" s="1" t="s">
        <v>194</v>
      </c>
      <c r="B7" s="1" t="s">
        <v>195</v>
      </c>
      <c r="C7" s="1">
        <f t="shared" si="0"/>
        <v>37.674999999999997</v>
      </c>
      <c r="D7" s="1">
        <f t="shared" si="1"/>
        <v>50.050999999999995</v>
      </c>
      <c r="E7" s="1">
        <v>36</v>
      </c>
      <c r="F7" s="1">
        <f>F6</f>
        <v>36</v>
      </c>
      <c r="G7" s="1">
        <f t="shared" si="4"/>
        <v>32.24</v>
      </c>
      <c r="H7" s="1">
        <v>0</v>
      </c>
      <c r="I7" s="1" t="s">
        <v>176</v>
      </c>
      <c r="J7" s="1">
        <v>1</v>
      </c>
      <c r="K7" s="2">
        <f t="shared" si="2"/>
        <v>36</v>
      </c>
      <c r="L7" s="1">
        <f t="shared" si="3"/>
        <v>2</v>
      </c>
      <c r="M7" s="1">
        <f t="shared" si="5"/>
        <v>6</v>
      </c>
      <c r="N7" s="1">
        <f t="shared" si="6"/>
        <v>2</v>
      </c>
      <c r="O7" s="3">
        <f t="shared" si="7"/>
        <v>9</v>
      </c>
      <c r="P7" s="1">
        <f t="shared" si="8"/>
        <v>1</v>
      </c>
      <c r="Q7">
        <f t="shared" si="9"/>
        <v>6</v>
      </c>
      <c r="R7">
        <f>_xlfn.XLOOKUP(HFrame_List[[#This Row],[Cross piece style]],$AH$2:$AH$4,$AI$2:$AI$4,0,0)*(HFrame_List[[#This Row],[Width between brackets]]/12)</f>
        <v>14.669200000000002</v>
      </c>
      <c r="S7">
        <f>5.46*(HFrame_List[[#This Row],[cross piece quantity]]-1)*(HFrame_List[[#This Row],[Width between brackets]]/12)</f>
        <v>0</v>
      </c>
      <c r="T7" s="5">
        <f>HFrame_List[[#This Row],[Bottom cross piece cost]]+HFrame_List[[#This Row],[Top cross piece cost]]+HFrame_List[[#This Row],[Component costs]]+HFrame_List[[#This Row],[Vertical strut cost]]</f>
        <v>75.487200000000001</v>
      </c>
      <c r="U7" s="7">
        <f>_xlfn.XLOOKUP(HFrame_List[[#This Row],[Fabrication type]],Fabrication_costs[Fabrication type],Fabrication_costs[unit pricing],"no result",0)</f>
        <v>19.8</v>
      </c>
      <c r="V7" s="5">
        <f>SUM(T7:U7)/(1-HFrame_List[[#This Row],[Margin]])</f>
        <v>272.24914285714289</v>
      </c>
      <c r="W7" s="36">
        <f t="shared" si="11"/>
        <v>0.65</v>
      </c>
      <c r="X7" t="s">
        <v>177</v>
      </c>
      <c r="Y7">
        <f>_xlfn.XLOOKUP("A12",Strut_costs[size],Strut_costs[Strut cost])/12*HFrame_List[[#This Row],[Strut height (in)]]*(2+HFrame_List[[#This Row],[Extra supports]])</f>
        <v>32.76</v>
      </c>
      <c r="Z7">
        <f>(_xlfn.XLOOKUP("PHB",CADDY_costs[Component],CADDY_costs[Current cost])*HFrame_List[[#This Row],[Number of feet]])+(_xlfn.XLOOKUP("HFRMHDW",CADDY_costs[Component],CADDY_costs[Current cost])*(HFrame_List[[#This Row],[number of L-brackets]]/2))</f>
        <v>28.058</v>
      </c>
      <c r="AA7">
        <v>3636</v>
      </c>
      <c r="AB7">
        <f>VLOOKUP(HFrame_List[[#This Row],[lookup]],'Pallet and shipping info'!$A$5:$H$33,6,FALSE)</f>
        <v>9</v>
      </c>
      <c r="AC7">
        <f>VLOOKUP(HFrame_List[[#This Row],[lookup]],'Pallet and shipping info'!$A$5:$H$33,8,FALSE)</f>
        <v>14</v>
      </c>
      <c r="AD7"/>
      <c r="AE7"/>
      <c r="AF7"/>
      <c r="AK7" t="s">
        <v>196</v>
      </c>
      <c r="AL7" s="38">
        <v>40.200000000000003</v>
      </c>
    </row>
    <row r="8" spans="1:41" x14ac:dyDescent="0.25">
      <c r="A8" s="1" t="s">
        <v>197</v>
      </c>
      <c r="B8" s="1" t="s">
        <v>198</v>
      </c>
      <c r="C8" s="1">
        <f t="shared" si="0"/>
        <v>49.674999999999997</v>
      </c>
      <c r="D8" s="1">
        <f t="shared" si="1"/>
        <v>50.050999999999995</v>
      </c>
      <c r="E8" s="1">
        <v>48</v>
      </c>
      <c r="F8" s="1">
        <f t="shared" ref="F8:F13" si="12">F7</f>
        <v>36</v>
      </c>
      <c r="G8" s="1">
        <f t="shared" si="4"/>
        <v>32.24</v>
      </c>
      <c r="H8" s="1">
        <v>0</v>
      </c>
      <c r="I8" s="1" t="s">
        <v>176</v>
      </c>
      <c r="J8" s="1">
        <v>1</v>
      </c>
      <c r="K8" s="2">
        <f t="shared" si="2"/>
        <v>36</v>
      </c>
      <c r="L8" s="1">
        <f t="shared" si="3"/>
        <v>2</v>
      </c>
      <c r="M8" s="1">
        <f t="shared" si="5"/>
        <v>6</v>
      </c>
      <c r="N8" s="1">
        <f t="shared" si="6"/>
        <v>2</v>
      </c>
      <c r="O8" s="3">
        <f t="shared" si="7"/>
        <v>11</v>
      </c>
      <c r="P8" s="1">
        <f t="shared" si="8"/>
        <v>2</v>
      </c>
      <c r="Q8">
        <f t="shared" si="9"/>
        <v>6</v>
      </c>
      <c r="R8">
        <f>_xlfn.XLOOKUP(HFrame_List[[#This Row],[Cross piece style]],$AH$2:$AH$4,$AI$2:$AI$4,0,0)*(HFrame_List[[#This Row],[Width between brackets]]/12)</f>
        <v>14.669200000000002</v>
      </c>
      <c r="S8">
        <f>5.46*(HFrame_List[[#This Row],[cross piece quantity]]-1)*(HFrame_List[[#This Row],[Width between brackets]]/12)</f>
        <v>0</v>
      </c>
      <c r="T8" s="5">
        <f>HFrame_List[[#This Row],[Bottom cross piece cost]]+HFrame_List[[#This Row],[Top cross piece cost]]+HFrame_List[[#This Row],[Component costs]]+HFrame_List[[#This Row],[Vertical strut cost]]</f>
        <v>86.407200000000003</v>
      </c>
      <c r="U8" s="7">
        <f>_xlfn.XLOOKUP(HFrame_List[[#This Row],[Fabrication type]],Fabrication_costs[Fabrication type],Fabrication_costs[unit pricing],"no result",0)</f>
        <v>19.8</v>
      </c>
      <c r="V8" s="5">
        <f>SUM(T8:U8)/(1-HFrame_List[[#This Row],[Margin]])</f>
        <v>303.44914285714287</v>
      </c>
      <c r="W8" s="36">
        <f t="shared" si="11"/>
        <v>0.65</v>
      </c>
      <c r="X8" t="s">
        <v>177</v>
      </c>
      <c r="Y8">
        <f>_xlfn.XLOOKUP("A12",Strut_costs[size],Strut_costs[Strut cost])/12*HFrame_List[[#This Row],[Strut height (in)]]*(2+HFrame_List[[#This Row],[Extra supports]])</f>
        <v>43.68</v>
      </c>
      <c r="Z8">
        <f>(_xlfn.XLOOKUP("PHB",CADDY_costs[Component],CADDY_costs[Current cost])*HFrame_List[[#This Row],[Number of feet]])+(_xlfn.XLOOKUP("HFRMHDW",CADDY_costs[Component],CADDY_costs[Current cost])*(HFrame_List[[#This Row],[number of L-brackets]]/2))</f>
        <v>28.058</v>
      </c>
      <c r="AA8">
        <v>4836</v>
      </c>
      <c r="AB8">
        <f>VLOOKUP(HFrame_List[[#This Row],[lookup]],'Pallet and shipping info'!$A$5:$H$33,6,FALSE)</f>
        <v>9</v>
      </c>
      <c r="AC8">
        <f>VLOOKUP(HFrame_List[[#This Row],[lookup]],'Pallet and shipping info'!$A$5:$H$33,8,FALSE)</f>
        <v>14</v>
      </c>
      <c r="AD8"/>
      <c r="AE8"/>
      <c r="AF8"/>
    </row>
    <row r="9" spans="1:41" x14ac:dyDescent="0.25">
      <c r="A9" s="1" t="s">
        <v>199</v>
      </c>
      <c r="B9" s="1" t="s">
        <v>200</v>
      </c>
      <c r="C9" s="1">
        <f t="shared" si="0"/>
        <v>73.674999999999997</v>
      </c>
      <c r="D9" s="1">
        <f t="shared" si="1"/>
        <v>50.050999999999995</v>
      </c>
      <c r="E9" s="1">
        <v>72</v>
      </c>
      <c r="F9" s="1">
        <f t="shared" si="12"/>
        <v>36</v>
      </c>
      <c r="G9" s="1">
        <f t="shared" si="4"/>
        <v>32.24</v>
      </c>
      <c r="H9" s="1">
        <v>0</v>
      </c>
      <c r="I9" s="1" t="s">
        <v>176</v>
      </c>
      <c r="J9" s="1">
        <v>1</v>
      </c>
      <c r="K9" s="2">
        <f t="shared" si="2"/>
        <v>36</v>
      </c>
      <c r="L9" s="1">
        <f t="shared" si="3"/>
        <v>2</v>
      </c>
      <c r="M9" s="1">
        <f t="shared" si="5"/>
        <v>6</v>
      </c>
      <c r="N9" s="1">
        <f t="shared" si="6"/>
        <v>2</v>
      </c>
      <c r="O9" s="3">
        <f t="shared" si="7"/>
        <v>15</v>
      </c>
      <c r="P9" s="1">
        <f t="shared" si="8"/>
        <v>2</v>
      </c>
      <c r="Q9">
        <f t="shared" si="9"/>
        <v>6</v>
      </c>
      <c r="R9">
        <f>_xlfn.XLOOKUP(HFrame_List[[#This Row],[Cross piece style]],$AH$2:$AH$4,$AI$2:$AI$4,0,0)*(HFrame_List[[#This Row],[Width between brackets]]/12)</f>
        <v>14.669200000000002</v>
      </c>
      <c r="S9">
        <f>5.46*(HFrame_List[[#This Row],[cross piece quantity]]-1)*(HFrame_List[[#This Row],[Width between brackets]]/12)</f>
        <v>0</v>
      </c>
      <c r="T9" s="5">
        <f>HFrame_List[[#This Row],[Bottom cross piece cost]]+HFrame_List[[#This Row],[Top cross piece cost]]+HFrame_List[[#This Row],[Component costs]]+HFrame_List[[#This Row],[Vertical strut cost]]</f>
        <v>108.24719999999999</v>
      </c>
      <c r="U9" s="7">
        <f>_xlfn.XLOOKUP(HFrame_List[[#This Row],[Fabrication type]],Fabrication_costs[Fabrication type],Fabrication_costs[unit pricing],"no result",0)</f>
        <v>19.8</v>
      </c>
      <c r="V9" s="5">
        <f>SUM(T9:U9)/(1-HFrame_List[[#This Row],[Margin]])</f>
        <v>365.84914285714291</v>
      </c>
      <c r="W9" s="36">
        <f t="shared" si="11"/>
        <v>0.65</v>
      </c>
      <c r="X9" t="s">
        <v>177</v>
      </c>
      <c r="Y9">
        <f>_xlfn.XLOOKUP("A12",Strut_costs[size],Strut_costs[Strut cost])/12*HFrame_List[[#This Row],[Strut height (in)]]*(2+HFrame_List[[#This Row],[Extra supports]])</f>
        <v>65.52</v>
      </c>
      <c r="Z9">
        <f>(_xlfn.XLOOKUP("PHB",CADDY_costs[Component],CADDY_costs[Current cost])*HFrame_List[[#This Row],[Number of feet]])+(_xlfn.XLOOKUP("HFRMHDW",CADDY_costs[Component],CADDY_costs[Current cost])*(HFrame_List[[#This Row],[number of L-brackets]]/2))</f>
        <v>28.058</v>
      </c>
      <c r="AA9">
        <v>7236</v>
      </c>
      <c r="AB9">
        <f>VLOOKUP(HFrame_List[[#This Row],[lookup]],'Pallet and shipping info'!$A$5:$H$33,6,FALSE)</f>
        <v>9</v>
      </c>
      <c r="AC9">
        <f>VLOOKUP(HFrame_List[[#This Row],[lookup]],'Pallet and shipping info'!$A$5:$H$33,8,FALSE)</f>
        <v>14</v>
      </c>
      <c r="AD9"/>
      <c r="AE9"/>
      <c r="AF9"/>
    </row>
    <row r="10" spans="1:41" x14ac:dyDescent="0.25">
      <c r="A10" s="1" t="s">
        <v>201</v>
      </c>
      <c r="B10" s="1" t="s">
        <v>202</v>
      </c>
      <c r="C10" s="1">
        <f t="shared" si="0"/>
        <v>25.675000000000001</v>
      </c>
      <c r="D10" s="1">
        <f t="shared" si="1"/>
        <v>62.050999999999995</v>
      </c>
      <c r="E10" s="1">
        <v>24</v>
      </c>
      <c r="F10" s="1">
        <v>48</v>
      </c>
      <c r="G10" s="1">
        <f t="shared" si="4"/>
        <v>44.24</v>
      </c>
      <c r="H10" s="1">
        <v>0</v>
      </c>
      <c r="I10" s="1" t="s">
        <v>176</v>
      </c>
      <c r="J10" s="1">
        <v>1</v>
      </c>
      <c r="K10" s="2">
        <f t="shared" si="2"/>
        <v>48</v>
      </c>
      <c r="L10" s="1">
        <f t="shared" si="3"/>
        <v>2</v>
      </c>
      <c r="M10" s="1">
        <f t="shared" si="5"/>
        <v>6</v>
      </c>
      <c r="N10" s="1">
        <f t="shared" si="6"/>
        <v>2</v>
      </c>
      <c r="O10" s="3">
        <f t="shared" si="7"/>
        <v>8</v>
      </c>
      <c r="P10" s="1">
        <f t="shared" si="8"/>
        <v>1</v>
      </c>
      <c r="Q10">
        <f t="shared" si="9"/>
        <v>6</v>
      </c>
      <c r="R10">
        <f>_xlfn.XLOOKUP(HFrame_List[[#This Row],[Cross piece style]],$AH$2:$AH$4,$AI$2:$AI$4,0,0)*(HFrame_List[[#This Row],[Width between brackets]]/12)</f>
        <v>20.129200000000001</v>
      </c>
      <c r="S10">
        <f>5.46*(HFrame_List[[#This Row],[cross piece quantity]]-1)*(HFrame_List[[#This Row],[Width between brackets]]/12)</f>
        <v>0</v>
      </c>
      <c r="T10" s="5">
        <f>HFrame_List[[#This Row],[Bottom cross piece cost]]+HFrame_List[[#This Row],[Top cross piece cost]]+HFrame_List[[#This Row],[Component costs]]+HFrame_List[[#This Row],[Vertical strut cost]]</f>
        <v>70.027200000000008</v>
      </c>
      <c r="U10" s="7">
        <f>_xlfn.XLOOKUP(HFrame_List[[#This Row],[Fabrication type]],Fabrication_costs[Fabrication type],Fabrication_costs[unit pricing],"no result",0)</f>
        <v>19.8</v>
      </c>
      <c r="V10" s="5">
        <f>SUM(T10:U10)/(1-HFrame_List[[#This Row],[Margin]])</f>
        <v>256.64914285714286</v>
      </c>
      <c r="W10" s="36">
        <f t="shared" si="11"/>
        <v>0.65</v>
      </c>
      <c r="X10" t="s">
        <v>177</v>
      </c>
      <c r="Y10">
        <f>_xlfn.XLOOKUP("A12",Strut_costs[size],Strut_costs[Strut cost])/12*HFrame_List[[#This Row],[Strut height (in)]]*(2+HFrame_List[[#This Row],[Extra supports]])</f>
        <v>21.84</v>
      </c>
      <c r="Z10">
        <f>(_xlfn.XLOOKUP("PHB",CADDY_costs[Component],CADDY_costs[Current cost])*HFrame_List[[#This Row],[Number of feet]])+(_xlfn.XLOOKUP("HFRMHDW",CADDY_costs[Component],CADDY_costs[Current cost])*(HFrame_List[[#This Row],[number of L-brackets]]/2))</f>
        <v>28.058</v>
      </c>
      <c r="AA10">
        <v>2448</v>
      </c>
      <c r="AB10">
        <f>VLOOKUP(HFrame_List[[#This Row],[lookup]],'Pallet and shipping info'!$A$5:$H$33,6,FALSE)</f>
        <v>7</v>
      </c>
      <c r="AC10">
        <f>VLOOKUP(HFrame_List[[#This Row],[lookup]],'Pallet and shipping info'!$A$5:$H$33,8,FALSE)</f>
        <v>10</v>
      </c>
      <c r="AD10"/>
      <c r="AE10"/>
      <c r="AF10"/>
    </row>
    <row r="11" spans="1:41" x14ac:dyDescent="0.25">
      <c r="A11" s="1" t="s">
        <v>203</v>
      </c>
      <c r="B11" s="1" t="s">
        <v>204</v>
      </c>
      <c r="C11" s="1">
        <f t="shared" si="0"/>
        <v>37.674999999999997</v>
      </c>
      <c r="D11" s="1">
        <f t="shared" si="1"/>
        <v>62.050999999999995</v>
      </c>
      <c r="E11" s="1">
        <v>36</v>
      </c>
      <c r="F11" s="1">
        <f t="shared" si="12"/>
        <v>48</v>
      </c>
      <c r="G11" s="1">
        <f t="shared" si="4"/>
        <v>44.24</v>
      </c>
      <c r="H11" s="1">
        <v>0</v>
      </c>
      <c r="I11" s="1" t="s">
        <v>176</v>
      </c>
      <c r="J11" s="1">
        <v>1</v>
      </c>
      <c r="K11" s="2">
        <f t="shared" si="2"/>
        <v>48</v>
      </c>
      <c r="L11" s="1">
        <f t="shared" si="3"/>
        <v>2</v>
      </c>
      <c r="M11" s="1">
        <f t="shared" si="5"/>
        <v>6</v>
      </c>
      <c r="N11" s="1">
        <f t="shared" si="6"/>
        <v>2</v>
      </c>
      <c r="O11" s="3">
        <f t="shared" si="7"/>
        <v>10</v>
      </c>
      <c r="P11" s="1">
        <f t="shared" si="8"/>
        <v>1</v>
      </c>
      <c r="Q11">
        <f t="shared" si="9"/>
        <v>6</v>
      </c>
      <c r="R11">
        <f>_xlfn.XLOOKUP(HFrame_List[[#This Row],[Cross piece style]],$AH$2:$AH$4,$AI$2:$AI$4,0,0)*(HFrame_List[[#This Row],[Width between brackets]]/12)</f>
        <v>20.129200000000001</v>
      </c>
      <c r="S11">
        <f>5.46*(HFrame_List[[#This Row],[cross piece quantity]]-1)*(HFrame_List[[#This Row],[Width between brackets]]/12)</f>
        <v>0</v>
      </c>
      <c r="T11" s="5">
        <f>HFrame_List[[#This Row],[Bottom cross piece cost]]+HFrame_List[[#This Row],[Top cross piece cost]]+HFrame_List[[#This Row],[Component costs]]+HFrame_List[[#This Row],[Vertical strut cost]]</f>
        <v>80.947200000000009</v>
      </c>
      <c r="U11" s="7">
        <f>_xlfn.XLOOKUP(HFrame_List[[#This Row],[Fabrication type]],Fabrication_costs[Fabrication type],Fabrication_costs[unit pricing],"no result",0)</f>
        <v>19.8</v>
      </c>
      <c r="V11" s="5">
        <f>SUM(T11:U11)/(1-HFrame_List[[#This Row],[Margin]])</f>
        <v>287.84914285714291</v>
      </c>
      <c r="W11" s="36">
        <f t="shared" si="11"/>
        <v>0.65</v>
      </c>
      <c r="X11" t="s">
        <v>177</v>
      </c>
      <c r="Y11">
        <f>_xlfn.XLOOKUP("A12",Strut_costs[size],Strut_costs[Strut cost])/12*HFrame_List[[#This Row],[Strut height (in)]]*(2+HFrame_List[[#This Row],[Extra supports]])</f>
        <v>32.76</v>
      </c>
      <c r="Z11">
        <f>(_xlfn.XLOOKUP("PHB",CADDY_costs[Component],CADDY_costs[Current cost])*HFrame_List[[#This Row],[Number of feet]])+(_xlfn.XLOOKUP("HFRMHDW",CADDY_costs[Component],CADDY_costs[Current cost])*(HFrame_List[[#This Row],[number of L-brackets]]/2))</f>
        <v>28.058</v>
      </c>
      <c r="AA11">
        <v>3648</v>
      </c>
      <c r="AB11">
        <f>VLOOKUP(HFrame_List[[#This Row],[lookup]],'Pallet and shipping info'!$A$5:$H$33,6,FALSE)</f>
        <v>7</v>
      </c>
      <c r="AC11">
        <f>VLOOKUP(HFrame_List[[#This Row],[lookup]],'Pallet and shipping info'!$A$5:$H$33,8,FALSE)</f>
        <v>10</v>
      </c>
      <c r="AD11"/>
      <c r="AE11"/>
      <c r="AF11"/>
    </row>
    <row r="12" spans="1:41" x14ac:dyDescent="0.25">
      <c r="A12" s="1" t="s">
        <v>205</v>
      </c>
      <c r="B12" s="1" t="s">
        <v>206</v>
      </c>
      <c r="C12" s="1">
        <f t="shared" si="0"/>
        <v>49.674999999999997</v>
      </c>
      <c r="D12" s="1">
        <f t="shared" si="1"/>
        <v>62.050999999999995</v>
      </c>
      <c r="E12" s="1">
        <v>48</v>
      </c>
      <c r="F12" s="1">
        <f t="shared" si="12"/>
        <v>48</v>
      </c>
      <c r="G12" s="1">
        <f t="shared" si="4"/>
        <v>44.24</v>
      </c>
      <c r="H12" s="1">
        <v>0</v>
      </c>
      <c r="I12" s="1" t="s">
        <v>176</v>
      </c>
      <c r="J12" s="1">
        <v>1</v>
      </c>
      <c r="K12" s="2">
        <f t="shared" si="2"/>
        <v>48</v>
      </c>
      <c r="L12" s="1">
        <f t="shared" si="3"/>
        <v>2</v>
      </c>
      <c r="M12" s="1">
        <f t="shared" si="5"/>
        <v>6</v>
      </c>
      <c r="N12" s="1">
        <f t="shared" si="6"/>
        <v>2</v>
      </c>
      <c r="O12" s="3">
        <f t="shared" si="7"/>
        <v>12</v>
      </c>
      <c r="P12" s="1">
        <f t="shared" si="8"/>
        <v>2</v>
      </c>
      <c r="Q12">
        <f t="shared" si="9"/>
        <v>6</v>
      </c>
      <c r="R12">
        <f>_xlfn.XLOOKUP(HFrame_List[[#This Row],[Cross piece style]],$AH$2:$AH$4,$AI$2:$AI$4,0,0)*(HFrame_List[[#This Row],[Width between brackets]]/12)</f>
        <v>20.129200000000001</v>
      </c>
      <c r="S12">
        <f>5.46*(HFrame_List[[#This Row],[cross piece quantity]]-1)*(HFrame_List[[#This Row],[Width between brackets]]/12)</f>
        <v>0</v>
      </c>
      <c r="T12" s="5">
        <f>HFrame_List[[#This Row],[Bottom cross piece cost]]+HFrame_List[[#This Row],[Top cross piece cost]]+HFrame_List[[#This Row],[Component costs]]+HFrame_List[[#This Row],[Vertical strut cost]]</f>
        <v>91.867199999999997</v>
      </c>
      <c r="U12" s="7">
        <f>_xlfn.XLOOKUP(HFrame_List[[#This Row],[Fabrication type]],Fabrication_costs[Fabrication type],Fabrication_costs[unit pricing],"no result",0)</f>
        <v>19.8</v>
      </c>
      <c r="V12" s="5">
        <f>SUM(T12:U12)/(1-HFrame_List[[#This Row],[Margin]])</f>
        <v>319.04914285714284</v>
      </c>
      <c r="W12" s="36">
        <f t="shared" si="11"/>
        <v>0.65</v>
      </c>
      <c r="X12" t="s">
        <v>177</v>
      </c>
      <c r="Y12">
        <f>_xlfn.XLOOKUP("A12",Strut_costs[size],Strut_costs[Strut cost])/12*HFrame_List[[#This Row],[Strut height (in)]]*(2+HFrame_List[[#This Row],[Extra supports]])</f>
        <v>43.68</v>
      </c>
      <c r="Z12">
        <f>(_xlfn.XLOOKUP("PHB",CADDY_costs[Component],CADDY_costs[Current cost])*HFrame_List[[#This Row],[Number of feet]])+(_xlfn.XLOOKUP("HFRMHDW",CADDY_costs[Component],CADDY_costs[Current cost])*(HFrame_List[[#This Row],[number of L-brackets]]/2))</f>
        <v>28.058</v>
      </c>
      <c r="AA12">
        <v>4848</v>
      </c>
      <c r="AB12">
        <f>VLOOKUP(HFrame_List[[#This Row],[lookup]],'Pallet and shipping info'!$A$5:$H$33,6,FALSE)</f>
        <v>7</v>
      </c>
      <c r="AC12">
        <f>VLOOKUP(HFrame_List[[#This Row],[lookup]],'Pallet and shipping info'!$A$5:$H$33,8,FALSE)</f>
        <v>10</v>
      </c>
      <c r="AD12"/>
      <c r="AE12"/>
      <c r="AF12"/>
    </row>
    <row r="13" spans="1:41" x14ac:dyDescent="0.25">
      <c r="A13" s="1" t="s">
        <v>176</v>
      </c>
      <c r="B13" s="1" t="s">
        <v>207</v>
      </c>
      <c r="C13" s="1">
        <f t="shared" si="0"/>
        <v>73.674999999999997</v>
      </c>
      <c r="D13" s="1">
        <f t="shared" si="1"/>
        <v>62.050999999999995</v>
      </c>
      <c r="E13" s="1">
        <v>72</v>
      </c>
      <c r="F13" s="1">
        <f t="shared" si="12"/>
        <v>48</v>
      </c>
      <c r="G13" s="1">
        <f t="shared" si="4"/>
        <v>44.24</v>
      </c>
      <c r="H13" s="1">
        <v>0</v>
      </c>
      <c r="I13" s="1" t="s">
        <v>176</v>
      </c>
      <c r="J13" s="1">
        <v>1</v>
      </c>
      <c r="K13" s="2">
        <f t="shared" si="2"/>
        <v>48</v>
      </c>
      <c r="L13" s="1">
        <f t="shared" si="3"/>
        <v>2</v>
      </c>
      <c r="M13" s="1">
        <f t="shared" si="5"/>
        <v>6</v>
      </c>
      <c r="N13" s="1">
        <f t="shared" si="6"/>
        <v>2</v>
      </c>
      <c r="O13" s="3">
        <f t="shared" si="7"/>
        <v>16</v>
      </c>
      <c r="P13" s="1">
        <f t="shared" si="8"/>
        <v>2</v>
      </c>
      <c r="Q13">
        <f t="shared" si="9"/>
        <v>6</v>
      </c>
      <c r="R13">
        <f>_xlfn.XLOOKUP(HFrame_List[[#This Row],[Cross piece style]],$AH$2:$AH$4,$AI$2:$AI$4,0,0)*(HFrame_List[[#This Row],[Width between brackets]]/12)</f>
        <v>20.129200000000001</v>
      </c>
      <c r="S13">
        <f>5.46*(HFrame_List[[#This Row],[cross piece quantity]]-1)*(HFrame_List[[#This Row],[Width between brackets]]/12)</f>
        <v>0</v>
      </c>
      <c r="T13" s="5">
        <f>HFrame_List[[#This Row],[Bottom cross piece cost]]+HFrame_List[[#This Row],[Top cross piece cost]]+HFrame_List[[#This Row],[Component costs]]+HFrame_List[[#This Row],[Vertical strut cost]]</f>
        <v>113.7072</v>
      </c>
      <c r="U13" s="7">
        <f>_xlfn.XLOOKUP(HFrame_List[[#This Row],[Fabrication type]],Fabrication_costs[Fabrication type],Fabrication_costs[unit pricing],"no result",0)</f>
        <v>19.8</v>
      </c>
      <c r="V13" s="5">
        <f>SUM(T13:U13)/(1-HFrame_List[[#This Row],[Margin]])</f>
        <v>381.44914285714293</v>
      </c>
      <c r="W13" s="36">
        <f t="shared" si="11"/>
        <v>0.65</v>
      </c>
      <c r="X13" t="s">
        <v>177</v>
      </c>
      <c r="Y13">
        <f>_xlfn.XLOOKUP("A12",Strut_costs[size],Strut_costs[Strut cost])/12*HFrame_List[[#This Row],[Strut height (in)]]*(2+HFrame_List[[#This Row],[Extra supports]])</f>
        <v>65.52</v>
      </c>
      <c r="Z13">
        <f>(_xlfn.XLOOKUP("PHB",CADDY_costs[Component],CADDY_costs[Current cost])*HFrame_List[[#This Row],[Number of feet]])+(_xlfn.XLOOKUP("HFRMHDW",CADDY_costs[Component],CADDY_costs[Current cost])*(HFrame_List[[#This Row],[number of L-brackets]]/2))</f>
        <v>28.058</v>
      </c>
      <c r="AA13">
        <v>7248</v>
      </c>
      <c r="AB13">
        <f>VLOOKUP(HFrame_List[[#This Row],[lookup]],'Pallet and shipping info'!$A$5:$H$33,6,FALSE)</f>
        <v>7</v>
      </c>
      <c r="AC13">
        <f>VLOOKUP(HFrame_List[[#This Row],[lookup]],'Pallet and shipping info'!$A$5:$H$33,8,FALSE)</f>
        <v>10</v>
      </c>
      <c r="AD13"/>
      <c r="AE13"/>
      <c r="AF13"/>
    </row>
    <row r="14" spans="1:41" x14ac:dyDescent="0.25">
      <c r="A14" s="1" t="s">
        <v>208</v>
      </c>
      <c r="B14" s="1" t="s">
        <v>209</v>
      </c>
      <c r="C14" s="1">
        <f t="shared" si="0"/>
        <v>25.675000000000001</v>
      </c>
      <c r="D14" s="1">
        <f t="shared" si="1"/>
        <v>74.051000000000002</v>
      </c>
      <c r="E14" s="1">
        <v>24</v>
      </c>
      <c r="F14" s="1">
        <v>60</v>
      </c>
      <c r="G14" s="1">
        <f t="shared" si="4"/>
        <v>56.24</v>
      </c>
      <c r="H14" s="1">
        <v>0</v>
      </c>
      <c r="I14" s="1" t="s">
        <v>176</v>
      </c>
      <c r="J14" s="1">
        <v>1</v>
      </c>
      <c r="K14" s="2">
        <f t="shared" si="2"/>
        <v>60</v>
      </c>
      <c r="L14" s="1">
        <f t="shared" si="3"/>
        <v>2</v>
      </c>
      <c r="M14" s="1">
        <f t="shared" si="5"/>
        <v>6</v>
      </c>
      <c r="N14" s="1">
        <f t="shared" si="6"/>
        <v>2</v>
      </c>
      <c r="O14" s="3">
        <f t="shared" si="7"/>
        <v>9</v>
      </c>
      <c r="P14" s="1">
        <f t="shared" si="8"/>
        <v>1</v>
      </c>
      <c r="Q14">
        <f t="shared" si="9"/>
        <v>6</v>
      </c>
      <c r="R14">
        <f>_xlfn.XLOOKUP(HFrame_List[[#This Row],[Cross piece style]],$AH$2:$AH$4,$AI$2:$AI$4,0,0)*(HFrame_List[[#This Row],[Width between brackets]]/12)</f>
        <v>25.589199999999998</v>
      </c>
      <c r="S14">
        <f>5.46*(HFrame_List[[#This Row],[cross piece quantity]]-1)*(HFrame_List[[#This Row],[Width between brackets]]/12)</f>
        <v>0</v>
      </c>
      <c r="T14" s="5">
        <f>HFrame_List[[#This Row],[Bottom cross piece cost]]+HFrame_List[[#This Row],[Top cross piece cost]]+HFrame_List[[#This Row],[Component costs]]+HFrame_List[[#This Row],[Vertical strut cost]]</f>
        <v>75.487200000000001</v>
      </c>
      <c r="U14" s="7">
        <f>_xlfn.XLOOKUP(HFrame_List[[#This Row],[Fabrication type]],Fabrication_costs[Fabrication type],Fabrication_costs[unit pricing],"no result",0)</f>
        <v>19.8</v>
      </c>
      <c r="V14" s="5">
        <f>SUM(T14:U14)/(1-HFrame_List[[#This Row],[Margin]])</f>
        <v>272.24914285714289</v>
      </c>
      <c r="W14" s="36">
        <f t="shared" si="11"/>
        <v>0.65</v>
      </c>
      <c r="X14" t="s">
        <v>177</v>
      </c>
      <c r="Y14">
        <f>_xlfn.XLOOKUP("A12",Strut_costs[size],Strut_costs[Strut cost])/12*HFrame_List[[#This Row],[Strut height (in)]]*(2+HFrame_List[[#This Row],[Extra supports]])</f>
        <v>21.84</v>
      </c>
      <c r="Z14">
        <f>(_xlfn.XLOOKUP("PHB",CADDY_costs[Component],CADDY_costs[Current cost])*HFrame_List[[#This Row],[Number of feet]])+(_xlfn.XLOOKUP("HFRMHDW",CADDY_costs[Component],CADDY_costs[Current cost])*(HFrame_List[[#This Row],[number of L-brackets]]/2))</f>
        <v>28.058</v>
      </c>
      <c r="AA14">
        <v>2460</v>
      </c>
      <c r="AB14" t="str">
        <f>VLOOKUP(HFrame_List[[#This Row],[lookup]],'Pallet and shipping info'!$A$5:$H$33,6,FALSE)</f>
        <v>x</v>
      </c>
      <c r="AC14">
        <f>VLOOKUP(HFrame_List[[#This Row],[lookup]],'Pallet and shipping info'!$A$5:$H$33,8,FALSE)</f>
        <v>7</v>
      </c>
      <c r="AD14"/>
      <c r="AE14"/>
      <c r="AF14"/>
    </row>
    <row r="15" spans="1:41" x14ac:dyDescent="0.25">
      <c r="A15" s="1" t="s">
        <v>210</v>
      </c>
      <c r="B15" s="1" t="s">
        <v>211</v>
      </c>
      <c r="C15" s="1">
        <f t="shared" si="0"/>
        <v>37.674999999999997</v>
      </c>
      <c r="D15" s="1">
        <f t="shared" si="1"/>
        <v>74.051000000000002</v>
      </c>
      <c r="E15" s="1">
        <v>36</v>
      </c>
      <c r="F15" s="1">
        <v>60</v>
      </c>
      <c r="G15" s="1">
        <f t="shared" si="4"/>
        <v>56.24</v>
      </c>
      <c r="H15" s="1">
        <v>0</v>
      </c>
      <c r="I15" s="1" t="s">
        <v>176</v>
      </c>
      <c r="J15" s="1">
        <v>1</v>
      </c>
      <c r="K15" s="2">
        <f t="shared" si="2"/>
        <v>60</v>
      </c>
      <c r="L15" s="1">
        <f t="shared" si="3"/>
        <v>2</v>
      </c>
      <c r="M15" s="1">
        <f t="shared" si="5"/>
        <v>6</v>
      </c>
      <c r="N15" s="1">
        <f t="shared" si="6"/>
        <v>2</v>
      </c>
      <c r="O15" s="3">
        <f t="shared" si="7"/>
        <v>11</v>
      </c>
      <c r="P15" s="1">
        <f t="shared" si="8"/>
        <v>2</v>
      </c>
      <c r="Q15">
        <f t="shared" si="9"/>
        <v>6</v>
      </c>
      <c r="R15">
        <f>_xlfn.XLOOKUP(HFrame_List[[#This Row],[Cross piece style]],$AH$2:$AH$4,$AI$2:$AI$4,0,0)*(HFrame_List[[#This Row],[Width between brackets]]/12)</f>
        <v>25.589199999999998</v>
      </c>
      <c r="S15">
        <f>5.46*(HFrame_List[[#This Row],[cross piece quantity]]-1)*(HFrame_List[[#This Row],[Width between brackets]]/12)</f>
        <v>0</v>
      </c>
      <c r="T15" s="5">
        <f>HFrame_List[[#This Row],[Bottom cross piece cost]]+HFrame_List[[#This Row],[Top cross piece cost]]+HFrame_List[[#This Row],[Component costs]]+HFrame_List[[#This Row],[Vertical strut cost]]</f>
        <v>86.407199999999989</v>
      </c>
      <c r="U15" s="7">
        <f>_xlfn.XLOOKUP(HFrame_List[[#This Row],[Fabrication type]],Fabrication_costs[Fabrication type],Fabrication_costs[unit pricing],"no result",0)</f>
        <v>19.8</v>
      </c>
      <c r="V15" s="5">
        <f>SUM(T15:U15)/(1-HFrame_List[[#This Row],[Margin]])</f>
        <v>303.44914285714282</v>
      </c>
      <c r="W15" s="36">
        <f t="shared" si="11"/>
        <v>0.65</v>
      </c>
      <c r="X15" t="s">
        <v>177</v>
      </c>
      <c r="Y15">
        <f>_xlfn.XLOOKUP("A12",Strut_costs[size],Strut_costs[Strut cost])/12*HFrame_List[[#This Row],[Strut height (in)]]*(2+HFrame_List[[#This Row],[Extra supports]])</f>
        <v>32.76</v>
      </c>
      <c r="Z15">
        <f>(_xlfn.XLOOKUP("PHB",CADDY_costs[Component],CADDY_costs[Current cost])*HFrame_List[[#This Row],[Number of feet]])+(_xlfn.XLOOKUP("HFRMHDW",CADDY_costs[Component],CADDY_costs[Current cost])*(HFrame_List[[#This Row],[number of L-brackets]]/2))</f>
        <v>28.058</v>
      </c>
      <c r="AA15">
        <v>3660</v>
      </c>
      <c r="AB15" t="str">
        <f>VLOOKUP(HFrame_List[[#This Row],[lookup]],'Pallet and shipping info'!$A$5:$H$33,6,FALSE)</f>
        <v>x</v>
      </c>
      <c r="AC15">
        <f>VLOOKUP(HFrame_List[[#This Row],[lookup]],'Pallet and shipping info'!$A$5:$H$33,8,FALSE)</f>
        <v>7</v>
      </c>
      <c r="AD15"/>
      <c r="AE15"/>
      <c r="AF15"/>
    </row>
    <row r="16" spans="1:41" x14ac:dyDescent="0.25">
      <c r="A16" s="1" t="s">
        <v>212</v>
      </c>
      <c r="B16" s="1" t="s">
        <v>213</v>
      </c>
      <c r="C16" s="1">
        <f t="shared" si="0"/>
        <v>49.674999999999997</v>
      </c>
      <c r="D16" s="1">
        <f t="shared" si="1"/>
        <v>74.051000000000002</v>
      </c>
      <c r="E16" s="1">
        <v>48</v>
      </c>
      <c r="F16" s="1">
        <v>60</v>
      </c>
      <c r="G16" s="1">
        <f t="shared" si="4"/>
        <v>56.24</v>
      </c>
      <c r="H16" s="1">
        <v>0</v>
      </c>
      <c r="I16" s="1" t="s">
        <v>176</v>
      </c>
      <c r="J16" s="1">
        <v>1</v>
      </c>
      <c r="K16" s="2">
        <f t="shared" si="2"/>
        <v>60</v>
      </c>
      <c r="L16" s="1">
        <f t="shared" si="3"/>
        <v>2</v>
      </c>
      <c r="M16" s="1">
        <f t="shared" si="5"/>
        <v>6</v>
      </c>
      <c r="N16" s="1">
        <f t="shared" si="6"/>
        <v>2</v>
      </c>
      <c r="O16" s="3">
        <f t="shared" si="7"/>
        <v>13</v>
      </c>
      <c r="P16" s="1">
        <f t="shared" si="8"/>
        <v>2</v>
      </c>
      <c r="Q16">
        <f t="shared" si="9"/>
        <v>6</v>
      </c>
      <c r="R16">
        <f>_xlfn.XLOOKUP(HFrame_List[[#This Row],[Cross piece style]],$AH$2:$AH$4,$AI$2:$AI$4,0,0)*(HFrame_List[[#This Row],[Width between brackets]]/12)</f>
        <v>25.589199999999998</v>
      </c>
      <c r="S16">
        <f>5.46*(HFrame_List[[#This Row],[cross piece quantity]]-1)*(HFrame_List[[#This Row],[Width between brackets]]/12)</f>
        <v>0</v>
      </c>
      <c r="T16" s="5">
        <f>HFrame_List[[#This Row],[Bottom cross piece cost]]+HFrame_List[[#This Row],[Top cross piece cost]]+HFrame_List[[#This Row],[Component costs]]+HFrame_List[[#This Row],[Vertical strut cost]]</f>
        <v>97.327200000000005</v>
      </c>
      <c r="U16" s="7">
        <f>_xlfn.XLOOKUP(HFrame_List[[#This Row],[Fabrication type]],Fabrication_costs[Fabrication type],Fabrication_costs[unit pricing],"no result",0)</f>
        <v>19.8</v>
      </c>
      <c r="V16" s="5">
        <f>SUM(T16:U16)/(1-HFrame_List[[#This Row],[Margin]])</f>
        <v>334.64914285714286</v>
      </c>
      <c r="W16" s="36">
        <f t="shared" si="11"/>
        <v>0.65</v>
      </c>
      <c r="X16" t="s">
        <v>177</v>
      </c>
      <c r="Y16">
        <f>_xlfn.XLOOKUP("A12",Strut_costs[size],Strut_costs[Strut cost])/12*HFrame_List[[#This Row],[Strut height (in)]]*(2+HFrame_List[[#This Row],[Extra supports]])</f>
        <v>43.68</v>
      </c>
      <c r="Z16">
        <f>(_xlfn.XLOOKUP("PHB",CADDY_costs[Component],CADDY_costs[Current cost])*HFrame_List[[#This Row],[Number of feet]])+(_xlfn.XLOOKUP("HFRMHDW",CADDY_costs[Component],CADDY_costs[Current cost])*(HFrame_List[[#This Row],[number of L-brackets]]/2))</f>
        <v>28.058</v>
      </c>
      <c r="AA16">
        <v>4860</v>
      </c>
      <c r="AB16" t="str">
        <f>VLOOKUP(HFrame_List[[#This Row],[lookup]],'Pallet and shipping info'!$A$5:$H$33,6,FALSE)</f>
        <v>x</v>
      </c>
      <c r="AC16">
        <f>VLOOKUP(HFrame_List[[#This Row],[lookup]],'Pallet and shipping info'!$A$5:$H$33,8,FALSE)</f>
        <v>7</v>
      </c>
      <c r="AD16"/>
      <c r="AE16"/>
      <c r="AF16"/>
    </row>
    <row r="17" spans="1:32" x14ac:dyDescent="0.25">
      <c r="A17" s="1" t="s">
        <v>214</v>
      </c>
      <c r="B17" s="1" t="s">
        <v>215</v>
      </c>
      <c r="C17" s="1">
        <f t="shared" si="0"/>
        <v>73.674999999999997</v>
      </c>
      <c r="D17" s="1">
        <f t="shared" si="1"/>
        <v>74.051000000000002</v>
      </c>
      <c r="E17" s="1">
        <v>72</v>
      </c>
      <c r="F17" s="1">
        <v>60</v>
      </c>
      <c r="G17" s="1">
        <f t="shared" si="4"/>
        <v>56.24</v>
      </c>
      <c r="H17" s="1">
        <v>0</v>
      </c>
      <c r="I17" s="1" t="s">
        <v>176</v>
      </c>
      <c r="J17" s="1">
        <v>1</v>
      </c>
      <c r="K17" s="2">
        <f t="shared" si="2"/>
        <v>60</v>
      </c>
      <c r="L17" s="1">
        <f t="shared" si="3"/>
        <v>2</v>
      </c>
      <c r="M17" s="1">
        <f t="shared" si="5"/>
        <v>6</v>
      </c>
      <c r="N17" s="1">
        <f t="shared" si="6"/>
        <v>2</v>
      </c>
      <c r="O17" s="3">
        <f t="shared" si="7"/>
        <v>17</v>
      </c>
      <c r="P17" s="1">
        <f t="shared" si="8"/>
        <v>2</v>
      </c>
      <c r="Q17">
        <f t="shared" si="9"/>
        <v>6</v>
      </c>
      <c r="R17">
        <f>_xlfn.XLOOKUP(HFrame_List[[#This Row],[Cross piece style]],$AH$2:$AH$4,$AI$2:$AI$4,0,0)*(HFrame_List[[#This Row],[Width between brackets]]/12)</f>
        <v>25.589199999999998</v>
      </c>
      <c r="S17">
        <f>5.46*(HFrame_List[[#This Row],[cross piece quantity]]-1)*(HFrame_List[[#This Row],[Width between brackets]]/12)</f>
        <v>0</v>
      </c>
      <c r="T17" s="5">
        <f>HFrame_List[[#This Row],[Bottom cross piece cost]]+HFrame_List[[#This Row],[Top cross piece cost]]+HFrame_List[[#This Row],[Component costs]]+HFrame_List[[#This Row],[Vertical strut cost]]</f>
        <v>119.16719999999999</v>
      </c>
      <c r="U17" s="7">
        <f>_xlfn.XLOOKUP(HFrame_List[[#This Row],[Fabrication type]],Fabrication_costs[Fabrication type],Fabrication_costs[unit pricing],"no result",0)</f>
        <v>19.8</v>
      </c>
      <c r="V17" s="5">
        <f>SUM(T17:U17)/(1-HFrame_List[[#This Row],[Margin]])</f>
        <v>397.04914285714284</v>
      </c>
      <c r="W17" s="36">
        <f t="shared" si="11"/>
        <v>0.65</v>
      </c>
      <c r="X17" t="s">
        <v>177</v>
      </c>
      <c r="Y17">
        <f>_xlfn.XLOOKUP("A12",Strut_costs[size],Strut_costs[Strut cost])/12*HFrame_List[[#This Row],[Strut height (in)]]*(2+HFrame_List[[#This Row],[Extra supports]])</f>
        <v>65.52</v>
      </c>
      <c r="Z17">
        <f>(_xlfn.XLOOKUP("PHB",CADDY_costs[Component],CADDY_costs[Current cost])*HFrame_List[[#This Row],[Number of feet]])+(_xlfn.XLOOKUP("HFRMHDW",CADDY_costs[Component],CADDY_costs[Current cost])*(HFrame_List[[#This Row],[number of L-brackets]]/2))</f>
        <v>28.058</v>
      </c>
      <c r="AA17">
        <v>7260</v>
      </c>
      <c r="AB17" t="str">
        <f>VLOOKUP(HFrame_List[[#This Row],[lookup]],'Pallet and shipping info'!$A$5:$H$33,6,FALSE)</f>
        <v>x</v>
      </c>
      <c r="AC17">
        <f>VLOOKUP(HFrame_List[[#This Row],[lookup]],'Pallet and shipping info'!$A$5:$H$33,8,FALSE)</f>
        <v>7</v>
      </c>
      <c r="AD17"/>
      <c r="AE17"/>
      <c r="AF17"/>
    </row>
    <row r="18" spans="1:32" x14ac:dyDescent="0.25">
      <c r="A18" s="1" t="s">
        <v>216</v>
      </c>
      <c r="B18" s="1" t="s">
        <v>217</v>
      </c>
      <c r="C18" s="1">
        <f t="shared" si="0"/>
        <v>25.675000000000001</v>
      </c>
      <c r="D18" s="1">
        <f t="shared" si="1"/>
        <v>86.051000000000002</v>
      </c>
      <c r="E18" s="1">
        <v>24</v>
      </c>
      <c r="F18" s="1">
        <v>72</v>
      </c>
      <c r="G18" s="1">
        <f t="shared" si="4"/>
        <v>68.239999999999995</v>
      </c>
      <c r="H18" s="1">
        <v>0</v>
      </c>
      <c r="I18" s="1" t="s">
        <v>176</v>
      </c>
      <c r="J18" s="1">
        <v>1</v>
      </c>
      <c r="K18" s="2">
        <f t="shared" si="2"/>
        <v>72</v>
      </c>
      <c r="L18" s="1">
        <f t="shared" si="3"/>
        <v>2</v>
      </c>
      <c r="M18" s="1">
        <f t="shared" si="5"/>
        <v>6</v>
      </c>
      <c r="N18" s="1">
        <f t="shared" si="6"/>
        <v>2</v>
      </c>
      <c r="O18" s="3">
        <f t="shared" si="7"/>
        <v>10</v>
      </c>
      <c r="P18" s="1">
        <f t="shared" si="8"/>
        <v>1</v>
      </c>
      <c r="Q18">
        <f t="shared" si="9"/>
        <v>6</v>
      </c>
      <c r="R18">
        <f>_xlfn.XLOOKUP(HFrame_List[[#This Row],[Cross piece style]],$AH$2:$AH$4,$AI$2:$AI$4,0,0)*(HFrame_List[[#This Row],[Width between brackets]]/12)</f>
        <v>31.049199999999999</v>
      </c>
      <c r="S18">
        <f>5.46*(HFrame_List[[#This Row],[cross piece quantity]]-1)*(HFrame_List[[#This Row],[Width between brackets]]/12)</f>
        <v>0</v>
      </c>
      <c r="T18" s="5">
        <f>HFrame_List[[#This Row],[Bottom cross piece cost]]+HFrame_List[[#This Row],[Top cross piece cost]]+HFrame_List[[#This Row],[Component costs]]+HFrame_List[[#This Row],[Vertical strut cost]]</f>
        <v>80.947199999999995</v>
      </c>
      <c r="U18" s="7">
        <f>_xlfn.XLOOKUP(HFrame_List[[#This Row],[Fabrication type]],Fabrication_costs[Fabrication type],Fabrication_costs[unit pricing],"no result",0)</f>
        <v>19.8</v>
      </c>
      <c r="V18" s="5">
        <f>SUM(T18:U18)/(1-HFrame_List[[#This Row],[Margin]])</f>
        <v>287.84914285714285</v>
      </c>
      <c r="W18" s="36">
        <f t="shared" si="11"/>
        <v>0.65</v>
      </c>
      <c r="X18" t="s">
        <v>177</v>
      </c>
      <c r="Y18">
        <f>_xlfn.XLOOKUP("A12",Strut_costs[size],Strut_costs[Strut cost])/12*HFrame_List[[#This Row],[Strut height (in)]]*(2+HFrame_List[[#This Row],[Extra supports]])</f>
        <v>21.84</v>
      </c>
      <c r="Z18">
        <f>(_xlfn.XLOOKUP("PHB",CADDY_costs[Component],CADDY_costs[Current cost])*HFrame_List[[#This Row],[Number of feet]])+(_xlfn.XLOOKUP("HFRMHDW",CADDY_costs[Component],CADDY_costs[Current cost])*(HFrame_List[[#This Row],[number of L-brackets]]/2))</f>
        <v>28.058</v>
      </c>
      <c r="AA18">
        <v>2472</v>
      </c>
      <c r="AB18" t="str">
        <f>VLOOKUP(HFrame_List[[#This Row],[lookup]],'Pallet and shipping info'!$A$5:$H$33,6,FALSE)</f>
        <v>x</v>
      </c>
      <c r="AC18">
        <f>VLOOKUP(HFrame_List[[#This Row],[lookup]],'Pallet and shipping info'!$A$5:$H$33,8,FALSE)</f>
        <v>7</v>
      </c>
      <c r="AD18"/>
      <c r="AE18"/>
      <c r="AF18"/>
    </row>
    <row r="19" spans="1:32" x14ac:dyDescent="0.25">
      <c r="A19" s="1" t="s">
        <v>218</v>
      </c>
      <c r="B19" s="1" t="s">
        <v>219</v>
      </c>
      <c r="C19" s="1">
        <f t="shared" si="0"/>
        <v>37.674999999999997</v>
      </c>
      <c r="D19" s="1">
        <f t="shared" si="1"/>
        <v>86.051000000000002</v>
      </c>
      <c r="E19" s="1">
        <v>36</v>
      </c>
      <c r="F19" s="1">
        <v>72</v>
      </c>
      <c r="G19" s="1">
        <f t="shared" si="4"/>
        <v>68.239999999999995</v>
      </c>
      <c r="H19" s="1">
        <v>0</v>
      </c>
      <c r="I19" s="1" t="s">
        <v>176</v>
      </c>
      <c r="J19" s="1">
        <v>1</v>
      </c>
      <c r="K19" s="2">
        <f t="shared" si="2"/>
        <v>72</v>
      </c>
      <c r="L19" s="1">
        <f t="shared" si="3"/>
        <v>2</v>
      </c>
      <c r="M19" s="1">
        <f t="shared" si="5"/>
        <v>6</v>
      </c>
      <c r="N19" s="1">
        <f t="shared" si="6"/>
        <v>2</v>
      </c>
      <c r="O19" s="3">
        <f t="shared" si="7"/>
        <v>12</v>
      </c>
      <c r="P19" s="1">
        <f t="shared" si="8"/>
        <v>2</v>
      </c>
      <c r="Q19">
        <f t="shared" si="9"/>
        <v>6</v>
      </c>
      <c r="R19">
        <f>_xlfn.XLOOKUP(HFrame_List[[#This Row],[Cross piece style]],$AH$2:$AH$4,$AI$2:$AI$4,0,0)*(HFrame_List[[#This Row],[Width between brackets]]/12)</f>
        <v>31.049199999999999</v>
      </c>
      <c r="S19">
        <f>5.46*(HFrame_List[[#This Row],[cross piece quantity]]-1)*(HFrame_List[[#This Row],[Width between brackets]]/12)</f>
        <v>0</v>
      </c>
      <c r="T19" s="5">
        <f>HFrame_List[[#This Row],[Bottom cross piece cost]]+HFrame_List[[#This Row],[Top cross piece cost]]+HFrame_List[[#This Row],[Component costs]]+HFrame_List[[#This Row],[Vertical strut cost]]</f>
        <v>91.867199999999997</v>
      </c>
      <c r="U19" s="7">
        <f>_xlfn.XLOOKUP(HFrame_List[[#This Row],[Fabrication type]],Fabrication_costs[Fabrication type],Fabrication_costs[unit pricing],"no result",0)</f>
        <v>19.8</v>
      </c>
      <c r="V19" s="5">
        <f>SUM(T19:U19)/(1-HFrame_List[[#This Row],[Margin]])</f>
        <v>319.04914285714284</v>
      </c>
      <c r="W19" s="36">
        <f t="shared" si="11"/>
        <v>0.65</v>
      </c>
      <c r="X19" t="s">
        <v>177</v>
      </c>
      <c r="Y19">
        <f>_xlfn.XLOOKUP("A12",Strut_costs[size],Strut_costs[Strut cost])/12*HFrame_List[[#This Row],[Strut height (in)]]*(2+HFrame_List[[#This Row],[Extra supports]])</f>
        <v>32.76</v>
      </c>
      <c r="Z19">
        <f>(_xlfn.XLOOKUP("PHB",CADDY_costs[Component],CADDY_costs[Current cost])*HFrame_List[[#This Row],[Number of feet]])+(_xlfn.XLOOKUP("HFRMHDW",CADDY_costs[Component],CADDY_costs[Current cost])*(HFrame_List[[#This Row],[number of L-brackets]]/2))</f>
        <v>28.058</v>
      </c>
      <c r="AA19">
        <v>3672</v>
      </c>
      <c r="AB19" t="str">
        <f>VLOOKUP(HFrame_List[[#This Row],[lookup]],'Pallet and shipping info'!$A$5:$H$33,6,FALSE)</f>
        <v>x</v>
      </c>
      <c r="AC19">
        <f>VLOOKUP(HFrame_List[[#This Row],[lookup]],'Pallet and shipping info'!$A$5:$H$33,8,FALSE)</f>
        <v>7</v>
      </c>
      <c r="AD19"/>
      <c r="AE19"/>
      <c r="AF19"/>
    </row>
    <row r="20" spans="1:32" x14ac:dyDescent="0.25">
      <c r="A20" s="1" t="s">
        <v>220</v>
      </c>
      <c r="B20" s="1" t="s">
        <v>221</v>
      </c>
      <c r="C20" s="1">
        <f t="shared" si="0"/>
        <v>49.674999999999997</v>
      </c>
      <c r="D20" s="1">
        <f t="shared" si="1"/>
        <v>86.051000000000002</v>
      </c>
      <c r="E20" s="1">
        <v>48</v>
      </c>
      <c r="F20" s="1">
        <v>72</v>
      </c>
      <c r="G20" s="1">
        <f t="shared" si="4"/>
        <v>68.239999999999995</v>
      </c>
      <c r="H20" s="1">
        <v>0</v>
      </c>
      <c r="I20" s="1" t="s">
        <v>176</v>
      </c>
      <c r="J20" s="1">
        <v>1</v>
      </c>
      <c r="K20" s="2">
        <f t="shared" si="2"/>
        <v>72</v>
      </c>
      <c r="L20" s="1">
        <f t="shared" si="3"/>
        <v>2</v>
      </c>
      <c r="M20" s="1">
        <f t="shared" si="5"/>
        <v>6</v>
      </c>
      <c r="N20" s="1">
        <f t="shared" si="6"/>
        <v>2</v>
      </c>
      <c r="O20" s="3">
        <f t="shared" si="7"/>
        <v>14</v>
      </c>
      <c r="P20" s="1">
        <f t="shared" si="8"/>
        <v>2</v>
      </c>
      <c r="Q20">
        <f t="shared" si="9"/>
        <v>6</v>
      </c>
      <c r="R20">
        <f>_xlfn.XLOOKUP(HFrame_List[[#This Row],[Cross piece style]],$AH$2:$AH$4,$AI$2:$AI$4,0,0)*(HFrame_List[[#This Row],[Width between brackets]]/12)</f>
        <v>31.049199999999999</v>
      </c>
      <c r="S20">
        <f>5.46*(HFrame_List[[#This Row],[cross piece quantity]]-1)*(HFrame_List[[#This Row],[Width between brackets]]/12)</f>
        <v>0</v>
      </c>
      <c r="T20" s="5">
        <f>HFrame_List[[#This Row],[Bottom cross piece cost]]+HFrame_List[[#This Row],[Top cross piece cost]]+HFrame_List[[#This Row],[Component costs]]+HFrame_List[[#This Row],[Vertical strut cost]]</f>
        <v>102.7872</v>
      </c>
      <c r="U20" s="7">
        <f>_xlfn.XLOOKUP(HFrame_List[[#This Row],[Fabrication type]],Fabrication_costs[Fabrication type],Fabrication_costs[unit pricing],"no result",0)</f>
        <v>19.8</v>
      </c>
      <c r="V20" s="5">
        <f>SUM(T20:U20)/(1-HFrame_List[[#This Row],[Margin]])</f>
        <v>350.24914285714289</v>
      </c>
      <c r="W20" s="36">
        <f t="shared" si="11"/>
        <v>0.65</v>
      </c>
      <c r="X20" t="s">
        <v>177</v>
      </c>
      <c r="Y20">
        <f>_xlfn.XLOOKUP("A12",Strut_costs[size],Strut_costs[Strut cost])/12*HFrame_List[[#This Row],[Strut height (in)]]*(2+HFrame_List[[#This Row],[Extra supports]])</f>
        <v>43.68</v>
      </c>
      <c r="Z20">
        <f>(_xlfn.XLOOKUP("PHB",CADDY_costs[Component],CADDY_costs[Current cost])*HFrame_List[[#This Row],[Number of feet]])+(_xlfn.XLOOKUP("HFRMHDW",CADDY_costs[Component],CADDY_costs[Current cost])*(HFrame_List[[#This Row],[number of L-brackets]]/2))</f>
        <v>28.058</v>
      </c>
      <c r="AA20">
        <v>4872</v>
      </c>
      <c r="AB20" t="str">
        <f>VLOOKUP(HFrame_List[[#This Row],[lookup]],'Pallet and shipping info'!$A$5:$H$33,6,FALSE)</f>
        <v>x</v>
      </c>
      <c r="AC20">
        <f>VLOOKUP(HFrame_List[[#This Row],[lookup]],'Pallet and shipping info'!$A$5:$H$33,8,FALSE)</f>
        <v>7</v>
      </c>
      <c r="AD20"/>
      <c r="AE20"/>
      <c r="AF20"/>
    </row>
    <row r="21" spans="1:32" x14ac:dyDescent="0.25">
      <c r="A21" s="1" t="s">
        <v>222</v>
      </c>
      <c r="B21" s="1" t="s">
        <v>223</v>
      </c>
      <c r="C21" s="1">
        <f t="shared" si="0"/>
        <v>73.674999999999997</v>
      </c>
      <c r="D21" s="1">
        <f t="shared" si="1"/>
        <v>86.051000000000002</v>
      </c>
      <c r="E21" s="1">
        <v>72</v>
      </c>
      <c r="F21" s="1">
        <v>72</v>
      </c>
      <c r="G21" s="1">
        <f t="shared" si="4"/>
        <v>68.239999999999995</v>
      </c>
      <c r="H21" s="1">
        <v>0</v>
      </c>
      <c r="I21" s="1" t="s">
        <v>176</v>
      </c>
      <c r="J21" s="1">
        <v>1</v>
      </c>
      <c r="K21" s="2">
        <f t="shared" si="2"/>
        <v>72</v>
      </c>
      <c r="L21" s="1">
        <f t="shared" si="3"/>
        <v>2</v>
      </c>
      <c r="M21" s="1">
        <f t="shared" si="5"/>
        <v>6</v>
      </c>
      <c r="N21" s="1">
        <f t="shared" si="6"/>
        <v>2</v>
      </c>
      <c r="O21" s="3">
        <f t="shared" si="7"/>
        <v>18</v>
      </c>
      <c r="P21" s="1">
        <f t="shared" si="8"/>
        <v>2</v>
      </c>
      <c r="Q21">
        <f t="shared" si="9"/>
        <v>6</v>
      </c>
      <c r="R21">
        <f>_xlfn.XLOOKUP(HFrame_List[[#This Row],[Cross piece style]],$AH$2:$AH$4,$AI$2:$AI$4,0,0)*(HFrame_List[[#This Row],[Width between brackets]]/12)</f>
        <v>31.049199999999999</v>
      </c>
      <c r="S21">
        <f>5.46*(HFrame_List[[#This Row],[cross piece quantity]]-1)*(HFrame_List[[#This Row],[Width between brackets]]/12)</f>
        <v>0</v>
      </c>
      <c r="T21" s="5">
        <f>HFrame_List[[#This Row],[Bottom cross piece cost]]+HFrame_List[[#This Row],[Top cross piece cost]]+HFrame_List[[#This Row],[Component costs]]+HFrame_List[[#This Row],[Vertical strut cost]]</f>
        <v>124.62719999999999</v>
      </c>
      <c r="U21" s="7">
        <f>_xlfn.XLOOKUP(HFrame_List[[#This Row],[Fabrication type]],Fabrication_costs[Fabrication type],Fabrication_costs[unit pricing],"no result",0)</f>
        <v>19.8</v>
      </c>
      <c r="V21" s="5">
        <f>SUM(T21:U21)/(1-HFrame_List[[#This Row],[Margin]])</f>
        <v>412.64914285714286</v>
      </c>
      <c r="W21" s="36">
        <f t="shared" si="11"/>
        <v>0.65</v>
      </c>
      <c r="X21" t="s">
        <v>177</v>
      </c>
      <c r="Y21">
        <f>_xlfn.XLOOKUP("A12",Strut_costs[size],Strut_costs[Strut cost])/12*HFrame_List[[#This Row],[Strut height (in)]]*(2+HFrame_List[[#This Row],[Extra supports]])</f>
        <v>65.52</v>
      </c>
      <c r="Z21">
        <f>(_xlfn.XLOOKUP("PHB",CADDY_costs[Component],CADDY_costs[Current cost])*HFrame_List[[#This Row],[Number of feet]])+(_xlfn.XLOOKUP("HFRMHDW",CADDY_costs[Component],CADDY_costs[Current cost])*(HFrame_List[[#This Row],[number of L-brackets]]/2))</f>
        <v>28.058</v>
      </c>
      <c r="AA21">
        <v>7272</v>
      </c>
      <c r="AB21" t="str">
        <f>VLOOKUP(HFrame_List[[#This Row],[lookup]],'Pallet and shipping info'!$A$5:$H$33,6,FALSE)</f>
        <v>x</v>
      </c>
      <c r="AC21">
        <f>VLOOKUP(HFrame_List[[#This Row],[lookup]],'Pallet and shipping info'!$A$5:$H$33,8,FALSE)</f>
        <v>7</v>
      </c>
      <c r="AD21"/>
      <c r="AE21"/>
      <c r="AF21"/>
    </row>
    <row r="22" spans="1:32" x14ac:dyDescent="0.25">
      <c r="A22" s="1" t="s">
        <v>224</v>
      </c>
      <c r="B22" s="1" t="s">
        <v>225</v>
      </c>
      <c r="C22" s="1">
        <f t="shared" si="0"/>
        <v>25.675000000000001</v>
      </c>
      <c r="D22" s="1">
        <f t="shared" si="1"/>
        <v>98.051000000000002</v>
      </c>
      <c r="E22" s="1">
        <v>24</v>
      </c>
      <c r="F22" s="1">
        <v>84</v>
      </c>
      <c r="G22" s="1">
        <f t="shared" si="4"/>
        <v>80.239999999999995</v>
      </c>
      <c r="H22" s="1">
        <v>0</v>
      </c>
      <c r="I22" s="1" t="s">
        <v>176</v>
      </c>
      <c r="J22" s="1">
        <v>1</v>
      </c>
      <c r="K22" s="2">
        <f t="shared" si="2"/>
        <v>84</v>
      </c>
      <c r="L22" s="1">
        <f t="shared" si="3"/>
        <v>2</v>
      </c>
      <c r="M22" s="1">
        <f t="shared" si="5"/>
        <v>6</v>
      </c>
      <c r="N22" s="1">
        <f t="shared" si="6"/>
        <v>2</v>
      </c>
      <c r="O22" s="3">
        <f t="shared" si="7"/>
        <v>11</v>
      </c>
      <c r="P22" s="1">
        <f t="shared" si="8"/>
        <v>2</v>
      </c>
      <c r="Q22">
        <f t="shared" si="9"/>
        <v>6</v>
      </c>
      <c r="R22">
        <f>_xlfn.XLOOKUP(HFrame_List[[#This Row],[Cross piece style]],$AH$2:$AH$4,$AI$2:$AI$4,0,0)*(HFrame_List[[#This Row],[Width between brackets]]/12)</f>
        <v>36.5092</v>
      </c>
      <c r="S22">
        <f>5.46*(HFrame_List[[#This Row],[cross piece quantity]]-1)*(HFrame_List[[#This Row],[Width between brackets]]/12)</f>
        <v>0</v>
      </c>
      <c r="T22" s="5">
        <f>HFrame_List[[#This Row],[Bottom cross piece cost]]+HFrame_List[[#This Row],[Top cross piece cost]]+HFrame_List[[#This Row],[Component costs]]+HFrame_List[[#This Row],[Vertical strut cost]]</f>
        <v>86.407200000000003</v>
      </c>
      <c r="U22" s="7">
        <f>_xlfn.XLOOKUP(HFrame_List[[#This Row],[Fabrication type]],Fabrication_costs[Fabrication type],Fabrication_costs[unit pricing],"no result",0)</f>
        <v>19.8</v>
      </c>
      <c r="V22" s="5">
        <f>SUM(T22:U22)/(1-HFrame_List[[#This Row],[Margin]])</f>
        <v>303.44914285714287</v>
      </c>
      <c r="W22" s="36">
        <f t="shared" si="11"/>
        <v>0.65</v>
      </c>
      <c r="X22" t="s">
        <v>177</v>
      </c>
      <c r="Y22">
        <f>_xlfn.XLOOKUP("A12",Strut_costs[size],Strut_costs[Strut cost])/12*HFrame_List[[#This Row],[Strut height (in)]]*(2+HFrame_List[[#This Row],[Extra supports]])</f>
        <v>21.84</v>
      </c>
      <c r="Z22">
        <f>(_xlfn.XLOOKUP("PHB",CADDY_costs[Component],CADDY_costs[Current cost])*HFrame_List[[#This Row],[Number of feet]])+(_xlfn.XLOOKUP("HFRMHDW",CADDY_costs[Component],CADDY_costs[Current cost])*(HFrame_List[[#This Row],[number of L-brackets]]/2))</f>
        <v>28.058</v>
      </c>
      <c r="AA22">
        <v>2484</v>
      </c>
      <c r="AB22" t="str">
        <f>VLOOKUP(HFrame_List[[#This Row],[lookup]],'Pallet and shipping info'!$A$5:$H$33,6,FALSE)</f>
        <v>x</v>
      </c>
      <c r="AC22">
        <f>VLOOKUP(HFrame_List[[#This Row],[lookup]],'Pallet and shipping info'!$A$5:$H$33,8,FALSE)</f>
        <v>7</v>
      </c>
      <c r="AD22"/>
      <c r="AE22"/>
      <c r="AF22"/>
    </row>
    <row r="23" spans="1:32" x14ac:dyDescent="0.25">
      <c r="A23" s="1" t="s">
        <v>226</v>
      </c>
      <c r="B23" s="1" t="s">
        <v>227</v>
      </c>
      <c r="C23" s="1">
        <f t="shared" si="0"/>
        <v>37.674999999999997</v>
      </c>
      <c r="D23" s="1">
        <f t="shared" si="1"/>
        <v>98.051000000000002</v>
      </c>
      <c r="E23" s="1">
        <v>36</v>
      </c>
      <c r="F23" s="1">
        <v>84</v>
      </c>
      <c r="G23" s="1">
        <f t="shared" si="4"/>
        <v>80.239999999999995</v>
      </c>
      <c r="H23" s="1">
        <v>0</v>
      </c>
      <c r="I23" s="1" t="s">
        <v>176</v>
      </c>
      <c r="J23" s="1">
        <v>1</v>
      </c>
      <c r="K23" s="2">
        <f t="shared" si="2"/>
        <v>84</v>
      </c>
      <c r="L23" s="1">
        <f t="shared" si="3"/>
        <v>2</v>
      </c>
      <c r="M23" s="1">
        <f t="shared" si="5"/>
        <v>6</v>
      </c>
      <c r="N23" s="1">
        <f t="shared" si="6"/>
        <v>2</v>
      </c>
      <c r="O23" s="3">
        <f t="shared" si="7"/>
        <v>13</v>
      </c>
      <c r="P23" s="1">
        <f t="shared" si="8"/>
        <v>2</v>
      </c>
      <c r="Q23">
        <f t="shared" si="9"/>
        <v>6</v>
      </c>
      <c r="R23">
        <f>_xlfn.XLOOKUP(HFrame_List[[#This Row],[Cross piece style]],$AH$2:$AH$4,$AI$2:$AI$4,0,0)*(HFrame_List[[#This Row],[Width between brackets]]/12)</f>
        <v>36.5092</v>
      </c>
      <c r="S23">
        <f>5.46*(HFrame_List[[#This Row],[cross piece quantity]]-1)*(HFrame_List[[#This Row],[Width between brackets]]/12)</f>
        <v>0</v>
      </c>
      <c r="T23" s="5">
        <f>HFrame_List[[#This Row],[Bottom cross piece cost]]+HFrame_List[[#This Row],[Top cross piece cost]]+HFrame_List[[#This Row],[Component costs]]+HFrame_List[[#This Row],[Vertical strut cost]]</f>
        <v>97.327200000000005</v>
      </c>
      <c r="U23" s="7">
        <f>_xlfn.XLOOKUP(HFrame_List[[#This Row],[Fabrication type]],Fabrication_costs[Fabrication type],Fabrication_costs[unit pricing],"no result",0)</f>
        <v>19.8</v>
      </c>
      <c r="V23" s="5">
        <f>SUM(T23:U23)/(1-HFrame_List[[#This Row],[Margin]])</f>
        <v>334.64914285714286</v>
      </c>
      <c r="W23" s="36">
        <f t="shared" si="11"/>
        <v>0.65</v>
      </c>
      <c r="X23" t="s">
        <v>177</v>
      </c>
      <c r="Y23">
        <f>_xlfn.XLOOKUP("A12",Strut_costs[size],Strut_costs[Strut cost])/12*HFrame_List[[#This Row],[Strut height (in)]]*(2+HFrame_List[[#This Row],[Extra supports]])</f>
        <v>32.76</v>
      </c>
      <c r="Z23">
        <f>(_xlfn.XLOOKUP("PHB",CADDY_costs[Component],CADDY_costs[Current cost])*HFrame_List[[#This Row],[Number of feet]])+(_xlfn.XLOOKUP("HFRMHDW",CADDY_costs[Component],CADDY_costs[Current cost])*(HFrame_List[[#This Row],[number of L-brackets]]/2))</f>
        <v>28.058</v>
      </c>
      <c r="AA23">
        <v>3684</v>
      </c>
      <c r="AB23" t="str">
        <f>VLOOKUP(HFrame_List[[#This Row],[lookup]],'Pallet and shipping info'!$A$5:$H$33,6,FALSE)</f>
        <v>x</v>
      </c>
      <c r="AC23">
        <f>VLOOKUP(HFrame_List[[#This Row],[lookup]],'Pallet and shipping info'!$A$5:$H$33,8,FALSE)</f>
        <v>7</v>
      </c>
      <c r="AD23"/>
      <c r="AE23"/>
      <c r="AF23"/>
    </row>
    <row r="24" spans="1:32" x14ac:dyDescent="0.25">
      <c r="A24" s="1" t="s">
        <v>228</v>
      </c>
      <c r="B24" s="1" t="s">
        <v>229</v>
      </c>
      <c r="C24" s="1">
        <f t="shared" si="0"/>
        <v>49.674999999999997</v>
      </c>
      <c r="D24" s="1">
        <f t="shared" si="1"/>
        <v>98.051000000000002</v>
      </c>
      <c r="E24" s="1">
        <v>48</v>
      </c>
      <c r="F24" s="1">
        <v>84</v>
      </c>
      <c r="G24" s="1">
        <f t="shared" si="4"/>
        <v>80.239999999999995</v>
      </c>
      <c r="H24" s="1">
        <v>0</v>
      </c>
      <c r="I24" s="1" t="s">
        <v>176</v>
      </c>
      <c r="J24" s="1">
        <v>1</v>
      </c>
      <c r="K24" s="2">
        <f t="shared" si="2"/>
        <v>84</v>
      </c>
      <c r="L24" s="1">
        <f t="shared" si="3"/>
        <v>2</v>
      </c>
      <c r="M24" s="1">
        <f t="shared" si="5"/>
        <v>6</v>
      </c>
      <c r="N24" s="1">
        <f t="shared" si="6"/>
        <v>2</v>
      </c>
      <c r="O24" s="3">
        <f t="shared" si="7"/>
        <v>15</v>
      </c>
      <c r="P24" s="1">
        <f t="shared" si="8"/>
        <v>2</v>
      </c>
      <c r="Q24">
        <f t="shared" si="9"/>
        <v>6</v>
      </c>
      <c r="R24">
        <f>_xlfn.XLOOKUP(HFrame_List[[#This Row],[Cross piece style]],$AH$2:$AH$4,$AI$2:$AI$4,0,0)*(HFrame_List[[#This Row],[Width between brackets]]/12)</f>
        <v>36.5092</v>
      </c>
      <c r="S24">
        <f>5.46*(HFrame_List[[#This Row],[cross piece quantity]]-1)*(HFrame_List[[#This Row],[Width between brackets]]/12)</f>
        <v>0</v>
      </c>
      <c r="T24" s="5">
        <f>HFrame_List[[#This Row],[Bottom cross piece cost]]+HFrame_List[[#This Row],[Top cross piece cost]]+HFrame_List[[#This Row],[Component costs]]+HFrame_List[[#This Row],[Vertical strut cost]]</f>
        <v>108.24719999999999</v>
      </c>
      <c r="U24" s="7">
        <f>_xlfn.XLOOKUP(HFrame_List[[#This Row],[Fabrication type]],Fabrication_costs[Fabrication type],Fabrication_costs[unit pricing],"no result",0)</f>
        <v>19.8</v>
      </c>
      <c r="V24" s="5">
        <f>SUM(T24:U24)/(1-HFrame_List[[#This Row],[Margin]])</f>
        <v>365.84914285714291</v>
      </c>
      <c r="W24" s="36">
        <f t="shared" si="11"/>
        <v>0.65</v>
      </c>
      <c r="X24" t="s">
        <v>177</v>
      </c>
      <c r="Y24">
        <f>_xlfn.XLOOKUP("A12",Strut_costs[size],Strut_costs[Strut cost])/12*HFrame_List[[#This Row],[Strut height (in)]]*(2+HFrame_List[[#This Row],[Extra supports]])</f>
        <v>43.68</v>
      </c>
      <c r="Z24">
        <f>(_xlfn.XLOOKUP("PHB",CADDY_costs[Component],CADDY_costs[Current cost])*HFrame_List[[#This Row],[Number of feet]])+(_xlfn.XLOOKUP("HFRMHDW",CADDY_costs[Component],CADDY_costs[Current cost])*(HFrame_List[[#This Row],[number of L-brackets]]/2))</f>
        <v>28.058</v>
      </c>
      <c r="AA24">
        <v>4884</v>
      </c>
      <c r="AB24" t="str">
        <f>VLOOKUP(HFrame_List[[#This Row],[lookup]],'Pallet and shipping info'!$A$5:$H$33,6,FALSE)</f>
        <v>x</v>
      </c>
      <c r="AC24">
        <f>VLOOKUP(HFrame_List[[#This Row],[lookup]],'Pallet and shipping info'!$A$5:$H$33,8,FALSE)</f>
        <v>7</v>
      </c>
      <c r="AD24"/>
      <c r="AE24"/>
      <c r="AF24"/>
    </row>
    <row r="25" spans="1:32" x14ac:dyDescent="0.25">
      <c r="A25" s="1" t="s">
        <v>230</v>
      </c>
      <c r="B25" s="1" t="s">
        <v>231</v>
      </c>
      <c r="C25" s="1">
        <f t="shared" si="0"/>
        <v>73.674999999999997</v>
      </c>
      <c r="D25" s="1">
        <f t="shared" si="1"/>
        <v>98.051000000000002</v>
      </c>
      <c r="E25" s="1">
        <v>72</v>
      </c>
      <c r="F25" s="1">
        <v>84</v>
      </c>
      <c r="G25" s="1">
        <f t="shared" si="4"/>
        <v>80.239999999999995</v>
      </c>
      <c r="H25" s="1">
        <v>0</v>
      </c>
      <c r="I25" s="1" t="s">
        <v>176</v>
      </c>
      <c r="J25" s="1">
        <v>1</v>
      </c>
      <c r="K25" s="2">
        <f t="shared" si="2"/>
        <v>84</v>
      </c>
      <c r="L25" s="1">
        <f t="shared" si="3"/>
        <v>2</v>
      </c>
      <c r="M25" s="1">
        <f t="shared" si="5"/>
        <v>6</v>
      </c>
      <c r="N25" s="1">
        <f t="shared" si="6"/>
        <v>2</v>
      </c>
      <c r="O25" s="3">
        <f t="shared" si="7"/>
        <v>19</v>
      </c>
      <c r="P25" s="1">
        <f t="shared" si="8"/>
        <v>2</v>
      </c>
      <c r="Q25">
        <f t="shared" si="9"/>
        <v>6</v>
      </c>
      <c r="R25">
        <f>_xlfn.XLOOKUP(HFrame_List[[#This Row],[Cross piece style]],$AH$2:$AH$4,$AI$2:$AI$4,0,0)*(HFrame_List[[#This Row],[Width between brackets]]/12)</f>
        <v>36.5092</v>
      </c>
      <c r="S25">
        <f>5.46*(HFrame_List[[#This Row],[cross piece quantity]]-1)*(HFrame_List[[#This Row],[Width between brackets]]/12)</f>
        <v>0</v>
      </c>
      <c r="T25" s="5">
        <f>HFrame_List[[#This Row],[Bottom cross piece cost]]+HFrame_List[[#This Row],[Top cross piece cost]]+HFrame_List[[#This Row],[Component costs]]+HFrame_List[[#This Row],[Vertical strut cost]]</f>
        <v>130.0872</v>
      </c>
      <c r="U25" s="7">
        <f>_xlfn.XLOOKUP(HFrame_List[[#This Row],[Fabrication type]],Fabrication_costs[Fabrication type],Fabrication_costs[unit pricing],"no result",0)</f>
        <v>19.8</v>
      </c>
      <c r="V25" s="5">
        <f>SUM(T25:U25)/(1-HFrame_List[[#This Row],[Margin]])</f>
        <v>428.24914285714289</v>
      </c>
      <c r="W25" s="36">
        <f t="shared" si="11"/>
        <v>0.65</v>
      </c>
      <c r="X25" t="s">
        <v>177</v>
      </c>
      <c r="Y25">
        <f>_xlfn.XLOOKUP("A12",Strut_costs[size],Strut_costs[Strut cost])/12*HFrame_List[[#This Row],[Strut height (in)]]*(2+HFrame_List[[#This Row],[Extra supports]])</f>
        <v>65.52</v>
      </c>
      <c r="Z25">
        <f>(_xlfn.XLOOKUP("PHB",CADDY_costs[Component],CADDY_costs[Current cost])*HFrame_List[[#This Row],[Number of feet]])+(_xlfn.XLOOKUP("HFRMHDW",CADDY_costs[Component],CADDY_costs[Current cost])*(HFrame_List[[#This Row],[number of L-brackets]]/2))</f>
        <v>28.058</v>
      </c>
      <c r="AA25">
        <v>7284</v>
      </c>
      <c r="AB25" t="str">
        <f>VLOOKUP(HFrame_List[[#This Row],[lookup]],'Pallet and shipping info'!$A$5:$H$33,6,FALSE)</f>
        <v>x</v>
      </c>
      <c r="AC25">
        <f>VLOOKUP(HFrame_List[[#This Row],[lookup]],'Pallet and shipping info'!$A$5:$H$33,8,FALSE)</f>
        <v>7</v>
      </c>
      <c r="AD25"/>
      <c r="AE25"/>
      <c r="AF25"/>
    </row>
    <row r="26" spans="1:32" x14ac:dyDescent="0.25">
      <c r="A26" s="1" t="s">
        <v>232</v>
      </c>
      <c r="B26" s="1" t="s">
        <v>233</v>
      </c>
      <c r="C26" s="1">
        <f t="shared" si="0"/>
        <v>25.675000000000001</v>
      </c>
      <c r="D26" s="1">
        <f t="shared" si="1"/>
        <v>34.051000000000002</v>
      </c>
      <c r="E26" s="1">
        <v>24</v>
      </c>
      <c r="F26" s="1">
        <v>20</v>
      </c>
      <c r="G26" s="1">
        <f>F26-(1.88*2)</f>
        <v>16.240000000000002</v>
      </c>
      <c r="H26" s="1">
        <v>0</v>
      </c>
      <c r="I26" s="1" t="s">
        <v>176</v>
      </c>
      <c r="J26" s="1">
        <v>2</v>
      </c>
      <c r="K26" s="2">
        <f t="shared" si="2"/>
        <v>20</v>
      </c>
      <c r="L26" s="1">
        <f t="shared" si="3"/>
        <v>2</v>
      </c>
      <c r="M26" s="1">
        <f>3*N26</f>
        <v>12</v>
      </c>
      <c r="N26" s="1">
        <f>(2+(2*H26))*J26</f>
        <v>4</v>
      </c>
      <c r="O26" s="3">
        <f t="shared" si="7"/>
        <v>7.333333333333333</v>
      </c>
      <c r="P26" s="1">
        <f t="shared" si="8"/>
        <v>1</v>
      </c>
      <c r="Q26">
        <f t="shared" si="9"/>
        <v>8</v>
      </c>
      <c r="R26">
        <f>_xlfn.XLOOKUP(HFrame_List[[#This Row],[Cross piece style]],$AH$2:$AH$4,$AI$2:$AI$4,0,0)*(HFrame_List[[#This Row],[Width between brackets]]/12)</f>
        <v>7.3892000000000007</v>
      </c>
      <c r="S26">
        <f>5.46*(HFrame_List[[#This Row],[cross piece quantity]]-1)*(HFrame_List[[#This Row],[Width between brackets]]/12)</f>
        <v>7.3892000000000007</v>
      </c>
      <c r="T26" s="5">
        <f>HFrame_List[[#This Row],[Bottom cross piece cost]]+HFrame_List[[#This Row],[Top cross piece cost]]+HFrame_List[[#This Row],[Component costs]]+HFrame_List[[#This Row],[Vertical strut cost]]</f>
        <v>74.142400000000009</v>
      </c>
      <c r="U26" s="7">
        <f>_xlfn.XLOOKUP(HFrame_List[[#This Row],[Fabrication type]],Fabrication_costs[Fabrication type],Fabrication_costs[unit pricing],"no result",0)</f>
        <v>27.72</v>
      </c>
      <c r="V26" s="5">
        <f>SUM(T26:U26)/(1-HFrame_List[[#This Row],[Margin]])</f>
        <v>291.03542857142861</v>
      </c>
      <c r="W26" s="36">
        <f t="shared" si="11"/>
        <v>0.65</v>
      </c>
      <c r="X26" t="s">
        <v>182</v>
      </c>
      <c r="Y26">
        <f>_xlfn.XLOOKUP("A12",Strut_costs[size],Strut_costs[Strut cost])/12*HFrame_List[[#This Row],[Strut height (in)]]*(2+HFrame_List[[#This Row],[Extra supports]])</f>
        <v>21.84</v>
      </c>
      <c r="Z26">
        <f>(_xlfn.XLOOKUP("PHB",CADDY_costs[Component],CADDY_costs[Current cost])*HFrame_List[[#This Row],[Number of feet]])+(_xlfn.XLOOKUP("HFRMHDW",CADDY_costs[Component],CADDY_costs[Current cost])*(HFrame_List[[#This Row],[number of L-brackets]]/2))</f>
        <v>37.524000000000001</v>
      </c>
      <c r="AA26">
        <v>2420</v>
      </c>
      <c r="AB26">
        <f>VLOOKUP(HFrame_List[[#This Row],[lookup]],'Pallet and shipping info'!$A$5:$H$33,6,FALSE)</f>
        <v>11</v>
      </c>
      <c r="AC26">
        <f>VLOOKUP(HFrame_List[[#This Row],[lookup]],'Pallet and shipping info'!$A$5:$H$33,8,FALSE)</f>
        <v>15</v>
      </c>
      <c r="AD26"/>
      <c r="AE26"/>
      <c r="AF26"/>
    </row>
    <row r="27" spans="1:32" x14ac:dyDescent="0.25">
      <c r="A27" s="1" t="s">
        <v>234</v>
      </c>
      <c r="B27" s="1" t="s">
        <v>235</v>
      </c>
      <c r="C27" s="1">
        <f t="shared" si="0"/>
        <v>37.674999999999997</v>
      </c>
      <c r="D27" s="1">
        <f t="shared" si="1"/>
        <v>34.051000000000002</v>
      </c>
      <c r="E27" s="1">
        <v>36</v>
      </c>
      <c r="F27" s="1">
        <f>F26</f>
        <v>20</v>
      </c>
      <c r="G27" s="1">
        <f t="shared" ref="G27:G49" si="13">F27-(1.88*2)</f>
        <v>16.240000000000002</v>
      </c>
      <c r="H27" s="1">
        <v>0</v>
      </c>
      <c r="I27" s="1" t="s">
        <v>176</v>
      </c>
      <c r="J27" s="1">
        <v>2</v>
      </c>
      <c r="K27" s="2">
        <f t="shared" si="2"/>
        <v>20</v>
      </c>
      <c r="L27" s="1">
        <f t="shared" si="3"/>
        <v>2</v>
      </c>
      <c r="M27" s="1">
        <f t="shared" ref="M27:M49" si="14">3*N27</f>
        <v>12</v>
      </c>
      <c r="N27" s="1">
        <f t="shared" ref="N27:N49" si="15">(2+(2*H27))*J27</f>
        <v>4</v>
      </c>
      <c r="O27" s="3">
        <f t="shared" si="7"/>
        <v>9.3333333333333339</v>
      </c>
      <c r="P27" s="1">
        <f t="shared" si="8"/>
        <v>1</v>
      </c>
      <c r="Q27">
        <f t="shared" si="9"/>
        <v>8</v>
      </c>
      <c r="R27">
        <f>_xlfn.XLOOKUP(HFrame_List[[#This Row],[Cross piece style]],$AH$2:$AH$4,$AI$2:$AI$4,0,0)*(HFrame_List[[#This Row],[Width between brackets]]/12)</f>
        <v>7.3892000000000007</v>
      </c>
      <c r="S27">
        <f>5.46*(HFrame_List[[#This Row],[cross piece quantity]]-1)*(HFrame_List[[#This Row],[Width between brackets]]/12)</f>
        <v>7.3892000000000007</v>
      </c>
      <c r="T27" s="5">
        <f>HFrame_List[[#This Row],[Bottom cross piece cost]]+HFrame_List[[#This Row],[Top cross piece cost]]+HFrame_List[[#This Row],[Component costs]]+HFrame_List[[#This Row],[Vertical strut cost]]</f>
        <v>85.062399999999997</v>
      </c>
      <c r="U27" s="7">
        <f>_xlfn.XLOOKUP(HFrame_List[[#This Row],[Fabrication type]],Fabrication_costs[Fabrication type],Fabrication_costs[unit pricing],"no result",0)</f>
        <v>27.72</v>
      </c>
      <c r="V27" s="5">
        <f>SUM(T27:U27)/(1-HFrame_List[[#This Row],[Margin]])</f>
        <v>322.2354285714286</v>
      </c>
      <c r="W27" s="36">
        <f t="shared" si="11"/>
        <v>0.65</v>
      </c>
      <c r="X27" t="s">
        <v>182</v>
      </c>
      <c r="Y27">
        <f>_xlfn.XLOOKUP("A12",Strut_costs[size],Strut_costs[Strut cost])/12*HFrame_List[[#This Row],[Strut height (in)]]*(2+HFrame_List[[#This Row],[Extra supports]])</f>
        <v>32.76</v>
      </c>
      <c r="Z27">
        <f>(_xlfn.XLOOKUP("PHB",CADDY_costs[Component],CADDY_costs[Current cost])*HFrame_List[[#This Row],[Number of feet]])+(_xlfn.XLOOKUP("HFRMHDW",CADDY_costs[Component],CADDY_costs[Current cost])*(HFrame_List[[#This Row],[number of L-brackets]]/2))</f>
        <v>37.524000000000001</v>
      </c>
      <c r="AA27">
        <v>3620</v>
      </c>
      <c r="AB27">
        <f>VLOOKUP(HFrame_List[[#This Row],[lookup]],'Pallet and shipping info'!$A$5:$H$33,6,FALSE)</f>
        <v>11</v>
      </c>
      <c r="AC27">
        <f>VLOOKUP(HFrame_List[[#This Row],[lookup]],'Pallet and shipping info'!$A$5:$H$33,8,FALSE)</f>
        <v>15</v>
      </c>
      <c r="AD27"/>
      <c r="AE27"/>
      <c r="AF27"/>
    </row>
    <row r="28" spans="1:32" x14ac:dyDescent="0.25">
      <c r="A28" s="1" t="s">
        <v>236</v>
      </c>
      <c r="B28" s="1" t="s">
        <v>237</v>
      </c>
      <c r="C28" s="1">
        <f t="shared" si="0"/>
        <v>49.674999999999997</v>
      </c>
      <c r="D28" s="1">
        <f t="shared" si="1"/>
        <v>34.051000000000002</v>
      </c>
      <c r="E28" s="1">
        <v>48</v>
      </c>
      <c r="F28" s="1">
        <f t="shared" ref="F28:F29" si="16">F27</f>
        <v>20</v>
      </c>
      <c r="G28" s="1">
        <f t="shared" si="13"/>
        <v>16.240000000000002</v>
      </c>
      <c r="H28" s="1">
        <v>0</v>
      </c>
      <c r="I28" s="1" t="s">
        <v>176</v>
      </c>
      <c r="J28" s="1">
        <v>2</v>
      </c>
      <c r="K28" s="2">
        <f t="shared" si="2"/>
        <v>20</v>
      </c>
      <c r="L28" s="1">
        <f t="shared" si="3"/>
        <v>2</v>
      </c>
      <c r="M28" s="1">
        <f t="shared" si="14"/>
        <v>12</v>
      </c>
      <c r="N28" s="1">
        <f t="shared" si="15"/>
        <v>4</v>
      </c>
      <c r="O28" s="3">
        <f t="shared" si="7"/>
        <v>11.333333333333334</v>
      </c>
      <c r="P28" s="1">
        <f t="shared" si="8"/>
        <v>2</v>
      </c>
      <c r="Q28">
        <f t="shared" si="9"/>
        <v>8</v>
      </c>
      <c r="R28">
        <f>_xlfn.XLOOKUP(HFrame_List[[#This Row],[Cross piece style]],$AH$2:$AH$4,$AI$2:$AI$4,0,0)*(HFrame_List[[#This Row],[Width between brackets]]/12)</f>
        <v>7.3892000000000007</v>
      </c>
      <c r="S28">
        <f>5.46*(HFrame_List[[#This Row],[cross piece quantity]]-1)*(HFrame_List[[#This Row],[Width between brackets]]/12)</f>
        <v>7.3892000000000007</v>
      </c>
      <c r="T28" s="5">
        <f>HFrame_List[[#This Row],[Bottom cross piece cost]]+HFrame_List[[#This Row],[Top cross piece cost]]+HFrame_List[[#This Row],[Component costs]]+HFrame_List[[#This Row],[Vertical strut cost]]</f>
        <v>95.982400000000013</v>
      </c>
      <c r="U28" s="7">
        <f>_xlfn.XLOOKUP(HFrame_List[[#This Row],[Fabrication type]],Fabrication_costs[Fabrication type],Fabrication_costs[unit pricing],"no result",0)</f>
        <v>27.72</v>
      </c>
      <c r="V28" s="5">
        <f>SUM(T28:U28)/(1-HFrame_List[[#This Row],[Margin]])</f>
        <v>353.43542857142864</v>
      </c>
      <c r="W28" s="36">
        <f t="shared" si="11"/>
        <v>0.65</v>
      </c>
      <c r="X28" t="s">
        <v>182</v>
      </c>
      <c r="Y28">
        <f>_xlfn.XLOOKUP("A12",Strut_costs[size],Strut_costs[Strut cost])/12*HFrame_List[[#This Row],[Strut height (in)]]*(2+HFrame_List[[#This Row],[Extra supports]])</f>
        <v>43.68</v>
      </c>
      <c r="Z28">
        <f>(_xlfn.XLOOKUP("PHB",CADDY_costs[Component],CADDY_costs[Current cost])*HFrame_List[[#This Row],[Number of feet]])+(_xlfn.XLOOKUP("HFRMHDW",CADDY_costs[Component],CADDY_costs[Current cost])*(HFrame_List[[#This Row],[number of L-brackets]]/2))</f>
        <v>37.524000000000001</v>
      </c>
      <c r="AA28">
        <v>4820</v>
      </c>
      <c r="AB28">
        <f>VLOOKUP(HFrame_List[[#This Row],[lookup]],'Pallet and shipping info'!$A$5:$H$33,6,FALSE)</f>
        <v>11</v>
      </c>
      <c r="AC28">
        <f>VLOOKUP(HFrame_List[[#This Row],[lookup]],'Pallet and shipping info'!$A$5:$H$33,8,FALSE)</f>
        <v>15</v>
      </c>
      <c r="AD28"/>
      <c r="AE28"/>
      <c r="AF28"/>
    </row>
    <row r="29" spans="1:32" x14ac:dyDescent="0.25">
      <c r="A29" s="1" t="s">
        <v>238</v>
      </c>
      <c r="B29" s="1" t="s">
        <v>239</v>
      </c>
      <c r="C29" s="1">
        <f t="shared" si="0"/>
        <v>73.674999999999997</v>
      </c>
      <c r="D29" s="1">
        <f t="shared" si="1"/>
        <v>34.051000000000002</v>
      </c>
      <c r="E29" s="1">
        <v>72</v>
      </c>
      <c r="F29" s="1">
        <f t="shared" si="16"/>
        <v>20</v>
      </c>
      <c r="G29" s="1">
        <f t="shared" si="13"/>
        <v>16.240000000000002</v>
      </c>
      <c r="H29" s="1">
        <v>0</v>
      </c>
      <c r="I29" s="1" t="s">
        <v>176</v>
      </c>
      <c r="J29" s="1">
        <v>2</v>
      </c>
      <c r="K29" s="2">
        <f t="shared" si="2"/>
        <v>20</v>
      </c>
      <c r="L29" s="1">
        <f t="shared" si="3"/>
        <v>2</v>
      </c>
      <c r="M29" s="1">
        <f t="shared" si="14"/>
        <v>12</v>
      </c>
      <c r="N29" s="1">
        <f t="shared" si="15"/>
        <v>4</v>
      </c>
      <c r="O29" s="3">
        <f t="shared" si="7"/>
        <v>15.333333333333334</v>
      </c>
      <c r="P29" s="1">
        <f t="shared" si="8"/>
        <v>2</v>
      </c>
      <c r="Q29">
        <f t="shared" si="9"/>
        <v>8</v>
      </c>
      <c r="R29">
        <f>_xlfn.XLOOKUP(HFrame_List[[#This Row],[Cross piece style]],$AH$2:$AH$4,$AI$2:$AI$4,0,0)*(HFrame_List[[#This Row],[Width between brackets]]/12)</f>
        <v>7.3892000000000007</v>
      </c>
      <c r="S29">
        <f>5.46*(HFrame_List[[#This Row],[cross piece quantity]]-1)*(HFrame_List[[#This Row],[Width between brackets]]/12)</f>
        <v>7.3892000000000007</v>
      </c>
      <c r="T29" s="5">
        <f>HFrame_List[[#This Row],[Bottom cross piece cost]]+HFrame_List[[#This Row],[Top cross piece cost]]+HFrame_List[[#This Row],[Component costs]]+HFrame_List[[#This Row],[Vertical strut cost]]</f>
        <v>117.8224</v>
      </c>
      <c r="U29" s="7">
        <f>_xlfn.XLOOKUP(HFrame_List[[#This Row],[Fabrication type]],Fabrication_costs[Fabrication type],Fabrication_costs[unit pricing],"no result",0)</f>
        <v>27.72</v>
      </c>
      <c r="V29" s="5">
        <f>SUM(T29:U29)/(1-HFrame_List[[#This Row],[Margin]])</f>
        <v>415.83542857142857</v>
      </c>
      <c r="W29" s="36">
        <f t="shared" si="11"/>
        <v>0.65</v>
      </c>
      <c r="X29" t="s">
        <v>182</v>
      </c>
      <c r="Y29">
        <f>_xlfn.XLOOKUP("A12",Strut_costs[size],Strut_costs[Strut cost])/12*HFrame_List[[#This Row],[Strut height (in)]]*(2+HFrame_List[[#This Row],[Extra supports]])</f>
        <v>65.52</v>
      </c>
      <c r="Z29">
        <f>(_xlfn.XLOOKUP("PHB",CADDY_costs[Component],CADDY_costs[Current cost])*HFrame_List[[#This Row],[Number of feet]])+(_xlfn.XLOOKUP("HFRMHDW",CADDY_costs[Component],CADDY_costs[Current cost])*(HFrame_List[[#This Row],[number of L-brackets]]/2))</f>
        <v>37.524000000000001</v>
      </c>
      <c r="AA29">
        <v>7220</v>
      </c>
      <c r="AB29">
        <f>VLOOKUP(HFrame_List[[#This Row],[lookup]],'Pallet and shipping info'!$A$5:$H$33,6,FALSE)</f>
        <v>11</v>
      </c>
      <c r="AC29">
        <f>VLOOKUP(HFrame_List[[#This Row],[lookup]],'Pallet and shipping info'!$A$5:$H$33,8,FALSE)</f>
        <v>15</v>
      </c>
      <c r="AD29"/>
      <c r="AE29"/>
      <c r="AF29"/>
    </row>
    <row r="30" spans="1:32" x14ac:dyDescent="0.25">
      <c r="A30" s="1" t="s">
        <v>240</v>
      </c>
      <c r="B30" s="1" t="s">
        <v>241</v>
      </c>
      <c r="C30" s="1">
        <f t="shared" si="0"/>
        <v>25.675000000000001</v>
      </c>
      <c r="D30" s="1">
        <f t="shared" si="1"/>
        <v>50.050999999999995</v>
      </c>
      <c r="E30" s="1">
        <v>24</v>
      </c>
      <c r="F30" s="1">
        <v>36</v>
      </c>
      <c r="G30" s="1">
        <f t="shared" si="13"/>
        <v>32.24</v>
      </c>
      <c r="H30" s="1">
        <v>0</v>
      </c>
      <c r="I30" s="1" t="s">
        <v>176</v>
      </c>
      <c r="J30" s="1">
        <v>2</v>
      </c>
      <c r="K30" s="2">
        <f t="shared" si="2"/>
        <v>36</v>
      </c>
      <c r="L30" s="1">
        <f t="shared" si="3"/>
        <v>2</v>
      </c>
      <c r="M30" s="1">
        <f t="shared" si="14"/>
        <v>12</v>
      </c>
      <c r="N30" s="1">
        <f t="shared" si="15"/>
        <v>4</v>
      </c>
      <c r="O30" s="3">
        <f t="shared" si="7"/>
        <v>10</v>
      </c>
      <c r="P30" s="1">
        <f t="shared" si="8"/>
        <v>1</v>
      </c>
      <c r="Q30">
        <f t="shared" si="9"/>
        <v>8</v>
      </c>
      <c r="R30">
        <f>_xlfn.XLOOKUP(HFrame_List[[#This Row],[Cross piece style]],$AH$2:$AH$4,$AI$2:$AI$4,0,0)*(HFrame_List[[#This Row],[Width between brackets]]/12)</f>
        <v>14.669200000000002</v>
      </c>
      <c r="S30">
        <f>5.46*(HFrame_List[[#This Row],[cross piece quantity]]-1)*(HFrame_List[[#This Row],[Width between brackets]]/12)</f>
        <v>14.669200000000002</v>
      </c>
      <c r="T30" s="5">
        <f>HFrame_List[[#This Row],[Bottom cross piece cost]]+HFrame_List[[#This Row],[Top cross piece cost]]+HFrame_List[[#This Row],[Component costs]]+HFrame_List[[#This Row],[Vertical strut cost]]</f>
        <v>88.702400000000011</v>
      </c>
      <c r="U30" s="7">
        <f>_xlfn.XLOOKUP(HFrame_List[[#This Row],[Fabrication type]],Fabrication_costs[Fabrication type],Fabrication_costs[unit pricing],"no result",0)</f>
        <v>27.72</v>
      </c>
      <c r="V30" s="5">
        <f>SUM(T30:U30)/(1-HFrame_List[[#This Row],[Margin]])</f>
        <v>332.63542857142863</v>
      </c>
      <c r="W30" s="36">
        <f t="shared" si="11"/>
        <v>0.65</v>
      </c>
      <c r="X30" t="s">
        <v>182</v>
      </c>
      <c r="Y30">
        <f>_xlfn.XLOOKUP("A12",Strut_costs[size],Strut_costs[Strut cost])/12*HFrame_List[[#This Row],[Strut height (in)]]*(2+HFrame_List[[#This Row],[Extra supports]])</f>
        <v>21.84</v>
      </c>
      <c r="Z30">
        <f>(_xlfn.XLOOKUP("PHB",CADDY_costs[Component],CADDY_costs[Current cost])*HFrame_List[[#This Row],[Number of feet]])+(_xlfn.XLOOKUP("HFRMHDW",CADDY_costs[Component],CADDY_costs[Current cost])*(HFrame_List[[#This Row],[number of L-brackets]]/2))</f>
        <v>37.524000000000001</v>
      </c>
      <c r="AA30">
        <v>2436</v>
      </c>
      <c r="AB30">
        <f>VLOOKUP(HFrame_List[[#This Row],[lookup]],'Pallet and shipping info'!$A$5:$H$33,6,FALSE)</f>
        <v>9</v>
      </c>
      <c r="AC30">
        <f>VLOOKUP(HFrame_List[[#This Row],[lookup]],'Pallet and shipping info'!$A$5:$H$33,8,FALSE)</f>
        <v>14</v>
      </c>
      <c r="AD30"/>
      <c r="AE30"/>
      <c r="AF30"/>
    </row>
    <row r="31" spans="1:32" x14ac:dyDescent="0.25">
      <c r="A31" s="1" t="s">
        <v>242</v>
      </c>
      <c r="B31" s="1" t="s">
        <v>243</v>
      </c>
      <c r="C31" s="1">
        <f t="shared" si="0"/>
        <v>37.674999999999997</v>
      </c>
      <c r="D31" s="1">
        <f t="shared" si="1"/>
        <v>50.050999999999995</v>
      </c>
      <c r="E31" s="1">
        <v>36</v>
      </c>
      <c r="F31" s="1">
        <f>F30</f>
        <v>36</v>
      </c>
      <c r="G31" s="1">
        <f t="shared" si="13"/>
        <v>32.24</v>
      </c>
      <c r="H31" s="1">
        <v>0</v>
      </c>
      <c r="I31" s="1" t="s">
        <v>176</v>
      </c>
      <c r="J31" s="1">
        <v>2</v>
      </c>
      <c r="K31" s="2">
        <f t="shared" si="2"/>
        <v>36</v>
      </c>
      <c r="L31" s="1">
        <f t="shared" si="3"/>
        <v>2</v>
      </c>
      <c r="M31" s="1">
        <f t="shared" si="14"/>
        <v>12</v>
      </c>
      <c r="N31" s="1">
        <f t="shared" si="15"/>
        <v>4</v>
      </c>
      <c r="O31" s="3">
        <f t="shared" si="7"/>
        <v>12</v>
      </c>
      <c r="P31" s="1">
        <f t="shared" si="8"/>
        <v>2</v>
      </c>
      <c r="Q31">
        <f t="shared" si="9"/>
        <v>8</v>
      </c>
      <c r="R31">
        <f>_xlfn.XLOOKUP(HFrame_List[[#This Row],[Cross piece style]],$AH$2:$AH$4,$AI$2:$AI$4,0,0)*(HFrame_List[[#This Row],[Width between brackets]]/12)</f>
        <v>14.669200000000002</v>
      </c>
      <c r="S31">
        <f>5.46*(HFrame_List[[#This Row],[cross piece quantity]]-1)*(HFrame_List[[#This Row],[Width between brackets]]/12)</f>
        <v>14.669200000000002</v>
      </c>
      <c r="T31" s="5">
        <f>HFrame_List[[#This Row],[Bottom cross piece cost]]+HFrame_List[[#This Row],[Top cross piece cost]]+HFrame_List[[#This Row],[Component costs]]+HFrame_List[[#This Row],[Vertical strut cost]]</f>
        <v>99.622399999999999</v>
      </c>
      <c r="U31" s="7">
        <f>_xlfn.XLOOKUP(HFrame_List[[#This Row],[Fabrication type]],Fabrication_costs[Fabrication type],Fabrication_costs[unit pricing],"no result",0)</f>
        <v>27.72</v>
      </c>
      <c r="V31" s="5">
        <f>SUM(T31:U31)/(1-HFrame_List[[#This Row],[Margin]])</f>
        <v>363.83542857142857</v>
      </c>
      <c r="W31" s="36">
        <f t="shared" si="11"/>
        <v>0.65</v>
      </c>
      <c r="X31" t="s">
        <v>182</v>
      </c>
      <c r="Y31">
        <f>_xlfn.XLOOKUP("A12",Strut_costs[size],Strut_costs[Strut cost])/12*HFrame_List[[#This Row],[Strut height (in)]]*(2+HFrame_List[[#This Row],[Extra supports]])</f>
        <v>32.76</v>
      </c>
      <c r="Z31">
        <f>(_xlfn.XLOOKUP("PHB",CADDY_costs[Component],CADDY_costs[Current cost])*HFrame_List[[#This Row],[Number of feet]])+(_xlfn.XLOOKUP("HFRMHDW",CADDY_costs[Component],CADDY_costs[Current cost])*(HFrame_List[[#This Row],[number of L-brackets]]/2))</f>
        <v>37.524000000000001</v>
      </c>
      <c r="AA31">
        <v>3636</v>
      </c>
      <c r="AB31">
        <f>VLOOKUP(HFrame_List[[#This Row],[lookup]],'Pallet and shipping info'!$A$5:$H$33,6,FALSE)</f>
        <v>9</v>
      </c>
      <c r="AC31">
        <f>VLOOKUP(HFrame_List[[#This Row],[lookup]],'Pallet and shipping info'!$A$5:$H$33,8,FALSE)</f>
        <v>14</v>
      </c>
      <c r="AD31"/>
      <c r="AE31"/>
      <c r="AF31"/>
    </row>
    <row r="32" spans="1:32" x14ac:dyDescent="0.25">
      <c r="A32" s="1" t="s">
        <v>244</v>
      </c>
      <c r="B32" s="1" t="s">
        <v>245</v>
      </c>
      <c r="C32" s="1">
        <f t="shared" si="0"/>
        <v>49.674999999999997</v>
      </c>
      <c r="D32" s="1">
        <f t="shared" si="1"/>
        <v>50.050999999999995</v>
      </c>
      <c r="E32" s="1">
        <v>48</v>
      </c>
      <c r="F32" s="1">
        <f t="shared" ref="F32:F37" si="17">F31</f>
        <v>36</v>
      </c>
      <c r="G32" s="1">
        <f t="shared" si="13"/>
        <v>32.24</v>
      </c>
      <c r="H32" s="1">
        <v>0</v>
      </c>
      <c r="I32" s="1" t="s">
        <v>176</v>
      </c>
      <c r="J32" s="1">
        <v>2</v>
      </c>
      <c r="K32" s="2">
        <f t="shared" si="2"/>
        <v>36</v>
      </c>
      <c r="L32" s="1">
        <f t="shared" si="3"/>
        <v>2</v>
      </c>
      <c r="M32" s="1">
        <f t="shared" si="14"/>
        <v>12</v>
      </c>
      <c r="N32" s="1">
        <f t="shared" si="15"/>
        <v>4</v>
      </c>
      <c r="O32" s="3">
        <f t="shared" si="7"/>
        <v>14</v>
      </c>
      <c r="P32" s="1">
        <f t="shared" si="8"/>
        <v>2</v>
      </c>
      <c r="Q32">
        <f t="shared" si="9"/>
        <v>8</v>
      </c>
      <c r="R32">
        <f>_xlfn.XLOOKUP(HFrame_List[[#This Row],[Cross piece style]],$AH$2:$AH$4,$AI$2:$AI$4,0,0)*(HFrame_List[[#This Row],[Width between brackets]]/12)</f>
        <v>14.669200000000002</v>
      </c>
      <c r="S32">
        <f>5.46*(HFrame_List[[#This Row],[cross piece quantity]]-1)*(HFrame_List[[#This Row],[Width between brackets]]/12)</f>
        <v>14.669200000000002</v>
      </c>
      <c r="T32" s="5">
        <f>HFrame_List[[#This Row],[Bottom cross piece cost]]+HFrame_List[[#This Row],[Top cross piece cost]]+HFrame_List[[#This Row],[Component costs]]+HFrame_List[[#This Row],[Vertical strut cost]]</f>
        <v>110.54240000000001</v>
      </c>
      <c r="U32" s="7">
        <f>_xlfn.XLOOKUP(HFrame_List[[#This Row],[Fabrication type]],Fabrication_costs[Fabrication type],Fabrication_costs[unit pricing],"no result",0)</f>
        <v>27.72</v>
      </c>
      <c r="V32" s="5">
        <f>SUM(T32:U32)/(1-HFrame_List[[#This Row],[Margin]])</f>
        <v>395.03542857142861</v>
      </c>
      <c r="W32" s="36">
        <f t="shared" si="11"/>
        <v>0.65</v>
      </c>
      <c r="X32" t="s">
        <v>182</v>
      </c>
      <c r="Y32">
        <f>_xlfn.XLOOKUP("A12",Strut_costs[size],Strut_costs[Strut cost])/12*HFrame_List[[#This Row],[Strut height (in)]]*(2+HFrame_List[[#This Row],[Extra supports]])</f>
        <v>43.68</v>
      </c>
      <c r="Z32">
        <f>(_xlfn.XLOOKUP("PHB",CADDY_costs[Component],CADDY_costs[Current cost])*HFrame_List[[#This Row],[Number of feet]])+(_xlfn.XLOOKUP("HFRMHDW",CADDY_costs[Component],CADDY_costs[Current cost])*(HFrame_List[[#This Row],[number of L-brackets]]/2))</f>
        <v>37.524000000000001</v>
      </c>
      <c r="AA32">
        <v>4836</v>
      </c>
      <c r="AB32">
        <f>VLOOKUP(HFrame_List[[#This Row],[lookup]],'Pallet and shipping info'!$A$5:$H$33,6,FALSE)</f>
        <v>9</v>
      </c>
      <c r="AC32">
        <f>VLOOKUP(HFrame_List[[#This Row],[lookup]],'Pallet and shipping info'!$A$5:$H$33,8,FALSE)</f>
        <v>14</v>
      </c>
      <c r="AD32"/>
      <c r="AE32"/>
      <c r="AF32"/>
    </row>
    <row r="33" spans="1:32" x14ac:dyDescent="0.25">
      <c r="A33" s="1" t="s">
        <v>246</v>
      </c>
      <c r="B33" s="1" t="s">
        <v>247</v>
      </c>
      <c r="C33" s="1">
        <f t="shared" si="0"/>
        <v>73.674999999999997</v>
      </c>
      <c r="D33" s="1">
        <f t="shared" si="1"/>
        <v>50.050999999999995</v>
      </c>
      <c r="E33" s="1">
        <v>72</v>
      </c>
      <c r="F33" s="1">
        <f t="shared" si="17"/>
        <v>36</v>
      </c>
      <c r="G33" s="1">
        <f t="shared" si="13"/>
        <v>32.24</v>
      </c>
      <c r="H33" s="1">
        <v>0</v>
      </c>
      <c r="I33" s="1" t="s">
        <v>176</v>
      </c>
      <c r="J33" s="1">
        <v>2</v>
      </c>
      <c r="K33" s="2">
        <f t="shared" si="2"/>
        <v>36</v>
      </c>
      <c r="L33" s="1">
        <f t="shared" si="3"/>
        <v>2</v>
      </c>
      <c r="M33" s="1">
        <f t="shared" si="14"/>
        <v>12</v>
      </c>
      <c r="N33" s="1">
        <f t="shared" si="15"/>
        <v>4</v>
      </c>
      <c r="O33" s="3">
        <f t="shared" si="7"/>
        <v>18</v>
      </c>
      <c r="P33" s="1">
        <f t="shared" si="8"/>
        <v>2</v>
      </c>
      <c r="Q33">
        <f t="shared" si="9"/>
        <v>8</v>
      </c>
      <c r="R33">
        <f>_xlfn.XLOOKUP(HFrame_List[[#This Row],[Cross piece style]],$AH$2:$AH$4,$AI$2:$AI$4,0,0)*(HFrame_List[[#This Row],[Width between brackets]]/12)</f>
        <v>14.669200000000002</v>
      </c>
      <c r="S33">
        <f>5.46*(HFrame_List[[#This Row],[cross piece quantity]]-1)*(HFrame_List[[#This Row],[Width between brackets]]/12)</f>
        <v>14.669200000000002</v>
      </c>
      <c r="T33" s="5">
        <f>HFrame_List[[#This Row],[Bottom cross piece cost]]+HFrame_List[[#This Row],[Top cross piece cost]]+HFrame_List[[#This Row],[Component costs]]+HFrame_List[[#This Row],[Vertical strut cost]]</f>
        <v>132.38240000000002</v>
      </c>
      <c r="U33" s="7">
        <f>_xlfn.XLOOKUP(HFrame_List[[#This Row],[Fabrication type]],Fabrication_costs[Fabrication type],Fabrication_costs[unit pricing],"no result",0)</f>
        <v>27.72</v>
      </c>
      <c r="V33" s="5">
        <f>SUM(T33:U33)/(1-HFrame_List[[#This Row],[Margin]])</f>
        <v>457.43542857142864</v>
      </c>
      <c r="W33" s="36">
        <f t="shared" si="11"/>
        <v>0.65</v>
      </c>
      <c r="X33" t="s">
        <v>182</v>
      </c>
      <c r="Y33">
        <f>_xlfn.XLOOKUP("A12",Strut_costs[size],Strut_costs[Strut cost])/12*HFrame_List[[#This Row],[Strut height (in)]]*(2+HFrame_List[[#This Row],[Extra supports]])</f>
        <v>65.52</v>
      </c>
      <c r="Z33">
        <f>(_xlfn.XLOOKUP("PHB",CADDY_costs[Component],CADDY_costs[Current cost])*HFrame_List[[#This Row],[Number of feet]])+(_xlfn.XLOOKUP("HFRMHDW",CADDY_costs[Component],CADDY_costs[Current cost])*(HFrame_List[[#This Row],[number of L-brackets]]/2))</f>
        <v>37.524000000000001</v>
      </c>
      <c r="AA33">
        <v>7236</v>
      </c>
      <c r="AB33">
        <f>VLOOKUP(HFrame_List[[#This Row],[lookup]],'Pallet and shipping info'!$A$5:$H$33,6,FALSE)</f>
        <v>9</v>
      </c>
      <c r="AC33">
        <f>VLOOKUP(HFrame_List[[#This Row],[lookup]],'Pallet and shipping info'!$A$5:$H$33,8,FALSE)</f>
        <v>14</v>
      </c>
      <c r="AD33"/>
      <c r="AE33"/>
      <c r="AF33"/>
    </row>
    <row r="34" spans="1:32" x14ac:dyDescent="0.25">
      <c r="A34" s="1" t="s">
        <v>248</v>
      </c>
      <c r="B34" s="1" t="s">
        <v>249</v>
      </c>
      <c r="C34" s="1">
        <f t="shared" si="0"/>
        <v>25.675000000000001</v>
      </c>
      <c r="D34" s="1">
        <f t="shared" si="1"/>
        <v>62.050999999999995</v>
      </c>
      <c r="E34" s="1">
        <v>24</v>
      </c>
      <c r="F34" s="1">
        <v>48</v>
      </c>
      <c r="G34" s="1">
        <f t="shared" si="13"/>
        <v>44.24</v>
      </c>
      <c r="H34" s="1">
        <v>0</v>
      </c>
      <c r="I34" s="1" t="s">
        <v>176</v>
      </c>
      <c r="J34" s="1">
        <v>2</v>
      </c>
      <c r="K34" s="2">
        <f t="shared" si="2"/>
        <v>48</v>
      </c>
      <c r="L34" s="1">
        <f t="shared" si="3"/>
        <v>2</v>
      </c>
      <c r="M34" s="1">
        <f t="shared" si="14"/>
        <v>12</v>
      </c>
      <c r="N34" s="1">
        <f t="shared" si="15"/>
        <v>4</v>
      </c>
      <c r="O34" s="3">
        <f t="shared" si="7"/>
        <v>12</v>
      </c>
      <c r="P34" s="1">
        <f t="shared" si="8"/>
        <v>2</v>
      </c>
      <c r="Q34">
        <f t="shared" si="9"/>
        <v>8</v>
      </c>
      <c r="R34">
        <f>_xlfn.XLOOKUP(HFrame_List[[#This Row],[Cross piece style]],$AH$2:$AH$4,$AI$2:$AI$4,0,0)*(HFrame_List[[#This Row],[Width between brackets]]/12)</f>
        <v>20.129200000000001</v>
      </c>
      <c r="S34">
        <f>5.46*(HFrame_List[[#This Row],[cross piece quantity]]-1)*(HFrame_List[[#This Row],[Width between brackets]]/12)</f>
        <v>20.129200000000001</v>
      </c>
      <c r="T34" s="5">
        <f>HFrame_List[[#This Row],[Bottom cross piece cost]]+HFrame_List[[#This Row],[Top cross piece cost]]+HFrame_List[[#This Row],[Component costs]]+HFrame_List[[#This Row],[Vertical strut cost]]</f>
        <v>99.622399999999999</v>
      </c>
      <c r="U34" s="7">
        <f>_xlfn.XLOOKUP(HFrame_List[[#This Row],[Fabrication type]],Fabrication_costs[Fabrication type],Fabrication_costs[unit pricing],"no result",0)</f>
        <v>27.72</v>
      </c>
      <c r="V34" s="5">
        <f>SUM(T34:U34)/(1-HFrame_List[[#This Row],[Margin]])</f>
        <v>363.83542857142857</v>
      </c>
      <c r="W34" s="36">
        <f t="shared" si="11"/>
        <v>0.65</v>
      </c>
      <c r="X34" t="s">
        <v>182</v>
      </c>
      <c r="Y34">
        <f>_xlfn.XLOOKUP("A12",Strut_costs[size],Strut_costs[Strut cost])/12*HFrame_List[[#This Row],[Strut height (in)]]*(2+HFrame_List[[#This Row],[Extra supports]])</f>
        <v>21.84</v>
      </c>
      <c r="Z34">
        <f>(_xlfn.XLOOKUP("PHB",CADDY_costs[Component],CADDY_costs[Current cost])*HFrame_List[[#This Row],[Number of feet]])+(_xlfn.XLOOKUP("HFRMHDW",CADDY_costs[Component],CADDY_costs[Current cost])*(HFrame_List[[#This Row],[number of L-brackets]]/2))</f>
        <v>37.524000000000001</v>
      </c>
      <c r="AA34">
        <v>2448</v>
      </c>
      <c r="AB34">
        <f>VLOOKUP(HFrame_List[[#This Row],[lookup]],'Pallet and shipping info'!$A$5:$H$33,6,FALSE)</f>
        <v>7</v>
      </c>
      <c r="AC34">
        <f>VLOOKUP(HFrame_List[[#This Row],[lookup]],'Pallet and shipping info'!$A$5:$H$33,8,FALSE)</f>
        <v>10</v>
      </c>
      <c r="AD34"/>
      <c r="AE34"/>
      <c r="AF34"/>
    </row>
    <row r="35" spans="1:32" x14ac:dyDescent="0.25">
      <c r="A35" s="1" t="s">
        <v>250</v>
      </c>
      <c r="B35" s="1" t="s">
        <v>251</v>
      </c>
      <c r="C35" s="1">
        <f t="shared" si="0"/>
        <v>37.674999999999997</v>
      </c>
      <c r="D35" s="1">
        <f t="shared" si="1"/>
        <v>62.050999999999995</v>
      </c>
      <c r="E35" s="1">
        <v>36</v>
      </c>
      <c r="F35" s="1">
        <f t="shared" si="17"/>
        <v>48</v>
      </c>
      <c r="G35" s="1">
        <f t="shared" si="13"/>
        <v>44.24</v>
      </c>
      <c r="H35" s="1">
        <v>0</v>
      </c>
      <c r="I35" s="1" t="s">
        <v>176</v>
      </c>
      <c r="J35" s="1">
        <v>2</v>
      </c>
      <c r="K35" s="2">
        <f t="shared" si="2"/>
        <v>48</v>
      </c>
      <c r="L35" s="1">
        <f t="shared" si="3"/>
        <v>2</v>
      </c>
      <c r="M35" s="1">
        <f t="shared" si="14"/>
        <v>12</v>
      </c>
      <c r="N35" s="1">
        <f t="shared" si="15"/>
        <v>4</v>
      </c>
      <c r="O35" s="3">
        <f t="shared" si="7"/>
        <v>14</v>
      </c>
      <c r="P35" s="1">
        <f t="shared" si="8"/>
        <v>2</v>
      </c>
      <c r="Q35">
        <f t="shared" si="9"/>
        <v>8</v>
      </c>
      <c r="R35">
        <f>_xlfn.XLOOKUP(HFrame_List[[#This Row],[Cross piece style]],$AH$2:$AH$4,$AI$2:$AI$4,0,0)*(HFrame_List[[#This Row],[Width between brackets]]/12)</f>
        <v>20.129200000000001</v>
      </c>
      <c r="S35">
        <f>5.46*(HFrame_List[[#This Row],[cross piece quantity]]-1)*(HFrame_List[[#This Row],[Width between brackets]]/12)</f>
        <v>20.129200000000001</v>
      </c>
      <c r="T35" s="5">
        <f>HFrame_List[[#This Row],[Bottom cross piece cost]]+HFrame_List[[#This Row],[Top cross piece cost]]+HFrame_List[[#This Row],[Component costs]]+HFrame_List[[#This Row],[Vertical strut cost]]</f>
        <v>110.54239999999999</v>
      </c>
      <c r="U35" s="7">
        <f>_xlfn.XLOOKUP(HFrame_List[[#This Row],[Fabrication type]],Fabrication_costs[Fabrication type],Fabrication_costs[unit pricing],"no result",0)</f>
        <v>27.72</v>
      </c>
      <c r="V35" s="5">
        <f>SUM(T35:U35)/(1-HFrame_List[[#This Row],[Margin]])</f>
        <v>395.03542857142855</v>
      </c>
      <c r="W35" s="36">
        <f t="shared" si="11"/>
        <v>0.65</v>
      </c>
      <c r="X35" t="s">
        <v>182</v>
      </c>
      <c r="Y35">
        <f>_xlfn.XLOOKUP("A12",Strut_costs[size],Strut_costs[Strut cost])/12*HFrame_List[[#This Row],[Strut height (in)]]*(2+HFrame_List[[#This Row],[Extra supports]])</f>
        <v>32.76</v>
      </c>
      <c r="Z35">
        <f>(_xlfn.XLOOKUP("PHB",CADDY_costs[Component],CADDY_costs[Current cost])*HFrame_List[[#This Row],[Number of feet]])+(_xlfn.XLOOKUP("HFRMHDW",CADDY_costs[Component],CADDY_costs[Current cost])*(HFrame_List[[#This Row],[number of L-brackets]]/2))</f>
        <v>37.524000000000001</v>
      </c>
      <c r="AA35">
        <v>3648</v>
      </c>
      <c r="AB35">
        <f>VLOOKUP(HFrame_List[[#This Row],[lookup]],'Pallet and shipping info'!$A$5:$H$33,6,FALSE)</f>
        <v>7</v>
      </c>
      <c r="AC35">
        <f>VLOOKUP(HFrame_List[[#This Row],[lookup]],'Pallet and shipping info'!$A$5:$H$33,8,FALSE)</f>
        <v>10</v>
      </c>
      <c r="AD35"/>
      <c r="AE35"/>
      <c r="AF35"/>
    </row>
    <row r="36" spans="1:32" x14ac:dyDescent="0.25">
      <c r="A36" s="1" t="s">
        <v>252</v>
      </c>
      <c r="B36" s="1" t="s">
        <v>253</v>
      </c>
      <c r="C36" s="1">
        <f t="shared" si="0"/>
        <v>49.674999999999997</v>
      </c>
      <c r="D36" s="1">
        <f t="shared" si="1"/>
        <v>62.050999999999995</v>
      </c>
      <c r="E36" s="1">
        <v>48</v>
      </c>
      <c r="F36" s="1">
        <f t="shared" si="17"/>
        <v>48</v>
      </c>
      <c r="G36" s="1">
        <f t="shared" si="13"/>
        <v>44.24</v>
      </c>
      <c r="H36" s="1">
        <v>0</v>
      </c>
      <c r="I36" s="1" t="s">
        <v>176</v>
      </c>
      <c r="J36" s="1">
        <v>2</v>
      </c>
      <c r="K36" s="2">
        <f t="shared" si="2"/>
        <v>48</v>
      </c>
      <c r="L36" s="1">
        <f t="shared" si="3"/>
        <v>2</v>
      </c>
      <c r="M36" s="1">
        <f t="shared" si="14"/>
        <v>12</v>
      </c>
      <c r="N36" s="1">
        <f t="shared" si="15"/>
        <v>4</v>
      </c>
      <c r="O36" s="3">
        <f t="shared" si="7"/>
        <v>16</v>
      </c>
      <c r="P36" s="1">
        <f t="shared" si="8"/>
        <v>2</v>
      </c>
      <c r="Q36">
        <f t="shared" si="9"/>
        <v>8</v>
      </c>
      <c r="R36">
        <f>_xlfn.XLOOKUP(HFrame_List[[#This Row],[Cross piece style]],$AH$2:$AH$4,$AI$2:$AI$4,0,0)*(HFrame_List[[#This Row],[Width between brackets]]/12)</f>
        <v>20.129200000000001</v>
      </c>
      <c r="S36">
        <f>5.46*(HFrame_List[[#This Row],[cross piece quantity]]-1)*(HFrame_List[[#This Row],[Width between brackets]]/12)</f>
        <v>20.129200000000001</v>
      </c>
      <c r="T36" s="5">
        <f>HFrame_List[[#This Row],[Bottom cross piece cost]]+HFrame_List[[#This Row],[Top cross piece cost]]+HFrame_List[[#This Row],[Component costs]]+HFrame_List[[#This Row],[Vertical strut cost]]</f>
        <v>121.4624</v>
      </c>
      <c r="U36" s="7">
        <f>_xlfn.XLOOKUP(HFrame_List[[#This Row],[Fabrication type]],Fabrication_costs[Fabrication type],Fabrication_costs[unit pricing],"no result",0)</f>
        <v>27.72</v>
      </c>
      <c r="V36" s="5">
        <f>SUM(T36:U36)/(1-HFrame_List[[#This Row],[Margin]])</f>
        <v>426.2354285714286</v>
      </c>
      <c r="W36" s="36">
        <f t="shared" si="11"/>
        <v>0.65</v>
      </c>
      <c r="X36" t="s">
        <v>182</v>
      </c>
      <c r="Y36">
        <f>_xlfn.XLOOKUP("A12",Strut_costs[size],Strut_costs[Strut cost])/12*HFrame_List[[#This Row],[Strut height (in)]]*(2+HFrame_List[[#This Row],[Extra supports]])</f>
        <v>43.68</v>
      </c>
      <c r="Z36">
        <f>(_xlfn.XLOOKUP("PHB",CADDY_costs[Component],CADDY_costs[Current cost])*HFrame_List[[#This Row],[Number of feet]])+(_xlfn.XLOOKUP("HFRMHDW",CADDY_costs[Component],CADDY_costs[Current cost])*(HFrame_List[[#This Row],[number of L-brackets]]/2))</f>
        <v>37.524000000000001</v>
      </c>
      <c r="AA36">
        <v>4848</v>
      </c>
      <c r="AB36">
        <f>VLOOKUP(HFrame_List[[#This Row],[lookup]],'Pallet and shipping info'!$A$5:$H$33,6,FALSE)</f>
        <v>7</v>
      </c>
      <c r="AC36">
        <f>VLOOKUP(HFrame_List[[#This Row],[lookup]],'Pallet and shipping info'!$A$5:$H$33,8,FALSE)</f>
        <v>10</v>
      </c>
      <c r="AD36"/>
      <c r="AE36"/>
      <c r="AF36"/>
    </row>
    <row r="37" spans="1:32" x14ac:dyDescent="0.25">
      <c r="A37" s="1" t="s">
        <v>254</v>
      </c>
      <c r="B37" s="1" t="s">
        <v>255</v>
      </c>
      <c r="C37" s="1">
        <f t="shared" si="0"/>
        <v>73.674999999999997</v>
      </c>
      <c r="D37" s="1">
        <f t="shared" si="1"/>
        <v>62.050999999999995</v>
      </c>
      <c r="E37" s="1">
        <v>72</v>
      </c>
      <c r="F37" s="1">
        <f t="shared" si="17"/>
        <v>48</v>
      </c>
      <c r="G37" s="1">
        <f t="shared" si="13"/>
        <v>44.24</v>
      </c>
      <c r="H37" s="1">
        <v>0</v>
      </c>
      <c r="I37" s="1" t="s">
        <v>176</v>
      </c>
      <c r="J37" s="1">
        <v>2</v>
      </c>
      <c r="K37" s="2">
        <f t="shared" si="2"/>
        <v>48</v>
      </c>
      <c r="L37" s="1">
        <f t="shared" si="3"/>
        <v>2</v>
      </c>
      <c r="M37" s="1">
        <f t="shared" si="14"/>
        <v>12</v>
      </c>
      <c r="N37" s="1">
        <f t="shared" si="15"/>
        <v>4</v>
      </c>
      <c r="O37" s="3">
        <f t="shared" si="7"/>
        <v>20</v>
      </c>
      <c r="P37" s="1">
        <f t="shared" si="8"/>
        <v>2</v>
      </c>
      <c r="Q37">
        <f t="shared" si="9"/>
        <v>8</v>
      </c>
      <c r="R37">
        <f>_xlfn.XLOOKUP(HFrame_List[[#This Row],[Cross piece style]],$AH$2:$AH$4,$AI$2:$AI$4,0,0)*(HFrame_List[[#This Row],[Width between brackets]]/12)</f>
        <v>20.129200000000001</v>
      </c>
      <c r="S37">
        <f>5.46*(HFrame_List[[#This Row],[cross piece quantity]]-1)*(HFrame_List[[#This Row],[Width between brackets]]/12)</f>
        <v>20.129200000000001</v>
      </c>
      <c r="T37" s="5">
        <f>HFrame_List[[#This Row],[Bottom cross piece cost]]+HFrame_List[[#This Row],[Top cross piece cost]]+HFrame_List[[#This Row],[Component costs]]+HFrame_List[[#This Row],[Vertical strut cost]]</f>
        <v>143.30239999999998</v>
      </c>
      <c r="U37" s="7">
        <f>_xlfn.XLOOKUP(HFrame_List[[#This Row],[Fabrication type]],Fabrication_costs[Fabrication type],Fabrication_costs[unit pricing],"no result",0)</f>
        <v>27.72</v>
      </c>
      <c r="V37" s="5">
        <f>SUM(T37:U37)/(1-HFrame_List[[#This Row],[Margin]])</f>
        <v>488.63542857142852</v>
      </c>
      <c r="W37" s="36">
        <f t="shared" si="11"/>
        <v>0.65</v>
      </c>
      <c r="X37" t="s">
        <v>182</v>
      </c>
      <c r="Y37">
        <f>_xlfn.XLOOKUP("A12",Strut_costs[size],Strut_costs[Strut cost])/12*HFrame_List[[#This Row],[Strut height (in)]]*(2+HFrame_List[[#This Row],[Extra supports]])</f>
        <v>65.52</v>
      </c>
      <c r="Z37">
        <f>(_xlfn.XLOOKUP("PHB",CADDY_costs[Component],CADDY_costs[Current cost])*HFrame_List[[#This Row],[Number of feet]])+(_xlfn.XLOOKUP("HFRMHDW",CADDY_costs[Component],CADDY_costs[Current cost])*(HFrame_List[[#This Row],[number of L-brackets]]/2))</f>
        <v>37.524000000000001</v>
      </c>
      <c r="AA37">
        <v>7248</v>
      </c>
      <c r="AB37">
        <f>VLOOKUP(HFrame_List[[#This Row],[lookup]],'Pallet and shipping info'!$A$5:$H$33,6,FALSE)</f>
        <v>7</v>
      </c>
      <c r="AC37">
        <f>VLOOKUP(HFrame_List[[#This Row],[lookup]],'Pallet and shipping info'!$A$5:$H$33,8,FALSE)</f>
        <v>10</v>
      </c>
      <c r="AD37"/>
      <c r="AE37"/>
      <c r="AF37"/>
    </row>
    <row r="38" spans="1:32" x14ac:dyDescent="0.25">
      <c r="A38" s="1" t="s">
        <v>256</v>
      </c>
      <c r="B38" s="1" t="s">
        <v>257</v>
      </c>
      <c r="C38" s="1">
        <f t="shared" si="0"/>
        <v>25.675000000000001</v>
      </c>
      <c r="D38" s="1">
        <f t="shared" si="1"/>
        <v>74.051000000000002</v>
      </c>
      <c r="E38" s="1">
        <v>24</v>
      </c>
      <c r="F38" s="1">
        <v>60</v>
      </c>
      <c r="G38" s="1">
        <f t="shared" si="13"/>
        <v>56.24</v>
      </c>
      <c r="H38" s="1">
        <v>0</v>
      </c>
      <c r="I38" s="1" t="s">
        <v>176</v>
      </c>
      <c r="J38" s="1">
        <v>2</v>
      </c>
      <c r="K38" s="2">
        <f t="shared" si="2"/>
        <v>60</v>
      </c>
      <c r="L38" s="1">
        <f t="shared" si="3"/>
        <v>2</v>
      </c>
      <c r="M38" s="1">
        <f t="shared" si="14"/>
        <v>12</v>
      </c>
      <c r="N38" s="1">
        <f t="shared" si="15"/>
        <v>4</v>
      </c>
      <c r="O38" s="3">
        <f t="shared" si="7"/>
        <v>14</v>
      </c>
      <c r="P38" s="1">
        <f t="shared" si="8"/>
        <v>2</v>
      </c>
      <c r="Q38">
        <f t="shared" si="9"/>
        <v>8</v>
      </c>
      <c r="R38">
        <f>_xlfn.XLOOKUP(HFrame_List[[#This Row],[Cross piece style]],$AH$2:$AH$4,$AI$2:$AI$4,0,0)*(HFrame_List[[#This Row],[Width between brackets]]/12)</f>
        <v>25.589199999999998</v>
      </c>
      <c r="S38">
        <f>5.46*(HFrame_List[[#This Row],[cross piece quantity]]-1)*(HFrame_List[[#This Row],[Width between brackets]]/12)</f>
        <v>25.589199999999998</v>
      </c>
      <c r="T38" s="5">
        <f>HFrame_List[[#This Row],[Bottom cross piece cost]]+HFrame_List[[#This Row],[Top cross piece cost]]+HFrame_List[[#This Row],[Component costs]]+HFrame_List[[#This Row],[Vertical strut cost]]</f>
        <v>110.5424</v>
      </c>
      <c r="U38" s="7">
        <f>_xlfn.XLOOKUP(HFrame_List[[#This Row],[Fabrication type]],Fabrication_costs[Fabrication type],Fabrication_costs[unit pricing],"no result",0)</f>
        <v>27.72</v>
      </c>
      <c r="V38" s="5">
        <f>SUM(T38:U38)/(1-HFrame_List[[#This Row],[Margin]])</f>
        <v>395.03542857142861</v>
      </c>
      <c r="W38" s="36">
        <f t="shared" si="11"/>
        <v>0.65</v>
      </c>
      <c r="X38" t="s">
        <v>182</v>
      </c>
      <c r="Y38">
        <f>_xlfn.XLOOKUP("A12",Strut_costs[size],Strut_costs[Strut cost])/12*HFrame_List[[#This Row],[Strut height (in)]]*(2+HFrame_List[[#This Row],[Extra supports]])</f>
        <v>21.84</v>
      </c>
      <c r="Z38">
        <f>(_xlfn.XLOOKUP("PHB",CADDY_costs[Component],CADDY_costs[Current cost])*HFrame_List[[#This Row],[Number of feet]])+(_xlfn.XLOOKUP("HFRMHDW",CADDY_costs[Component],CADDY_costs[Current cost])*(HFrame_List[[#This Row],[number of L-brackets]]/2))</f>
        <v>37.524000000000001</v>
      </c>
      <c r="AA38">
        <v>2460</v>
      </c>
      <c r="AB38" t="str">
        <f>VLOOKUP(HFrame_List[[#This Row],[lookup]],'Pallet and shipping info'!$A$5:$H$33,6,FALSE)</f>
        <v>x</v>
      </c>
      <c r="AC38">
        <f>VLOOKUP(HFrame_List[[#This Row],[lookup]],'Pallet and shipping info'!$A$5:$H$33,8,FALSE)</f>
        <v>7</v>
      </c>
      <c r="AD38"/>
      <c r="AE38"/>
      <c r="AF38"/>
    </row>
    <row r="39" spans="1:32" x14ac:dyDescent="0.25">
      <c r="A39" s="1" t="s">
        <v>258</v>
      </c>
      <c r="B39" s="1" t="s">
        <v>259</v>
      </c>
      <c r="C39" s="1">
        <f t="shared" si="0"/>
        <v>37.674999999999997</v>
      </c>
      <c r="D39" s="1">
        <f t="shared" si="1"/>
        <v>74.051000000000002</v>
      </c>
      <c r="E39" s="1">
        <v>36</v>
      </c>
      <c r="F39" s="1">
        <v>60</v>
      </c>
      <c r="G39" s="1">
        <f t="shared" si="13"/>
        <v>56.24</v>
      </c>
      <c r="H39" s="1">
        <v>0</v>
      </c>
      <c r="I39" s="1" t="s">
        <v>176</v>
      </c>
      <c r="J39" s="1">
        <v>2</v>
      </c>
      <c r="K39" s="2">
        <f t="shared" si="2"/>
        <v>60</v>
      </c>
      <c r="L39" s="1">
        <f t="shared" si="3"/>
        <v>2</v>
      </c>
      <c r="M39" s="1">
        <f t="shared" si="14"/>
        <v>12</v>
      </c>
      <c r="N39" s="1">
        <f t="shared" si="15"/>
        <v>4</v>
      </c>
      <c r="O39" s="3">
        <f t="shared" si="7"/>
        <v>16</v>
      </c>
      <c r="P39" s="1">
        <f t="shared" si="8"/>
        <v>2</v>
      </c>
      <c r="Q39">
        <f t="shared" si="9"/>
        <v>8</v>
      </c>
      <c r="R39">
        <f>_xlfn.XLOOKUP(HFrame_List[[#This Row],[Cross piece style]],$AH$2:$AH$4,$AI$2:$AI$4,0,0)*(HFrame_List[[#This Row],[Width between brackets]]/12)</f>
        <v>25.589199999999998</v>
      </c>
      <c r="S39">
        <f>5.46*(HFrame_List[[#This Row],[cross piece quantity]]-1)*(HFrame_List[[#This Row],[Width between brackets]]/12)</f>
        <v>25.589199999999998</v>
      </c>
      <c r="T39" s="5">
        <f>HFrame_List[[#This Row],[Bottom cross piece cost]]+HFrame_List[[#This Row],[Top cross piece cost]]+HFrame_List[[#This Row],[Component costs]]+HFrame_List[[#This Row],[Vertical strut cost]]</f>
        <v>121.4624</v>
      </c>
      <c r="U39" s="7">
        <f>_xlfn.XLOOKUP(HFrame_List[[#This Row],[Fabrication type]],Fabrication_costs[Fabrication type],Fabrication_costs[unit pricing],"no result",0)</f>
        <v>27.72</v>
      </c>
      <c r="V39" s="5">
        <f>SUM(T39:U39)/(1-HFrame_List[[#This Row],[Margin]])</f>
        <v>426.2354285714286</v>
      </c>
      <c r="W39" s="36">
        <f t="shared" si="11"/>
        <v>0.65</v>
      </c>
      <c r="X39" t="s">
        <v>182</v>
      </c>
      <c r="Y39">
        <f>_xlfn.XLOOKUP("A12",Strut_costs[size],Strut_costs[Strut cost])/12*HFrame_List[[#This Row],[Strut height (in)]]*(2+HFrame_List[[#This Row],[Extra supports]])</f>
        <v>32.76</v>
      </c>
      <c r="Z39">
        <f>(_xlfn.XLOOKUP("PHB",CADDY_costs[Component],CADDY_costs[Current cost])*HFrame_List[[#This Row],[Number of feet]])+(_xlfn.XLOOKUP("HFRMHDW",CADDY_costs[Component],CADDY_costs[Current cost])*(HFrame_List[[#This Row],[number of L-brackets]]/2))</f>
        <v>37.524000000000001</v>
      </c>
      <c r="AA39">
        <v>3660</v>
      </c>
      <c r="AB39" t="str">
        <f>VLOOKUP(HFrame_List[[#This Row],[lookup]],'Pallet and shipping info'!$A$5:$H$33,6,FALSE)</f>
        <v>x</v>
      </c>
      <c r="AC39">
        <f>VLOOKUP(HFrame_List[[#This Row],[lookup]],'Pallet and shipping info'!$A$5:$H$33,8,FALSE)</f>
        <v>7</v>
      </c>
      <c r="AD39"/>
      <c r="AE39"/>
      <c r="AF39"/>
    </row>
    <row r="40" spans="1:32" x14ac:dyDescent="0.25">
      <c r="A40" s="1" t="s">
        <v>260</v>
      </c>
      <c r="B40" s="1" t="s">
        <v>261</v>
      </c>
      <c r="C40" s="1">
        <f t="shared" si="0"/>
        <v>49.674999999999997</v>
      </c>
      <c r="D40" s="1">
        <f t="shared" si="1"/>
        <v>74.051000000000002</v>
      </c>
      <c r="E40" s="1">
        <v>48</v>
      </c>
      <c r="F40" s="1">
        <v>60</v>
      </c>
      <c r="G40" s="1">
        <f t="shared" si="13"/>
        <v>56.24</v>
      </c>
      <c r="H40" s="1">
        <v>0</v>
      </c>
      <c r="I40" s="1" t="s">
        <v>176</v>
      </c>
      <c r="J40" s="1">
        <v>2</v>
      </c>
      <c r="K40" s="2">
        <f t="shared" si="2"/>
        <v>60</v>
      </c>
      <c r="L40" s="1">
        <f t="shared" si="3"/>
        <v>2</v>
      </c>
      <c r="M40" s="1">
        <f t="shared" si="14"/>
        <v>12</v>
      </c>
      <c r="N40" s="1">
        <f t="shared" si="15"/>
        <v>4</v>
      </c>
      <c r="O40" s="3">
        <f t="shared" si="7"/>
        <v>18</v>
      </c>
      <c r="P40" s="1">
        <f t="shared" si="8"/>
        <v>2</v>
      </c>
      <c r="Q40">
        <f t="shared" si="9"/>
        <v>8</v>
      </c>
      <c r="R40">
        <f>_xlfn.XLOOKUP(HFrame_List[[#This Row],[Cross piece style]],$AH$2:$AH$4,$AI$2:$AI$4,0,0)*(HFrame_List[[#This Row],[Width between brackets]]/12)</f>
        <v>25.589199999999998</v>
      </c>
      <c r="S40">
        <f>5.46*(HFrame_List[[#This Row],[cross piece quantity]]-1)*(HFrame_List[[#This Row],[Width between brackets]]/12)</f>
        <v>25.589199999999998</v>
      </c>
      <c r="T40" s="5">
        <f>HFrame_List[[#This Row],[Bottom cross piece cost]]+HFrame_List[[#This Row],[Top cross piece cost]]+HFrame_List[[#This Row],[Component costs]]+HFrame_List[[#This Row],[Vertical strut cost]]</f>
        <v>132.38239999999999</v>
      </c>
      <c r="U40" s="7">
        <f>_xlfn.XLOOKUP(HFrame_List[[#This Row],[Fabrication type]],Fabrication_costs[Fabrication type],Fabrication_costs[unit pricing],"no result",0)</f>
        <v>27.72</v>
      </c>
      <c r="V40" s="5">
        <f>SUM(T40:U40)/(1-HFrame_List[[#This Row],[Margin]])</f>
        <v>457.43542857142859</v>
      </c>
      <c r="W40" s="36">
        <f t="shared" si="11"/>
        <v>0.65</v>
      </c>
      <c r="X40" t="s">
        <v>182</v>
      </c>
      <c r="Y40">
        <f>_xlfn.XLOOKUP("A12",Strut_costs[size],Strut_costs[Strut cost])/12*HFrame_List[[#This Row],[Strut height (in)]]*(2+HFrame_List[[#This Row],[Extra supports]])</f>
        <v>43.68</v>
      </c>
      <c r="Z40">
        <f>(_xlfn.XLOOKUP("PHB",CADDY_costs[Component],CADDY_costs[Current cost])*HFrame_List[[#This Row],[Number of feet]])+(_xlfn.XLOOKUP("HFRMHDW",CADDY_costs[Component],CADDY_costs[Current cost])*(HFrame_List[[#This Row],[number of L-brackets]]/2))</f>
        <v>37.524000000000001</v>
      </c>
      <c r="AA40">
        <v>4860</v>
      </c>
      <c r="AB40" t="str">
        <f>VLOOKUP(HFrame_List[[#This Row],[lookup]],'Pallet and shipping info'!$A$5:$H$33,6,FALSE)</f>
        <v>x</v>
      </c>
      <c r="AC40">
        <f>VLOOKUP(HFrame_List[[#This Row],[lookup]],'Pallet and shipping info'!$A$5:$H$33,8,FALSE)</f>
        <v>7</v>
      </c>
      <c r="AD40"/>
      <c r="AE40"/>
      <c r="AF40"/>
    </row>
    <row r="41" spans="1:32" x14ac:dyDescent="0.25">
      <c r="A41" s="1" t="s">
        <v>262</v>
      </c>
      <c r="B41" s="1" t="s">
        <v>263</v>
      </c>
      <c r="C41" s="1">
        <f t="shared" si="0"/>
        <v>73.674999999999997</v>
      </c>
      <c r="D41" s="1">
        <f t="shared" si="1"/>
        <v>74.051000000000002</v>
      </c>
      <c r="E41" s="1">
        <v>72</v>
      </c>
      <c r="F41" s="1">
        <v>60</v>
      </c>
      <c r="G41" s="1">
        <f t="shared" si="13"/>
        <v>56.24</v>
      </c>
      <c r="H41" s="1">
        <v>0</v>
      </c>
      <c r="I41" s="1" t="s">
        <v>176</v>
      </c>
      <c r="J41" s="1">
        <v>2</v>
      </c>
      <c r="K41" s="2">
        <f t="shared" si="2"/>
        <v>60</v>
      </c>
      <c r="L41" s="1">
        <f t="shared" si="3"/>
        <v>2</v>
      </c>
      <c r="M41" s="1">
        <f t="shared" si="14"/>
        <v>12</v>
      </c>
      <c r="N41" s="1">
        <f t="shared" si="15"/>
        <v>4</v>
      </c>
      <c r="O41" s="3">
        <f t="shared" si="7"/>
        <v>22</v>
      </c>
      <c r="P41" s="1">
        <f t="shared" si="8"/>
        <v>3</v>
      </c>
      <c r="Q41">
        <f t="shared" si="9"/>
        <v>8</v>
      </c>
      <c r="R41">
        <f>_xlfn.XLOOKUP(HFrame_List[[#This Row],[Cross piece style]],$AH$2:$AH$4,$AI$2:$AI$4,0,0)*(HFrame_List[[#This Row],[Width between brackets]]/12)</f>
        <v>25.589199999999998</v>
      </c>
      <c r="S41">
        <f>5.46*(HFrame_List[[#This Row],[cross piece quantity]]-1)*(HFrame_List[[#This Row],[Width between brackets]]/12)</f>
        <v>25.589199999999998</v>
      </c>
      <c r="T41" s="5">
        <f>HFrame_List[[#This Row],[Bottom cross piece cost]]+HFrame_List[[#This Row],[Top cross piece cost]]+HFrame_List[[#This Row],[Component costs]]+HFrame_List[[#This Row],[Vertical strut cost]]</f>
        <v>154.22239999999999</v>
      </c>
      <c r="U41" s="7">
        <f>_xlfn.XLOOKUP(HFrame_List[[#This Row],[Fabrication type]],Fabrication_costs[Fabrication type],Fabrication_costs[unit pricing],"no result",0)</f>
        <v>27.72</v>
      </c>
      <c r="V41" s="5">
        <f>SUM(T41:U41)/(1-HFrame_List[[#This Row],[Margin]])</f>
        <v>519.83542857142857</v>
      </c>
      <c r="W41" s="36">
        <f t="shared" si="11"/>
        <v>0.65</v>
      </c>
      <c r="X41" t="s">
        <v>182</v>
      </c>
      <c r="Y41">
        <f>_xlfn.XLOOKUP("A12",Strut_costs[size],Strut_costs[Strut cost])/12*HFrame_List[[#This Row],[Strut height (in)]]*(2+HFrame_List[[#This Row],[Extra supports]])</f>
        <v>65.52</v>
      </c>
      <c r="Z41">
        <f>(_xlfn.XLOOKUP("PHB",CADDY_costs[Component],CADDY_costs[Current cost])*HFrame_List[[#This Row],[Number of feet]])+(_xlfn.XLOOKUP("HFRMHDW",CADDY_costs[Component],CADDY_costs[Current cost])*(HFrame_List[[#This Row],[number of L-brackets]]/2))</f>
        <v>37.524000000000001</v>
      </c>
      <c r="AA41">
        <v>7260</v>
      </c>
      <c r="AB41" t="str">
        <f>VLOOKUP(HFrame_List[[#This Row],[lookup]],'Pallet and shipping info'!$A$5:$H$33,6,FALSE)</f>
        <v>x</v>
      </c>
      <c r="AC41">
        <f>VLOOKUP(HFrame_List[[#This Row],[lookup]],'Pallet and shipping info'!$A$5:$H$33,8,FALSE)</f>
        <v>7</v>
      </c>
      <c r="AD41"/>
      <c r="AE41"/>
      <c r="AF41"/>
    </row>
    <row r="42" spans="1:32" x14ac:dyDescent="0.25">
      <c r="A42" s="1" t="s">
        <v>264</v>
      </c>
      <c r="B42" s="1" t="s">
        <v>265</v>
      </c>
      <c r="C42" s="1">
        <f t="shared" si="0"/>
        <v>25.675000000000001</v>
      </c>
      <c r="D42" s="1">
        <f t="shared" si="1"/>
        <v>86.051000000000002</v>
      </c>
      <c r="E42" s="1">
        <v>24</v>
      </c>
      <c r="F42" s="1">
        <v>72</v>
      </c>
      <c r="G42" s="1">
        <f t="shared" si="13"/>
        <v>68.239999999999995</v>
      </c>
      <c r="H42" s="1">
        <v>0</v>
      </c>
      <c r="I42" s="1" t="s">
        <v>176</v>
      </c>
      <c r="J42" s="1">
        <v>2</v>
      </c>
      <c r="K42" s="2">
        <f t="shared" si="2"/>
        <v>72</v>
      </c>
      <c r="L42" s="1">
        <f t="shared" si="3"/>
        <v>2</v>
      </c>
      <c r="M42" s="1">
        <f t="shared" si="14"/>
        <v>12</v>
      </c>
      <c r="N42" s="1">
        <f t="shared" si="15"/>
        <v>4</v>
      </c>
      <c r="O42" s="3">
        <f t="shared" si="7"/>
        <v>16</v>
      </c>
      <c r="P42" s="1">
        <f t="shared" si="8"/>
        <v>2</v>
      </c>
      <c r="Q42">
        <f t="shared" si="9"/>
        <v>8</v>
      </c>
      <c r="R42">
        <f>_xlfn.XLOOKUP(HFrame_List[[#This Row],[Cross piece style]],$AH$2:$AH$4,$AI$2:$AI$4,0,0)*(HFrame_List[[#This Row],[Width between brackets]]/12)</f>
        <v>31.049199999999999</v>
      </c>
      <c r="S42">
        <f>5.46*(HFrame_List[[#This Row],[cross piece quantity]]-1)*(HFrame_List[[#This Row],[Width between brackets]]/12)</f>
        <v>31.049199999999999</v>
      </c>
      <c r="T42" s="5">
        <f>HFrame_List[[#This Row],[Bottom cross piece cost]]+HFrame_List[[#This Row],[Top cross piece cost]]+HFrame_List[[#This Row],[Component costs]]+HFrame_List[[#This Row],[Vertical strut cost]]</f>
        <v>121.4624</v>
      </c>
      <c r="U42" s="7">
        <f>_xlfn.XLOOKUP(HFrame_List[[#This Row],[Fabrication type]],Fabrication_costs[Fabrication type],Fabrication_costs[unit pricing],"no result",0)</f>
        <v>27.72</v>
      </c>
      <c r="V42" s="5">
        <f>SUM(T42:U42)/(1-HFrame_List[[#This Row],[Margin]])</f>
        <v>426.2354285714286</v>
      </c>
      <c r="W42" s="36">
        <f t="shared" si="11"/>
        <v>0.65</v>
      </c>
      <c r="X42" t="s">
        <v>182</v>
      </c>
      <c r="Y42">
        <f>_xlfn.XLOOKUP("A12",Strut_costs[size],Strut_costs[Strut cost])/12*HFrame_List[[#This Row],[Strut height (in)]]*(2+HFrame_List[[#This Row],[Extra supports]])</f>
        <v>21.84</v>
      </c>
      <c r="Z42">
        <f>(_xlfn.XLOOKUP("PHB",CADDY_costs[Component],CADDY_costs[Current cost])*HFrame_List[[#This Row],[Number of feet]])+(_xlfn.XLOOKUP("HFRMHDW",CADDY_costs[Component],CADDY_costs[Current cost])*(HFrame_List[[#This Row],[number of L-brackets]]/2))</f>
        <v>37.524000000000001</v>
      </c>
      <c r="AA42">
        <v>2472</v>
      </c>
      <c r="AB42" t="str">
        <f>VLOOKUP(HFrame_List[[#This Row],[lookup]],'Pallet and shipping info'!$A$5:$H$33,6,FALSE)</f>
        <v>x</v>
      </c>
      <c r="AC42">
        <f>VLOOKUP(HFrame_List[[#This Row],[lookup]],'Pallet and shipping info'!$A$5:$H$33,8,FALSE)</f>
        <v>7</v>
      </c>
      <c r="AD42"/>
      <c r="AE42"/>
      <c r="AF42"/>
    </row>
    <row r="43" spans="1:32" x14ac:dyDescent="0.25">
      <c r="A43" s="1" t="s">
        <v>266</v>
      </c>
      <c r="B43" s="1" t="s">
        <v>267</v>
      </c>
      <c r="C43" s="1">
        <f t="shared" si="0"/>
        <v>37.674999999999997</v>
      </c>
      <c r="D43" s="1">
        <f t="shared" si="1"/>
        <v>86.051000000000002</v>
      </c>
      <c r="E43" s="1">
        <v>36</v>
      </c>
      <c r="F43" s="1">
        <v>72</v>
      </c>
      <c r="G43" s="1">
        <f t="shared" si="13"/>
        <v>68.239999999999995</v>
      </c>
      <c r="H43" s="1">
        <v>0</v>
      </c>
      <c r="I43" s="1" t="s">
        <v>176</v>
      </c>
      <c r="J43" s="1">
        <v>2</v>
      </c>
      <c r="K43" s="2">
        <f t="shared" si="2"/>
        <v>72</v>
      </c>
      <c r="L43" s="1">
        <f t="shared" si="3"/>
        <v>2</v>
      </c>
      <c r="M43" s="1">
        <f t="shared" si="14"/>
        <v>12</v>
      </c>
      <c r="N43" s="1">
        <f t="shared" si="15"/>
        <v>4</v>
      </c>
      <c r="O43" s="3">
        <f t="shared" si="7"/>
        <v>18</v>
      </c>
      <c r="P43" s="1">
        <f t="shared" si="8"/>
        <v>2</v>
      </c>
      <c r="Q43">
        <f t="shared" si="9"/>
        <v>8</v>
      </c>
      <c r="R43">
        <f>_xlfn.XLOOKUP(HFrame_List[[#This Row],[Cross piece style]],$AH$2:$AH$4,$AI$2:$AI$4,0,0)*(HFrame_List[[#This Row],[Width between brackets]]/12)</f>
        <v>31.049199999999999</v>
      </c>
      <c r="S43">
        <f>5.46*(HFrame_List[[#This Row],[cross piece quantity]]-1)*(HFrame_List[[#This Row],[Width between brackets]]/12)</f>
        <v>31.049199999999999</v>
      </c>
      <c r="T43" s="5">
        <f>HFrame_List[[#This Row],[Bottom cross piece cost]]+HFrame_List[[#This Row],[Top cross piece cost]]+HFrame_List[[#This Row],[Component costs]]+HFrame_List[[#This Row],[Vertical strut cost]]</f>
        <v>132.38239999999999</v>
      </c>
      <c r="U43" s="7">
        <f>_xlfn.XLOOKUP(HFrame_List[[#This Row],[Fabrication type]],Fabrication_costs[Fabrication type],Fabrication_costs[unit pricing],"no result",0)</f>
        <v>27.72</v>
      </c>
      <c r="V43" s="5">
        <f>SUM(T43:U43)/(1-HFrame_List[[#This Row],[Margin]])</f>
        <v>457.43542857142859</v>
      </c>
      <c r="W43" s="36">
        <f t="shared" si="11"/>
        <v>0.65</v>
      </c>
      <c r="X43" t="s">
        <v>182</v>
      </c>
      <c r="Y43">
        <f>_xlfn.XLOOKUP("A12",Strut_costs[size],Strut_costs[Strut cost])/12*HFrame_List[[#This Row],[Strut height (in)]]*(2+HFrame_List[[#This Row],[Extra supports]])</f>
        <v>32.76</v>
      </c>
      <c r="Z43">
        <f>(_xlfn.XLOOKUP("PHB",CADDY_costs[Component],CADDY_costs[Current cost])*HFrame_List[[#This Row],[Number of feet]])+(_xlfn.XLOOKUP("HFRMHDW",CADDY_costs[Component],CADDY_costs[Current cost])*(HFrame_List[[#This Row],[number of L-brackets]]/2))</f>
        <v>37.524000000000001</v>
      </c>
      <c r="AA43">
        <v>3672</v>
      </c>
      <c r="AB43" t="str">
        <f>VLOOKUP(HFrame_List[[#This Row],[lookup]],'Pallet and shipping info'!$A$5:$H$33,6,FALSE)</f>
        <v>x</v>
      </c>
      <c r="AC43">
        <f>VLOOKUP(HFrame_List[[#This Row],[lookup]],'Pallet and shipping info'!$A$5:$H$33,8,FALSE)</f>
        <v>7</v>
      </c>
      <c r="AD43"/>
      <c r="AE43"/>
      <c r="AF43"/>
    </row>
    <row r="44" spans="1:32" x14ac:dyDescent="0.25">
      <c r="A44" s="1" t="s">
        <v>268</v>
      </c>
      <c r="B44" s="1" t="s">
        <v>269</v>
      </c>
      <c r="C44" s="1">
        <f t="shared" si="0"/>
        <v>49.674999999999997</v>
      </c>
      <c r="D44" s="1">
        <f t="shared" si="1"/>
        <v>86.051000000000002</v>
      </c>
      <c r="E44" s="1">
        <v>48</v>
      </c>
      <c r="F44" s="1">
        <v>72</v>
      </c>
      <c r="G44" s="1">
        <f t="shared" si="13"/>
        <v>68.239999999999995</v>
      </c>
      <c r="H44" s="1">
        <v>0</v>
      </c>
      <c r="I44" s="1" t="s">
        <v>176</v>
      </c>
      <c r="J44" s="1">
        <v>2</v>
      </c>
      <c r="K44" s="2">
        <f t="shared" si="2"/>
        <v>72</v>
      </c>
      <c r="L44" s="1">
        <f t="shared" si="3"/>
        <v>2</v>
      </c>
      <c r="M44" s="1">
        <f t="shared" si="14"/>
        <v>12</v>
      </c>
      <c r="N44" s="1">
        <f t="shared" si="15"/>
        <v>4</v>
      </c>
      <c r="O44" s="3">
        <f t="shared" si="7"/>
        <v>20</v>
      </c>
      <c r="P44" s="1">
        <f t="shared" si="8"/>
        <v>2</v>
      </c>
      <c r="Q44">
        <f t="shared" si="9"/>
        <v>8</v>
      </c>
      <c r="R44">
        <f>_xlfn.XLOOKUP(HFrame_List[[#This Row],[Cross piece style]],$AH$2:$AH$4,$AI$2:$AI$4,0,0)*(HFrame_List[[#This Row],[Width between brackets]]/12)</f>
        <v>31.049199999999999</v>
      </c>
      <c r="S44">
        <f>5.46*(HFrame_List[[#This Row],[cross piece quantity]]-1)*(HFrame_List[[#This Row],[Width between brackets]]/12)</f>
        <v>31.049199999999999</v>
      </c>
      <c r="T44" s="5">
        <f>HFrame_List[[#This Row],[Bottom cross piece cost]]+HFrame_List[[#This Row],[Top cross piece cost]]+HFrame_List[[#This Row],[Component costs]]+HFrame_List[[#This Row],[Vertical strut cost]]</f>
        <v>143.30240000000001</v>
      </c>
      <c r="U44" s="7">
        <f>_xlfn.XLOOKUP(HFrame_List[[#This Row],[Fabrication type]],Fabrication_costs[Fabrication type],Fabrication_costs[unit pricing],"no result",0)</f>
        <v>27.72</v>
      </c>
      <c r="V44" s="5">
        <f>SUM(T44:U44)/(1-HFrame_List[[#This Row],[Margin]])</f>
        <v>488.63542857142863</v>
      </c>
      <c r="W44" s="36">
        <f t="shared" si="11"/>
        <v>0.65</v>
      </c>
      <c r="X44" t="s">
        <v>182</v>
      </c>
      <c r="Y44">
        <f>_xlfn.XLOOKUP("A12",Strut_costs[size],Strut_costs[Strut cost])/12*HFrame_List[[#This Row],[Strut height (in)]]*(2+HFrame_List[[#This Row],[Extra supports]])</f>
        <v>43.68</v>
      </c>
      <c r="Z44">
        <f>(_xlfn.XLOOKUP("PHB",CADDY_costs[Component],CADDY_costs[Current cost])*HFrame_List[[#This Row],[Number of feet]])+(_xlfn.XLOOKUP("HFRMHDW",CADDY_costs[Component],CADDY_costs[Current cost])*(HFrame_List[[#This Row],[number of L-brackets]]/2))</f>
        <v>37.524000000000001</v>
      </c>
      <c r="AA44">
        <v>4872</v>
      </c>
      <c r="AB44" t="str">
        <f>VLOOKUP(HFrame_List[[#This Row],[lookup]],'Pallet and shipping info'!$A$5:$H$33,6,FALSE)</f>
        <v>x</v>
      </c>
      <c r="AC44">
        <f>VLOOKUP(HFrame_List[[#This Row],[lookup]],'Pallet and shipping info'!$A$5:$H$33,8,FALSE)</f>
        <v>7</v>
      </c>
      <c r="AD44"/>
      <c r="AE44"/>
      <c r="AF44"/>
    </row>
    <row r="45" spans="1:32" x14ac:dyDescent="0.25">
      <c r="A45" s="1" t="s">
        <v>270</v>
      </c>
      <c r="B45" s="1" t="s">
        <v>271</v>
      </c>
      <c r="C45" s="1">
        <f t="shared" si="0"/>
        <v>73.674999999999997</v>
      </c>
      <c r="D45" s="1">
        <f t="shared" si="1"/>
        <v>86.051000000000002</v>
      </c>
      <c r="E45" s="1">
        <v>72</v>
      </c>
      <c r="F45" s="1">
        <v>72</v>
      </c>
      <c r="G45" s="1">
        <f t="shared" si="13"/>
        <v>68.239999999999995</v>
      </c>
      <c r="H45" s="1">
        <v>0</v>
      </c>
      <c r="I45" s="1" t="s">
        <v>176</v>
      </c>
      <c r="J45" s="1">
        <v>2</v>
      </c>
      <c r="K45" s="2">
        <f t="shared" si="2"/>
        <v>72</v>
      </c>
      <c r="L45" s="1">
        <f t="shared" si="3"/>
        <v>2</v>
      </c>
      <c r="M45" s="1">
        <f t="shared" si="14"/>
        <v>12</v>
      </c>
      <c r="N45" s="1">
        <f t="shared" si="15"/>
        <v>4</v>
      </c>
      <c r="O45" s="3">
        <f t="shared" si="7"/>
        <v>24</v>
      </c>
      <c r="P45" s="1">
        <f t="shared" si="8"/>
        <v>3</v>
      </c>
      <c r="Q45">
        <f t="shared" si="9"/>
        <v>8</v>
      </c>
      <c r="R45">
        <f>_xlfn.XLOOKUP(HFrame_List[[#This Row],[Cross piece style]],$AH$2:$AH$4,$AI$2:$AI$4,0,0)*(HFrame_List[[#This Row],[Width between brackets]]/12)</f>
        <v>31.049199999999999</v>
      </c>
      <c r="S45">
        <f>5.46*(HFrame_List[[#This Row],[cross piece quantity]]-1)*(HFrame_List[[#This Row],[Width between brackets]]/12)</f>
        <v>31.049199999999999</v>
      </c>
      <c r="T45" s="5">
        <f>HFrame_List[[#This Row],[Bottom cross piece cost]]+HFrame_List[[#This Row],[Top cross piece cost]]+HFrame_List[[#This Row],[Component costs]]+HFrame_List[[#This Row],[Vertical strut cost]]</f>
        <v>165.14240000000001</v>
      </c>
      <c r="U45" s="7">
        <f>_xlfn.XLOOKUP(HFrame_List[[#This Row],[Fabrication type]],Fabrication_costs[Fabrication type],Fabrication_costs[unit pricing],"no result",0)</f>
        <v>27.72</v>
      </c>
      <c r="V45" s="5">
        <f>SUM(T45:U45)/(1-HFrame_List[[#This Row],[Margin]])</f>
        <v>551.03542857142861</v>
      </c>
      <c r="W45" s="36">
        <f t="shared" si="11"/>
        <v>0.65</v>
      </c>
      <c r="X45" t="s">
        <v>182</v>
      </c>
      <c r="Y45">
        <f>_xlfn.XLOOKUP("A12",Strut_costs[size],Strut_costs[Strut cost])/12*HFrame_List[[#This Row],[Strut height (in)]]*(2+HFrame_List[[#This Row],[Extra supports]])</f>
        <v>65.52</v>
      </c>
      <c r="Z45">
        <f>(_xlfn.XLOOKUP("PHB",CADDY_costs[Component],CADDY_costs[Current cost])*HFrame_List[[#This Row],[Number of feet]])+(_xlfn.XLOOKUP("HFRMHDW",CADDY_costs[Component],CADDY_costs[Current cost])*(HFrame_List[[#This Row],[number of L-brackets]]/2))</f>
        <v>37.524000000000001</v>
      </c>
      <c r="AA45">
        <v>7272</v>
      </c>
      <c r="AB45" t="str">
        <f>VLOOKUP(HFrame_List[[#This Row],[lookup]],'Pallet and shipping info'!$A$5:$H$33,6,FALSE)</f>
        <v>x</v>
      </c>
      <c r="AC45">
        <f>VLOOKUP(HFrame_List[[#This Row],[lookup]],'Pallet and shipping info'!$A$5:$H$33,8,FALSE)</f>
        <v>7</v>
      </c>
      <c r="AD45"/>
      <c r="AE45"/>
      <c r="AF45"/>
    </row>
    <row r="46" spans="1:32" x14ac:dyDescent="0.25">
      <c r="A46" s="1" t="s">
        <v>272</v>
      </c>
      <c r="B46" s="1" t="s">
        <v>273</v>
      </c>
      <c r="C46" s="1">
        <f t="shared" si="0"/>
        <v>25.675000000000001</v>
      </c>
      <c r="D46" s="1">
        <f t="shared" si="1"/>
        <v>98.051000000000002</v>
      </c>
      <c r="E46" s="1">
        <v>24</v>
      </c>
      <c r="F46" s="1">
        <v>84</v>
      </c>
      <c r="G46" s="1">
        <f t="shared" si="13"/>
        <v>80.239999999999995</v>
      </c>
      <c r="H46" s="1">
        <v>0</v>
      </c>
      <c r="I46" s="1" t="s">
        <v>176</v>
      </c>
      <c r="J46" s="1">
        <v>2</v>
      </c>
      <c r="K46" s="2">
        <f t="shared" si="2"/>
        <v>84</v>
      </c>
      <c r="L46" s="1">
        <f t="shared" si="3"/>
        <v>2</v>
      </c>
      <c r="M46" s="1">
        <f t="shared" si="14"/>
        <v>12</v>
      </c>
      <c r="N46" s="1">
        <f t="shared" si="15"/>
        <v>4</v>
      </c>
      <c r="O46" s="3">
        <f t="shared" si="7"/>
        <v>18</v>
      </c>
      <c r="P46" s="1">
        <f t="shared" si="8"/>
        <v>2</v>
      </c>
      <c r="Q46">
        <f t="shared" si="9"/>
        <v>8</v>
      </c>
      <c r="R46">
        <f>_xlfn.XLOOKUP(HFrame_List[[#This Row],[Cross piece style]],$AH$2:$AH$4,$AI$2:$AI$4,0,0)*(HFrame_List[[#This Row],[Width between brackets]]/12)</f>
        <v>36.5092</v>
      </c>
      <c r="S46">
        <f>5.46*(HFrame_List[[#This Row],[cross piece quantity]]-1)*(HFrame_List[[#This Row],[Width between brackets]]/12)</f>
        <v>36.5092</v>
      </c>
      <c r="T46" s="5">
        <f>HFrame_List[[#This Row],[Bottom cross piece cost]]+HFrame_List[[#This Row],[Top cross piece cost]]+HFrame_List[[#This Row],[Component costs]]+HFrame_List[[#This Row],[Vertical strut cost]]</f>
        <v>132.38239999999999</v>
      </c>
      <c r="U46" s="7">
        <f>_xlfn.XLOOKUP(HFrame_List[[#This Row],[Fabrication type]],Fabrication_costs[Fabrication type],Fabrication_costs[unit pricing],"no result",0)</f>
        <v>27.72</v>
      </c>
      <c r="V46" s="5">
        <f>SUM(T46:U46)/(1-HFrame_List[[#This Row],[Margin]])</f>
        <v>457.43542857142859</v>
      </c>
      <c r="W46" s="36">
        <f t="shared" si="11"/>
        <v>0.65</v>
      </c>
      <c r="X46" t="s">
        <v>182</v>
      </c>
      <c r="Y46">
        <f>_xlfn.XLOOKUP("A12",Strut_costs[size],Strut_costs[Strut cost])/12*HFrame_List[[#This Row],[Strut height (in)]]*(2+HFrame_List[[#This Row],[Extra supports]])</f>
        <v>21.84</v>
      </c>
      <c r="Z46">
        <f>(_xlfn.XLOOKUP("PHB",CADDY_costs[Component],CADDY_costs[Current cost])*HFrame_List[[#This Row],[Number of feet]])+(_xlfn.XLOOKUP("HFRMHDW",CADDY_costs[Component],CADDY_costs[Current cost])*(HFrame_List[[#This Row],[number of L-brackets]]/2))</f>
        <v>37.524000000000001</v>
      </c>
      <c r="AA46">
        <v>2484</v>
      </c>
      <c r="AB46" t="str">
        <f>VLOOKUP(HFrame_List[[#This Row],[lookup]],'Pallet and shipping info'!$A$5:$H$33,6,FALSE)</f>
        <v>x</v>
      </c>
      <c r="AC46">
        <f>VLOOKUP(HFrame_List[[#This Row],[lookup]],'Pallet and shipping info'!$A$5:$H$33,8,FALSE)</f>
        <v>7</v>
      </c>
      <c r="AD46"/>
      <c r="AE46"/>
      <c r="AF46"/>
    </row>
    <row r="47" spans="1:32" x14ac:dyDescent="0.25">
      <c r="A47" s="1" t="s">
        <v>274</v>
      </c>
      <c r="B47" s="1" t="s">
        <v>275</v>
      </c>
      <c r="C47" s="1">
        <f t="shared" si="0"/>
        <v>37.674999999999997</v>
      </c>
      <c r="D47" s="1">
        <f t="shared" si="1"/>
        <v>98.051000000000002</v>
      </c>
      <c r="E47" s="1">
        <v>36</v>
      </c>
      <c r="F47" s="1">
        <v>84</v>
      </c>
      <c r="G47" s="1">
        <f t="shared" si="13"/>
        <v>80.239999999999995</v>
      </c>
      <c r="H47" s="1">
        <v>0</v>
      </c>
      <c r="I47" s="1" t="s">
        <v>176</v>
      </c>
      <c r="J47" s="1">
        <v>2</v>
      </c>
      <c r="K47" s="2">
        <f t="shared" si="2"/>
        <v>84</v>
      </c>
      <c r="L47" s="1">
        <f t="shared" si="3"/>
        <v>2</v>
      </c>
      <c r="M47" s="1">
        <f t="shared" si="14"/>
        <v>12</v>
      </c>
      <c r="N47" s="1">
        <f t="shared" si="15"/>
        <v>4</v>
      </c>
      <c r="O47" s="3">
        <f t="shared" si="7"/>
        <v>20</v>
      </c>
      <c r="P47" s="1">
        <f t="shared" si="8"/>
        <v>2</v>
      </c>
      <c r="Q47">
        <f t="shared" si="9"/>
        <v>8</v>
      </c>
      <c r="R47">
        <f>_xlfn.XLOOKUP(HFrame_List[[#This Row],[Cross piece style]],$AH$2:$AH$4,$AI$2:$AI$4,0,0)*(HFrame_List[[#This Row],[Width between brackets]]/12)</f>
        <v>36.5092</v>
      </c>
      <c r="S47">
        <f>5.46*(HFrame_List[[#This Row],[cross piece quantity]]-1)*(HFrame_List[[#This Row],[Width between brackets]]/12)</f>
        <v>36.5092</v>
      </c>
      <c r="T47" s="5">
        <f>HFrame_List[[#This Row],[Bottom cross piece cost]]+HFrame_List[[#This Row],[Top cross piece cost]]+HFrame_List[[#This Row],[Component costs]]+HFrame_List[[#This Row],[Vertical strut cost]]</f>
        <v>143.30240000000001</v>
      </c>
      <c r="U47" s="7">
        <f>_xlfn.XLOOKUP(HFrame_List[[#This Row],[Fabrication type]],Fabrication_costs[Fabrication type],Fabrication_costs[unit pricing],"no result",0)</f>
        <v>27.72</v>
      </c>
      <c r="V47" s="5">
        <f>SUM(T47:U47)/(1-HFrame_List[[#This Row],[Margin]])</f>
        <v>488.63542857142863</v>
      </c>
      <c r="W47" s="36">
        <f t="shared" si="11"/>
        <v>0.65</v>
      </c>
      <c r="X47" t="s">
        <v>182</v>
      </c>
      <c r="Y47">
        <f>_xlfn.XLOOKUP("A12",Strut_costs[size],Strut_costs[Strut cost])/12*HFrame_List[[#This Row],[Strut height (in)]]*(2+HFrame_List[[#This Row],[Extra supports]])</f>
        <v>32.76</v>
      </c>
      <c r="Z47">
        <f>(_xlfn.XLOOKUP("PHB",CADDY_costs[Component],CADDY_costs[Current cost])*HFrame_List[[#This Row],[Number of feet]])+(_xlfn.XLOOKUP("HFRMHDW",CADDY_costs[Component],CADDY_costs[Current cost])*(HFrame_List[[#This Row],[number of L-brackets]]/2))</f>
        <v>37.524000000000001</v>
      </c>
      <c r="AA47">
        <v>3684</v>
      </c>
      <c r="AB47" t="str">
        <f>VLOOKUP(HFrame_List[[#This Row],[lookup]],'Pallet and shipping info'!$A$5:$H$33,6,FALSE)</f>
        <v>x</v>
      </c>
      <c r="AC47">
        <f>VLOOKUP(HFrame_List[[#This Row],[lookup]],'Pallet and shipping info'!$A$5:$H$33,8,FALSE)</f>
        <v>7</v>
      </c>
      <c r="AD47"/>
      <c r="AE47"/>
      <c r="AF47"/>
    </row>
    <row r="48" spans="1:32" x14ac:dyDescent="0.25">
      <c r="A48" s="1" t="s">
        <v>276</v>
      </c>
      <c r="B48" s="1" t="s">
        <v>277</v>
      </c>
      <c r="C48" s="1">
        <f t="shared" si="0"/>
        <v>49.674999999999997</v>
      </c>
      <c r="D48" s="1">
        <f t="shared" si="1"/>
        <v>98.051000000000002</v>
      </c>
      <c r="E48" s="1">
        <v>48</v>
      </c>
      <c r="F48" s="1">
        <v>84</v>
      </c>
      <c r="G48" s="1">
        <f t="shared" si="13"/>
        <v>80.239999999999995</v>
      </c>
      <c r="H48" s="1">
        <v>0</v>
      </c>
      <c r="I48" s="1" t="s">
        <v>176</v>
      </c>
      <c r="J48" s="1">
        <v>2</v>
      </c>
      <c r="K48" s="2">
        <f t="shared" si="2"/>
        <v>84</v>
      </c>
      <c r="L48" s="1">
        <f t="shared" si="3"/>
        <v>2</v>
      </c>
      <c r="M48" s="1">
        <f t="shared" si="14"/>
        <v>12</v>
      </c>
      <c r="N48" s="1">
        <f t="shared" si="15"/>
        <v>4</v>
      </c>
      <c r="O48" s="3">
        <f t="shared" si="7"/>
        <v>22</v>
      </c>
      <c r="P48" s="1">
        <f t="shared" si="8"/>
        <v>3</v>
      </c>
      <c r="Q48">
        <f t="shared" si="9"/>
        <v>8</v>
      </c>
      <c r="R48">
        <f>_xlfn.XLOOKUP(HFrame_List[[#This Row],[Cross piece style]],$AH$2:$AH$4,$AI$2:$AI$4,0,0)*(HFrame_List[[#This Row],[Width between brackets]]/12)</f>
        <v>36.5092</v>
      </c>
      <c r="S48">
        <f>5.46*(HFrame_List[[#This Row],[cross piece quantity]]-1)*(HFrame_List[[#This Row],[Width between brackets]]/12)</f>
        <v>36.5092</v>
      </c>
      <c r="T48" s="5">
        <f>HFrame_List[[#This Row],[Bottom cross piece cost]]+HFrame_List[[#This Row],[Top cross piece cost]]+HFrame_List[[#This Row],[Component costs]]+HFrame_List[[#This Row],[Vertical strut cost]]</f>
        <v>154.22239999999999</v>
      </c>
      <c r="U48" s="7">
        <f>_xlfn.XLOOKUP(HFrame_List[[#This Row],[Fabrication type]],Fabrication_costs[Fabrication type],Fabrication_costs[unit pricing],"no result",0)</f>
        <v>27.72</v>
      </c>
      <c r="V48" s="5">
        <f>SUM(T48:U48)/(1-HFrame_List[[#This Row],[Margin]])</f>
        <v>519.83542857142857</v>
      </c>
      <c r="W48" s="36">
        <f t="shared" si="11"/>
        <v>0.65</v>
      </c>
      <c r="X48" t="s">
        <v>182</v>
      </c>
      <c r="Y48">
        <f>_xlfn.XLOOKUP("A12",Strut_costs[size],Strut_costs[Strut cost])/12*HFrame_List[[#This Row],[Strut height (in)]]*(2+HFrame_List[[#This Row],[Extra supports]])</f>
        <v>43.68</v>
      </c>
      <c r="Z48">
        <f>(_xlfn.XLOOKUP("PHB",CADDY_costs[Component],CADDY_costs[Current cost])*HFrame_List[[#This Row],[Number of feet]])+(_xlfn.XLOOKUP("HFRMHDW",CADDY_costs[Component],CADDY_costs[Current cost])*(HFrame_List[[#This Row],[number of L-brackets]]/2))</f>
        <v>37.524000000000001</v>
      </c>
      <c r="AA48">
        <v>4884</v>
      </c>
      <c r="AB48" t="str">
        <f>VLOOKUP(HFrame_List[[#This Row],[lookup]],'Pallet and shipping info'!$A$5:$H$33,6,FALSE)</f>
        <v>x</v>
      </c>
      <c r="AC48">
        <f>VLOOKUP(HFrame_List[[#This Row],[lookup]],'Pallet and shipping info'!$A$5:$H$33,8,FALSE)</f>
        <v>7</v>
      </c>
      <c r="AD48"/>
      <c r="AE48"/>
      <c r="AF48"/>
    </row>
    <row r="49" spans="1:32" x14ac:dyDescent="0.25">
      <c r="A49" s="1" t="s">
        <v>278</v>
      </c>
      <c r="B49" s="1" t="s">
        <v>279</v>
      </c>
      <c r="C49" s="1">
        <f t="shared" si="0"/>
        <v>73.674999999999997</v>
      </c>
      <c r="D49" s="1">
        <f t="shared" si="1"/>
        <v>98.051000000000002</v>
      </c>
      <c r="E49" s="1">
        <v>72</v>
      </c>
      <c r="F49" s="1">
        <v>84</v>
      </c>
      <c r="G49" s="1">
        <f t="shared" si="13"/>
        <v>80.239999999999995</v>
      </c>
      <c r="H49" s="1">
        <v>0</v>
      </c>
      <c r="I49" s="1" t="s">
        <v>176</v>
      </c>
      <c r="J49" s="1">
        <v>2</v>
      </c>
      <c r="K49" s="2">
        <f t="shared" si="2"/>
        <v>84</v>
      </c>
      <c r="L49" s="1">
        <f t="shared" si="3"/>
        <v>2</v>
      </c>
      <c r="M49" s="1">
        <f t="shared" si="14"/>
        <v>12</v>
      </c>
      <c r="N49" s="1">
        <f t="shared" si="15"/>
        <v>4</v>
      </c>
      <c r="O49" s="3">
        <f t="shared" si="7"/>
        <v>26</v>
      </c>
      <c r="P49" s="1">
        <f t="shared" si="8"/>
        <v>3</v>
      </c>
      <c r="Q49">
        <f t="shared" si="9"/>
        <v>8</v>
      </c>
      <c r="R49">
        <f>_xlfn.XLOOKUP(HFrame_List[[#This Row],[Cross piece style]],$AH$2:$AH$4,$AI$2:$AI$4,0,0)*(HFrame_List[[#This Row],[Width between brackets]]/12)</f>
        <v>36.5092</v>
      </c>
      <c r="S49">
        <f>5.46*(HFrame_List[[#This Row],[cross piece quantity]]-1)*(HFrame_List[[#This Row],[Width between brackets]]/12)</f>
        <v>36.5092</v>
      </c>
      <c r="T49" s="5">
        <f>HFrame_List[[#This Row],[Bottom cross piece cost]]+HFrame_List[[#This Row],[Top cross piece cost]]+HFrame_List[[#This Row],[Component costs]]+HFrame_List[[#This Row],[Vertical strut cost]]</f>
        <v>176.0624</v>
      </c>
      <c r="U49" s="7">
        <f>_xlfn.XLOOKUP(HFrame_List[[#This Row],[Fabrication type]],Fabrication_costs[Fabrication type],Fabrication_costs[unit pricing],"no result",0)</f>
        <v>27.72</v>
      </c>
      <c r="V49" s="5">
        <f>SUM(T49:U49)/(1-HFrame_List[[#This Row],[Margin]])</f>
        <v>582.23542857142854</v>
      </c>
      <c r="W49" s="36">
        <f t="shared" si="11"/>
        <v>0.65</v>
      </c>
      <c r="X49" t="s">
        <v>182</v>
      </c>
      <c r="Y49">
        <f>_xlfn.XLOOKUP("A12",Strut_costs[size],Strut_costs[Strut cost])/12*HFrame_List[[#This Row],[Strut height (in)]]*(2+HFrame_List[[#This Row],[Extra supports]])</f>
        <v>65.52</v>
      </c>
      <c r="Z49">
        <f>(_xlfn.XLOOKUP("PHB",CADDY_costs[Component],CADDY_costs[Current cost])*HFrame_List[[#This Row],[Number of feet]])+(_xlfn.XLOOKUP("HFRMHDW",CADDY_costs[Component],CADDY_costs[Current cost])*(HFrame_List[[#This Row],[number of L-brackets]]/2))</f>
        <v>37.524000000000001</v>
      </c>
      <c r="AA49">
        <v>7284</v>
      </c>
      <c r="AB49" t="str">
        <f>VLOOKUP(HFrame_List[[#This Row],[lookup]],'Pallet and shipping info'!$A$5:$H$33,6,FALSE)</f>
        <v>x</v>
      </c>
      <c r="AC49">
        <f>VLOOKUP(HFrame_List[[#This Row],[lookup]],'Pallet and shipping info'!$A$5:$H$33,8,FALSE)</f>
        <v>7</v>
      </c>
      <c r="AD49"/>
      <c r="AE49"/>
      <c r="AF49"/>
    </row>
    <row r="50" spans="1:32" x14ac:dyDescent="0.25">
      <c r="A50" s="1" t="s">
        <v>280</v>
      </c>
      <c r="B50" s="1" t="s">
        <v>281</v>
      </c>
      <c r="C50" s="1">
        <f t="shared" si="0"/>
        <v>25.675000000000001</v>
      </c>
      <c r="D50" s="1">
        <f t="shared" si="1"/>
        <v>34.051000000000002</v>
      </c>
      <c r="E50" s="1">
        <v>24</v>
      </c>
      <c r="F50" s="1">
        <v>20</v>
      </c>
      <c r="G50" s="1">
        <f>F50-(1.88*2)</f>
        <v>16.240000000000002</v>
      </c>
      <c r="H50" s="1">
        <v>1</v>
      </c>
      <c r="I50" s="1" t="s">
        <v>176</v>
      </c>
      <c r="J50" s="1">
        <v>1</v>
      </c>
      <c r="K50" s="2">
        <f t="shared" si="2"/>
        <v>9.1875</v>
      </c>
      <c r="L50" s="1">
        <f t="shared" si="3"/>
        <v>3</v>
      </c>
      <c r="M50" s="1">
        <f>3*N50</f>
        <v>12</v>
      </c>
      <c r="N50" s="1">
        <f>(2+(2*H50))*J50</f>
        <v>4</v>
      </c>
      <c r="O50" s="3">
        <f t="shared" si="7"/>
        <v>9.6666666666666661</v>
      </c>
      <c r="P50" s="1">
        <f t="shared" si="8"/>
        <v>1</v>
      </c>
      <c r="Q50">
        <f t="shared" si="9"/>
        <v>8</v>
      </c>
      <c r="R50">
        <f>_xlfn.XLOOKUP(HFrame_List[[#This Row],[Cross piece style]],$AH$2:$AH$4,$AI$2:$AI$4,0,0)*(HFrame_List[[#This Row],[Width between brackets]]/12)</f>
        <v>7.3892000000000007</v>
      </c>
      <c r="S50">
        <f>5.46*(HFrame_List[[#This Row],[cross piece quantity]]-1)*(HFrame_List[[#This Row],[Width between brackets]]/12)</f>
        <v>0</v>
      </c>
      <c r="T50" s="5">
        <f>HFrame_List[[#This Row],[Bottom cross piece cost]]+HFrame_List[[#This Row],[Top cross piece cost]]+HFrame_List[[#This Row],[Component costs]]+HFrame_List[[#This Row],[Vertical strut cost]]</f>
        <v>86.969200000000001</v>
      </c>
      <c r="U50" s="7">
        <f>_xlfn.XLOOKUP(HFrame_List[[#This Row],[Fabrication type]],Fabrication_costs[Fabrication type],Fabrication_costs[unit pricing],"no result",0)</f>
        <v>30</v>
      </c>
      <c r="V50" s="5">
        <f>SUM(T50:U50)/(1-HFrame_List[[#This Row],[Margin]])</f>
        <v>334.19771428571431</v>
      </c>
      <c r="W50" s="36">
        <f t="shared" si="11"/>
        <v>0.65</v>
      </c>
      <c r="X50" t="s">
        <v>193</v>
      </c>
      <c r="Y50">
        <f>_xlfn.XLOOKUP("A12",Strut_costs[size],Strut_costs[Strut cost])/12*HFrame_List[[#This Row],[Strut height (in)]]*(2+HFrame_List[[#This Row],[Extra supports]])</f>
        <v>32.76</v>
      </c>
      <c r="Z50">
        <f>(_xlfn.XLOOKUP("PHB",CADDY_costs[Component],CADDY_costs[Current cost])*HFrame_List[[#This Row],[Number of feet]])+(_xlfn.XLOOKUP("HFRMHDW",CADDY_costs[Component],CADDY_costs[Current cost])*(HFrame_List[[#This Row],[number of L-brackets]]/2))</f>
        <v>46.819999999999993</v>
      </c>
      <c r="AA50">
        <v>2420</v>
      </c>
      <c r="AB50">
        <f>VLOOKUP(HFrame_List[[#This Row],[lookup]],'Pallet and shipping info'!$A$5:$H$33,6,FALSE)</f>
        <v>11</v>
      </c>
      <c r="AC50">
        <f>VLOOKUP(HFrame_List[[#This Row],[lookup]],'Pallet and shipping info'!$A$5:$H$33,8,FALSE)</f>
        <v>15</v>
      </c>
      <c r="AD50"/>
      <c r="AE50"/>
      <c r="AF50"/>
    </row>
    <row r="51" spans="1:32" x14ac:dyDescent="0.25">
      <c r="A51" s="1" t="s">
        <v>282</v>
      </c>
      <c r="B51" s="1" t="s">
        <v>283</v>
      </c>
      <c r="C51" s="1">
        <f t="shared" si="0"/>
        <v>37.674999999999997</v>
      </c>
      <c r="D51" s="1">
        <f t="shared" si="1"/>
        <v>34.051000000000002</v>
      </c>
      <c r="E51" s="1">
        <v>36</v>
      </c>
      <c r="F51" s="1">
        <f>F50</f>
        <v>20</v>
      </c>
      <c r="G51" s="1">
        <f t="shared" ref="G51:G73" si="18">F51-(1.88*2)</f>
        <v>16.240000000000002</v>
      </c>
      <c r="H51" s="1">
        <v>1</v>
      </c>
      <c r="I51" s="1" t="s">
        <v>176</v>
      </c>
      <c r="J51" s="1">
        <v>1</v>
      </c>
      <c r="K51" s="2">
        <f t="shared" si="2"/>
        <v>9.1875</v>
      </c>
      <c r="L51" s="1">
        <f t="shared" si="3"/>
        <v>3</v>
      </c>
      <c r="M51" s="1">
        <f t="shared" ref="M51:M73" si="19">3*N51</f>
        <v>12</v>
      </c>
      <c r="N51" s="1">
        <f t="shared" ref="N51:N73" si="20">(2+(2*H51))*J51</f>
        <v>4</v>
      </c>
      <c r="O51" s="3">
        <f t="shared" si="7"/>
        <v>13.666666666666666</v>
      </c>
      <c r="P51" s="1">
        <f t="shared" si="8"/>
        <v>2</v>
      </c>
      <c r="Q51">
        <f t="shared" si="9"/>
        <v>8</v>
      </c>
      <c r="R51">
        <f>_xlfn.XLOOKUP(HFrame_List[[#This Row],[Cross piece style]],$AH$2:$AH$4,$AI$2:$AI$4,0,0)*(HFrame_List[[#This Row],[Width between brackets]]/12)</f>
        <v>7.3892000000000007</v>
      </c>
      <c r="S51">
        <f>5.46*(HFrame_List[[#This Row],[cross piece quantity]]-1)*(HFrame_List[[#This Row],[Width between brackets]]/12)</f>
        <v>0</v>
      </c>
      <c r="T51" s="5">
        <f>HFrame_List[[#This Row],[Bottom cross piece cost]]+HFrame_List[[#This Row],[Top cross piece cost]]+HFrame_List[[#This Row],[Component costs]]+HFrame_List[[#This Row],[Vertical strut cost]]</f>
        <v>103.3492</v>
      </c>
      <c r="U51" s="7">
        <f>_xlfn.XLOOKUP(HFrame_List[[#This Row],[Fabrication type]],Fabrication_costs[Fabrication type],Fabrication_costs[unit pricing],"no result",0)</f>
        <v>30</v>
      </c>
      <c r="V51" s="5">
        <f>SUM(T51:U51)/(1-HFrame_List[[#This Row],[Margin]])</f>
        <v>380.99771428571432</v>
      </c>
      <c r="W51" s="36">
        <f t="shared" si="11"/>
        <v>0.65</v>
      </c>
      <c r="X51" t="s">
        <v>193</v>
      </c>
      <c r="Y51">
        <f>_xlfn.XLOOKUP("A12",Strut_costs[size],Strut_costs[Strut cost])/12*HFrame_List[[#This Row],[Strut height (in)]]*(2+HFrame_List[[#This Row],[Extra supports]])</f>
        <v>49.14</v>
      </c>
      <c r="Z51">
        <f>(_xlfn.XLOOKUP("PHB",CADDY_costs[Component],CADDY_costs[Current cost])*HFrame_List[[#This Row],[Number of feet]])+(_xlfn.XLOOKUP("HFRMHDW",CADDY_costs[Component],CADDY_costs[Current cost])*(HFrame_List[[#This Row],[number of L-brackets]]/2))</f>
        <v>46.819999999999993</v>
      </c>
      <c r="AA51">
        <v>3620</v>
      </c>
      <c r="AB51">
        <f>VLOOKUP(HFrame_List[[#This Row],[lookup]],'Pallet and shipping info'!$A$5:$H$33,6,FALSE)</f>
        <v>11</v>
      </c>
      <c r="AC51">
        <f>VLOOKUP(HFrame_List[[#This Row],[lookup]],'Pallet and shipping info'!$A$5:$H$33,8,FALSE)</f>
        <v>15</v>
      </c>
      <c r="AD51"/>
      <c r="AE51"/>
      <c r="AF51"/>
    </row>
    <row r="52" spans="1:32" x14ac:dyDescent="0.25">
      <c r="A52" s="1" t="s">
        <v>284</v>
      </c>
      <c r="B52" s="1" t="s">
        <v>285</v>
      </c>
      <c r="C52" s="1">
        <f t="shared" si="0"/>
        <v>49.674999999999997</v>
      </c>
      <c r="D52" s="1">
        <f t="shared" si="1"/>
        <v>34.051000000000002</v>
      </c>
      <c r="E52" s="1">
        <v>48</v>
      </c>
      <c r="F52" s="1">
        <f t="shared" ref="F52:F53" si="21">F51</f>
        <v>20</v>
      </c>
      <c r="G52" s="1">
        <f t="shared" si="18"/>
        <v>16.240000000000002</v>
      </c>
      <c r="H52" s="1">
        <v>1</v>
      </c>
      <c r="I52" s="1" t="s">
        <v>176</v>
      </c>
      <c r="J52" s="1">
        <v>1</v>
      </c>
      <c r="K52" s="2">
        <f t="shared" si="2"/>
        <v>9.1875</v>
      </c>
      <c r="L52" s="1">
        <f t="shared" si="3"/>
        <v>3</v>
      </c>
      <c r="M52" s="1">
        <f t="shared" si="19"/>
        <v>12</v>
      </c>
      <c r="N52" s="1">
        <f t="shared" si="20"/>
        <v>4</v>
      </c>
      <c r="O52" s="3">
        <f t="shared" si="7"/>
        <v>17.666666666666668</v>
      </c>
      <c r="P52" s="1">
        <f t="shared" si="8"/>
        <v>2</v>
      </c>
      <c r="Q52">
        <f t="shared" si="9"/>
        <v>8</v>
      </c>
      <c r="R52">
        <f>_xlfn.XLOOKUP(HFrame_List[[#This Row],[Cross piece style]],$AH$2:$AH$4,$AI$2:$AI$4,0,0)*(HFrame_List[[#This Row],[Width between brackets]]/12)</f>
        <v>7.3892000000000007</v>
      </c>
      <c r="S52">
        <f>5.46*(HFrame_List[[#This Row],[cross piece quantity]]-1)*(HFrame_List[[#This Row],[Width between brackets]]/12)</f>
        <v>0</v>
      </c>
      <c r="T52" s="5">
        <f>HFrame_List[[#This Row],[Bottom cross piece cost]]+HFrame_List[[#This Row],[Top cross piece cost]]+HFrame_List[[#This Row],[Component costs]]+HFrame_List[[#This Row],[Vertical strut cost]]</f>
        <v>119.72919999999999</v>
      </c>
      <c r="U52" s="7">
        <f>_xlfn.XLOOKUP(HFrame_List[[#This Row],[Fabrication type]],Fabrication_costs[Fabrication type],Fabrication_costs[unit pricing],"no result",0)</f>
        <v>30</v>
      </c>
      <c r="V52" s="5">
        <f>SUM(T52:U52)/(1-HFrame_List[[#This Row],[Margin]])</f>
        <v>427.79771428571428</v>
      </c>
      <c r="W52" s="36">
        <f t="shared" si="11"/>
        <v>0.65</v>
      </c>
      <c r="X52" t="s">
        <v>193</v>
      </c>
      <c r="Y52">
        <f>_xlfn.XLOOKUP("A12",Strut_costs[size],Strut_costs[Strut cost])/12*HFrame_List[[#This Row],[Strut height (in)]]*(2+HFrame_List[[#This Row],[Extra supports]])</f>
        <v>65.52</v>
      </c>
      <c r="Z52">
        <f>(_xlfn.XLOOKUP("PHB",CADDY_costs[Component],CADDY_costs[Current cost])*HFrame_List[[#This Row],[Number of feet]])+(_xlfn.XLOOKUP("HFRMHDW",CADDY_costs[Component],CADDY_costs[Current cost])*(HFrame_List[[#This Row],[number of L-brackets]]/2))</f>
        <v>46.819999999999993</v>
      </c>
      <c r="AA52">
        <v>4820</v>
      </c>
      <c r="AB52">
        <f>VLOOKUP(HFrame_List[[#This Row],[lookup]],'Pallet and shipping info'!$A$5:$H$33,6,FALSE)</f>
        <v>11</v>
      </c>
      <c r="AC52">
        <f>VLOOKUP(HFrame_List[[#This Row],[lookup]],'Pallet and shipping info'!$A$5:$H$33,8,FALSE)</f>
        <v>15</v>
      </c>
      <c r="AD52"/>
      <c r="AE52"/>
      <c r="AF52"/>
    </row>
    <row r="53" spans="1:32" x14ac:dyDescent="0.25">
      <c r="A53" s="1" t="s">
        <v>286</v>
      </c>
      <c r="B53" s="1" t="s">
        <v>287</v>
      </c>
      <c r="C53" s="1">
        <f t="shared" si="0"/>
        <v>73.674999999999997</v>
      </c>
      <c r="D53" s="1">
        <f t="shared" si="1"/>
        <v>34.051000000000002</v>
      </c>
      <c r="E53" s="1">
        <v>72</v>
      </c>
      <c r="F53" s="1">
        <f t="shared" si="21"/>
        <v>20</v>
      </c>
      <c r="G53" s="1">
        <f t="shared" si="18"/>
        <v>16.240000000000002</v>
      </c>
      <c r="H53" s="1">
        <v>1</v>
      </c>
      <c r="I53" s="1" t="s">
        <v>176</v>
      </c>
      <c r="J53" s="1">
        <v>1</v>
      </c>
      <c r="K53" s="2">
        <f t="shared" si="2"/>
        <v>9.1875</v>
      </c>
      <c r="L53" s="1">
        <f t="shared" si="3"/>
        <v>3</v>
      </c>
      <c r="M53" s="1">
        <f t="shared" si="19"/>
        <v>12</v>
      </c>
      <c r="N53" s="1">
        <f t="shared" si="20"/>
        <v>4</v>
      </c>
      <c r="O53" s="3">
        <f t="shared" si="7"/>
        <v>25.666666666666668</v>
      </c>
      <c r="P53" s="1">
        <f t="shared" si="8"/>
        <v>3</v>
      </c>
      <c r="Q53">
        <f t="shared" si="9"/>
        <v>8</v>
      </c>
      <c r="R53">
        <f>_xlfn.XLOOKUP(HFrame_List[[#This Row],[Cross piece style]],$AH$2:$AH$4,$AI$2:$AI$4,0,0)*(HFrame_List[[#This Row],[Width between brackets]]/12)</f>
        <v>7.3892000000000007</v>
      </c>
      <c r="S53">
        <f>5.46*(HFrame_List[[#This Row],[cross piece quantity]]-1)*(HFrame_List[[#This Row],[Width between brackets]]/12)</f>
        <v>0</v>
      </c>
      <c r="T53" s="5">
        <f>HFrame_List[[#This Row],[Bottom cross piece cost]]+HFrame_List[[#This Row],[Top cross piece cost]]+HFrame_List[[#This Row],[Component costs]]+HFrame_List[[#This Row],[Vertical strut cost]]</f>
        <v>152.48919999999998</v>
      </c>
      <c r="U53" s="7">
        <f>_xlfn.XLOOKUP(HFrame_List[[#This Row],[Fabrication type]],Fabrication_costs[Fabrication type],Fabrication_costs[unit pricing],"no result",0)</f>
        <v>30</v>
      </c>
      <c r="V53" s="5">
        <f>SUM(T53:U53)/(1-HFrame_List[[#This Row],[Margin]])</f>
        <v>521.3977142857143</v>
      </c>
      <c r="W53" s="36">
        <f t="shared" si="11"/>
        <v>0.65</v>
      </c>
      <c r="X53" t="s">
        <v>193</v>
      </c>
      <c r="Y53">
        <f>_xlfn.XLOOKUP("A12",Strut_costs[size],Strut_costs[Strut cost])/12*HFrame_List[[#This Row],[Strut height (in)]]*(2+HFrame_List[[#This Row],[Extra supports]])</f>
        <v>98.28</v>
      </c>
      <c r="Z53">
        <f>(_xlfn.XLOOKUP("PHB",CADDY_costs[Component],CADDY_costs[Current cost])*HFrame_List[[#This Row],[Number of feet]])+(_xlfn.XLOOKUP("HFRMHDW",CADDY_costs[Component],CADDY_costs[Current cost])*(HFrame_List[[#This Row],[number of L-brackets]]/2))</f>
        <v>46.819999999999993</v>
      </c>
      <c r="AA53">
        <v>7220</v>
      </c>
      <c r="AB53">
        <f>VLOOKUP(HFrame_List[[#This Row],[lookup]],'Pallet and shipping info'!$A$5:$H$33,6,FALSE)</f>
        <v>11</v>
      </c>
      <c r="AC53">
        <f>VLOOKUP(HFrame_List[[#This Row],[lookup]],'Pallet and shipping info'!$A$5:$H$33,8,FALSE)</f>
        <v>15</v>
      </c>
      <c r="AD53"/>
      <c r="AE53"/>
      <c r="AF53"/>
    </row>
    <row r="54" spans="1:32" x14ac:dyDescent="0.25">
      <c r="A54" s="1" t="s">
        <v>288</v>
      </c>
      <c r="B54" s="1" t="s">
        <v>289</v>
      </c>
      <c r="C54" s="1">
        <f t="shared" si="0"/>
        <v>25.675000000000001</v>
      </c>
      <c r="D54" s="1">
        <f t="shared" si="1"/>
        <v>50.050999999999995</v>
      </c>
      <c r="E54" s="1">
        <v>24</v>
      </c>
      <c r="F54" s="1">
        <v>36</v>
      </c>
      <c r="G54" s="1">
        <f t="shared" si="18"/>
        <v>32.24</v>
      </c>
      <c r="H54" s="1">
        <v>1</v>
      </c>
      <c r="I54" s="1" t="s">
        <v>176</v>
      </c>
      <c r="J54" s="1">
        <v>1</v>
      </c>
      <c r="K54" s="2">
        <f t="shared" si="2"/>
        <v>17.1875</v>
      </c>
      <c r="L54" s="1">
        <f t="shared" si="3"/>
        <v>3</v>
      </c>
      <c r="M54" s="1">
        <f t="shared" si="19"/>
        <v>12</v>
      </c>
      <c r="N54" s="1">
        <f t="shared" si="20"/>
        <v>4</v>
      </c>
      <c r="O54" s="3">
        <f t="shared" si="7"/>
        <v>11</v>
      </c>
      <c r="P54" s="1">
        <f t="shared" si="8"/>
        <v>2</v>
      </c>
      <c r="Q54">
        <f t="shared" si="9"/>
        <v>8</v>
      </c>
      <c r="R54">
        <f>_xlfn.XLOOKUP(HFrame_List[[#This Row],[Cross piece style]],$AH$2:$AH$4,$AI$2:$AI$4,0,0)*(HFrame_List[[#This Row],[Width between brackets]]/12)</f>
        <v>14.669200000000002</v>
      </c>
      <c r="S54">
        <f>5.46*(HFrame_List[[#This Row],[cross piece quantity]]-1)*(HFrame_List[[#This Row],[Width between brackets]]/12)</f>
        <v>0</v>
      </c>
      <c r="T54" s="5">
        <f>HFrame_List[[#This Row],[Bottom cross piece cost]]+HFrame_List[[#This Row],[Top cross piece cost]]+HFrame_List[[#This Row],[Component costs]]+HFrame_List[[#This Row],[Vertical strut cost]]</f>
        <v>94.249200000000002</v>
      </c>
      <c r="U54" s="7">
        <f>_xlfn.XLOOKUP(HFrame_List[[#This Row],[Fabrication type]],Fabrication_costs[Fabrication type],Fabrication_costs[unit pricing],"no result",0)</f>
        <v>30</v>
      </c>
      <c r="V54" s="5">
        <f>SUM(T54:U54)/(1-HFrame_List[[#This Row],[Margin]])</f>
        <v>354.99771428571432</v>
      </c>
      <c r="W54" s="36">
        <f t="shared" si="11"/>
        <v>0.65</v>
      </c>
      <c r="X54" t="s">
        <v>193</v>
      </c>
      <c r="Y54">
        <f>_xlfn.XLOOKUP("A12",Strut_costs[size],Strut_costs[Strut cost])/12*HFrame_List[[#This Row],[Strut height (in)]]*(2+HFrame_List[[#This Row],[Extra supports]])</f>
        <v>32.76</v>
      </c>
      <c r="Z54">
        <f>(_xlfn.XLOOKUP("PHB",CADDY_costs[Component],CADDY_costs[Current cost])*HFrame_List[[#This Row],[Number of feet]])+(_xlfn.XLOOKUP("HFRMHDW",CADDY_costs[Component],CADDY_costs[Current cost])*(HFrame_List[[#This Row],[number of L-brackets]]/2))</f>
        <v>46.819999999999993</v>
      </c>
      <c r="AA54">
        <v>2436</v>
      </c>
      <c r="AB54">
        <f>VLOOKUP(HFrame_List[[#This Row],[lookup]],'Pallet and shipping info'!$A$5:$H$33,6,FALSE)</f>
        <v>9</v>
      </c>
      <c r="AC54">
        <f>VLOOKUP(HFrame_List[[#This Row],[lookup]],'Pallet and shipping info'!$A$5:$H$33,8,FALSE)</f>
        <v>14</v>
      </c>
      <c r="AD54"/>
      <c r="AE54"/>
      <c r="AF54"/>
    </row>
    <row r="55" spans="1:32" x14ac:dyDescent="0.25">
      <c r="A55" s="1" t="s">
        <v>290</v>
      </c>
      <c r="B55" s="1" t="s">
        <v>291</v>
      </c>
      <c r="C55" s="1">
        <f t="shared" si="0"/>
        <v>37.674999999999997</v>
      </c>
      <c r="D55" s="1">
        <f t="shared" si="1"/>
        <v>50.050999999999995</v>
      </c>
      <c r="E55" s="1">
        <v>36</v>
      </c>
      <c r="F55" s="1">
        <f>F54</f>
        <v>36</v>
      </c>
      <c r="G55" s="1">
        <f t="shared" si="18"/>
        <v>32.24</v>
      </c>
      <c r="H55" s="1">
        <v>1</v>
      </c>
      <c r="I55" s="1" t="s">
        <v>176</v>
      </c>
      <c r="J55" s="1">
        <v>1</v>
      </c>
      <c r="K55" s="2">
        <f t="shared" si="2"/>
        <v>17.1875</v>
      </c>
      <c r="L55" s="1">
        <f t="shared" si="3"/>
        <v>3</v>
      </c>
      <c r="M55" s="1">
        <f t="shared" si="19"/>
        <v>12</v>
      </c>
      <c r="N55" s="1">
        <f t="shared" si="20"/>
        <v>4</v>
      </c>
      <c r="O55" s="3">
        <f t="shared" si="7"/>
        <v>15</v>
      </c>
      <c r="P55" s="1">
        <f t="shared" si="8"/>
        <v>2</v>
      </c>
      <c r="Q55">
        <f t="shared" si="9"/>
        <v>8</v>
      </c>
      <c r="R55">
        <f>_xlfn.XLOOKUP(HFrame_List[[#This Row],[Cross piece style]],$AH$2:$AH$4,$AI$2:$AI$4,0,0)*(HFrame_List[[#This Row],[Width between brackets]]/12)</f>
        <v>14.669200000000002</v>
      </c>
      <c r="S55">
        <f>5.46*(HFrame_List[[#This Row],[cross piece quantity]]-1)*(HFrame_List[[#This Row],[Width between brackets]]/12)</f>
        <v>0</v>
      </c>
      <c r="T55" s="5">
        <f>HFrame_List[[#This Row],[Bottom cross piece cost]]+HFrame_List[[#This Row],[Top cross piece cost]]+HFrame_List[[#This Row],[Component costs]]+HFrame_List[[#This Row],[Vertical strut cost]]</f>
        <v>110.6292</v>
      </c>
      <c r="U55" s="7">
        <f>_xlfn.XLOOKUP(HFrame_List[[#This Row],[Fabrication type]],Fabrication_costs[Fabrication type],Fabrication_costs[unit pricing],"no result",0)</f>
        <v>30</v>
      </c>
      <c r="V55" s="5">
        <f>SUM(T55:U55)/(1-HFrame_List[[#This Row],[Margin]])</f>
        <v>401.79771428571428</v>
      </c>
      <c r="W55" s="36">
        <f t="shared" si="11"/>
        <v>0.65</v>
      </c>
      <c r="X55" t="s">
        <v>193</v>
      </c>
      <c r="Y55">
        <f>_xlfn.XLOOKUP("A12",Strut_costs[size],Strut_costs[Strut cost])/12*HFrame_List[[#This Row],[Strut height (in)]]*(2+HFrame_List[[#This Row],[Extra supports]])</f>
        <v>49.14</v>
      </c>
      <c r="Z55">
        <f>(_xlfn.XLOOKUP("PHB",CADDY_costs[Component],CADDY_costs[Current cost])*HFrame_List[[#This Row],[Number of feet]])+(_xlfn.XLOOKUP("HFRMHDW",CADDY_costs[Component],CADDY_costs[Current cost])*(HFrame_List[[#This Row],[number of L-brackets]]/2))</f>
        <v>46.819999999999993</v>
      </c>
      <c r="AA55">
        <v>3636</v>
      </c>
      <c r="AB55">
        <f>VLOOKUP(HFrame_List[[#This Row],[lookup]],'Pallet and shipping info'!$A$5:$H$33,6,FALSE)</f>
        <v>9</v>
      </c>
      <c r="AC55">
        <f>VLOOKUP(HFrame_List[[#This Row],[lookup]],'Pallet and shipping info'!$A$5:$H$33,8,FALSE)</f>
        <v>14</v>
      </c>
      <c r="AD55"/>
      <c r="AE55"/>
      <c r="AF55"/>
    </row>
    <row r="56" spans="1:32" x14ac:dyDescent="0.25">
      <c r="A56" s="1" t="s">
        <v>292</v>
      </c>
      <c r="B56" s="1" t="s">
        <v>293</v>
      </c>
      <c r="C56" s="1">
        <f t="shared" si="0"/>
        <v>49.674999999999997</v>
      </c>
      <c r="D56" s="1">
        <f t="shared" si="1"/>
        <v>50.050999999999995</v>
      </c>
      <c r="E56" s="1">
        <v>48</v>
      </c>
      <c r="F56" s="1">
        <f t="shared" ref="F56:F61" si="22">F55</f>
        <v>36</v>
      </c>
      <c r="G56" s="1">
        <f t="shared" si="18"/>
        <v>32.24</v>
      </c>
      <c r="H56" s="1">
        <v>1</v>
      </c>
      <c r="I56" s="1" t="s">
        <v>176</v>
      </c>
      <c r="J56" s="1">
        <v>1</v>
      </c>
      <c r="K56" s="2">
        <f t="shared" si="2"/>
        <v>17.1875</v>
      </c>
      <c r="L56" s="1">
        <f t="shared" si="3"/>
        <v>3</v>
      </c>
      <c r="M56" s="1">
        <f t="shared" si="19"/>
        <v>12</v>
      </c>
      <c r="N56" s="1">
        <f t="shared" si="20"/>
        <v>4</v>
      </c>
      <c r="O56" s="3">
        <f t="shared" si="7"/>
        <v>19</v>
      </c>
      <c r="P56" s="1">
        <f t="shared" si="8"/>
        <v>2</v>
      </c>
      <c r="Q56">
        <f t="shared" si="9"/>
        <v>8</v>
      </c>
      <c r="R56">
        <f>_xlfn.XLOOKUP(HFrame_List[[#This Row],[Cross piece style]],$AH$2:$AH$4,$AI$2:$AI$4,0,0)*(HFrame_List[[#This Row],[Width between brackets]]/12)</f>
        <v>14.669200000000002</v>
      </c>
      <c r="S56">
        <f>5.46*(HFrame_List[[#This Row],[cross piece quantity]]-1)*(HFrame_List[[#This Row],[Width between brackets]]/12)</f>
        <v>0</v>
      </c>
      <c r="T56" s="5">
        <f>HFrame_List[[#This Row],[Bottom cross piece cost]]+HFrame_List[[#This Row],[Top cross piece cost]]+HFrame_List[[#This Row],[Component costs]]+HFrame_List[[#This Row],[Vertical strut cost]]</f>
        <v>127.00919999999999</v>
      </c>
      <c r="U56" s="7">
        <f>_xlfn.XLOOKUP(HFrame_List[[#This Row],[Fabrication type]],Fabrication_costs[Fabrication type],Fabrication_costs[unit pricing],"no result",0)</f>
        <v>30</v>
      </c>
      <c r="V56" s="5">
        <f>SUM(T56:U56)/(1-HFrame_List[[#This Row],[Margin]])</f>
        <v>448.59771428571429</v>
      </c>
      <c r="W56" s="36">
        <f t="shared" si="11"/>
        <v>0.65</v>
      </c>
      <c r="X56" t="s">
        <v>193</v>
      </c>
      <c r="Y56">
        <f>_xlfn.XLOOKUP("A12",Strut_costs[size],Strut_costs[Strut cost])/12*HFrame_List[[#This Row],[Strut height (in)]]*(2+HFrame_List[[#This Row],[Extra supports]])</f>
        <v>65.52</v>
      </c>
      <c r="Z56">
        <f>(_xlfn.XLOOKUP("PHB",CADDY_costs[Component],CADDY_costs[Current cost])*HFrame_List[[#This Row],[Number of feet]])+(_xlfn.XLOOKUP("HFRMHDW",CADDY_costs[Component],CADDY_costs[Current cost])*(HFrame_List[[#This Row],[number of L-brackets]]/2))</f>
        <v>46.819999999999993</v>
      </c>
      <c r="AA56">
        <v>4836</v>
      </c>
      <c r="AB56">
        <f>VLOOKUP(HFrame_List[[#This Row],[lookup]],'Pallet and shipping info'!$A$5:$H$33,6,FALSE)</f>
        <v>9</v>
      </c>
      <c r="AC56">
        <f>VLOOKUP(HFrame_List[[#This Row],[lookup]],'Pallet and shipping info'!$A$5:$H$33,8,FALSE)</f>
        <v>14</v>
      </c>
      <c r="AD56"/>
      <c r="AE56"/>
      <c r="AF56"/>
    </row>
    <row r="57" spans="1:32" x14ac:dyDescent="0.25">
      <c r="A57" s="1" t="s">
        <v>294</v>
      </c>
      <c r="B57" s="1" t="s">
        <v>295</v>
      </c>
      <c r="C57" s="1">
        <f t="shared" si="0"/>
        <v>73.674999999999997</v>
      </c>
      <c r="D57" s="1">
        <f t="shared" si="1"/>
        <v>50.050999999999995</v>
      </c>
      <c r="E57" s="1">
        <v>72</v>
      </c>
      <c r="F57" s="1">
        <f t="shared" si="22"/>
        <v>36</v>
      </c>
      <c r="G57" s="1">
        <f t="shared" si="18"/>
        <v>32.24</v>
      </c>
      <c r="H57" s="1">
        <v>1</v>
      </c>
      <c r="I57" s="1" t="s">
        <v>176</v>
      </c>
      <c r="J57" s="1">
        <v>1</v>
      </c>
      <c r="K57" s="2">
        <f t="shared" si="2"/>
        <v>17.1875</v>
      </c>
      <c r="L57" s="1">
        <f t="shared" si="3"/>
        <v>3</v>
      </c>
      <c r="M57" s="1">
        <f t="shared" si="19"/>
        <v>12</v>
      </c>
      <c r="N57" s="1">
        <f t="shared" si="20"/>
        <v>4</v>
      </c>
      <c r="O57" s="3">
        <f t="shared" si="7"/>
        <v>27</v>
      </c>
      <c r="P57" s="1">
        <f t="shared" si="8"/>
        <v>3</v>
      </c>
      <c r="Q57">
        <f t="shared" si="9"/>
        <v>8</v>
      </c>
      <c r="R57">
        <f>_xlfn.XLOOKUP(HFrame_List[[#This Row],[Cross piece style]],$AH$2:$AH$4,$AI$2:$AI$4,0,0)*(HFrame_List[[#This Row],[Width between brackets]]/12)</f>
        <v>14.669200000000002</v>
      </c>
      <c r="S57">
        <f>5.46*(HFrame_List[[#This Row],[cross piece quantity]]-1)*(HFrame_List[[#This Row],[Width between brackets]]/12)</f>
        <v>0</v>
      </c>
      <c r="T57" s="5">
        <f>HFrame_List[[#This Row],[Bottom cross piece cost]]+HFrame_List[[#This Row],[Top cross piece cost]]+HFrame_List[[#This Row],[Component costs]]+HFrame_List[[#This Row],[Vertical strut cost]]</f>
        <v>159.76920000000001</v>
      </c>
      <c r="U57" s="7">
        <f>_xlfn.XLOOKUP(HFrame_List[[#This Row],[Fabrication type]],Fabrication_costs[Fabrication type],Fabrication_costs[unit pricing],"no result",0)</f>
        <v>30</v>
      </c>
      <c r="V57" s="5">
        <f>SUM(T57:U57)/(1-HFrame_List[[#This Row],[Margin]])</f>
        <v>542.19771428571437</v>
      </c>
      <c r="W57" s="36">
        <f t="shared" si="11"/>
        <v>0.65</v>
      </c>
      <c r="X57" t="s">
        <v>193</v>
      </c>
      <c r="Y57">
        <f>_xlfn.XLOOKUP("A12",Strut_costs[size],Strut_costs[Strut cost])/12*HFrame_List[[#This Row],[Strut height (in)]]*(2+HFrame_List[[#This Row],[Extra supports]])</f>
        <v>98.28</v>
      </c>
      <c r="Z57">
        <f>(_xlfn.XLOOKUP("PHB",CADDY_costs[Component],CADDY_costs[Current cost])*HFrame_List[[#This Row],[Number of feet]])+(_xlfn.XLOOKUP("HFRMHDW",CADDY_costs[Component],CADDY_costs[Current cost])*(HFrame_List[[#This Row],[number of L-brackets]]/2))</f>
        <v>46.819999999999993</v>
      </c>
      <c r="AA57">
        <v>7236</v>
      </c>
      <c r="AB57">
        <f>VLOOKUP(HFrame_List[[#This Row],[lookup]],'Pallet and shipping info'!$A$5:$H$33,6,FALSE)</f>
        <v>9</v>
      </c>
      <c r="AC57">
        <f>VLOOKUP(HFrame_List[[#This Row],[lookup]],'Pallet and shipping info'!$A$5:$H$33,8,FALSE)</f>
        <v>14</v>
      </c>
      <c r="AD57"/>
      <c r="AE57"/>
      <c r="AF57"/>
    </row>
    <row r="58" spans="1:32" x14ac:dyDescent="0.25">
      <c r="A58" s="1" t="s">
        <v>296</v>
      </c>
      <c r="B58" s="1" t="s">
        <v>297</v>
      </c>
      <c r="C58" s="1">
        <f t="shared" si="0"/>
        <v>25.675000000000001</v>
      </c>
      <c r="D58" s="1">
        <f t="shared" si="1"/>
        <v>62.050999999999995</v>
      </c>
      <c r="E58" s="1">
        <v>24</v>
      </c>
      <c r="F58" s="1">
        <v>48</v>
      </c>
      <c r="G58" s="1">
        <f t="shared" si="18"/>
        <v>44.24</v>
      </c>
      <c r="H58" s="1">
        <v>1</v>
      </c>
      <c r="I58" s="1" t="s">
        <v>176</v>
      </c>
      <c r="J58" s="1">
        <v>1</v>
      </c>
      <c r="K58" s="2">
        <f t="shared" si="2"/>
        <v>23.1875</v>
      </c>
      <c r="L58" s="1">
        <f t="shared" si="3"/>
        <v>3</v>
      </c>
      <c r="M58" s="1">
        <f t="shared" si="19"/>
        <v>12</v>
      </c>
      <c r="N58" s="1">
        <f t="shared" si="20"/>
        <v>4</v>
      </c>
      <c r="O58" s="3">
        <f t="shared" si="7"/>
        <v>12</v>
      </c>
      <c r="P58" s="1">
        <f t="shared" si="8"/>
        <v>2</v>
      </c>
      <c r="Q58">
        <f t="shared" si="9"/>
        <v>8</v>
      </c>
      <c r="R58">
        <f>_xlfn.XLOOKUP(HFrame_List[[#This Row],[Cross piece style]],$AH$2:$AH$4,$AI$2:$AI$4,0,0)*(HFrame_List[[#This Row],[Width between brackets]]/12)</f>
        <v>20.129200000000001</v>
      </c>
      <c r="S58">
        <f>5.46*(HFrame_List[[#This Row],[cross piece quantity]]-1)*(HFrame_List[[#This Row],[Width between brackets]]/12)</f>
        <v>0</v>
      </c>
      <c r="T58" s="5">
        <f>HFrame_List[[#This Row],[Bottom cross piece cost]]+HFrame_List[[#This Row],[Top cross piece cost]]+HFrame_List[[#This Row],[Component costs]]+HFrame_List[[#This Row],[Vertical strut cost]]</f>
        <v>99.709199999999981</v>
      </c>
      <c r="U58" s="7">
        <f>_xlfn.XLOOKUP(HFrame_List[[#This Row],[Fabrication type]],Fabrication_costs[Fabrication type],Fabrication_costs[unit pricing],"no result",0)</f>
        <v>30</v>
      </c>
      <c r="V58" s="5">
        <f>SUM(T58:U58)/(1-HFrame_List[[#This Row],[Margin]])</f>
        <v>370.59771428571423</v>
      </c>
      <c r="W58" s="36">
        <f t="shared" si="11"/>
        <v>0.65</v>
      </c>
      <c r="X58" t="s">
        <v>193</v>
      </c>
      <c r="Y58">
        <f>_xlfn.XLOOKUP("A12",Strut_costs[size],Strut_costs[Strut cost])/12*HFrame_List[[#This Row],[Strut height (in)]]*(2+HFrame_List[[#This Row],[Extra supports]])</f>
        <v>32.76</v>
      </c>
      <c r="Z58">
        <f>(_xlfn.XLOOKUP("PHB",CADDY_costs[Component],CADDY_costs[Current cost])*HFrame_List[[#This Row],[Number of feet]])+(_xlfn.XLOOKUP("HFRMHDW",CADDY_costs[Component],CADDY_costs[Current cost])*(HFrame_List[[#This Row],[number of L-brackets]]/2))</f>
        <v>46.819999999999993</v>
      </c>
      <c r="AA58">
        <v>2448</v>
      </c>
      <c r="AB58">
        <f>VLOOKUP(HFrame_List[[#This Row],[lookup]],'Pallet and shipping info'!$A$5:$H$33,6,FALSE)</f>
        <v>7</v>
      </c>
      <c r="AC58">
        <f>VLOOKUP(HFrame_List[[#This Row],[lookup]],'Pallet and shipping info'!$A$5:$H$33,8,FALSE)</f>
        <v>10</v>
      </c>
      <c r="AD58"/>
      <c r="AE58"/>
      <c r="AF58"/>
    </row>
    <row r="59" spans="1:32" x14ac:dyDescent="0.25">
      <c r="A59" s="1" t="s">
        <v>298</v>
      </c>
      <c r="B59" s="1" t="s">
        <v>299</v>
      </c>
      <c r="C59" s="1">
        <f t="shared" si="0"/>
        <v>37.674999999999997</v>
      </c>
      <c r="D59" s="1">
        <f t="shared" si="1"/>
        <v>62.050999999999995</v>
      </c>
      <c r="E59" s="1">
        <v>36</v>
      </c>
      <c r="F59" s="1">
        <f t="shared" si="22"/>
        <v>48</v>
      </c>
      <c r="G59" s="1">
        <f t="shared" si="18"/>
        <v>44.24</v>
      </c>
      <c r="H59" s="1">
        <v>1</v>
      </c>
      <c r="I59" s="1" t="s">
        <v>176</v>
      </c>
      <c r="J59" s="1">
        <v>1</v>
      </c>
      <c r="K59" s="2">
        <f t="shared" si="2"/>
        <v>23.1875</v>
      </c>
      <c r="L59" s="1">
        <f t="shared" si="3"/>
        <v>3</v>
      </c>
      <c r="M59" s="1">
        <f t="shared" si="19"/>
        <v>12</v>
      </c>
      <c r="N59" s="1">
        <f t="shared" si="20"/>
        <v>4</v>
      </c>
      <c r="O59" s="3">
        <f t="shared" si="7"/>
        <v>16</v>
      </c>
      <c r="P59" s="1">
        <f t="shared" si="8"/>
        <v>2</v>
      </c>
      <c r="Q59">
        <f t="shared" si="9"/>
        <v>8</v>
      </c>
      <c r="R59">
        <f>_xlfn.XLOOKUP(HFrame_List[[#This Row],[Cross piece style]],$AH$2:$AH$4,$AI$2:$AI$4,0,0)*(HFrame_List[[#This Row],[Width between brackets]]/12)</f>
        <v>20.129200000000001</v>
      </c>
      <c r="S59">
        <f>5.46*(HFrame_List[[#This Row],[cross piece quantity]]-1)*(HFrame_List[[#This Row],[Width between brackets]]/12)</f>
        <v>0</v>
      </c>
      <c r="T59" s="5">
        <f>HFrame_List[[#This Row],[Bottom cross piece cost]]+HFrame_List[[#This Row],[Top cross piece cost]]+HFrame_List[[#This Row],[Component costs]]+HFrame_List[[#This Row],[Vertical strut cost]]</f>
        <v>116.08919999999999</v>
      </c>
      <c r="U59" s="7">
        <f>_xlfn.XLOOKUP(HFrame_List[[#This Row],[Fabrication type]],Fabrication_costs[Fabrication type],Fabrication_costs[unit pricing],"no result",0)</f>
        <v>30</v>
      </c>
      <c r="V59" s="5">
        <f>SUM(T59:U59)/(1-HFrame_List[[#This Row],[Margin]])</f>
        <v>417.3977142857143</v>
      </c>
      <c r="W59" s="36">
        <f t="shared" si="11"/>
        <v>0.65</v>
      </c>
      <c r="X59" t="s">
        <v>193</v>
      </c>
      <c r="Y59">
        <f>_xlfn.XLOOKUP("A12",Strut_costs[size],Strut_costs[Strut cost])/12*HFrame_List[[#This Row],[Strut height (in)]]*(2+HFrame_List[[#This Row],[Extra supports]])</f>
        <v>49.14</v>
      </c>
      <c r="Z59">
        <f>(_xlfn.XLOOKUP("PHB",CADDY_costs[Component],CADDY_costs[Current cost])*HFrame_List[[#This Row],[Number of feet]])+(_xlfn.XLOOKUP("HFRMHDW",CADDY_costs[Component],CADDY_costs[Current cost])*(HFrame_List[[#This Row],[number of L-brackets]]/2))</f>
        <v>46.819999999999993</v>
      </c>
      <c r="AA59">
        <v>3648</v>
      </c>
      <c r="AB59">
        <f>VLOOKUP(HFrame_List[[#This Row],[lookup]],'Pallet and shipping info'!$A$5:$H$33,6,FALSE)</f>
        <v>7</v>
      </c>
      <c r="AC59">
        <f>VLOOKUP(HFrame_List[[#This Row],[lookup]],'Pallet and shipping info'!$A$5:$H$33,8,FALSE)</f>
        <v>10</v>
      </c>
      <c r="AD59"/>
      <c r="AE59"/>
      <c r="AF59"/>
    </row>
    <row r="60" spans="1:32" x14ac:dyDescent="0.25">
      <c r="A60" s="1" t="s">
        <v>300</v>
      </c>
      <c r="B60" s="1" t="s">
        <v>301</v>
      </c>
      <c r="C60" s="1">
        <f t="shared" si="0"/>
        <v>49.674999999999997</v>
      </c>
      <c r="D60" s="1">
        <f t="shared" si="1"/>
        <v>62.050999999999995</v>
      </c>
      <c r="E60" s="1">
        <v>48</v>
      </c>
      <c r="F60" s="1">
        <f t="shared" si="22"/>
        <v>48</v>
      </c>
      <c r="G60" s="1">
        <f t="shared" si="18"/>
        <v>44.24</v>
      </c>
      <c r="H60" s="1">
        <v>1</v>
      </c>
      <c r="I60" s="1" t="s">
        <v>176</v>
      </c>
      <c r="J60" s="1">
        <v>1</v>
      </c>
      <c r="K60" s="2">
        <f t="shared" si="2"/>
        <v>23.1875</v>
      </c>
      <c r="L60" s="1">
        <f t="shared" si="3"/>
        <v>3</v>
      </c>
      <c r="M60" s="1">
        <f t="shared" si="19"/>
        <v>12</v>
      </c>
      <c r="N60" s="1">
        <f t="shared" si="20"/>
        <v>4</v>
      </c>
      <c r="O60" s="3">
        <f t="shared" si="7"/>
        <v>20</v>
      </c>
      <c r="P60" s="1">
        <f t="shared" si="8"/>
        <v>2</v>
      </c>
      <c r="Q60">
        <f t="shared" si="9"/>
        <v>8</v>
      </c>
      <c r="R60">
        <f>_xlfn.XLOOKUP(HFrame_List[[#This Row],[Cross piece style]],$AH$2:$AH$4,$AI$2:$AI$4,0,0)*(HFrame_List[[#This Row],[Width between brackets]]/12)</f>
        <v>20.129200000000001</v>
      </c>
      <c r="S60">
        <f>5.46*(HFrame_List[[#This Row],[cross piece quantity]]-1)*(HFrame_List[[#This Row],[Width between brackets]]/12)</f>
        <v>0</v>
      </c>
      <c r="T60" s="5">
        <f>HFrame_List[[#This Row],[Bottom cross piece cost]]+HFrame_List[[#This Row],[Top cross piece cost]]+HFrame_List[[#This Row],[Component costs]]+HFrame_List[[#This Row],[Vertical strut cost]]</f>
        <v>132.4692</v>
      </c>
      <c r="U60" s="7">
        <f>_xlfn.XLOOKUP(HFrame_List[[#This Row],[Fabrication type]],Fabrication_costs[Fabrication type],Fabrication_costs[unit pricing],"no result",0)</f>
        <v>30</v>
      </c>
      <c r="V60" s="5">
        <f>SUM(T60:U60)/(1-HFrame_List[[#This Row],[Margin]])</f>
        <v>464.19771428571431</v>
      </c>
      <c r="W60" s="36">
        <f t="shared" si="11"/>
        <v>0.65</v>
      </c>
      <c r="X60" t="s">
        <v>193</v>
      </c>
      <c r="Y60">
        <f>_xlfn.XLOOKUP("A12",Strut_costs[size],Strut_costs[Strut cost])/12*HFrame_List[[#This Row],[Strut height (in)]]*(2+HFrame_List[[#This Row],[Extra supports]])</f>
        <v>65.52</v>
      </c>
      <c r="Z60">
        <f>(_xlfn.XLOOKUP("PHB",CADDY_costs[Component],CADDY_costs[Current cost])*HFrame_List[[#This Row],[Number of feet]])+(_xlfn.XLOOKUP("HFRMHDW",CADDY_costs[Component],CADDY_costs[Current cost])*(HFrame_List[[#This Row],[number of L-brackets]]/2))</f>
        <v>46.819999999999993</v>
      </c>
      <c r="AA60">
        <v>4848</v>
      </c>
      <c r="AB60">
        <f>VLOOKUP(HFrame_List[[#This Row],[lookup]],'Pallet and shipping info'!$A$5:$H$33,6,FALSE)</f>
        <v>7</v>
      </c>
      <c r="AC60">
        <f>VLOOKUP(HFrame_List[[#This Row],[lookup]],'Pallet and shipping info'!$A$5:$H$33,8,FALSE)</f>
        <v>10</v>
      </c>
      <c r="AD60"/>
      <c r="AE60"/>
      <c r="AF60"/>
    </row>
    <row r="61" spans="1:32" x14ac:dyDescent="0.25">
      <c r="A61" s="1" t="s">
        <v>302</v>
      </c>
      <c r="B61" s="1" t="s">
        <v>303</v>
      </c>
      <c r="C61" s="1">
        <f t="shared" si="0"/>
        <v>73.674999999999997</v>
      </c>
      <c r="D61" s="1">
        <f t="shared" si="1"/>
        <v>62.050999999999995</v>
      </c>
      <c r="E61" s="1">
        <v>72</v>
      </c>
      <c r="F61" s="1">
        <f t="shared" si="22"/>
        <v>48</v>
      </c>
      <c r="G61" s="1">
        <f t="shared" si="18"/>
        <v>44.24</v>
      </c>
      <c r="H61" s="1">
        <v>1</v>
      </c>
      <c r="I61" s="1" t="s">
        <v>176</v>
      </c>
      <c r="J61" s="1">
        <v>1</v>
      </c>
      <c r="K61" s="2">
        <f t="shared" si="2"/>
        <v>23.1875</v>
      </c>
      <c r="L61" s="1">
        <f t="shared" si="3"/>
        <v>3</v>
      </c>
      <c r="M61" s="1">
        <f t="shared" si="19"/>
        <v>12</v>
      </c>
      <c r="N61" s="1">
        <f t="shared" si="20"/>
        <v>4</v>
      </c>
      <c r="O61" s="3">
        <f t="shared" si="7"/>
        <v>28</v>
      </c>
      <c r="P61" s="1">
        <f t="shared" si="8"/>
        <v>3</v>
      </c>
      <c r="Q61">
        <f t="shared" si="9"/>
        <v>8</v>
      </c>
      <c r="R61">
        <f>_xlfn.XLOOKUP(HFrame_List[[#This Row],[Cross piece style]],$AH$2:$AH$4,$AI$2:$AI$4,0,0)*(HFrame_List[[#This Row],[Width between brackets]]/12)</f>
        <v>20.129200000000001</v>
      </c>
      <c r="S61">
        <f>5.46*(HFrame_List[[#This Row],[cross piece quantity]]-1)*(HFrame_List[[#This Row],[Width between brackets]]/12)</f>
        <v>0</v>
      </c>
      <c r="T61" s="5">
        <f>HFrame_List[[#This Row],[Bottom cross piece cost]]+HFrame_List[[#This Row],[Top cross piece cost]]+HFrame_List[[#This Row],[Component costs]]+HFrame_List[[#This Row],[Vertical strut cost]]</f>
        <v>165.22919999999999</v>
      </c>
      <c r="U61" s="7">
        <f>_xlfn.XLOOKUP(HFrame_List[[#This Row],[Fabrication type]],Fabrication_costs[Fabrication type],Fabrication_costs[unit pricing],"no result",0)</f>
        <v>30</v>
      </c>
      <c r="V61" s="5">
        <f>SUM(T61:U61)/(1-HFrame_List[[#This Row],[Margin]])</f>
        <v>557.79771428571428</v>
      </c>
      <c r="W61" s="36">
        <f t="shared" si="11"/>
        <v>0.65</v>
      </c>
      <c r="X61" t="s">
        <v>193</v>
      </c>
      <c r="Y61">
        <f>_xlfn.XLOOKUP("A12",Strut_costs[size],Strut_costs[Strut cost])/12*HFrame_List[[#This Row],[Strut height (in)]]*(2+HFrame_List[[#This Row],[Extra supports]])</f>
        <v>98.28</v>
      </c>
      <c r="Z61">
        <f>(_xlfn.XLOOKUP("PHB",CADDY_costs[Component],CADDY_costs[Current cost])*HFrame_List[[#This Row],[Number of feet]])+(_xlfn.XLOOKUP("HFRMHDW",CADDY_costs[Component],CADDY_costs[Current cost])*(HFrame_List[[#This Row],[number of L-brackets]]/2))</f>
        <v>46.819999999999993</v>
      </c>
      <c r="AA61">
        <v>7248</v>
      </c>
      <c r="AB61">
        <f>VLOOKUP(HFrame_List[[#This Row],[lookup]],'Pallet and shipping info'!$A$5:$H$33,6,FALSE)</f>
        <v>7</v>
      </c>
      <c r="AC61">
        <f>VLOOKUP(HFrame_List[[#This Row],[lookup]],'Pallet and shipping info'!$A$5:$H$33,8,FALSE)</f>
        <v>10</v>
      </c>
      <c r="AD61"/>
      <c r="AE61"/>
      <c r="AF61"/>
    </row>
    <row r="62" spans="1:32" x14ac:dyDescent="0.25">
      <c r="A62" s="1" t="s">
        <v>304</v>
      </c>
      <c r="B62" s="1" t="s">
        <v>305</v>
      </c>
      <c r="C62" s="1">
        <f t="shared" si="0"/>
        <v>25.675000000000001</v>
      </c>
      <c r="D62" s="1">
        <f t="shared" si="1"/>
        <v>74.051000000000002</v>
      </c>
      <c r="E62" s="1">
        <v>24</v>
      </c>
      <c r="F62" s="1">
        <v>60</v>
      </c>
      <c r="G62" s="1">
        <f t="shared" si="18"/>
        <v>56.24</v>
      </c>
      <c r="H62" s="1">
        <v>1</v>
      </c>
      <c r="I62" s="1" t="s">
        <v>176</v>
      </c>
      <c r="J62" s="1">
        <v>1</v>
      </c>
      <c r="K62" s="2">
        <f t="shared" si="2"/>
        <v>29.1875</v>
      </c>
      <c r="L62" s="1">
        <f t="shared" si="3"/>
        <v>3</v>
      </c>
      <c r="M62" s="1">
        <f t="shared" si="19"/>
        <v>12</v>
      </c>
      <c r="N62" s="1">
        <f t="shared" si="20"/>
        <v>4</v>
      </c>
      <c r="O62" s="3">
        <f t="shared" si="7"/>
        <v>13</v>
      </c>
      <c r="P62" s="1">
        <f t="shared" si="8"/>
        <v>2</v>
      </c>
      <c r="Q62">
        <f t="shared" si="9"/>
        <v>8</v>
      </c>
      <c r="R62">
        <f>_xlfn.XLOOKUP(HFrame_List[[#This Row],[Cross piece style]],$AH$2:$AH$4,$AI$2:$AI$4,0,0)*(HFrame_List[[#This Row],[Width between brackets]]/12)</f>
        <v>25.589199999999998</v>
      </c>
      <c r="S62">
        <f>5.46*(HFrame_List[[#This Row],[cross piece quantity]]-1)*(HFrame_List[[#This Row],[Width between brackets]]/12)</f>
        <v>0</v>
      </c>
      <c r="T62" s="5">
        <f>HFrame_List[[#This Row],[Bottom cross piece cost]]+HFrame_List[[#This Row],[Top cross piece cost]]+HFrame_List[[#This Row],[Component costs]]+HFrame_List[[#This Row],[Vertical strut cost]]</f>
        <v>105.16919999999999</v>
      </c>
      <c r="U62" s="7">
        <f>_xlfn.XLOOKUP(HFrame_List[[#This Row],[Fabrication type]],Fabrication_costs[Fabrication type],Fabrication_costs[unit pricing],"no result",0)</f>
        <v>30</v>
      </c>
      <c r="V62" s="5">
        <f>SUM(T62:U62)/(1-HFrame_List[[#This Row],[Margin]])</f>
        <v>386.19771428571426</v>
      </c>
      <c r="W62" s="36">
        <f t="shared" si="11"/>
        <v>0.65</v>
      </c>
      <c r="X62" t="s">
        <v>193</v>
      </c>
      <c r="Y62">
        <f>_xlfn.XLOOKUP("A12",Strut_costs[size],Strut_costs[Strut cost])/12*HFrame_List[[#This Row],[Strut height (in)]]*(2+HFrame_List[[#This Row],[Extra supports]])</f>
        <v>32.76</v>
      </c>
      <c r="Z62">
        <f>(_xlfn.XLOOKUP("PHB",CADDY_costs[Component],CADDY_costs[Current cost])*HFrame_List[[#This Row],[Number of feet]])+(_xlfn.XLOOKUP("HFRMHDW",CADDY_costs[Component],CADDY_costs[Current cost])*(HFrame_List[[#This Row],[number of L-brackets]]/2))</f>
        <v>46.819999999999993</v>
      </c>
      <c r="AA62">
        <v>2460</v>
      </c>
      <c r="AB62" t="str">
        <f>VLOOKUP(HFrame_List[[#This Row],[lookup]],'Pallet and shipping info'!$A$5:$H$33,6,FALSE)</f>
        <v>x</v>
      </c>
      <c r="AC62">
        <f>VLOOKUP(HFrame_List[[#This Row],[lookup]],'Pallet and shipping info'!$A$5:$H$33,8,FALSE)</f>
        <v>7</v>
      </c>
      <c r="AD62"/>
      <c r="AE62"/>
      <c r="AF62"/>
    </row>
    <row r="63" spans="1:32" x14ac:dyDescent="0.25">
      <c r="A63" s="1" t="s">
        <v>306</v>
      </c>
      <c r="B63" s="1" t="s">
        <v>307</v>
      </c>
      <c r="C63" s="1">
        <f t="shared" si="0"/>
        <v>37.674999999999997</v>
      </c>
      <c r="D63" s="1">
        <f t="shared" si="1"/>
        <v>74.051000000000002</v>
      </c>
      <c r="E63" s="1">
        <v>36</v>
      </c>
      <c r="F63" s="1">
        <v>60</v>
      </c>
      <c r="G63" s="1">
        <f t="shared" si="18"/>
        <v>56.24</v>
      </c>
      <c r="H63" s="1">
        <v>1</v>
      </c>
      <c r="I63" s="1" t="s">
        <v>176</v>
      </c>
      <c r="J63" s="1">
        <v>1</v>
      </c>
      <c r="K63" s="2">
        <f t="shared" si="2"/>
        <v>29.1875</v>
      </c>
      <c r="L63" s="1">
        <f t="shared" si="3"/>
        <v>3</v>
      </c>
      <c r="M63" s="1">
        <f t="shared" si="19"/>
        <v>12</v>
      </c>
      <c r="N63" s="1">
        <f t="shared" si="20"/>
        <v>4</v>
      </c>
      <c r="O63" s="3">
        <f t="shared" si="7"/>
        <v>17</v>
      </c>
      <c r="P63" s="1">
        <f t="shared" si="8"/>
        <v>2</v>
      </c>
      <c r="Q63">
        <f t="shared" si="9"/>
        <v>8</v>
      </c>
      <c r="R63">
        <f>_xlfn.XLOOKUP(HFrame_List[[#This Row],[Cross piece style]],$AH$2:$AH$4,$AI$2:$AI$4,0,0)*(HFrame_List[[#This Row],[Width between brackets]]/12)</f>
        <v>25.589199999999998</v>
      </c>
      <c r="S63">
        <f>5.46*(HFrame_List[[#This Row],[cross piece quantity]]-1)*(HFrame_List[[#This Row],[Width between brackets]]/12)</f>
        <v>0</v>
      </c>
      <c r="T63" s="5">
        <f>HFrame_List[[#This Row],[Bottom cross piece cost]]+HFrame_List[[#This Row],[Top cross piece cost]]+HFrame_List[[#This Row],[Component costs]]+HFrame_List[[#This Row],[Vertical strut cost]]</f>
        <v>121.5492</v>
      </c>
      <c r="U63" s="7">
        <f>_xlfn.XLOOKUP(HFrame_List[[#This Row],[Fabrication type]],Fabrication_costs[Fabrication type],Fabrication_costs[unit pricing],"no result",0)</f>
        <v>30</v>
      </c>
      <c r="V63" s="5">
        <f>SUM(T63:U63)/(1-HFrame_List[[#This Row],[Margin]])</f>
        <v>432.99771428571427</v>
      </c>
      <c r="W63" s="36">
        <f t="shared" si="11"/>
        <v>0.65</v>
      </c>
      <c r="X63" t="s">
        <v>193</v>
      </c>
      <c r="Y63">
        <f>_xlfn.XLOOKUP("A12",Strut_costs[size],Strut_costs[Strut cost])/12*HFrame_List[[#This Row],[Strut height (in)]]*(2+HFrame_List[[#This Row],[Extra supports]])</f>
        <v>49.14</v>
      </c>
      <c r="Z63">
        <f>(_xlfn.XLOOKUP("PHB",CADDY_costs[Component],CADDY_costs[Current cost])*HFrame_List[[#This Row],[Number of feet]])+(_xlfn.XLOOKUP("HFRMHDW",CADDY_costs[Component],CADDY_costs[Current cost])*(HFrame_List[[#This Row],[number of L-brackets]]/2))</f>
        <v>46.819999999999993</v>
      </c>
      <c r="AA63">
        <v>3660</v>
      </c>
      <c r="AB63" t="str">
        <f>VLOOKUP(HFrame_List[[#This Row],[lookup]],'Pallet and shipping info'!$A$5:$H$33,6,FALSE)</f>
        <v>x</v>
      </c>
      <c r="AC63">
        <f>VLOOKUP(HFrame_List[[#This Row],[lookup]],'Pallet and shipping info'!$A$5:$H$33,8,FALSE)</f>
        <v>7</v>
      </c>
      <c r="AD63"/>
      <c r="AE63"/>
      <c r="AF63"/>
    </row>
    <row r="64" spans="1:32" x14ac:dyDescent="0.25">
      <c r="A64" s="1" t="s">
        <v>308</v>
      </c>
      <c r="B64" s="1" t="s">
        <v>309</v>
      </c>
      <c r="C64" s="1">
        <f t="shared" si="0"/>
        <v>49.674999999999997</v>
      </c>
      <c r="D64" s="1">
        <f t="shared" si="1"/>
        <v>74.051000000000002</v>
      </c>
      <c r="E64" s="1">
        <v>48</v>
      </c>
      <c r="F64" s="1">
        <v>60</v>
      </c>
      <c r="G64" s="1">
        <f t="shared" si="18"/>
        <v>56.24</v>
      </c>
      <c r="H64" s="1">
        <v>1</v>
      </c>
      <c r="I64" s="1" t="s">
        <v>176</v>
      </c>
      <c r="J64" s="1">
        <v>1</v>
      </c>
      <c r="K64" s="2">
        <f t="shared" si="2"/>
        <v>29.1875</v>
      </c>
      <c r="L64" s="1">
        <f t="shared" si="3"/>
        <v>3</v>
      </c>
      <c r="M64" s="1">
        <f t="shared" si="19"/>
        <v>12</v>
      </c>
      <c r="N64" s="1">
        <f t="shared" si="20"/>
        <v>4</v>
      </c>
      <c r="O64" s="3">
        <f t="shared" si="7"/>
        <v>21</v>
      </c>
      <c r="P64" s="1">
        <f t="shared" si="8"/>
        <v>3</v>
      </c>
      <c r="Q64">
        <f t="shared" si="9"/>
        <v>8</v>
      </c>
      <c r="R64">
        <f>_xlfn.XLOOKUP(HFrame_List[[#This Row],[Cross piece style]],$AH$2:$AH$4,$AI$2:$AI$4,0,0)*(HFrame_List[[#This Row],[Width between brackets]]/12)</f>
        <v>25.589199999999998</v>
      </c>
      <c r="S64">
        <f>5.46*(HFrame_List[[#This Row],[cross piece quantity]]-1)*(HFrame_List[[#This Row],[Width between brackets]]/12)</f>
        <v>0</v>
      </c>
      <c r="T64" s="5">
        <f>HFrame_List[[#This Row],[Bottom cross piece cost]]+HFrame_List[[#This Row],[Top cross piece cost]]+HFrame_List[[#This Row],[Component costs]]+HFrame_List[[#This Row],[Vertical strut cost]]</f>
        <v>137.92919999999998</v>
      </c>
      <c r="U64" s="7">
        <f>_xlfn.XLOOKUP(HFrame_List[[#This Row],[Fabrication type]],Fabrication_costs[Fabrication type],Fabrication_costs[unit pricing],"no result",0)</f>
        <v>30</v>
      </c>
      <c r="V64" s="5">
        <f>SUM(T64:U64)/(1-HFrame_List[[#This Row],[Margin]])</f>
        <v>479.79771428571428</v>
      </c>
      <c r="W64" s="36">
        <f t="shared" si="11"/>
        <v>0.65</v>
      </c>
      <c r="X64" t="s">
        <v>193</v>
      </c>
      <c r="Y64">
        <f>_xlfn.XLOOKUP("A12",Strut_costs[size],Strut_costs[Strut cost])/12*HFrame_List[[#This Row],[Strut height (in)]]*(2+HFrame_List[[#This Row],[Extra supports]])</f>
        <v>65.52</v>
      </c>
      <c r="Z64">
        <f>(_xlfn.XLOOKUP("PHB",CADDY_costs[Component],CADDY_costs[Current cost])*HFrame_List[[#This Row],[Number of feet]])+(_xlfn.XLOOKUP("HFRMHDW",CADDY_costs[Component],CADDY_costs[Current cost])*(HFrame_List[[#This Row],[number of L-brackets]]/2))</f>
        <v>46.819999999999993</v>
      </c>
      <c r="AA64">
        <v>4860</v>
      </c>
      <c r="AB64" t="str">
        <f>VLOOKUP(HFrame_List[[#This Row],[lookup]],'Pallet and shipping info'!$A$5:$H$33,6,FALSE)</f>
        <v>x</v>
      </c>
      <c r="AC64">
        <f>VLOOKUP(HFrame_List[[#This Row],[lookup]],'Pallet and shipping info'!$A$5:$H$33,8,FALSE)</f>
        <v>7</v>
      </c>
      <c r="AD64"/>
      <c r="AE64"/>
      <c r="AF64"/>
    </row>
    <row r="65" spans="1:32" x14ac:dyDescent="0.25">
      <c r="A65" s="1" t="s">
        <v>310</v>
      </c>
      <c r="B65" s="1" t="s">
        <v>311</v>
      </c>
      <c r="C65" s="1">
        <f t="shared" si="0"/>
        <v>73.674999999999997</v>
      </c>
      <c r="D65" s="1">
        <f t="shared" si="1"/>
        <v>74.051000000000002</v>
      </c>
      <c r="E65" s="1">
        <v>72</v>
      </c>
      <c r="F65" s="1">
        <v>60</v>
      </c>
      <c r="G65" s="1">
        <f t="shared" si="18"/>
        <v>56.24</v>
      </c>
      <c r="H65" s="1">
        <v>1</v>
      </c>
      <c r="I65" s="1" t="s">
        <v>176</v>
      </c>
      <c r="J65" s="1">
        <v>1</v>
      </c>
      <c r="K65" s="2">
        <f t="shared" si="2"/>
        <v>29.1875</v>
      </c>
      <c r="L65" s="1">
        <f t="shared" si="3"/>
        <v>3</v>
      </c>
      <c r="M65" s="1">
        <f t="shared" si="19"/>
        <v>12</v>
      </c>
      <c r="N65" s="1">
        <f t="shared" si="20"/>
        <v>4</v>
      </c>
      <c r="O65" s="3">
        <f t="shared" si="7"/>
        <v>29</v>
      </c>
      <c r="P65" s="1">
        <f t="shared" si="8"/>
        <v>3</v>
      </c>
      <c r="Q65">
        <f t="shared" si="9"/>
        <v>8</v>
      </c>
      <c r="R65">
        <f>_xlfn.XLOOKUP(HFrame_List[[#This Row],[Cross piece style]],$AH$2:$AH$4,$AI$2:$AI$4,0,0)*(HFrame_List[[#This Row],[Width between brackets]]/12)</f>
        <v>25.589199999999998</v>
      </c>
      <c r="S65">
        <f>5.46*(HFrame_List[[#This Row],[cross piece quantity]]-1)*(HFrame_List[[#This Row],[Width between brackets]]/12)</f>
        <v>0</v>
      </c>
      <c r="T65" s="5">
        <f>HFrame_List[[#This Row],[Bottom cross piece cost]]+HFrame_List[[#This Row],[Top cross piece cost]]+HFrame_List[[#This Row],[Component costs]]+HFrame_List[[#This Row],[Vertical strut cost]]</f>
        <v>170.6892</v>
      </c>
      <c r="U65" s="7">
        <f>_xlfn.XLOOKUP(HFrame_List[[#This Row],[Fabrication type]],Fabrication_costs[Fabrication type],Fabrication_costs[unit pricing],"no result",0)</f>
        <v>30</v>
      </c>
      <c r="V65" s="5">
        <f>SUM(T65:U65)/(1-HFrame_List[[#This Row],[Margin]])</f>
        <v>573.3977142857143</v>
      </c>
      <c r="W65" s="36">
        <f t="shared" si="11"/>
        <v>0.65</v>
      </c>
      <c r="X65" t="s">
        <v>193</v>
      </c>
      <c r="Y65">
        <f>_xlfn.XLOOKUP("A12",Strut_costs[size],Strut_costs[Strut cost])/12*HFrame_List[[#This Row],[Strut height (in)]]*(2+HFrame_List[[#This Row],[Extra supports]])</f>
        <v>98.28</v>
      </c>
      <c r="Z65">
        <f>(_xlfn.XLOOKUP("PHB",CADDY_costs[Component],CADDY_costs[Current cost])*HFrame_List[[#This Row],[Number of feet]])+(_xlfn.XLOOKUP("HFRMHDW",CADDY_costs[Component],CADDY_costs[Current cost])*(HFrame_List[[#This Row],[number of L-brackets]]/2))</f>
        <v>46.819999999999993</v>
      </c>
      <c r="AA65">
        <v>7260</v>
      </c>
      <c r="AB65" t="str">
        <f>VLOOKUP(HFrame_List[[#This Row],[lookup]],'Pallet and shipping info'!$A$5:$H$33,6,FALSE)</f>
        <v>x</v>
      </c>
      <c r="AC65">
        <f>VLOOKUP(HFrame_List[[#This Row],[lookup]],'Pallet and shipping info'!$A$5:$H$33,8,FALSE)</f>
        <v>7</v>
      </c>
      <c r="AD65"/>
      <c r="AE65"/>
      <c r="AF65"/>
    </row>
    <row r="66" spans="1:32" x14ac:dyDescent="0.25">
      <c r="A66" s="1" t="s">
        <v>312</v>
      </c>
      <c r="B66" s="1" t="s">
        <v>313</v>
      </c>
      <c r="C66" s="1">
        <f t="shared" ref="C66:C129" si="23">E66+1.675</f>
        <v>25.675000000000001</v>
      </c>
      <c r="D66" s="1">
        <f t="shared" ref="D66:D129" si="24">F66+1.675+12.376</f>
        <v>86.051000000000002</v>
      </c>
      <c r="E66" s="1">
        <v>24</v>
      </c>
      <c r="F66" s="1">
        <v>72</v>
      </c>
      <c r="G66" s="1">
        <f t="shared" si="18"/>
        <v>68.239999999999995</v>
      </c>
      <c r="H66" s="1">
        <v>1</v>
      </c>
      <c r="I66" s="1" t="s">
        <v>176</v>
      </c>
      <c r="J66" s="1">
        <v>1</v>
      </c>
      <c r="K66" s="2">
        <f t="shared" ref="K66:K129" si="25">((F66)/(L66-1))-(H66*0.8125)</f>
        <v>35.1875</v>
      </c>
      <c r="L66" s="1">
        <f t="shared" ref="L66:L129" si="26">2+(H66)</f>
        <v>3</v>
      </c>
      <c r="M66" s="1">
        <f t="shared" si="19"/>
        <v>12</v>
      </c>
      <c r="N66" s="1">
        <f t="shared" si="20"/>
        <v>4</v>
      </c>
      <c r="O66" s="3">
        <f t="shared" si="7"/>
        <v>14</v>
      </c>
      <c r="P66" s="1">
        <f t="shared" si="8"/>
        <v>2</v>
      </c>
      <c r="Q66">
        <f t="shared" si="9"/>
        <v>8</v>
      </c>
      <c r="R66">
        <f>_xlfn.XLOOKUP(HFrame_List[[#This Row],[Cross piece style]],$AH$2:$AH$4,$AI$2:$AI$4,0,0)*(HFrame_List[[#This Row],[Width between brackets]]/12)</f>
        <v>31.049199999999999</v>
      </c>
      <c r="S66">
        <f>5.46*(HFrame_List[[#This Row],[cross piece quantity]]-1)*(HFrame_List[[#This Row],[Width between brackets]]/12)</f>
        <v>0</v>
      </c>
      <c r="T66" s="5">
        <f>HFrame_List[[#This Row],[Bottom cross piece cost]]+HFrame_List[[#This Row],[Top cross piece cost]]+HFrame_List[[#This Row],[Component costs]]+HFrame_List[[#This Row],[Vertical strut cost]]</f>
        <v>110.6292</v>
      </c>
      <c r="U66" s="7">
        <f>_xlfn.XLOOKUP(HFrame_List[[#This Row],[Fabrication type]],Fabrication_costs[Fabrication type],Fabrication_costs[unit pricing],"no result",0)</f>
        <v>30</v>
      </c>
      <c r="V66" s="5">
        <f>SUM(T66:U66)/(1-HFrame_List[[#This Row],[Margin]])</f>
        <v>401.79771428571428</v>
      </c>
      <c r="W66" s="36">
        <f t="shared" si="11"/>
        <v>0.65</v>
      </c>
      <c r="X66" t="s">
        <v>193</v>
      </c>
      <c r="Y66">
        <f>_xlfn.XLOOKUP("A12",Strut_costs[size],Strut_costs[Strut cost])/12*HFrame_List[[#This Row],[Strut height (in)]]*(2+HFrame_List[[#This Row],[Extra supports]])</f>
        <v>32.76</v>
      </c>
      <c r="Z66">
        <f>(_xlfn.XLOOKUP("PHB",CADDY_costs[Component],CADDY_costs[Current cost])*HFrame_List[[#This Row],[Number of feet]])+(_xlfn.XLOOKUP("HFRMHDW",CADDY_costs[Component],CADDY_costs[Current cost])*(HFrame_List[[#This Row],[number of L-brackets]]/2))</f>
        <v>46.819999999999993</v>
      </c>
      <c r="AA66">
        <v>2472</v>
      </c>
      <c r="AB66" t="str">
        <f>VLOOKUP(HFrame_List[[#This Row],[lookup]],'Pallet and shipping info'!$A$5:$H$33,6,FALSE)</f>
        <v>x</v>
      </c>
      <c r="AC66">
        <f>VLOOKUP(HFrame_List[[#This Row],[lookup]],'Pallet and shipping info'!$A$5:$H$33,8,FALSE)</f>
        <v>7</v>
      </c>
      <c r="AD66"/>
      <c r="AE66"/>
      <c r="AF66"/>
    </row>
    <row r="67" spans="1:32" x14ac:dyDescent="0.25">
      <c r="A67" s="1" t="s">
        <v>314</v>
      </c>
      <c r="B67" s="1" t="s">
        <v>315</v>
      </c>
      <c r="C67" s="1">
        <f t="shared" si="23"/>
        <v>37.674999999999997</v>
      </c>
      <c r="D67" s="1">
        <f t="shared" si="24"/>
        <v>86.051000000000002</v>
      </c>
      <c r="E67" s="1">
        <v>36</v>
      </c>
      <c r="F67" s="1">
        <v>72</v>
      </c>
      <c r="G67" s="1">
        <f t="shared" si="18"/>
        <v>68.239999999999995</v>
      </c>
      <c r="H67" s="1">
        <v>1</v>
      </c>
      <c r="I67" s="1" t="s">
        <v>176</v>
      </c>
      <c r="J67" s="1">
        <v>1</v>
      </c>
      <c r="K67" s="2">
        <f t="shared" si="25"/>
        <v>35.1875</v>
      </c>
      <c r="L67" s="1">
        <f t="shared" si="26"/>
        <v>3</v>
      </c>
      <c r="M67" s="1">
        <f t="shared" si="19"/>
        <v>12</v>
      </c>
      <c r="N67" s="1">
        <f t="shared" si="20"/>
        <v>4</v>
      </c>
      <c r="O67" s="3">
        <f t="shared" ref="O67:O97" si="27">((E67*(L67+H67))+(F67*J67))/12</f>
        <v>18</v>
      </c>
      <c r="P67" s="1">
        <f t="shared" ref="P67:P130" si="28">ROUNDUP(O67/10,0)</f>
        <v>2</v>
      </c>
      <c r="Q67">
        <f t="shared" ref="Q67:Q130" si="29">2*(L67+J67)</f>
        <v>8</v>
      </c>
      <c r="R67">
        <f>_xlfn.XLOOKUP(HFrame_List[[#This Row],[Cross piece style]],$AH$2:$AH$4,$AI$2:$AI$4,0,0)*(HFrame_List[[#This Row],[Width between brackets]]/12)</f>
        <v>31.049199999999999</v>
      </c>
      <c r="S67">
        <f>5.46*(HFrame_List[[#This Row],[cross piece quantity]]-1)*(HFrame_List[[#This Row],[Width between brackets]]/12)</f>
        <v>0</v>
      </c>
      <c r="T67" s="5">
        <f>HFrame_List[[#This Row],[Bottom cross piece cost]]+HFrame_List[[#This Row],[Top cross piece cost]]+HFrame_List[[#This Row],[Component costs]]+HFrame_List[[#This Row],[Vertical strut cost]]</f>
        <v>127.00919999999999</v>
      </c>
      <c r="U67" s="7">
        <f>_xlfn.XLOOKUP(HFrame_List[[#This Row],[Fabrication type]],Fabrication_costs[Fabrication type],Fabrication_costs[unit pricing],"no result",0)</f>
        <v>30</v>
      </c>
      <c r="V67" s="5">
        <f>SUM(T67:U67)/(1-HFrame_List[[#This Row],[Margin]])</f>
        <v>448.59771428571429</v>
      </c>
      <c r="W67" s="36">
        <f t="shared" si="11"/>
        <v>0.65</v>
      </c>
      <c r="X67" t="s">
        <v>193</v>
      </c>
      <c r="Y67">
        <f>_xlfn.XLOOKUP("A12",Strut_costs[size],Strut_costs[Strut cost])/12*HFrame_List[[#This Row],[Strut height (in)]]*(2+HFrame_List[[#This Row],[Extra supports]])</f>
        <v>49.14</v>
      </c>
      <c r="Z67">
        <f>(_xlfn.XLOOKUP("PHB",CADDY_costs[Component],CADDY_costs[Current cost])*HFrame_List[[#This Row],[Number of feet]])+(_xlfn.XLOOKUP("HFRMHDW",CADDY_costs[Component],CADDY_costs[Current cost])*(HFrame_List[[#This Row],[number of L-brackets]]/2))</f>
        <v>46.819999999999993</v>
      </c>
      <c r="AA67">
        <v>3672</v>
      </c>
      <c r="AB67" t="str">
        <f>VLOOKUP(HFrame_List[[#This Row],[lookup]],'Pallet and shipping info'!$A$5:$H$33,6,FALSE)</f>
        <v>x</v>
      </c>
      <c r="AC67">
        <f>VLOOKUP(HFrame_List[[#This Row],[lookup]],'Pallet and shipping info'!$A$5:$H$33,8,FALSE)</f>
        <v>7</v>
      </c>
      <c r="AD67"/>
      <c r="AE67"/>
      <c r="AF67"/>
    </row>
    <row r="68" spans="1:32" x14ac:dyDescent="0.25">
      <c r="A68" s="1" t="s">
        <v>316</v>
      </c>
      <c r="B68" s="1" t="s">
        <v>317</v>
      </c>
      <c r="C68" s="1">
        <f t="shared" si="23"/>
        <v>49.674999999999997</v>
      </c>
      <c r="D68" s="1">
        <f t="shared" si="24"/>
        <v>86.051000000000002</v>
      </c>
      <c r="E68" s="1">
        <v>48</v>
      </c>
      <c r="F68" s="1">
        <v>72</v>
      </c>
      <c r="G68" s="1">
        <f t="shared" si="18"/>
        <v>68.239999999999995</v>
      </c>
      <c r="H68" s="1">
        <v>1</v>
      </c>
      <c r="I68" s="1" t="s">
        <v>176</v>
      </c>
      <c r="J68" s="1">
        <v>1</v>
      </c>
      <c r="K68" s="2">
        <f t="shared" si="25"/>
        <v>35.1875</v>
      </c>
      <c r="L68" s="1">
        <f t="shared" si="26"/>
        <v>3</v>
      </c>
      <c r="M68" s="1">
        <f t="shared" si="19"/>
        <v>12</v>
      </c>
      <c r="N68" s="1">
        <f t="shared" si="20"/>
        <v>4</v>
      </c>
      <c r="O68" s="3">
        <f t="shared" si="27"/>
        <v>22</v>
      </c>
      <c r="P68" s="1">
        <f t="shared" si="28"/>
        <v>3</v>
      </c>
      <c r="Q68">
        <f t="shared" si="29"/>
        <v>8</v>
      </c>
      <c r="R68">
        <f>_xlfn.XLOOKUP(HFrame_List[[#This Row],[Cross piece style]],$AH$2:$AH$4,$AI$2:$AI$4,0,0)*(HFrame_List[[#This Row],[Width between brackets]]/12)</f>
        <v>31.049199999999999</v>
      </c>
      <c r="S68">
        <f>5.46*(HFrame_List[[#This Row],[cross piece quantity]]-1)*(HFrame_List[[#This Row],[Width between brackets]]/12)</f>
        <v>0</v>
      </c>
      <c r="T68" s="5">
        <f>HFrame_List[[#This Row],[Bottom cross piece cost]]+HFrame_List[[#This Row],[Top cross piece cost]]+HFrame_List[[#This Row],[Component costs]]+HFrame_List[[#This Row],[Vertical strut cost]]</f>
        <v>143.38919999999999</v>
      </c>
      <c r="U68" s="7">
        <f>_xlfn.XLOOKUP(HFrame_List[[#This Row],[Fabrication type]],Fabrication_costs[Fabrication type],Fabrication_costs[unit pricing],"no result",0)</f>
        <v>30</v>
      </c>
      <c r="V68" s="5">
        <f>SUM(T68:U68)/(1-HFrame_List[[#This Row],[Margin]])</f>
        <v>495.3977142857143</v>
      </c>
      <c r="W68" s="36">
        <f t="shared" ref="W68:W131" si="30">W67</f>
        <v>0.65</v>
      </c>
      <c r="X68" t="s">
        <v>193</v>
      </c>
      <c r="Y68">
        <f>_xlfn.XLOOKUP("A12",Strut_costs[size],Strut_costs[Strut cost])/12*HFrame_List[[#This Row],[Strut height (in)]]*(2+HFrame_List[[#This Row],[Extra supports]])</f>
        <v>65.52</v>
      </c>
      <c r="Z68">
        <f>(_xlfn.XLOOKUP("PHB",CADDY_costs[Component],CADDY_costs[Current cost])*HFrame_List[[#This Row],[Number of feet]])+(_xlfn.XLOOKUP("HFRMHDW",CADDY_costs[Component],CADDY_costs[Current cost])*(HFrame_List[[#This Row],[number of L-brackets]]/2))</f>
        <v>46.819999999999993</v>
      </c>
      <c r="AA68">
        <v>4872</v>
      </c>
      <c r="AB68" t="str">
        <f>VLOOKUP(HFrame_List[[#This Row],[lookup]],'Pallet and shipping info'!$A$5:$H$33,6,FALSE)</f>
        <v>x</v>
      </c>
      <c r="AC68">
        <f>VLOOKUP(HFrame_List[[#This Row],[lookup]],'Pallet and shipping info'!$A$5:$H$33,8,FALSE)</f>
        <v>7</v>
      </c>
      <c r="AD68"/>
      <c r="AE68"/>
      <c r="AF68"/>
    </row>
    <row r="69" spans="1:32" x14ac:dyDescent="0.25">
      <c r="A69" s="1" t="s">
        <v>318</v>
      </c>
      <c r="B69" s="1" t="s">
        <v>319</v>
      </c>
      <c r="C69" s="1">
        <f t="shared" si="23"/>
        <v>73.674999999999997</v>
      </c>
      <c r="D69" s="1">
        <f t="shared" si="24"/>
        <v>86.051000000000002</v>
      </c>
      <c r="E69" s="1">
        <v>72</v>
      </c>
      <c r="F69" s="1">
        <v>72</v>
      </c>
      <c r="G69" s="1">
        <f t="shared" si="18"/>
        <v>68.239999999999995</v>
      </c>
      <c r="H69" s="1">
        <v>1</v>
      </c>
      <c r="I69" s="1" t="s">
        <v>176</v>
      </c>
      <c r="J69" s="1">
        <v>1</v>
      </c>
      <c r="K69" s="2">
        <f t="shared" si="25"/>
        <v>35.1875</v>
      </c>
      <c r="L69" s="1">
        <f t="shared" si="26"/>
        <v>3</v>
      </c>
      <c r="M69" s="1">
        <f t="shared" si="19"/>
        <v>12</v>
      </c>
      <c r="N69" s="1">
        <f t="shared" si="20"/>
        <v>4</v>
      </c>
      <c r="O69" s="3">
        <f t="shared" si="27"/>
        <v>30</v>
      </c>
      <c r="P69" s="1">
        <f t="shared" si="28"/>
        <v>3</v>
      </c>
      <c r="Q69">
        <f t="shared" si="29"/>
        <v>8</v>
      </c>
      <c r="R69">
        <f>_xlfn.XLOOKUP(HFrame_List[[#This Row],[Cross piece style]],$AH$2:$AH$4,$AI$2:$AI$4,0,0)*(HFrame_List[[#This Row],[Width between brackets]]/12)</f>
        <v>31.049199999999999</v>
      </c>
      <c r="S69">
        <f>5.46*(HFrame_List[[#This Row],[cross piece quantity]]-1)*(HFrame_List[[#This Row],[Width between brackets]]/12)</f>
        <v>0</v>
      </c>
      <c r="T69" s="5">
        <f>HFrame_List[[#This Row],[Bottom cross piece cost]]+HFrame_List[[#This Row],[Top cross piece cost]]+HFrame_List[[#This Row],[Component costs]]+HFrame_List[[#This Row],[Vertical strut cost]]</f>
        <v>176.14920000000001</v>
      </c>
      <c r="U69" s="7">
        <f>_xlfn.XLOOKUP(HFrame_List[[#This Row],[Fabrication type]],Fabrication_costs[Fabrication type],Fabrication_costs[unit pricing],"no result",0)</f>
        <v>30</v>
      </c>
      <c r="V69" s="5">
        <f>SUM(T69:U69)/(1-HFrame_List[[#This Row],[Margin]])</f>
        <v>588.99771428571432</v>
      </c>
      <c r="W69" s="36">
        <f t="shared" si="30"/>
        <v>0.65</v>
      </c>
      <c r="X69" t="s">
        <v>193</v>
      </c>
      <c r="Y69">
        <f>_xlfn.XLOOKUP("A12",Strut_costs[size],Strut_costs[Strut cost])/12*HFrame_List[[#This Row],[Strut height (in)]]*(2+HFrame_List[[#This Row],[Extra supports]])</f>
        <v>98.28</v>
      </c>
      <c r="Z69">
        <f>(_xlfn.XLOOKUP("PHB",CADDY_costs[Component],CADDY_costs[Current cost])*HFrame_List[[#This Row],[Number of feet]])+(_xlfn.XLOOKUP("HFRMHDW",CADDY_costs[Component],CADDY_costs[Current cost])*(HFrame_List[[#This Row],[number of L-brackets]]/2))</f>
        <v>46.819999999999993</v>
      </c>
      <c r="AA69">
        <v>7272</v>
      </c>
      <c r="AB69" t="str">
        <f>VLOOKUP(HFrame_List[[#This Row],[lookup]],'Pallet and shipping info'!$A$5:$H$33,6,FALSE)</f>
        <v>x</v>
      </c>
      <c r="AC69">
        <f>VLOOKUP(HFrame_List[[#This Row],[lookup]],'Pallet and shipping info'!$A$5:$H$33,8,FALSE)</f>
        <v>7</v>
      </c>
      <c r="AD69"/>
      <c r="AE69"/>
      <c r="AF69"/>
    </row>
    <row r="70" spans="1:32" x14ac:dyDescent="0.25">
      <c r="A70" s="1" t="s">
        <v>320</v>
      </c>
      <c r="B70" s="1" t="s">
        <v>321</v>
      </c>
      <c r="C70" s="1">
        <f t="shared" si="23"/>
        <v>25.675000000000001</v>
      </c>
      <c r="D70" s="1">
        <f t="shared" si="24"/>
        <v>98.051000000000002</v>
      </c>
      <c r="E70" s="1">
        <v>24</v>
      </c>
      <c r="F70" s="1">
        <v>84</v>
      </c>
      <c r="G70" s="1">
        <f t="shared" si="18"/>
        <v>80.239999999999995</v>
      </c>
      <c r="H70" s="1">
        <v>1</v>
      </c>
      <c r="I70" s="1" t="s">
        <v>176</v>
      </c>
      <c r="J70" s="1">
        <v>1</v>
      </c>
      <c r="K70" s="2">
        <f t="shared" si="25"/>
        <v>41.1875</v>
      </c>
      <c r="L70" s="1">
        <f t="shared" si="26"/>
        <v>3</v>
      </c>
      <c r="M70" s="1">
        <f t="shared" si="19"/>
        <v>12</v>
      </c>
      <c r="N70" s="1">
        <f t="shared" si="20"/>
        <v>4</v>
      </c>
      <c r="O70" s="3">
        <f t="shared" si="27"/>
        <v>15</v>
      </c>
      <c r="P70" s="1">
        <f t="shared" si="28"/>
        <v>2</v>
      </c>
      <c r="Q70">
        <f t="shared" si="29"/>
        <v>8</v>
      </c>
      <c r="R70">
        <f>_xlfn.XLOOKUP(HFrame_List[[#This Row],[Cross piece style]],$AH$2:$AH$4,$AI$2:$AI$4,0,0)*(HFrame_List[[#This Row],[Width between brackets]]/12)</f>
        <v>36.5092</v>
      </c>
      <c r="S70">
        <f>5.46*(HFrame_List[[#This Row],[cross piece quantity]]-1)*(HFrame_List[[#This Row],[Width between brackets]]/12)</f>
        <v>0</v>
      </c>
      <c r="T70" s="5">
        <f>HFrame_List[[#This Row],[Bottom cross piece cost]]+HFrame_List[[#This Row],[Top cross piece cost]]+HFrame_List[[#This Row],[Component costs]]+HFrame_List[[#This Row],[Vertical strut cost]]</f>
        <v>116.08919999999998</v>
      </c>
      <c r="U70" s="7">
        <f>_xlfn.XLOOKUP(HFrame_List[[#This Row],[Fabrication type]],Fabrication_costs[Fabrication type],Fabrication_costs[unit pricing],"no result",0)</f>
        <v>30</v>
      </c>
      <c r="V70" s="5">
        <f>SUM(T70:U70)/(1-HFrame_List[[#This Row],[Margin]])</f>
        <v>417.39771428571424</v>
      </c>
      <c r="W70" s="36">
        <f t="shared" si="30"/>
        <v>0.65</v>
      </c>
      <c r="X70" t="s">
        <v>193</v>
      </c>
      <c r="Y70">
        <f>_xlfn.XLOOKUP("A12",Strut_costs[size],Strut_costs[Strut cost])/12*HFrame_List[[#This Row],[Strut height (in)]]*(2+HFrame_List[[#This Row],[Extra supports]])</f>
        <v>32.76</v>
      </c>
      <c r="Z70">
        <f>(_xlfn.XLOOKUP("PHB",CADDY_costs[Component],CADDY_costs[Current cost])*HFrame_List[[#This Row],[Number of feet]])+(_xlfn.XLOOKUP("HFRMHDW",CADDY_costs[Component],CADDY_costs[Current cost])*(HFrame_List[[#This Row],[number of L-brackets]]/2))</f>
        <v>46.819999999999993</v>
      </c>
      <c r="AA70">
        <v>2484</v>
      </c>
      <c r="AB70" t="str">
        <f>VLOOKUP(HFrame_List[[#This Row],[lookup]],'Pallet and shipping info'!$A$5:$H$33,6,FALSE)</f>
        <v>x</v>
      </c>
      <c r="AC70">
        <f>VLOOKUP(HFrame_List[[#This Row],[lookup]],'Pallet and shipping info'!$A$5:$H$33,8,FALSE)</f>
        <v>7</v>
      </c>
      <c r="AD70"/>
      <c r="AE70"/>
      <c r="AF70"/>
    </row>
    <row r="71" spans="1:32" x14ac:dyDescent="0.25">
      <c r="A71" s="1" t="s">
        <v>322</v>
      </c>
      <c r="B71" s="1" t="s">
        <v>323</v>
      </c>
      <c r="C71" s="1">
        <f t="shared" si="23"/>
        <v>37.674999999999997</v>
      </c>
      <c r="D71" s="1">
        <f t="shared" si="24"/>
        <v>98.051000000000002</v>
      </c>
      <c r="E71" s="1">
        <v>36</v>
      </c>
      <c r="F71" s="1">
        <v>84</v>
      </c>
      <c r="G71" s="1">
        <f t="shared" si="18"/>
        <v>80.239999999999995</v>
      </c>
      <c r="H71" s="1">
        <v>1</v>
      </c>
      <c r="I71" s="1" t="s">
        <v>176</v>
      </c>
      <c r="J71" s="1">
        <v>1</v>
      </c>
      <c r="K71" s="2">
        <f t="shared" si="25"/>
        <v>41.1875</v>
      </c>
      <c r="L71" s="1">
        <f t="shared" si="26"/>
        <v>3</v>
      </c>
      <c r="M71" s="1">
        <f t="shared" si="19"/>
        <v>12</v>
      </c>
      <c r="N71" s="1">
        <f t="shared" si="20"/>
        <v>4</v>
      </c>
      <c r="O71" s="3">
        <f t="shared" si="27"/>
        <v>19</v>
      </c>
      <c r="P71" s="1">
        <f t="shared" si="28"/>
        <v>2</v>
      </c>
      <c r="Q71">
        <f t="shared" si="29"/>
        <v>8</v>
      </c>
      <c r="R71">
        <f>_xlfn.XLOOKUP(HFrame_List[[#This Row],[Cross piece style]],$AH$2:$AH$4,$AI$2:$AI$4,0,0)*(HFrame_List[[#This Row],[Width between brackets]]/12)</f>
        <v>36.5092</v>
      </c>
      <c r="S71">
        <f>5.46*(HFrame_List[[#This Row],[cross piece quantity]]-1)*(HFrame_List[[#This Row],[Width between brackets]]/12)</f>
        <v>0</v>
      </c>
      <c r="T71" s="5">
        <f>HFrame_List[[#This Row],[Bottom cross piece cost]]+HFrame_List[[#This Row],[Top cross piece cost]]+HFrame_List[[#This Row],[Component costs]]+HFrame_List[[#This Row],[Vertical strut cost]]</f>
        <v>132.4692</v>
      </c>
      <c r="U71" s="7">
        <f>_xlfn.XLOOKUP(HFrame_List[[#This Row],[Fabrication type]],Fabrication_costs[Fabrication type],Fabrication_costs[unit pricing],"no result",0)</f>
        <v>30</v>
      </c>
      <c r="V71" s="5">
        <f>SUM(T71:U71)/(1-HFrame_List[[#This Row],[Margin]])</f>
        <v>464.19771428571431</v>
      </c>
      <c r="W71" s="36">
        <f t="shared" si="30"/>
        <v>0.65</v>
      </c>
      <c r="X71" t="s">
        <v>193</v>
      </c>
      <c r="Y71">
        <f>_xlfn.XLOOKUP("A12",Strut_costs[size],Strut_costs[Strut cost])/12*HFrame_List[[#This Row],[Strut height (in)]]*(2+HFrame_List[[#This Row],[Extra supports]])</f>
        <v>49.14</v>
      </c>
      <c r="Z71">
        <f>(_xlfn.XLOOKUP("PHB",CADDY_costs[Component],CADDY_costs[Current cost])*HFrame_List[[#This Row],[Number of feet]])+(_xlfn.XLOOKUP("HFRMHDW",CADDY_costs[Component],CADDY_costs[Current cost])*(HFrame_List[[#This Row],[number of L-brackets]]/2))</f>
        <v>46.819999999999993</v>
      </c>
      <c r="AA71">
        <v>3684</v>
      </c>
      <c r="AB71" t="str">
        <f>VLOOKUP(HFrame_List[[#This Row],[lookup]],'Pallet and shipping info'!$A$5:$H$33,6,FALSE)</f>
        <v>x</v>
      </c>
      <c r="AC71">
        <f>VLOOKUP(HFrame_List[[#This Row],[lookup]],'Pallet and shipping info'!$A$5:$H$33,8,FALSE)</f>
        <v>7</v>
      </c>
      <c r="AD71"/>
      <c r="AE71"/>
      <c r="AF71"/>
    </row>
    <row r="72" spans="1:32" x14ac:dyDescent="0.25">
      <c r="A72" s="1" t="s">
        <v>324</v>
      </c>
      <c r="B72" s="1" t="s">
        <v>325</v>
      </c>
      <c r="C72" s="1">
        <f t="shared" si="23"/>
        <v>49.674999999999997</v>
      </c>
      <c r="D72" s="1">
        <f t="shared" si="24"/>
        <v>98.051000000000002</v>
      </c>
      <c r="E72" s="1">
        <v>48</v>
      </c>
      <c r="F72" s="1">
        <v>84</v>
      </c>
      <c r="G72" s="1">
        <f t="shared" si="18"/>
        <v>80.239999999999995</v>
      </c>
      <c r="H72" s="1">
        <v>1</v>
      </c>
      <c r="I72" s="1" t="s">
        <v>176</v>
      </c>
      <c r="J72" s="1">
        <v>1</v>
      </c>
      <c r="K72" s="2">
        <f t="shared" si="25"/>
        <v>41.1875</v>
      </c>
      <c r="L72" s="1">
        <f t="shared" si="26"/>
        <v>3</v>
      </c>
      <c r="M72" s="1">
        <f t="shared" si="19"/>
        <v>12</v>
      </c>
      <c r="N72" s="1">
        <f t="shared" si="20"/>
        <v>4</v>
      </c>
      <c r="O72" s="3">
        <f t="shared" si="27"/>
        <v>23</v>
      </c>
      <c r="P72" s="1">
        <f t="shared" si="28"/>
        <v>3</v>
      </c>
      <c r="Q72">
        <f t="shared" si="29"/>
        <v>8</v>
      </c>
      <c r="R72">
        <f>_xlfn.XLOOKUP(HFrame_List[[#This Row],[Cross piece style]],$AH$2:$AH$4,$AI$2:$AI$4,0,0)*(HFrame_List[[#This Row],[Width between brackets]]/12)</f>
        <v>36.5092</v>
      </c>
      <c r="S72">
        <f>5.46*(HFrame_List[[#This Row],[cross piece quantity]]-1)*(HFrame_List[[#This Row],[Width between brackets]]/12)</f>
        <v>0</v>
      </c>
      <c r="T72" s="5">
        <f>HFrame_List[[#This Row],[Bottom cross piece cost]]+HFrame_List[[#This Row],[Top cross piece cost]]+HFrame_List[[#This Row],[Component costs]]+HFrame_List[[#This Row],[Vertical strut cost]]</f>
        <v>148.8492</v>
      </c>
      <c r="U72" s="7">
        <f>_xlfn.XLOOKUP(HFrame_List[[#This Row],[Fabrication type]],Fabrication_costs[Fabrication type],Fabrication_costs[unit pricing],"no result",0)</f>
        <v>30</v>
      </c>
      <c r="V72" s="5">
        <f>SUM(T72:U72)/(1-HFrame_List[[#This Row],[Margin]])</f>
        <v>510.99771428571432</v>
      </c>
      <c r="W72" s="36">
        <f t="shared" si="30"/>
        <v>0.65</v>
      </c>
      <c r="X72" t="s">
        <v>193</v>
      </c>
      <c r="Y72">
        <f>_xlfn.XLOOKUP("A12",Strut_costs[size],Strut_costs[Strut cost])/12*HFrame_List[[#This Row],[Strut height (in)]]*(2+HFrame_List[[#This Row],[Extra supports]])</f>
        <v>65.52</v>
      </c>
      <c r="Z72">
        <f>(_xlfn.XLOOKUP("PHB",CADDY_costs[Component],CADDY_costs[Current cost])*HFrame_List[[#This Row],[Number of feet]])+(_xlfn.XLOOKUP("HFRMHDW",CADDY_costs[Component],CADDY_costs[Current cost])*(HFrame_List[[#This Row],[number of L-brackets]]/2))</f>
        <v>46.819999999999993</v>
      </c>
      <c r="AA72">
        <v>4884</v>
      </c>
      <c r="AB72" t="str">
        <f>VLOOKUP(HFrame_List[[#This Row],[lookup]],'Pallet and shipping info'!$A$5:$H$33,6,FALSE)</f>
        <v>x</v>
      </c>
      <c r="AC72">
        <f>VLOOKUP(HFrame_List[[#This Row],[lookup]],'Pallet and shipping info'!$A$5:$H$33,8,FALSE)</f>
        <v>7</v>
      </c>
      <c r="AD72"/>
      <c r="AE72"/>
      <c r="AF72"/>
    </row>
    <row r="73" spans="1:32" x14ac:dyDescent="0.25">
      <c r="A73" s="1" t="s">
        <v>326</v>
      </c>
      <c r="B73" s="1" t="s">
        <v>327</v>
      </c>
      <c r="C73" s="1">
        <f t="shared" si="23"/>
        <v>73.674999999999997</v>
      </c>
      <c r="D73" s="1">
        <f t="shared" si="24"/>
        <v>98.051000000000002</v>
      </c>
      <c r="E73" s="1">
        <v>72</v>
      </c>
      <c r="F73" s="1">
        <v>84</v>
      </c>
      <c r="G73" s="1">
        <f t="shared" si="18"/>
        <v>80.239999999999995</v>
      </c>
      <c r="H73" s="1">
        <v>1</v>
      </c>
      <c r="I73" s="1" t="s">
        <v>176</v>
      </c>
      <c r="J73" s="1">
        <v>1</v>
      </c>
      <c r="K73" s="2">
        <f t="shared" si="25"/>
        <v>41.1875</v>
      </c>
      <c r="L73" s="1">
        <f t="shared" si="26"/>
        <v>3</v>
      </c>
      <c r="M73" s="1">
        <f t="shared" si="19"/>
        <v>12</v>
      </c>
      <c r="N73" s="1">
        <f t="shared" si="20"/>
        <v>4</v>
      </c>
      <c r="O73" s="3">
        <f t="shared" si="27"/>
        <v>31</v>
      </c>
      <c r="P73" s="1">
        <f t="shared" si="28"/>
        <v>4</v>
      </c>
      <c r="Q73">
        <f t="shared" si="29"/>
        <v>8</v>
      </c>
      <c r="R73">
        <f>_xlfn.XLOOKUP(HFrame_List[[#This Row],[Cross piece style]],$AH$2:$AH$4,$AI$2:$AI$4,0,0)*(HFrame_List[[#This Row],[Width between brackets]]/12)</f>
        <v>36.5092</v>
      </c>
      <c r="S73">
        <f>5.46*(HFrame_List[[#This Row],[cross piece quantity]]-1)*(HFrame_List[[#This Row],[Width between brackets]]/12)</f>
        <v>0</v>
      </c>
      <c r="T73" s="5">
        <f>HFrame_List[[#This Row],[Bottom cross piece cost]]+HFrame_List[[#This Row],[Top cross piece cost]]+HFrame_List[[#This Row],[Component costs]]+HFrame_List[[#This Row],[Vertical strut cost]]</f>
        <v>181.60919999999999</v>
      </c>
      <c r="U73" s="7">
        <f>_xlfn.XLOOKUP(HFrame_List[[#This Row],[Fabrication type]],Fabrication_costs[Fabrication type],Fabrication_costs[unit pricing],"no result",0)</f>
        <v>30</v>
      </c>
      <c r="V73" s="5">
        <f>SUM(T73:U73)/(1-HFrame_List[[#This Row],[Margin]])</f>
        <v>604.59771428571423</v>
      </c>
      <c r="W73" s="36">
        <f t="shared" si="30"/>
        <v>0.65</v>
      </c>
      <c r="X73" t="s">
        <v>193</v>
      </c>
      <c r="Y73">
        <f>_xlfn.XLOOKUP("A12",Strut_costs[size],Strut_costs[Strut cost])/12*HFrame_List[[#This Row],[Strut height (in)]]*(2+HFrame_List[[#This Row],[Extra supports]])</f>
        <v>98.28</v>
      </c>
      <c r="Z73">
        <f>(_xlfn.XLOOKUP("PHB",CADDY_costs[Component],CADDY_costs[Current cost])*HFrame_List[[#This Row],[Number of feet]])+(_xlfn.XLOOKUP("HFRMHDW",CADDY_costs[Component],CADDY_costs[Current cost])*(HFrame_List[[#This Row],[number of L-brackets]]/2))</f>
        <v>46.819999999999993</v>
      </c>
      <c r="AA73">
        <v>7284</v>
      </c>
      <c r="AB73" t="str">
        <f>VLOOKUP(HFrame_List[[#This Row],[lookup]],'Pallet and shipping info'!$A$5:$H$33,6,FALSE)</f>
        <v>x</v>
      </c>
      <c r="AC73">
        <f>VLOOKUP(HFrame_List[[#This Row],[lookup]],'Pallet and shipping info'!$A$5:$H$33,8,FALSE)</f>
        <v>7</v>
      </c>
      <c r="AD73"/>
      <c r="AE73"/>
      <c r="AF73"/>
    </row>
    <row r="74" spans="1:32" x14ac:dyDescent="0.25">
      <c r="A74" s="1" t="s">
        <v>328</v>
      </c>
      <c r="B74" s="1" t="s">
        <v>329</v>
      </c>
      <c r="C74" s="1">
        <f t="shared" si="23"/>
        <v>25.675000000000001</v>
      </c>
      <c r="D74" s="1">
        <f t="shared" si="24"/>
        <v>34.051000000000002</v>
      </c>
      <c r="E74" s="1">
        <v>24</v>
      </c>
      <c r="F74" s="1">
        <v>20</v>
      </c>
      <c r="G74" s="1">
        <f>F74-(1.88*2)</f>
        <v>16.240000000000002</v>
      </c>
      <c r="H74" s="1">
        <v>2</v>
      </c>
      <c r="I74" s="1" t="s">
        <v>176</v>
      </c>
      <c r="J74" s="1">
        <v>1</v>
      </c>
      <c r="K74" s="2">
        <f t="shared" si="25"/>
        <v>5.041666666666667</v>
      </c>
      <c r="L74" s="1">
        <f t="shared" si="26"/>
        <v>4</v>
      </c>
      <c r="M74" s="1">
        <f>3*N74</f>
        <v>18</v>
      </c>
      <c r="N74" s="1">
        <f>(2+(2*H74))*J74</f>
        <v>6</v>
      </c>
      <c r="O74" s="3">
        <f t="shared" si="27"/>
        <v>13.666666666666666</v>
      </c>
      <c r="P74" s="1">
        <f t="shared" si="28"/>
        <v>2</v>
      </c>
      <c r="Q74">
        <f t="shared" si="29"/>
        <v>10</v>
      </c>
      <c r="R74">
        <f>_xlfn.XLOOKUP(HFrame_List[[#This Row],[Cross piece style]],$AH$2:$AH$4,$AI$2:$AI$4,0,0)*(HFrame_List[[#This Row],[Width between brackets]]/12)</f>
        <v>7.3892000000000007</v>
      </c>
      <c r="S74">
        <f>5.46*(HFrame_List[[#This Row],[cross piece quantity]]-1)*(HFrame_List[[#This Row],[Width between brackets]]/12)</f>
        <v>0</v>
      </c>
      <c r="T74" s="5">
        <f>HFrame_List[[#This Row],[Bottom cross piece cost]]+HFrame_List[[#This Row],[Top cross piece cost]]+HFrame_List[[#This Row],[Component costs]]+HFrame_List[[#This Row],[Vertical strut cost]]</f>
        <v>116.65119999999999</v>
      </c>
      <c r="U74" s="7">
        <f>_xlfn.XLOOKUP(HFrame_List[[#This Row],[Fabrication type]],Fabrication_costs[Fabrication type],Fabrication_costs[unit pricing],"no result",0)</f>
        <v>40.200000000000003</v>
      </c>
      <c r="V74" s="5">
        <f>SUM(T74:U74)/(1-HFrame_List[[#This Row],[Margin]])</f>
        <v>448.14628571428574</v>
      </c>
      <c r="W74" s="36">
        <f t="shared" si="30"/>
        <v>0.65</v>
      </c>
      <c r="X74" t="s">
        <v>196</v>
      </c>
      <c r="Y74">
        <f>_xlfn.XLOOKUP("A12",Strut_costs[size],Strut_costs[Strut cost])/12*HFrame_List[[#This Row],[Strut height (in)]]*(2+HFrame_List[[#This Row],[Extra supports]])</f>
        <v>43.68</v>
      </c>
      <c r="Z74">
        <f>(_xlfn.XLOOKUP("PHB",CADDY_costs[Component],CADDY_costs[Current cost])*HFrame_List[[#This Row],[Number of feet]])+(_xlfn.XLOOKUP("HFRMHDW",CADDY_costs[Component],CADDY_costs[Current cost])*(HFrame_List[[#This Row],[number of L-brackets]]/2))</f>
        <v>65.581999999999994</v>
      </c>
      <c r="AA74">
        <v>2420</v>
      </c>
      <c r="AB74">
        <f>VLOOKUP(HFrame_List[[#This Row],[lookup]],'Pallet and shipping info'!$A$5:$H$33,6,FALSE)</f>
        <v>11</v>
      </c>
      <c r="AC74">
        <f>VLOOKUP(HFrame_List[[#This Row],[lookup]],'Pallet and shipping info'!$A$5:$H$33,8,FALSE)</f>
        <v>15</v>
      </c>
      <c r="AD74"/>
      <c r="AE74"/>
      <c r="AF74"/>
    </row>
    <row r="75" spans="1:32" x14ac:dyDescent="0.25">
      <c r="A75" s="1" t="s">
        <v>330</v>
      </c>
      <c r="B75" s="1" t="s">
        <v>331</v>
      </c>
      <c r="C75" s="1">
        <f t="shared" si="23"/>
        <v>37.674999999999997</v>
      </c>
      <c r="D75" s="1">
        <f t="shared" si="24"/>
        <v>34.051000000000002</v>
      </c>
      <c r="E75" s="1">
        <v>36</v>
      </c>
      <c r="F75" s="1">
        <f>F74</f>
        <v>20</v>
      </c>
      <c r="G75" s="1">
        <f t="shared" ref="G75:G97" si="31">F75-(1.88*2)</f>
        <v>16.240000000000002</v>
      </c>
      <c r="H75" s="1">
        <v>2</v>
      </c>
      <c r="I75" s="1" t="s">
        <v>176</v>
      </c>
      <c r="J75" s="1">
        <v>1</v>
      </c>
      <c r="K75" s="2">
        <f t="shared" si="25"/>
        <v>5.041666666666667</v>
      </c>
      <c r="L75" s="1">
        <f t="shared" si="26"/>
        <v>4</v>
      </c>
      <c r="M75" s="1">
        <f t="shared" ref="M75:M97" si="32">3*N75</f>
        <v>18</v>
      </c>
      <c r="N75" s="1">
        <f t="shared" ref="N75:N97" si="33">(2+(2*H75))*J75</f>
        <v>6</v>
      </c>
      <c r="O75" s="3">
        <f t="shared" si="27"/>
        <v>19.666666666666668</v>
      </c>
      <c r="P75" s="1">
        <f t="shared" si="28"/>
        <v>2</v>
      </c>
      <c r="Q75">
        <f t="shared" si="29"/>
        <v>10</v>
      </c>
      <c r="R75">
        <f>_xlfn.XLOOKUP(HFrame_List[[#This Row],[Cross piece style]],$AH$2:$AH$4,$AI$2:$AI$4,0,0)*(HFrame_List[[#This Row],[Width between brackets]]/12)</f>
        <v>7.3892000000000007</v>
      </c>
      <c r="S75">
        <f>5.46*(HFrame_List[[#This Row],[cross piece quantity]]-1)*(HFrame_List[[#This Row],[Width between brackets]]/12)</f>
        <v>0</v>
      </c>
      <c r="T75" s="5">
        <f>HFrame_List[[#This Row],[Bottom cross piece cost]]+HFrame_List[[#This Row],[Top cross piece cost]]+HFrame_List[[#This Row],[Component costs]]+HFrame_List[[#This Row],[Vertical strut cost]]</f>
        <v>138.49119999999999</v>
      </c>
      <c r="U75" s="7">
        <f>_xlfn.XLOOKUP(HFrame_List[[#This Row],[Fabrication type]],Fabrication_costs[Fabrication type],Fabrication_costs[unit pricing],"no result",0)</f>
        <v>40.200000000000003</v>
      </c>
      <c r="V75" s="5">
        <f>SUM(T75:U75)/(1-HFrame_List[[#This Row],[Margin]])</f>
        <v>510.54628571428572</v>
      </c>
      <c r="W75" s="36">
        <f t="shared" si="30"/>
        <v>0.65</v>
      </c>
      <c r="X75" t="s">
        <v>196</v>
      </c>
      <c r="Y75">
        <f>_xlfn.XLOOKUP("A12",Strut_costs[size],Strut_costs[Strut cost])/12*HFrame_List[[#This Row],[Strut height (in)]]*(2+HFrame_List[[#This Row],[Extra supports]])</f>
        <v>65.52</v>
      </c>
      <c r="Z75">
        <f>(_xlfn.XLOOKUP("PHB",CADDY_costs[Component],CADDY_costs[Current cost])*HFrame_List[[#This Row],[Number of feet]])+(_xlfn.XLOOKUP("HFRMHDW",CADDY_costs[Component],CADDY_costs[Current cost])*(HFrame_List[[#This Row],[number of L-brackets]]/2))</f>
        <v>65.581999999999994</v>
      </c>
      <c r="AA75">
        <v>3620</v>
      </c>
      <c r="AB75">
        <f>VLOOKUP(HFrame_List[[#This Row],[lookup]],'Pallet and shipping info'!$A$5:$H$33,6,FALSE)</f>
        <v>11</v>
      </c>
      <c r="AC75">
        <f>VLOOKUP(HFrame_List[[#This Row],[lookup]],'Pallet and shipping info'!$A$5:$H$33,8,FALSE)</f>
        <v>15</v>
      </c>
      <c r="AD75"/>
      <c r="AE75"/>
      <c r="AF75"/>
    </row>
    <row r="76" spans="1:32" x14ac:dyDescent="0.25">
      <c r="A76" s="1" t="s">
        <v>332</v>
      </c>
      <c r="B76" s="1" t="s">
        <v>333</v>
      </c>
      <c r="C76" s="1">
        <f t="shared" si="23"/>
        <v>49.674999999999997</v>
      </c>
      <c r="D76" s="1">
        <f t="shared" si="24"/>
        <v>34.051000000000002</v>
      </c>
      <c r="E76" s="1">
        <v>48</v>
      </c>
      <c r="F76" s="1">
        <f t="shared" ref="F76:F77" si="34">F75</f>
        <v>20</v>
      </c>
      <c r="G76" s="1">
        <f t="shared" si="31"/>
        <v>16.240000000000002</v>
      </c>
      <c r="H76" s="1">
        <v>2</v>
      </c>
      <c r="I76" s="1" t="s">
        <v>176</v>
      </c>
      <c r="J76" s="1">
        <v>1</v>
      </c>
      <c r="K76" s="2">
        <f t="shared" si="25"/>
        <v>5.041666666666667</v>
      </c>
      <c r="L76" s="1">
        <f t="shared" si="26"/>
        <v>4</v>
      </c>
      <c r="M76" s="1">
        <f t="shared" si="32"/>
        <v>18</v>
      </c>
      <c r="N76" s="1">
        <f t="shared" si="33"/>
        <v>6</v>
      </c>
      <c r="O76" s="3">
        <f t="shared" si="27"/>
        <v>25.666666666666668</v>
      </c>
      <c r="P76" s="1">
        <f t="shared" si="28"/>
        <v>3</v>
      </c>
      <c r="Q76">
        <f t="shared" si="29"/>
        <v>10</v>
      </c>
      <c r="R76">
        <f>_xlfn.XLOOKUP(HFrame_List[[#This Row],[Cross piece style]],$AH$2:$AH$4,$AI$2:$AI$4,0,0)*(HFrame_List[[#This Row],[Width between brackets]]/12)</f>
        <v>7.3892000000000007</v>
      </c>
      <c r="S76">
        <f>5.46*(HFrame_List[[#This Row],[cross piece quantity]]-1)*(HFrame_List[[#This Row],[Width between brackets]]/12)</f>
        <v>0</v>
      </c>
      <c r="T76" s="5">
        <f>HFrame_List[[#This Row],[Bottom cross piece cost]]+HFrame_List[[#This Row],[Top cross piece cost]]+HFrame_List[[#This Row],[Component costs]]+HFrame_List[[#This Row],[Vertical strut cost]]</f>
        <v>160.3312</v>
      </c>
      <c r="U76" s="7">
        <f>_xlfn.XLOOKUP(HFrame_List[[#This Row],[Fabrication type]],Fabrication_costs[Fabrication type],Fabrication_costs[unit pricing],"no result",0)</f>
        <v>40.200000000000003</v>
      </c>
      <c r="V76" s="5">
        <f>SUM(T76:U76)/(1-HFrame_List[[#This Row],[Margin]])</f>
        <v>572.94628571428575</v>
      </c>
      <c r="W76" s="36">
        <f t="shared" si="30"/>
        <v>0.65</v>
      </c>
      <c r="X76" t="s">
        <v>196</v>
      </c>
      <c r="Y76">
        <f>_xlfn.XLOOKUP("A12",Strut_costs[size],Strut_costs[Strut cost])/12*HFrame_List[[#This Row],[Strut height (in)]]*(2+HFrame_List[[#This Row],[Extra supports]])</f>
        <v>87.36</v>
      </c>
      <c r="Z76">
        <f>(_xlfn.XLOOKUP("PHB",CADDY_costs[Component],CADDY_costs[Current cost])*HFrame_List[[#This Row],[Number of feet]])+(_xlfn.XLOOKUP("HFRMHDW",CADDY_costs[Component],CADDY_costs[Current cost])*(HFrame_List[[#This Row],[number of L-brackets]]/2))</f>
        <v>65.581999999999994</v>
      </c>
      <c r="AA76">
        <v>4820</v>
      </c>
      <c r="AB76">
        <f>VLOOKUP(HFrame_List[[#This Row],[lookup]],'Pallet and shipping info'!$A$5:$H$33,6,FALSE)</f>
        <v>11</v>
      </c>
      <c r="AC76">
        <f>VLOOKUP(HFrame_List[[#This Row],[lookup]],'Pallet and shipping info'!$A$5:$H$33,8,FALSE)</f>
        <v>15</v>
      </c>
      <c r="AD76"/>
      <c r="AE76"/>
      <c r="AF76"/>
    </row>
    <row r="77" spans="1:32" x14ac:dyDescent="0.25">
      <c r="A77" s="1" t="s">
        <v>334</v>
      </c>
      <c r="B77" s="1" t="s">
        <v>335</v>
      </c>
      <c r="C77" s="1">
        <f t="shared" si="23"/>
        <v>73.674999999999997</v>
      </c>
      <c r="D77" s="1">
        <f t="shared" si="24"/>
        <v>34.051000000000002</v>
      </c>
      <c r="E77" s="1">
        <v>72</v>
      </c>
      <c r="F77" s="1">
        <f t="shared" si="34"/>
        <v>20</v>
      </c>
      <c r="G77" s="1">
        <f t="shared" si="31"/>
        <v>16.240000000000002</v>
      </c>
      <c r="H77" s="1">
        <v>2</v>
      </c>
      <c r="I77" s="1" t="s">
        <v>176</v>
      </c>
      <c r="J77" s="1">
        <v>1</v>
      </c>
      <c r="K77" s="2">
        <f t="shared" si="25"/>
        <v>5.041666666666667</v>
      </c>
      <c r="L77" s="1">
        <f t="shared" si="26"/>
        <v>4</v>
      </c>
      <c r="M77" s="1">
        <f t="shared" si="32"/>
        <v>18</v>
      </c>
      <c r="N77" s="1">
        <f t="shared" si="33"/>
        <v>6</v>
      </c>
      <c r="O77" s="3">
        <f t="shared" si="27"/>
        <v>37.666666666666664</v>
      </c>
      <c r="P77" s="1">
        <f t="shared" si="28"/>
        <v>4</v>
      </c>
      <c r="Q77">
        <f t="shared" si="29"/>
        <v>10</v>
      </c>
      <c r="R77">
        <f>_xlfn.XLOOKUP(HFrame_List[[#This Row],[Cross piece style]],$AH$2:$AH$4,$AI$2:$AI$4,0,0)*(HFrame_List[[#This Row],[Width between brackets]]/12)</f>
        <v>7.3892000000000007</v>
      </c>
      <c r="S77">
        <f>5.46*(HFrame_List[[#This Row],[cross piece quantity]]-1)*(HFrame_List[[#This Row],[Width between brackets]]/12)</f>
        <v>0</v>
      </c>
      <c r="T77" s="5">
        <f>HFrame_List[[#This Row],[Bottom cross piece cost]]+HFrame_List[[#This Row],[Top cross piece cost]]+HFrame_List[[#This Row],[Component costs]]+HFrame_List[[#This Row],[Vertical strut cost]]</f>
        <v>204.01119999999997</v>
      </c>
      <c r="U77" s="7">
        <f>_xlfn.XLOOKUP(HFrame_List[[#This Row],[Fabrication type]],Fabrication_costs[Fabrication type],Fabrication_costs[unit pricing],"no result",0)</f>
        <v>40.200000000000003</v>
      </c>
      <c r="V77" s="5">
        <f>SUM(T77:U77)/(1-HFrame_List[[#This Row],[Margin]])</f>
        <v>697.7462857142857</v>
      </c>
      <c r="W77" s="36">
        <f t="shared" si="30"/>
        <v>0.65</v>
      </c>
      <c r="X77" t="s">
        <v>196</v>
      </c>
      <c r="Y77">
        <f>_xlfn.XLOOKUP("A12",Strut_costs[size],Strut_costs[Strut cost])/12*HFrame_List[[#This Row],[Strut height (in)]]*(2+HFrame_List[[#This Row],[Extra supports]])</f>
        <v>131.04</v>
      </c>
      <c r="Z77">
        <f>(_xlfn.XLOOKUP("PHB",CADDY_costs[Component],CADDY_costs[Current cost])*HFrame_List[[#This Row],[Number of feet]])+(_xlfn.XLOOKUP("HFRMHDW",CADDY_costs[Component],CADDY_costs[Current cost])*(HFrame_List[[#This Row],[number of L-brackets]]/2))</f>
        <v>65.581999999999994</v>
      </c>
      <c r="AA77">
        <v>7220</v>
      </c>
      <c r="AB77">
        <f>VLOOKUP(HFrame_List[[#This Row],[lookup]],'Pallet and shipping info'!$A$5:$H$33,6,FALSE)</f>
        <v>11</v>
      </c>
      <c r="AC77">
        <f>VLOOKUP(HFrame_List[[#This Row],[lookup]],'Pallet and shipping info'!$A$5:$H$33,8,FALSE)</f>
        <v>15</v>
      </c>
      <c r="AD77"/>
      <c r="AE77"/>
      <c r="AF77"/>
    </row>
    <row r="78" spans="1:32" x14ac:dyDescent="0.25">
      <c r="A78" s="1" t="s">
        <v>336</v>
      </c>
      <c r="B78" s="1" t="s">
        <v>337</v>
      </c>
      <c r="C78" s="1">
        <f t="shared" si="23"/>
        <v>25.675000000000001</v>
      </c>
      <c r="D78" s="1">
        <f t="shared" si="24"/>
        <v>50.050999999999995</v>
      </c>
      <c r="E78" s="1">
        <v>24</v>
      </c>
      <c r="F78" s="1">
        <v>36</v>
      </c>
      <c r="G78" s="1">
        <f t="shared" si="31"/>
        <v>32.24</v>
      </c>
      <c r="H78" s="1">
        <v>2</v>
      </c>
      <c r="I78" s="1" t="s">
        <v>176</v>
      </c>
      <c r="J78" s="1">
        <v>1</v>
      </c>
      <c r="K78" s="2">
        <f t="shared" si="25"/>
        <v>10.375</v>
      </c>
      <c r="L78" s="1">
        <f t="shared" si="26"/>
        <v>4</v>
      </c>
      <c r="M78" s="1">
        <f t="shared" si="32"/>
        <v>18</v>
      </c>
      <c r="N78" s="1">
        <f t="shared" si="33"/>
        <v>6</v>
      </c>
      <c r="O78" s="3">
        <f t="shared" si="27"/>
        <v>15</v>
      </c>
      <c r="P78" s="1">
        <f t="shared" si="28"/>
        <v>2</v>
      </c>
      <c r="Q78">
        <f t="shared" si="29"/>
        <v>10</v>
      </c>
      <c r="R78">
        <f>_xlfn.XLOOKUP(HFrame_List[[#This Row],[Cross piece style]],$AH$2:$AH$4,$AI$2:$AI$4,0,0)*(HFrame_List[[#This Row],[Width between brackets]]/12)</f>
        <v>14.669200000000002</v>
      </c>
      <c r="S78">
        <f>5.46*(HFrame_List[[#This Row],[cross piece quantity]]-1)*(HFrame_List[[#This Row],[Width between brackets]]/12)</f>
        <v>0</v>
      </c>
      <c r="T78" s="5">
        <f>HFrame_List[[#This Row],[Bottom cross piece cost]]+HFrame_List[[#This Row],[Top cross piece cost]]+HFrame_List[[#This Row],[Component costs]]+HFrame_List[[#This Row],[Vertical strut cost]]</f>
        <v>123.93119999999999</v>
      </c>
      <c r="U78" s="7">
        <f>_xlfn.XLOOKUP(HFrame_List[[#This Row],[Fabrication type]],Fabrication_costs[Fabrication type],Fabrication_costs[unit pricing],"no result",0)</f>
        <v>40.200000000000003</v>
      </c>
      <c r="V78" s="5">
        <f>SUM(T78:U78)/(1-HFrame_List[[#This Row],[Margin]])</f>
        <v>468.94628571428569</v>
      </c>
      <c r="W78" s="36">
        <f t="shared" si="30"/>
        <v>0.65</v>
      </c>
      <c r="X78" t="s">
        <v>196</v>
      </c>
      <c r="Y78">
        <f>_xlfn.XLOOKUP("A12",Strut_costs[size],Strut_costs[Strut cost])/12*HFrame_List[[#This Row],[Strut height (in)]]*(2+HFrame_List[[#This Row],[Extra supports]])</f>
        <v>43.68</v>
      </c>
      <c r="Z78">
        <f>(_xlfn.XLOOKUP("PHB",CADDY_costs[Component],CADDY_costs[Current cost])*HFrame_List[[#This Row],[Number of feet]])+(_xlfn.XLOOKUP("HFRMHDW",CADDY_costs[Component],CADDY_costs[Current cost])*(HFrame_List[[#This Row],[number of L-brackets]]/2))</f>
        <v>65.581999999999994</v>
      </c>
      <c r="AA78">
        <v>2436</v>
      </c>
      <c r="AB78">
        <f>VLOOKUP(HFrame_List[[#This Row],[lookup]],'Pallet and shipping info'!$A$5:$H$33,6,FALSE)</f>
        <v>9</v>
      </c>
      <c r="AC78">
        <f>VLOOKUP(HFrame_List[[#This Row],[lookup]],'Pallet and shipping info'!$A$5:$H$33,8,FALSE)</f>
        <v>14</v>
      </c>
      <c r="AD78"/>
      <c r="AE78"/>
      <c r="AF78"/>
    </row>
    <row r="79" spans="1:32" x14ac:dyDescent="0.25">
      <c r="A79" s="1" t="s">
        <v>338</v>
      </c>
      <c r="B79" s="1" t="s">
        <v>339</v>
      </c>
      <c r="C79" s="1">
        <f t="shared" si="23"/>
        <v>37.674999999999997</v>
      </c>
      <c r="D79" s="1">
        <f t="shared" si="24"/>
        <v>50.050999999999995</v>
      </c>
      <c r="E79" s="1">
        <v>36</v>
      </c>
      <c r="F79" s="1">
        <f>F78</f>
        <v>36</v>
      </c>
      <c r="G79" s="1">
        <f t="shared" si="31"/>
        <v>32.24</v>
      </c>
      <c r="H79" s="1">
        <v>2</v>
      </c>
      <c r="I79" s="1" t="s">
        <v>176</v>
      </c>
      <c r="J79" s="1">
        <v>1</v>
      </c>
      <c r="K79" s="2">
        <f t="shared" si="25"/>
        <v>10.375</v>
      </c>
      <c r="L79" s="1">
        <f t="shared" si="26"/>
        <v>4</v>
      </c>
      <c r="M79" s="1">
        <f t="shared" si="32"/>
        <v>18</v>
      </c>
      <c r="N79" s="1">
        <f t="shared" si="33"/>
        <v>6</v>
      </c>
      <c r="O79" s="3">
        <f t="shared" si="27"/>
        <v>21</v>
      </c>
      <c r="P79" s="1">
        <f t="shared" si="28"/>
        <v>3</v>
      </c>
      <c r="Q79">
        <f t="shared" si="29"/>
        <v>10</v>
      </c>
      <c r="R79">
        <f>_xlfn.XLOOKUP(HFrame_List[[#This Row],[Cross piece style]],$AH$2:$AH$4,$AI$2:$AI$4,0,0)*(HFrame_List[[#This Row],[Width between brackets]]/12)</f>
        <v>14.669200000000002</v>
      </c>
      <c r="S79">
        <f>5.46*(HFrame_List[[#This Row],[cross piece quantity]]-1)*(HFrame_List[[#This Row],[Width between brackets]]/12)</f>
        <v>0</v>
      </c>
      <c r="T79" s="5">
        <f>HFrame_List[[#This Row],[Bottom cross piece cost]]+HFrame_List[[#This Row],[Top cross piece cost]]+HFrame_List[[#This Row],[Component costs]]+HFrame_List[[#This Row],[Vertical strut cost]]</f>
        <v>145.77119999999999</v>
      </c>
      <c r="U79" s="7">
        <f>_xlfn.XLOOKUP(HFrame_List[[#This Row],[Fabrication type]],Fabrication_costs[Fabrication type],Fabrication_costs[unit pricing],"no result",0)</f>
        <v>40.200000000000003</v>
      </c>
      <c r="V79" s="5">
        <f>SUM(T79:U79)/(1-HFrame_List[[#This Row],[Margin]])</f>
        <v>531.34628571428573</v>
      </c>
      <c r="W79" s="36">
        <f t="shared" si="30"/>
        <v>0.65</v>
      </c>
      <c r="X79" t="s">
        <v>196</v>
      </c>
      <c r="Y79">
        <f>_xlfn.XLOOKUP("A12",Strut_costs[size],Strut_costs[Strut cost])/12*HFrame_List[[#This Row],[Strut height (in)]]*(2+HFrame_List[[#This Row],[Extra supports]])</f>
        <v>65.52</v>
      </c>
      <c r="Z79">
        <f>(_xlfn.XLOOKUP("PHB",CADDY_costs[Component],CADDY_costs[Current cost])*HFrame_List[[#This Row],[Number of feet]])+(_xlfn.XLOOKUP("HFRMHDW",CADDY_costs[Component],CADDY_costs[Current cost])*(HFrame_List[[#This Row],[number of L-brackets]]/2))</f>
        <v>65.581999999999994</v>
      </c>
      <c r="AA79">
        <v>3636</v>
      </c>
      <c r="AB79">
        <f>VLOOKUP(HFrame_List[[#This Row],[lookup]],'Pallet and shipping info'!$A$5:$H$33,6,FALSE)</f>
        <v>9</v>
      </c>
      <c r="AC79">
        <f>VLOOKUP(HFrame_List[[#This Row],[lookup]],'Pallet and shipping info'!$A$5:$H$33,8,FALSE)</f>
        <v>14</v>
      </c>
      <c r="AD79"/>
      <c r="AE79"/>
      <c r="AF79"/>
    </row>
    <row r="80" spans="1:32" x14ac:dyDescent="0.25">
      <c r="A80" s="1" t="s">
        <v>340</v>
      </c>
      <c r="B80" s="1" t="s">
        <v>341</v>
      </c>
      <c r="C80" s="1">
        <f t="shared" si="23"/>
        <v>49.674999999999997</v>
      </c>
      <c r="D80" s="1">
        <f t="shared" si="24"/>
        <v>50.050999999999995</v>
      </c>
      <c r="E80" s="1">
        <v>48</v>
      </c>
      <c r="F80" s="1">
        <f t="shared" ref="F80:F85" si="35">F79</f>
        <v>36</v>
      </c>
      <c r="G80" s="1">
        <f t="shared" si="31"/>
        <v>32.24</v>
      </c>
      <c r="H80" s="1">
        <v>2</v>
      </c>
      <c r="I80" s="1" t="s">
        <v>176</v>
      </c>
      <c r="J80" s="1">
        <v>1</v>
      </c>
      <c r="K80" s="2">
        <f t="shared" si="25"/>
        <v>10.375</v>
      </c>
      <c r="L80" s="1">
        <f t="shared" si="26"/>
        <v>4</v>
      </c>
      <c r="M80" s="1">
        <f t="shared" si="32"/>
        <v>18</v>
      </c>
      <c r="N80" s="1">
        <f t="shared" si="33"/>
        <v>6</v>
      </c>
      <c r="O80" s="3">
        <f t="shared" si="27"/>
        <v>27</v>
      </c>
      <c r="P80" s="1">
        <f t="shared" si="28"/>
        <v>3</v>
      </c>
      <c r="Q80">
        <f t="shared" si="29"/>
        <v>10</v>
      </c>
      <c r="R80">
        <f>_xlfn.XLOOKUP(HFrame_List[[#This Row],[Cross piece style]],$AH$2:$AH$4,$AI$2:$AI$4,0,0)*(HFrame_List[[#This Row],[Width between brackets]]/12)</f>
        <v>14.669200000000002</v>
      </c>
      <c r="S80">
        <f>5.46*(HFrame_List[[#This Row],[cross piece quantity]]-1)*(HFrame_List[[#This Row],[Width between brackets]]/12)</f>
        <v>0</v>
      </c>
      <c r="T80" s="5">
        <f>HFrame_List[[#This Row],[Bottom cross piece cost]]+HFrame_List[[#This Row],[Top cross piece cost]]+HFrame_List[[#This Row],[Component costs]]+HFrame_List[[#This Row],[Vertical strut cost]]</f>
        <v>167.6112</v>
      </c>
      <c r="U80" s="7">
        <f>_xlfn.XLOOKUP(HFrame_List[[#This Row],[Fabrication type]],Fabrication_costs[Fabrication type],Fabrication_costs[unit pricing],"no result",0)</f>
        <v>40.200000000000003</v>
      </c>
      <c r="V80" s="5">
        <f>SUM(T80:U80)/(1-HFrame_List[[#This Row],[Margin]])</f>
        <v>593.7462857142857</v>
      </c>
      <c r="W80" s="36">
        <f t="shared" si="30"/>
        <v>0.65</v>
      </c>
      <c r="X80" t="s">
        <v>196</v>
      </c>
      <c r="Y80">
        <f>_xlfn.XLOOKUP("A12",Strut_costs[size],Strut_costs[Strut cost])/12*HFrame_List[[#This Row],[Strut height (in)]]*(2+HFrame_List[[#This Row],[Extra supports]])</f>
        <v>87.36</v>
      </c>
      <c r="Z80">
        <f>(_xlfn.XLOOKUP("PHB",CADDY_costs[Component],CADDY_costs[Current cost])*HFrame_List[[#This Row],[Number of feet]])+(_xlfn.XLOOKUP("HFRMHDW",CADDY_costs[Component],CADDY_costs[Current cost])*(HFrame_List[[#This Row],[number of L-brackets]]/2))</f>
        <v>65.581999999999994</v>
      </c>
      <c r="AA80">
        <v>4836</v>
      </c>
      <c r="AB80">
        <f>VLOOKUP(HFrame_List[[#This Row],[lookup]],'Pallet and shipping info'!$A$5:$H$33,6,FALSE)</f>
        <v>9</v>
      </c>
      <c r="AC80">
        <f>VLOOKUP(HFrame_List[[#This Row],[lookup]],'Pallet and shipping info'!$A$5:$H$33,8,FALSE)</f>
        <v>14</v>
      </c>
      <c r="AD80"/>
      <c r="AE80"/>
      <c r="AF80"/>
    </row>
    <row r="81" spans="1:32" x14ac:dyDescent="0.25">
      <c r="A81" s="1" t="s">
        <v>342</v>
      </c>
      <c r="B81" s="1" t="s">
        <v>343</v>
      </c>
      <c r="C81" s="1">
        <f t="shared" si="23"/>
        <v>73.674999999999997</v>
      </c>
      <c r="D81" s="1">
        <f t="shared" si="24"/>
        <v>50.050999999999995</v>
      </c>
      <c r="E81" s="1">
        <v>72</v>
      </c>
      <c r="F81" s="1">
        <f t="shared" si="35"/>
        <v>36</v>
      </c>
      <c r="G81" s="1">
        <f t="shared" si="31"/>
        <v>32.24</v>
      </c>
      <c r="H81" s="1">
        <v>2</v>
      </c>
      <c r="I81" s="1" t="s">
        <v>176</v>
      </c>
      <c r="J81" s="1">
        <v>1</v>
      </c>
      <c r="K81" s="2">
        <f t="shared" si="25"/>
        <v>10.375</v>
      </c>
      <c r="L81" s="1">
        <f t="shared" si="26"/>
        <v>4</v>
      </c>
      <c r="M81" s="1">
        <f t="shared" si="32"/>
        <v>18</v>
      </c>
      <c r="N81" s="1">
        <f t="shared" si="33"/>
        <v>6</v>
      </c>
      <c r="O81" s="3">
        <f t="shared" si="27"/>
        <v>39</v>
      </c>
      <c r="P81" s="1">
        <f t="shared" si="28"/>
        <v>4</v>
      </c>
      <c r="Q81">
        <f t="shared" si="29"/>
        <v>10</v>
      </c>
      <c r="R81">
        <f>_xlfn.XLOOKUP(HFrame_List[[#This Row],[Cross piece style]],$AH$2:$AH$4,$AI$2:$AI$4,0,0)*(HFrame_List[[#This Row],[Width between brackets]]/12)</f>
        <v>14.669200000000002</v>
      </c>
      <c r="S81">
        <f>5.46*(HFrame_List[[#This Row],[cross piece quantity]]-1)*(HFrame_List[[#This Row],[Width between brackets]]/12)</f>
        <v>0</v>
      </c>
      <c r="T81" s="5">
        <f>HFrame_List[[#This Row],[Bottom cross piece cost]]+HFrame_List[[#This Row],[Top cross piece cost]]+HFrame_List[[#This Row],[Component costs]]+HFrame_List[[#This Row],[Vertical strut cost]]</f>
        <v>211.2912</v>
      </c>
      <c r="U81" s="7">
        <f>_xlfn.XLOOKUP(HFrame_List[[#This Row],[Fabrication type]],Fabrication_costs[Fabrication type],Fabrication_costs[unit pricing],"no result",0)</f>
        <v>40.200000000000003</v>
      </c>
      <c r="V81" s="5">
        <f>SUM(T81:U81)/(1-HFrame_List[[#This Row],[Margin]])</f>
        <v>718.54628571428577</v>
      </c>
      <c r="W81" s="36">
        <f t="shared" si="30"/>
        <v>0.65</v>
      </c>
      <c r="X81" t="s">
        <v>196</v>
      </c>
      <c r="Y81">
        <f>_xlfn.XLOOKUP("A12",Strut_costs[size],Strut_costs[Strut cost])/12*HFrame_List[[#This Row],[Strut height (in)]]*(2+HFrame_List[[#This Row],[Extra supports]])</f>
        <v>131.04</v>
      </c>
      <c r="Z81">
        <f>(_xlfn.XLOOKUP("PHB",CADDY_costs[Component],CADDY_costs[Current cost])*HFrame_List[[#This Row],[Number of feet]])+(_xlfn.XLOOKUP("HFRMHDW",CADDY_costs[Component],CADDY_costs[Current cost])*(HFrame_List[[#This Row],[number of L-brackets]]/2))</f>
        <v>65.581999999999994</v>
      </c>
      <c r="AA81">
        <v>7236</v>
      </c>
      <c r="AB81">
        <f>VLOOKUP(HFrame_List[[#This Row],[lookup]],'Pallet and shipping info'!$A$5:$H$33,6,FALSE)</f>
        <v>9</v>
      </c>
      <c r="AC81">
        <f>VLOOKUP(HFrame_List[[#This Row],[lookup]],'Pallet and shipping info'!$A$5:$H$33,8,FALSE)</f>
        <v>14</v>
      </c>
      <c r="AD81"/>
      <c r="AE81"/>
      <c r="AF81"/>
    </row>
    <row r="82" spans="1:32" x14ac:dyDescent="0.25">
      <c r="A82" s="1" t="s">
        <v>344</v>
      </c>
      <c r="B82" s="1" t="s">
        <v>345</v>
      </c>
      <c r="C82" s="1">
        <f t="shared" si="23"/>
        <v>25.675000000000001</v>
      </c>
      <c r="D82" s="1">
        <f t="shared" si="24"/>
        <v>62.050999999999995</v>
      </c>
      <c r="E82" s="1">
        <v>24</v>
      </c>
      <c r="F82" s="1">
        <v>48</v>
      </c>
      <c r="G82" s="1">
        <f t="shared" si="31"/>
        <v>44.24</v>
      </c>
      <c r="H82" s="1">
        <v>2</v>
      </c>
      <c r="I82" s="1" t="s">
        <v>176</v>
      </c>
      <c r="J82" s="1">
        <v>1</v>
      </c>
      <c r="K82" s="2">
        <f t="shared" si="25"/>
        <v>14.375</v>
      </c>
      <c r="L82" s="1">
        <f t="shared" si="26"/>
        <v>4</v>
      </c>
      <c r="M82" s="1">
        <f t="shared" si="32"/>
        <v>18</v>
      </c>
      <c r="N82" s="1">
        <f t="shared" si="33"/>
        <v>6</v>
      </c>
      <c r="O82" s="3">
        <f t="shared" si="27"/>
        <v>16</v>
      </c>
      <c r="P82" s="1">
        <f t="shared" si="28"/>
        <v>2</v>
      </c>
      <c r="Q82">
        <f t="shared" si="29"/>
        <v>10</v>
      </c>
      <c r="R82">
        <f>_xlfn.XLOOKUP(HFrame_List[[#This Row],[Cross piece style]],$AH$2:$AH$4,$AI$2:$AI$4,0,0)*(HFrame_List[[#This Row],[Width between brackets]]/12)</f>
        <v>20.129200000000001</v>
      </c>
      <c r="S82">
        <f>5.46*(HFrame_List[[#This Row],[cross piece quantity]]-1)*(HFrame_List[[#This Row],[Width between brackets]]/12)</f>
        <v>0</v>
      </c>
      <c r="T82" s="5">
        <f>HFrame_List[[#This Row],[Bottom cross piece cost]]+HFrame_List[[#This Row],[Top cross piece cost]]+HFrame_List[[#This Row],[Component costs]]+HFrame_List[[#This Row],[Vertical strut cost]]</f>
        <v>129.3912</v>
      </c>
      <c r="U82" s="7">
        <f>_xlfn.XLOOKUP(HFrame_List[[#This Row],[Fabrication type]],Fabrication_costs[Fabrication type],Fabrication_costs[unit pricing],"no result",0)</f>
        <v>40.200000000000003</v>
      </c>
      <c r="V82" s="5">
        <f>SUM(T82:U82)/(1-HFrame_List[[#This Row],[Margin]])</f>
        <v>484.54628571428577</v>
      </c>
      <c r="W82" s="36">
        <f t="shared" si="30"/>
        <v>0.65</v>
      </c>
      <c r="X82" t="s">
        <v>196</v>
      </c>
      <c r="Y82">
        <f>_xlfn.XLOOKUP("A12",Strut_costs[size],Strut_costs[Strut cost])/12*HFrame_List[[#This Row],[Strut height (in)]]*(2+HFrame_List[[#This Row],[Extra supports]])</f>
        <v>43.68</v>
      </c>
      <c r="Z82">
        <f>(_xlfn.XLOOKUP("PHB",CADDY_costs[Component],CADDY_costs[Current cost])*HFrame_List[[#This Row],[Number of feet]])+(_xlfn.XLOOKUP("HFRMHDW",CADDY_costs[Component],CADDY_costs[Current cost])*(HFrame_List[[#This Row],[number of L-brackets]]/2))</f>
        <v>65.581999999999994</v>
      </c>
      <c r="AA82">
        <v>2448</v>
      </c>
      <c r="AB82">
        <f>VLOOKUP(HFrame_List[[#This Row],[lookup]],'Pallet and shipping info'!$A$5:$H$33,6,FALSE)</f>
        <v>7</v>
      </c>
      <c r="AC82">
        <f>VLOOKUP(HFrame_List[[#This Row],[lookup]],'Pallet and shipping info'!$A$5:$H$33,8,FALSE)</f>
        <v>10</v>
      </c>
      <c r="AD82"/>
      <c r="AE82"/>
      <c r="AF82"/>
    </row>
    <row r="83" spans="1:32" x14ac:dyDescent="0.25">
      <c r="A83" s="1" t="s">
        <v>346</v>
      </c>
      <c r="B83" s="1" t="s">
        <v>347</v>
      </c>
      <c r="C83" s="1">
        <f t="shared" si="23"/>
        <v>37.674999999999997</v>
      </c>
      <c r="D83" s="1">
        <f t="shared" si="24"/>
        <v>62.050999999999995</v>
      </c>
      <c r="E83" s="1">
        <v>36</v>
      </c>
      <c r="F83" s="1">
        <f t="shared" si="35"/>
        <v>48</v>
      </c>
      <c r="G83" s="1">
        <f t="shared" si="31"/>
        <v>44.24</v>
      </c>
      <c r="H83" s="1">
        <v>2</v>
      </c>
      <c r="I83" s="1" t="s">
        <v>176</v>
      </c>
      <c r="J83" s="1">
        <v>1</v>
      </c>
      <c r="K83" s="2">
        <f t="shared" si="25"/>
        <v>14.375</v>
      </c>
      <c r="L83" s="1">
        <f t="shared" si="26"/>
        <v>4</v>
      </c>
      <c r="M83" s="1">
        <f t="shared" si="32"/>
        <v>18</v>
      </c>
      <c r="N83" s="1">
        <f t="shared" si="33"/>
        <v>6</v>
      </c>
      <c r="O83" s="3">
        <f t="shared" si="27"/>
        <v>22</v>
      </c>
      <c r="P83" s="1">
        <f t="shared" si="28"/>
        <v>3</v>
      </c>
      <c r="Q83">
        <f t="shared" si="29"/>
        <v>10</v>
      </c>
      <c r="R83">
        <f>_xlfn.XLOOKUP(HFrame_List[[#This Row],[Cross piece style]],$AH$2:$AH$4,$AI$2:$AI$4,0,0)*(HFrame_List[[#This Row],[Width between brackets]]/12)</f>
        <v>20.129200000000001</v>
      </c>
      <c r="S83">
        <f>5.46*(HFrame_List[[#This Row],[cross piece quantity]]-1)*(HFrame_List[[#This Row],[Width between brackets]]/12)</f>
        <v>0</v>
      </c>
      <c r="T83" s="5">
        <f>HFrame_List[[#This Row],[Bottom cross piece cost]]+HFrame_List[[#This Row],[Top cross piece cost]]+HFrame_List[[#This Row],[Component costs]]+HFrame_List[[#This Row],[Vertical strut cost]]</f>
        <v>151.2312</v>
      </c>
      <c r="U83" s="7">
        <f>_xlfn.XLOOKUP(HFrame_List[[#This Row],[Fabrication type]],Fabrication_costs[Fabrication type],Fabrication_costs[unit pricing],"no result",0)</f>
        <v>40.200000000000003</v>
      </c>
      <c r="V83" s="5">
        <f>SUM(T83:U83)/(1-HFrame_List[[#This Row],[Margin]])</f>
        <v>546.94628571428575</v>
      </c>
      <c r="W83" s="36">
        <f t="shared" si="30"/>
        <v>0.65</v>
      </c>
      <c r="X83" t="s">
        <v>196</v>
      </c>
      <c r="Y83">
        <f>_xlfn.XLOOKUP("A12",Strut_costs[size],Strut_costs[Strut cost])/12*HFrame_List[[#This Row],[Strut height (in)]]*(2+HFrame_List[[#This Row],[Extra supports]])</f>
        <v>65.52</v>
      </c>
      <c r="Z83">
        <f>(_xlfn.XLOOKUP("PHB",CADDY_costs[Component],CADDY_costs[Current cost])*HFrame_List[[#This Row],[Number of feet]])+(_xlfn.XLOOKUP("HFRMHDW",CADDY_costs[Component],CADDY_costs[Current cost])*(HFrame_List[[#This Row],[number of L-brackets]]/2))</f>
        <v>65.581999999999994</v>
      </c>
      <c r="AA83">
        <v>3648</v>
      </c>
      <c r="AB83">
        <f>VLOOKUP(HFrame_List[[#This Row],[lookup]],'Pallet and shipping info'!$A$5:$H$33,6,FALSE)</f>
        <v>7</v>
      </c>
      <c r="AC83">
        <f>VLOOKUP(HFrame_List[[#This Row],[lookup]],'Pallet and shipping info'!$A$5:$H$33,8,FALSE)</f>
        <v>10</v>
      </c>
      <c r="AD83"/>
      <c r="AE83"/>
      <c r="AF83"/>
    </row>
    <row r="84" spans="1:32" x14ac:dyDescent="0.25">
      <c r="A84" s="1" t="s">
        <v>348</v>
      </c>
      <c r="B84" s="1" t="s">
        <v>349</v>
      </c>
      <c r="C84" s="1">
        <f t="shared" si="23"/>
        <v>49.674999999999997</v>
      </c>
      <c r="D84" s="1">
        <f t="shared" si="24"/>
        <v>62.050999999999995</v>
      </c>
      <c r="E84" s="1">
        <v>48</v>
      </c>
      <c r="F84" s="1">
        <f t="shared" si="35"/>
        <v>48</v>
      </c>
      <c r="G84" s="1">
        <f t="shared" si="31"/>
        <v>44.24</v>
      </c>
      <c r="H84" s="1">
        <v>2</v>
      </c>
      <c r="I84" s="1" t="s">
        <v>176</v>
      </c>
      <c r="J84" s="1">
        <v>1</v>
      </c>
      <c r="K84" s="2">
        <f t="shared" si="25"/>
        <v>14.375</v>
      </c>
      <c r="L84" s="1">
        <f t="shared" si="26"/>
        <v>4</v>
      </c>
      <c r="M84" s="1">
        <f t="shared" si="32"/>
        <v>18</v>
      </c>
      <c r="N84" s="1">
        <f t="shared" si="33"/>
        <v>6</v>
      </c>
      <c r="O84" s="3">
        <f t="shared" si="27"/>
        <v>28</v>
      </c>
      <c r="P84" s="1">
        <f t="shared" si="28"/>
        <v>3</v>
      </c>
      <c r="Q84">
        <f t="shared" si="29"/>
        <v>10</v>
      </c>
      <c r="R84">
        <f>_xlfn.XLOOKUP(HFrame_List[[#This Row],[Cross piece style]],$AH$2:$AH$4,$AI$2:$AI$4,0,0)*(HFrame_List[[#This Row],[Width between brackets]]/12)</f>
        <v>20.129200000000001</v>
      </c>
      <c r="S84">
        <f>5.46*(HFrame_List[[#This Row],[cross piece quantity]]-1)*(HFrame_List[[#This Row],[Width between brackets]]/12)</f>
        <v>0</v>
      </c>
      <c r="T84" s="5">
        <f>HFrame_List[[#This Row],[Bottom cross piece cost]]+HFrame_List[[#This Row],[Top cross piece cost]]+HFrame_List[[#This Row],[Component costs]]+HFrame_List[[#This Row],[Vertical strut cost]]</f>
        <v>173.07119999999998</v>
      </c>
      <c r="U84" s="7">
        <f>_xlfn.XLOOKUP(HFrame_List[[#This Row],[Fabrication type]],Fabrication_costs[Fabrication type],Fabrication_costs[unit pricing],"no result",0)</f>
        <v>40.200000000000003</v>
      </c>
      <c r="V84" s="5">
        <f>SUM(T84:U84)/(1-HFrame_List[[#This Row],[Margin]])</f>
        <v>609.34628571428561</v>
      </c>
      <c r="W84" s="36">
        <f t="shared" si="30"/>
        <v>0.65</v>
      </c>
      <c r="X84" t="s">
        <v>196</v>
      </c>
      <c r="Y84">
        <f>_xlfn.XLOOKUP("A12",Strut_costs[size],Strut_costs[Strut cost])/12*HFrame_List[[#This Row],[Strut height (in)]]*(2+HFrame_List[[#This Row],[Extra supports]])</f>
        <v>87.36</v>
      </c>
      <c r="Z84">
        <f>(_xlfn.XLOOKUP("PHB",CADDY_costs[Component],CADDY_costs[Current cost])*HFrame_List[[#This Row],[Number of feet]])+(_xlfn.XLOOKUP("HFRMHDW",CADDY_costs[Component],CADDY_costs[Current cost])*(HFrame_List[[#This Row],[number of L-brackets]]/2))</f>
        <v>65.581999999999994</v>
      </c>
      <c r="AA84">
        <v>4848</v>
      </c>
      <c r="AB84">
        <f>VLOOKUP(HFrame_List[[#This Row],[lookup]],'Pallet and shipping info'!$A$5:$H$33,6,FALSE)</f>
        <v>7</v>
      </c>
      <c r="AC84">
        <f>VLOOKUP(HFrame_List[[#This Row],[lookup]],'Pallet and shipping info'!$A$5:$H$33,8,FALSE)</f>
        <v>10</v>
      </c>
      <c r="AD84"/>
      <c r="AE84"/>
      <c r="AF84"/>
    </row>
    <row r="85" spans="1:32" x14ac:dyDescent="0.25">
      <c r="A85" s="1" t="s">
        <v>350</v>
      </c>
      <c r="B85" s="1" t="s">
        <v>351</v>
      </c>
      <c r="C85" s="1">
        <f t="shared" si="23"/>
        <v>73.674999999999997</v>
      </c>
      <c r="D85" s="1">
        <f t="shared" si="24"/>
        <v>62.050999999999995</v>
      </c>
      <c r="E85" s="1">
        <v>72</v>
      </c>
      <c r="F85" s="1">
        <f t="shared" si="35"/>
        <v>48</v>
      </c>
      <c r="G85" s="1">
        <f t="shared" si="31"/>
        <v>44.24</v>
      </c>
      <c r="H85" s="1">
        <v>2</v>
      </c>
      <c r="I85" s="1" t="s">
        <v>176</v>
      </c>
      <c r="J85" s="1">
        <v>1</v>
      </c>
      <c r="K85" s="2">
        <f t="shared" si="25"/>
        <v>14.375</v>
      </c>
      <c r="L85" s="1">
        <f t="shared" si="26"/>
        <v>4</v>
      </c>
      <c r="M85" s="1">
        <f t="shared" si="32"/>
        <v>18</v>
      </c>
      <c r="N85" s="1">
        <f t="shared" si="33"/>
        <v>6</v>
      </c>
      <c r="O85" s="3">
        <f t="shared" si="27"/>
        <v>40</v>
      </c>
      <c r="P85" s="1">
        <f t="shared" si="28"/>
        <v>4</v>
      </c>
      <c r="Q85">
        <f t="shared" si="29"/>
        <v>10</v>
      </c>
      <c r="R85">
        <f>_xlfn.XLOOKUP(HFrame_List[[#This Row],[Cross piece style]],$AH$2:$AH$4,$AI$2:$AI$4,0,0)*(HFrame_List[[#This Row],[Width between brackets]]/12)</f>
        <v>20.129200000000001</v>
      </c>
      <c r="S85">
        <f>5.46*(HFrame_List[[#This Row],[cross piece quantity]]-1)*(HFrame_List[[#This Row],[Width between brackets]]/12)</f>
        <v>0</v>
      </c>
      <c r="T85" s="5">
        <f>HFrame_List[[#This Row],[Bottom cross piece cost]]+HFrame_List[[#This Row],[Top cross piece cost]]+HFrame_List[[#This Row],[Component costs]]+HFrame_List[[#This Row],[Vertical strut cost]]</f>
        <v>216.75119999999998</v>
      </c>
      <c r="U85" s="7">
        <f>_xlfn.XLOOKUP(HFrame_List[[#This Row],[Fabrication type]],Fabrication_costs[Fabrication type],Fabrication_costs[unit pricing],"no result",0)</f>
        <v>40.200000000000003</v>
      </c>
      <c r="V85" s="5">
        <f>SUM(T85:U85)/(1-HFrame_List[[#This Row],[Margin]])</f>
        <v>734.14628571428568</v>
      </c>
      <c r="W85" s="36">
        <f t="shared" si="30"/>
        <v>0.65</v>
      </c>
      <c r="X85" t="s">
        <v>196</v>
      </c>
      <c r="Y85">
        <f>_xlfn.XLOOKUP("A12",Strut_costs[size],Strut_costs[Strut cost])/12*HFrame_List[[#This Row],[Strut height (in)]]*(2+HFrame_List[[#This Row],[Extra supports]])</f>
        <v>131.04</v>
      </c>
      <c r="Z85">
        <f>(_xlfn.XLOOKUP("PHB",CADDY_costs[Component],CADDY_costs[Current cost])*HFrame_List[[#This Row],[Number of feet]])+(_xlfn.XLOOKUP("HFRMHDW",CADDY_costs[Component],CADDY_costs[Current cost])*(HFrame_List[[#This Row],[number of L-brackets]]/2))</f>
        <v>65.581999999999994</v>
      </c>
      <c r="AA85">
        <v>7248</v>
      </c>
      <c r="AB85">
        <f>VLOOKUP(HFrame_List[[#This Row],[lookup]],'Pallet and shipping info'!$A$5:$H$33,6,FALSE)</f>
        <v>7</v>
      </c>
      <c r="AC85">
        <f>VLOOKUP(HFrame_List[[#This Row],[lookup]],'Pallet and shipping info'!$A$5:$H$33,8,FALSE)</f>
        <v>10</v>
      </c>
      <c r="AD85"/>
      <c r="AE85"/>
      <c r="AF85"/>
    </row>
    <row r="86" spans="1:32" x14ac:dyDescent="0.25">
      <c r="A86" s="1" t="s">
        <v>352</v>
      </c>
      <c r="B86" s="1" t="s">
        <v>353</v>
      </c>
      <c r="C86" s="1">
        <f t="shared" si="23"/>
        <v>25.675000000000001</v>
      </c>
      <c r="D86" s="1">
        <f t="shared" si="24"/>
        <v>74.051000000000002</v>
      </c>
      <c r="E86" s="1">
        <v>24</v>
      </c>
      <c r="F86" s="1">
        <v>60</v>
      </c>
      <c r="G86" s="1">
        <f t="shared" si="31"/>
        <v>56.24</v>
      </c>
      <c r="H86" s="1">
        <v>2</v>
      </c>
      <c r="I86" s="1" t="s">
        <v>176</v>
      </c>
      <c r="J86" s="1">
        <v>1</v>
      </c>
      <c r="K86" s="2">
        <f t="shared" si="25"/>
        <v>18.375</v>
      </c>
      <c r="L86" s="1">
        <f t="shared" si="26"/>
        <v>4</v>
      </c>
      <c r="M86" s="1">
        <f t="shared" si="32"/>
        <v>18</v>
      </c>
      <c r="N86" s="1">
        <f t="shared" si="33"/>
        <v>6</v>
      </c>
      <c r="O86" s="3">
        <f t="shared" si="27"/>
        <v>17</v>
      </c>
      <c r="P86" s="1">
        <f t="shared" si="28"/>
        <v>2</v>
      </c>
      <c r="Q86">
        <f t="shared" si="29"/>
        <v>10</v>
      </c>
      <c r="R86">
        <f>_xlfn.XLOOKUP(HFrame_List[[#This Row],[Cross piece style]],$AH$2:$AH$4,$AI$2:$AI$4,0,0)*(HFrame_List[[#This Row],[Width between brackets]]/12)</f>
        <v>25.589199999999998</v>
      </c>
      <c r="S86">
        <f>5.46*(HFrame_List[[#This Row],[cross piece quantity]]-1)*(HFrame_List[[#This Row],[Width between brackets]]/12)</f>
        <v>0</v>
      </c>
      <c r="T86" s="5">
        <f>HFrame_List[[#This Row],[Bottom cross piece cost]]+HFrame_List[[#This Row],[Top cross piece cost]]+HFrame_List[[#This Row],[Component costs]]+HFrame_List[[#This Row],[Vertical strut cost]]</f>
        <v>134.85120000000001</v>
      </c>
      <c r="U86" s="7">
        <f>_xlfn.XLOOKUP(HFrame_List[[#This Row],[Fabrication type]],Fabrication_costs[Fabrication type],Fabrication_costs[unit pricing],"no result",0)</f>
        <v>40.200000000000003</v>
      </c>
      <c r="V86" s="5">
        <f>SUM(T86:U86)/(1-HFrame_List[[#This Row],[Margin]])</f>
        <v>500.14628571428574</v>
      </c>
      <c r="W86" s="36">
        <f t="shared" si="30"/>
        <v>0.65</v>
      </c>
      <c r="X86" t="s">
        <v>196</v>
      </c>
      <c r="Y86">
        <f>_xlfn.XLOOKUP("A12",Strut_costs[size],Strut_costs[Strut cost])/12*HFrame_List[[#This Row],[Strut height (in)]]*(2+HFrame_List[[#This Row],[Extra supports]])</f>
        <v>43.68</v>
      </c>
      <c r="Z86">
        <f>(_xlfn.XLOOKUP("PHB",CADDY_costs[Component],CADDY_costs[Current cost])*HFrame_List[[#This Row],[Number of feet]])+(_xlfn.XLOOKUP("HFRMHDW",CADDY_costs[Component],CADDY_costs[Current cost])*(HFrame_List[[#This Row],[number of L-brackets]]/2))</f>
        <v>65.581999999999994</v>
      </c>
      <c r="AA86">
        <v>2460</v>
      </c>
      <c r="AB86" t="str">
        <f>VLOOKUP(HFrame_List[[#This Row],[lookup]],'Pallet and shipping info'!$A$5:$H$33,6,FALSE)</f>
        <v>x</v>
      </c>
      <c r="AC86">
        <f>VLOOKUP(HFrame_List[[#This Row],[lookup]],'Pallet and shipping info'!$A$5:$H$33,8,FALSE)</f>
        <v>7</v>
      </c>
      <c r="AD86"/>
      <c r="AE86"/>
      <c r="AF86"/>
    </row>
    <row r="87" spans="1:32" x14ac:dyDescent="0.25">
      <c r="A87" s="1" t="s">
        <v>354</v>
      </c>
      <c r="B87" s="1" t="s">
        <v>355</v>
      </c>
      <c r="C87" s="1">
        <f t="shared" si="23"/>
        <v>37.674999999999997</v>
      </c>
      <c r="D87" s="1">
        <f t="shared" si="24"/>
        <v>74.051000000000002</v>
      </c>
      <c r="E87" s="1">
        <v>36</v>
      </c>
      <c r="F87" s="1">
        <v>60</v>
      </c>
      <c r="G87" s="1">
        <f t="shared" si="31"/>
        <v>56.24</v>
      </c>
      <c r="H87" s="1">
        <v>2</v>
      </c>
      <c r="I87" s="1" t="s">
        <v>176</v>
      </c>
      <c r="J87" s="1">
        <v>1</v>
      </c>
      <c r="K87" s="2">
        <f t="shared" si="25"/>
        <v>18.375</v>
      </c>
      <c r="L87" s="1">
        <f t="shared" si="26"/>
        <v>4</v>
      </c>
      <c r="M87" s="1">
        <f t="shared" si="32"/>
        <v>18</v>
      </c>
      <c r="N87" s="1">
        <f t="shared" si="33"/>
        <v>6</v>
      </c>
      <c r="O87" s="3">
        <f t="shared" si="27"/>
        <v>23</v>
      </c>
      <c r="P87" s="1">
        <f t="shared" si="28"/>
        <v>3</v>
      </c>
      <c r="Q87">
        <f t="shared" si="29"/>
        <v>10</v>
      </c>
      <c r="R87">
        <f>_xlfn.XLOOKUP(HFrame_List[[#This Row],[Cross piece style]],$AH$2:$AH$4,$AI$2:$AI$4,0,0)*(HFrame_List[[#This Row],[Width between brackets]]/12)</f>
        <v>25.589199999999998</v>
      </c>
      <c r="S87">
        <f>5.46*(HFrame_List[[#This Row],[cross piece quantity]]-1)*(HFrame_List[[#This Row],[Width between brackets]]/12)</f>
        <v>0</v>
      </c>
      <c r="T87" s="5">
        <f>HFrame_List[[#This Row],[Bottom cross piece cost]]+HFrame_List[[#This Row],[Top cross piece cost]]+HFrame_List[[#This Row],[Component costs]]+HFrame_List[[#This Row],[Vertical strut cost]]</f>
        <v>156.69119999999998</v>
      </c>
      <c r="U87" s="7">
        <f>_xlfn.XLOOKUP(HFrame_List[[#This Row],[Fabrication type]],Fabrication_costs[Fabrication type],Fabrication_costs[unit pricing],"no result",0)</f>
        <v>40.200000000000003</v>
      </c>
      <c r="V87" s="5">
        <f>SUM(T87:U87)/(1-HFrame_List[[#This Row],[Margin]])</f>
        <v>562.54628571428566</v>
      </c>
      <c r="W87" s="36">
        <f t="shared" si="30"/>
        <v>0.65</v>
      </c>
      <c r="X87" t="s">
        <v>196</v>
      </c>
      <c r="Y87">
        <f>_xlfn.XLOOKUP("A12",Strut_costs[size],Strut_costs[Strut cost])/12*HFrame_List[[#This Row],[Strut height (in)]]*(2+HFrame_List[[#This Row],[Extra supports]])</f>
        <v>65.52</v>
      </c>
      <c r="Z87">
        <f>(_xlfn.XLOOKUP("PHB",CADDY_costs[Component],CADDY_costs[Current cost])*HFrame_List[[#This Row],[Number of feet]])+(_xlfn.XLOOKUP("HFRMHDW",CADDY_costs[Component],CADDY_costs[Current cost])*(HFrame_List[[#This Row],[number of L-brackets]]/2))</f>
        <v>65.581999999999994</v>
      </c>
      <c r="AA87">
        <v>3660</v>
      </c>
      <c r="AB87" t="str">
        <f>VLOOKUP(HFrame_List[[#This Row],[lookup]],'Pallet and shipping info'!$A$5:$H$33,6,FALSE)</f>
        <v>x</v>
      </c>
      <c r="AC87">
        <f>VLOOKUP(HFrame_List[[#This Row],[lookup]],'Pallet and shipping info'!$A$5:$H$33,8,FALSE)</f>
        <v>7</v>
      </c>
      <c r="AD87"/>
      <c r="AE87"/>
      <c r="AF87"/>
    </row>
    <row r="88" spans="1:32" x14ac:dyDescent="0.25">
      <c r="A88" s="1" t="s">
        <v>356</v>
      </c>
      <c r="B88" s="1" t="s">
        <v>357</v>
      </c>
      <c r="C88" s="1">
        <f t="shared" si="23"/>
        <v>49.674999999999997</v>
      </c>
      <c r="D88" s="1">
        <f t="shared" si="24"/>
        <v>74.051000000000002</v>
      </c>
      <c r="E88" s="1">
        <v>48</v>
      </c>
      <c r="F88" s="1">
        <v>60</v>
      </c>
      <c r="G88" s="1">
        <f t="shared" si="31"/>
        <v>56.24</v>
      </c>
      <c r="H88" s="1">
        <v>2</v>
      </c>
      <c r="I88" s="1" t="s">
        <v>176</v>
      </c>
      <c r="J88" s="1">
        <v>1</v>
      </c>
      <c r="K88" s="2">
        <f t="shared" si="25"/>
        <v>18.375</v>
      </c>
      <c r="L88" s="1">
        <f t="shared" si="26"/>
        <v>4</v>
      </c>
      <c r="M88" s="1">
        <f t="shared" si="32"/>
        <v>18</v>
      </c>
      <c r="N88" s="1">
        <f t="shared" si="33"/>
        <v>6</v>
      </c>
      <c r="O88" s="3">
        <f t="shared" si="27"/>
        <v>29</v>
      </c>
      <c r="P88" s="1">
        <f t="shared" si="28"/>
        <v>3</v>
      </c>
      <c r="Q88">
        <f t="shared" si="29"/>
        <v>10</v>
      </c>
      <c r="R88">
        <f>_xlfn.XLOOKUP(HFrame_List[[#This Row],[Cross piece style]],$AH$2:$AH$4,$AI$2:$AI$4,0,0)*(HFrame_List[[#This Row],[Width between brackets]]/12)</f>
        <v>25.589199999999998</v>
      </c>
      <c r="S88">
        <f>5.46*(HFrame_List[[#This Row],[cross piece quantity]]-1)*(HFrame_List[[#This Row],[Width between brackets]]/12)</f>
        <v>0</v>
      </c>
      <c r="T88" s="5">
        <f>HFrame_List[[#This Row],[Bottom cross piece cost]]+HFrame_List[[#This Row],[Top cross piece cost]]+HFrame_List[[#This Row],[Component costs]]+HFrame_List[[#This Row],[Vertical strut cost]]</f>
        <v>178.53120000000001</v>
      </c>
      <c r="U88" s="7">
        <f>_xlfn.XLOOKUP(HFrame_List[[#This Row],[Fabrication type]],Fabrication_costs[Fabrication type],Fabrication_costs[unit pricing],"no result",0)</f>
        <v>40.200000000000003</v>
      </c>
      <c r="V88" s="5">
        <f>SUM(T88:U88)/(1-HFrame_List[[#This Row],[Margin]])</f>
        <v>624.94628571428575</v>
      </c>
      <c r="W88" s="36">
        <f t="shared" si="30"/>
        <v>0.65</v>
      </c>
      <c r="X88" t="s">
        <v>196</v>
      </c>
      <c r="Y88">
        <f>_xlfn.XLOOKUP("A12",Strut_costs[size],Strut_costs[Strut cost])/12*HFrame_List[[#This Row],[Strut height (in)]]*(2+HFrame_List[[#This Row],[Extra supports]])</f>
        <v>87.36</v>
      </c>
      <c r="Z88">
        <f>(_xlfn.XLOOKUP("PHB",CADDY_costs[Component],CADDY_costs[Current cost])*HFrame_List[[#This Row],[Number of feet]])+(_xlfn.XLOOKUP("HFRMHDW",CADDY_costs[Component],CADDY_costs[Current cost])*(HFrame_List[[#This Row],[number of L-brackets]]/2))</f>
        <v>65.581999999999994</v>
      </c>
      <c r="AA88">
        <v>4860</v>
      </c>
      <c r="AB88" t="str">
        <f>VLOOKUP(HFrame_List[[#This Row],[lookup]],'Pallet and shipping info'!$A$5:$H$33,6,FALSE)</f>
        <v>x</v>
      </c>
      <c r="AC88">
        <f>VLOOKUP(HFrame_List[[#This Row],[lookup]],'Pallet and shipping info'!$A$5:$H$33,8,FALSE)</f>
        <v>7</v>
      </c>
      <c r="AD88"/>
      <c r="AE88"/>
      <c r="AF88"/>
    </row>
    <row r="89" spans="1:32" x14ac:dyDescent="0.25">
      <c r="A89" s="1" t="s">
        <v>358</v>
      </c>
      <c r="B89" s="1" t="s">
        <v>359</v>
      </c>
      <c r="C89" s="1">
        <f t="shared" si="23"/>
        <v>73.674999999999997</v>
      </c>
      <c r="D89" s="1">
        <f t="shared" si="24"/>
        <v>74.051000000000002</v>
      </c>
      <c r="E89" s="1">
        <v>72</v>
      </c>
      <c r="F89" s="1">
        <v>60</v>
      </c>
      <c r="G89" s="1">
        <f t="shared" si="31"/>
        <v>56.24</v>
      </c>
      <c r="H89" s="1">
        <v>2</v>
      </c>
      <c r="I89" s="1" t="s">
        <v>176</v>
      </c>
      <c r="J89" s="1">
        <v>1</v>
      </c>
      <c r="K89" s="2">
        <f t="shared" si="25"/>
        <v>18.375</v>
      </c>
      <c r="L89" s="1">
        <f t="shared" si="26"/>
        <v>4</v>
      </c>
      <c r="M89" s="1">
        <f t="shared" si="32"/>
        <v>18</v>
      </c>
      <c r="N89" s="1">
        <f t="shared" si="33"/>
        <v>6</v>
      </c>
      <c r="O89" s="3">
        <f t="shared" si="27"/>
        <v>41</v>
      </c>
      <c r="P89" s="1">
        <f t="shared" si="28"/>
        <v>5</v>
      </c>
      <c r="Q89">
        <f t="shared" si="29"/>
        <v>10</v>
      </c>
      <c r="R89">
        <f>_xlfn.XLOOKUP(HFrame_List[[#This Row],[Cross piece style]],$AH$2:$AH$4,$AI$2:$AI$4,0,0)*(HFrame_List[[#This Row],[Width between brackets]]/12)</f>
        <v>25.589199999999998</v>
      </c>
      <c r="S89">
        <f>5.46*(HFrame_List[[#This Row],[cross piece quantity]]-1)*(HFrame_List[[#This Row],[Width between brackets]]/12)</f>
        <v>0</v>
      </c>
      <c r="T89" s="5">
        <f>HFrame_List[[#This Row],[Bottom cross piece cost]]+HFrame_List[[#This Row],[Top cross piece cost]]+HFrame_List[[#This Row],[Component costs]]+HFrame_List[[#This Row],[Vertical strut cost]]</f>
        <v>222.21119999999999</v>
      </c>
      <c r="U89" s="7">
        <f>_xlfn.XLOOKUP(HFrame_List[[#This Row],[Fabrication type]],Fabrication_costs[Fabrication type],Fabrication_costs[unit pricing],"no result",0)</f>
        <v>40.200000000000003</v>
      </c>
      <c r="V89" s="5">
        <f>SUM(T89:U89)/(1-HFrame_List[[#This Row],[Margin]])</f>
        <v>749.74628571428582</v>
      </c>
      <c r="W89" s="36">
        <f t="shared" si="30"/>
        <v>0.65</v>
      </c>
      <c r="X89" t="s">
        <v>196</v>
      </c>
      <c r="Y89">
        <f>_xlfn.XLOOKUP("A12",Strut_costs[size],Strut_costs[Strut cost])/12*HFrame_List[[#This Row],[Strut height (in)]]*(2+HFrame_List[[#This Row],[Extra supports]])</f>
        <v>131.04</v>
      </c>
      <c r="Z89">
        <f>(_xlfn.XLOOKUP("PHB",CADDY_costs[Component],CADDY_costs[Current cost])*HFrame_List[[#This Row],[Number of feet]])+(_xlfn.XLOOKUP("HFRMHDW",CADDY_costs[Component],CADDY_costs[Current cost])*(HFrame_List[[#This Row],[number of L-brackets]]/2))</f>
        <v>65.581999999999994</v>
      </c>
      <c r="AA89">
        <v>7260</v>
      </c>
      <c r="AB89" t="str">
        <f>VLOOKUP(HFrame_List[[#This Row],[lookup]],'Pallet and shipping info'!$A$5:$H$33,6,FALSE)</f>
        <v>x</v>
      </c>
      <c r="AC89">
        <f>VLOOKUP(HFrame_List[[#This Row],[lookup]],'Pallet and shipping info'!$A$5:$H$33,8,FALSE)</f>
        <v>7</v>
      </c>
      <c r="AD89"/>
      <c r="AE89"/>
      <c r="AF89"/>
    </row>
    <row r="90" spans="1:32" x14ac:dyDescent="0.25">
      <c r="A90" s="1" t="s">
        <v>360</v>
      </c>
      <c r="B90" s="1" t="s">
        <v>361</v>
      </c>
      <c r="C90" s="1">
        <f t="shared" si="23"/>
        <v>25.675000000000001</v>
      </c>
      <c r="D90" s="1">
        <f t="shared" si="24"/>
        <v>86.051000000000002</v>
      </c>
      <c r="E90" s="1">
        <v>24</v>
      </c>
      <c r="F90" s="1">
        <v>72</v>
      </c>
      <c r="G90" s="1">
        <f t="shared" si="31"/>
        <v>68.239999999999995</v>
      </c>
      <c r="H90" s="1">
        <v>2</v>
      </c>
      <c r="I90" s="1" t="s">
        <v>176</v>
      </c>
      <c r="J90" s="1">
        <v>1</v>
      </c>
      <c r="K90" s="2">
        <f t="shared" si="25"/>
        <v>22.375</v>
      </c>
      <c r="L90" s="1">
        <f t="shared" si="26"/>
        <v>4</v>
      </c>
      <c r="M90" s="1">
        <f t="shared" si="32"/>
        <v>18</v>
      </c>
      <c r="N90" s="1">
        <f t="shared" si="33"/>
        <v>6</v>
      </c>
      <c r="O90" s="3">
        <f t="shared" si="27"/>
        <v>18</v>
      </c>
      <c r="P90" s="1">
        <f t="shared" si="28"/>
        <v>2</v>
      </c>
      <c r="Q90">
        <f t="shared" si="29"/>
        <v>10</v>
      </c>
      <c r="R90">
        <f>_xlfn.XLOOKUP(HFrame_List[[#This Row],[Cross piece style]],$AH$2:$AH$4,$AI$2:$AI$4,0,0)*(HFrame_List[[#This Row],[Width between brackets]]/12)</f>
        <v>31.049199999999999</v>
      </c>
      <c r="S90">
        <f>5.46*(HFrame_List[[#This Row],[cross piece quantity]]-1)*(HFrame_List[[#This Row],[Width between brackets]]/12)</f>
        <v>0</v>
      </c>
      <c r="T90" s="5">
        <f>HFrame_List[[#This Row],[Bottom cross piece cost]]+HFrame_List[[#This Row],[Top cross piece cost]]+HFrame_List[[#This Row],[Component costs]]+HFrame_List[[#This Row],[Vertical strut cost]]</f>
        <v>140.31119999999999</v>
      </c>
      <c r="U90" s="7">
        <f>_xlfn.XLOOKUP(HFrame_List[[#This Row],[Fabrication type]],Fabrication_costs[Fabrication type],Fabrication_costs[unit pricing],"no result",0)</f>
        <v>40.200000000000003</v>
      </c>
      <c r="V90" s="5">
        <f>SUM(T90:U90)/(1-HFrame_List[[#This Row],[Margin]])</f>
        <v>515.7462857142857</v>
      </c>
      <c r="W90" s="36">
        <f t="shared" si="30"/>
        <v>0.65</v>
      </c>
      <c r="X90" t="s">
        <v>196</v>
      </c>
      <c r="Y90">
        <f>_xlfn.XLOOKUP("A12",Strut_costs[size],Strut_costs[Strut cost])/12*HFrame_List[[#This Row],[Strut height (in)]]*(2+HFrame_List[[#This Row],[Extra supports]])</f>
        <v>43.68</v>
      </c>
      <c r="Z90">
        <f>(_xlfn.XLOOKUP("PHB",CADDY_costs[Component],CADDY_costs[Current cost])*HFrame_List[[#This Row],[Number of feet]])+(_xlfn.XLOOKUP("HFRMHDW",CADDY_costs[Component],CADDY_costs[Current cost])*(HFrame_List[[#This Row],[number of L-brackets]]/2))</f>
        <v>65.581999999999994</v>
      </c>
      <c r="AA90">
        <v>2472</v>
      </c>
      <c r="AB90" t="str">
        <f>VLOOKUP(HFrame_List[[#This Row],[lookup]],'Pallet and shipping info'!$A$5:$H$33,6,FALSE)</f>
        <v>x</v>
      </c>
      <c r="AC90">
        <f>VLOOKUP(HFrame_List[[#This Row],[lookup]],'Pallet and shipping info'!$A$5:$H$33,8,FALSE)</f>
        <v>7</v>
      </c>
      <c r="AD90"/>
      <c r="AE90"/>
      <c r="AF90"/>
    </row>
    <row r="91" spans="1:32" x14ac:dyDescent="0.25">
      <c r="A91" s="1" t="s">
        <v>362</v>
      </c>
      <c r="B91" s="1" t="s">
        <v>363</v>
      </c>
      <c r="C91" s="1">
        <f t="shared" si="23"/>
        <v>37.674999999999997</v>
      </c>
      <c r="D91" s="1">
        <f t="shared" si="24"/>
        <v>86.051000000000002</v>
      </c>
      <c r="E91" s="1">
        <v>36</v>
      </c>
      <c r="F91" s="1">
        <v>72</v>
      </c>
      <c r="G91" s="1">
        <f t="shared" si="31"/>
        <v>68.239999999999995</v>
      </c>
      <c r="H91" s="1">
        <v>2</v>
      </c>
      <c r="I91" s="1" t="s">
        <v>176</v>
      </c>
      <c r="J91" s="1">
        <v>1</v>
      </c>
      <c r="K91" s="2">
        <f t="shared" si="25"/>
        <v>22.375</v>
      </c>
      <c r="L91" s="1">
        <f t="shared" si="26"/>
        <v>4</v>
      </c>
      <c r="M91" s="1">
        <f t="shared" si="32"/>
        <v>18</v>
      </c>
      <c r="N91" s="1">
        <f t="shared" si="33"/>
        <v>6</v>
      </c>
      <c r="O91" s="3">
        <f t="shared" si="27"/>
        <v>24</v>
      </c>
      <c r="P91" s="1">
        <f t="shared" si="28"/>
        <v>3</v>
      </c>
      <c r="Q91">
        <f t="shared" si="29"/>
        <v>10</v>
      </c>
      <c r="R91">
        <f>_xlfn.XLOOKUP(HFrame_List[[#This Row],[Cross piece style]],$AH$2:$AH$4,$AI$2:$AI$4,0,0)*(HFrame_List[[#This Row],[Width between brackets]]/12)</f>
        <v>31.049199999999999</v>
      </c>
      <c r="S91">
        <f>5.46*(HFrame_List[[#This Row],[cross piece quantity]]-1)*(HFrame_List[[#This Row],[Width between brackets]]/12)</f>
        <v>0</v>
      </c>
      <c r="T91" s="5">
        <f>HFrame_List[[#This Row],[Bottom cross piece cost]]+HFrame_List[[#This Row],[Top cross piece cost]]+HFrame_List[[#This Row],[Component costs]]+HFrame_List[[#This Row],[Vertical strut cost]]</f>
        <v>162.15119999999999</v>
      </c>
      <c r="U91" s="7">
        <f>_xlfn.XLOOKUP(HFrame_List[[#This Row],[Fabrication type]],Fabrication_costs[Fabrication type],Fabrication_costs[unit pricing],"no result",0)</f>
        <v>40.200000000000003</v>
      </c>
      <c r="V91" s="5">
        <f>SUM(T91:U91)/(1-HFrame_List[[#This Row],[Margin]])</f>
        <v>578.1462857142858</v>
      </c>
      <c r="W91" s="36">
        <f t="shared" si="30"/>
        <v>0.65</v>
      </c>
      <c r="X91" t="s">
        <v>196</v>
      </c>
      <c r="Y91">
        <f>_xlfn.XLOOKUP("A12",Strut_costs[size],Strut_costs[Strut cost])/12*HFrame_List[[#This Row],[Strut height (in)]]*(2+HFrame_List[[#This Row],[Extra supports]])</f>
        <v>65.52</v>
      </c>
      <c r="Z91">
        <f>(_xlfn.XLOOKUP("PHB",CADDY_costs[Component],CADDY_costs[Current cost])*HFrame_List[[#This Row],[Number of feet]])+(_xlfn.XLOOKUP("HFRMHDW",CADDY_costs[Component],CADDY_costs[Current cost])*(HFrame_List[[#This Row],[number of L-brackets]]/2))</f>
        <v>65.581999999999994</v>
      </c>
      <c r="AA91">
        <v>3672</v>
      </c>
      <c r="AB91" t="str">
        <f>VLOOKUP(HFrame_List[[#This Row],[lookup]],'Pallet and shipping info'!$A$5:$H$33,6,FALSE)</f>
        <v>x</v>
      </c>
      <c r="AC91">
        <f>VLOOKUP(HFrame_List[[#This Row],[lookup]],'Pallet and shipping info'!$A$5:$H$33,8,FALSE)</f>
        <v>7</v>
      </c>
      <c r="AD91"/>
      <c r="AE91"/>
      <c r="AF91"/>
    </row>
    <row r="92" spans="1:32" x14ac:dyDescent="0.25">
      <c r="A92" s="1" t="s">
        <v>364</v>
      </c>
      <c r="B92" s="1" t="s">
        <v>365</v>
      </c>
      <c r="C92" s="1">
        <f t="shared" si="23"/>
        <v>49.674999999999997</v>
      </c>
      <c r="D92" s="1">
        <f t="shared" si="24"/>
        <v>86.051000000000002</v>
      </c>
      <c r="E92" s="1">
        <v>48</v>
      </c>
      <c r="F92" s="1">
        <v>72</v>
      </c>
      <c r="G92" s="1">
        <f t="shared" si="31"/>
        <v>68.239999999999995</v>
      </c>
      <c r="H92" s="1">
        <v>2</v>
      </c>
      <c r="I92" s="1" t="s">
        <v>176</v>
      </c>
      <c r="J92" s="1">
        <v>1</v>
      </c>
      <c r="K92" s="2">
        <f t="shared" si="25"/>
        <v>22.375</v>
      </c>
      <c r="L92" s="1">
        <f t="shared" si="26"/>
        <v>4</v>
      </c>
      <c r="M92" s="1">
        <f t="shared" si="32"/>
        <v>18</v>
      </c>
      <c r="N92" s="1">
        <f t="shared" si="33"/>
        <v>6</v>
      </c>
      <c r="O92" s="3">
        <f t="shared" si="27"/>
        <v>30</v>
      </c>
      <c r="P92" s="1">
        <f t="shared" si="28"/>
        <v>3</v>
      </c>
      <c r="Q92">
        <f t="shared" si="29"/>
        <v>10</v>
      </c>
      <c r="R92">
        <f>_xlfn.XLOOKUP(HFrame_List[[#This Row],[Cross piece style]],$AH$2:$AH$4,$AI$2:$AI$4,0,0)*(HFrame_List[[#This Row],[Width between brackets]]/12)</f>
        <v>31.049199999999999</v>
      </c>
      <c r="S92">
        <f>5.46*(HFrame_List[[#This Row],[cross piece quantity]]-1)*(HFrame_List[[#This Row],[Width between brackets]]/12)</f>
        <v>0</v>
      </c>
      <c r="T92" s="5">
        <f>HFrame_List[[#This Row],[Bottom cross piece cost]]+HFrame_List[[#This Row],[Top cross piece cost]]+HFrame_List[[#This Row],[Component costs]]+HFrame_List[[#This Row],[Vertical strut cost]]</f>
        <v>183.99119999999999</v>
      </c>
      <c r="U92" s="7">
        <f>_xlfn.XLOOKUP(HFrame_List[[#This Row],[Fabrication type]],Fabrication_costs[Fabrication type],Fabrication_costs[unit pricing],"no result",0)</f>
        <v>40.200000000000003</v>
      </c>
      <c r="V92" s="5">
        <f>SUM(T92:U92)/(1-HFrame_List[[#This Row],[Margin]])</f>
        <v>640.54628571428566</v>
      </c>
      <c r="W92" s="36">
        <f t="shared" si="30"/>
        <v>0.65</v>
      </c>
      <c r="X92" t="s">
        <v>196</v>
      </c>
      <c r="Y92">
        <f>_xlfn.XLOOKUP("A12",Strut_costs[size],Strut_costs[Strut cost])/12*HFrame_List[[#This Row],[Strut height (in)]]*(2+HFrame_List[[#This Row],[Extra supports]])</f>
        <v>87.36</v>
      </c>
      <c r="Z92">
        <f>(_xlfn.XLOOKUP("PHB",CADDY_costs[Component],CADDY_costs[Current cost])*HFrame_List[[#This Row],[Number of feet]])+(_xlfn.XLOOKUP("HFRMHDW",CADDY_costs[Component],CADDY_costs[Current cost])*(HFrame_List[[#This Row],[number of L-brackets]]/2))</f>
        <v>65.581999999999994</v>
      </c>
      <c r="AA92">
        <v>4872</v>
      </c>
      <c r="AB92" t="str">
        <f>VLOOKUP(HFrame_List[[#This Row],[lookup]],'Pallet and shipping info'!$A$5:$H$33,6,FALSE)</f>
        <v>x</v>
      </c>
      <c r="AC92">
        <f>VLOOKUP(HFrame_List[[#This Row],[lookup]],'Pallet and shipping info'!$A$5:$H$33,8,FALSE)</f>
        <v>7</v>
      </c>
      <c r="AD92"/>
      <c r="AE92"/>
      <c r="AF92"/>
    </row>
    <row r="93" spans="1:32" x14ac:dyDescent="0.25">
      <c r="A93" s="1" t="s">
        <v>366</v>
      </c>
      <c r="B93" s="1" t="s">
        <v>367</v>
      </c>
      <c r="C93" s="1">
        <f t="shared" si="23"/>
        <v>73.674999999999997</v>
      </c>
      <c r="D93" s="1">
        <f t="shared" si="24"/>
        <v>86.051000000000002</v>
      </c>
      <c r="E93" s="1">
        <v>72</v>
      </c>
      <c r="F93" s="1">
        <v>72</v>
      </c>
      <c r="G93" s="1">
        <f t="shared" si="31"/>
        <v>68.239999999999995</v>
      </c>
      <c r="H93" s="1">
        <v>2</v>
      </c>
      <c r="I93" s="1" t="s">
        <v>176</v>
      </c>
      <c r="J93" s="1">
        <v>1</v>
      </c>
      <c r="K93" s="2">
        <f t="shared" si="25"/>
        <v>22.375</v>
      </c>
      <c r="L93" s="1">
        <f t="shared" si="26"/>
        <v>4</v>
      </c>
      <c r="M93" s="1">
        <f t="shared" si="32"/>
        <v>18</v>
      </c>
      <c r="N93" s="1">
        <f t="shared" si="33"/>
        <v>6</v>
      </c>
      <c r="O93" s="3">
        <f t="shared" si="27"/>
        <v>42</v>
      </c>
      <c r="P93" s="1">
        <f t="shared" si="28"/>
        <v>5</v>
      </c>
      <c r="Q93">
        <f t="shared" si="29"/>
        <v>10</v>
      </c>
      <c r="R93">
        <f>_xlfn.XLOOKUP(HFrame_List[[#This Row],[Cross piece style]],$AH$2:$AH$4,$AI$2:$AI$4,0,0)*(HFrame_List[[#This Row],[Width between brackets]]/12)</f>
        <v>31.049199999999999</v>
      </c>
      <c r="S93">
        <f>5.46*(HFrame_List[[#This Row],[cross piece quantity]]-1)*(HFrame_List[[#This Row],[Width between brackets]]/12)</f>
        <v>0</v>
      </c>
      <c r="T93" s="5">
        <f>HFrame_List[[#This Row],[Bottom cross piece cost]]+HFrame_List[[#This Row],[Top cross piece cost]]+HFrame_List[[#This Row],[Component costs]]+HFrame_List[[#This Row],[Vertical strut cost]]</f>
        <v>227.6712</v>
      </c>
      <c r="U93" s="7">
        <f>_xlfn.XLOOKUP(HFrame_List[[#This Row],[Fabrication type]],Fabrication_costs[Fabrication type],Fabrication_costs[unit pricing],"no result",0)</f>
        <v>40.200000000000003</v>
      </c>
      <c r="V93" s="5">
        <f>SUM(T93:U93)/(1-HFrame_List[[#This Row],[Margin]])</f>
        <v>765.34628571428573</v>
      </c>
      <c r="W93" s="36">
        <f t="shared" si="30"/>
        <v>0.65</v>
      </c>
      <c r="X93" t="s">
        <v>196</v>
      </c>
      <c r="Y93">
        <f>_xlfn.XLOOKUP("A12",Strut_costs[size],Strut_costs[Strut cost])/12*HFrame_List[[#This Row],[Strut height (in)]]*(2+HFrame_List[[#This Row],[Extra supports]])</f>
        <v>131.04</v>
      </c>
      <c r="Z93">
        <f>(_xlfn.XLOOKUP("PHB",CADDY_costs[Component],CADDY_costs[Current cost])*HFrame_List[[#This Row],[Number of feet]])+(_xlfn.XLOOKUP("HFRMHDW",CADDY_costs[Component],CADDY_costs[Current cost])*(HFrame_List[[#This Row],[number of L-brackets]]/2))</f>
        <v>65.581999999999994</v>
      </c>
      <c r="AA93">
        <v>7272</v>
      </c>
      <c r="AB93" t="str">
        <f>VLOOKUP(HFrame_List[[#This Row],[lookup]],'Pallet and shipping info'!$A$5:$H$33,6,FALSE)</f>
        <v>x</v>
      </c>
      <c r="AC93">
        <f>VLOOKUP(HFrame_List[[#This Row],[lookup]],'Pallet and shipping info'!$A$5:$H$33,8,FALSE)</f>
        <v>7</v>
      </c>
      <c r="AD93"/>
      <c r="AE93"/>
      <c r="AF93"/>
    </row>
    <row r="94" spans="1:32" x14ac:dyDescent="0.25">
      <c r="A94" s="1" t="s">
        <v>368</v>
      </c>
      <c r="B94" s="1" t="s">
        <v>369</v>
      </c>
      <c r="C94" s="1">
        <f t="shared" si="23"/>
        <v>25.675000000000001</v>
      </c>
      <c r="D94" s="1">
        <f t="shared" si="24"/>
        <v>98.051000000000002</v>
      </c>
      <c r="E94" s="1">
        <v>24</v>
      </c>
      <c r="F94" s="1">
        <v>84</v>
      </c>
      <c r="G94" s="1">
        <f t="shared" si="31"/>
        <v>80.239999999999995</v>
      </c>
      <c r="H94" s="1">
        <v>2</v>
      </c>
      <c r="I94" s="1" t="s">
        <v>176</v>
      </c>
      <c r="J94" s="1">
        <v>1</v>
      </c>
      <c r="K94" s="2">
        <f t="shared" si="25"/>
        <v>26.375</v>
      </c>
      <c r="L94" s="1">
        <f t="shared" si="26"/>
        <v>4</v>
      </c>
      <c r="M94" s="1">
        <f t="shared" si="32"/>
        <v>18</v>
      </c>
      <c r="N94" s="1">
        <f t="shared" si="33"/>
        <v>6</v>
      </c>
      <c r="O94" s="3">
        <f t="shared" si="27"/>
        <v>19</v>
      </c>
      <c r="P94" s="1">
        <f t="shared" si="28"/>
        <v>2</v>
      </c>
      <c r="Q94">
        <f t="shared" si="29"/>
        <v>10</v>
      </c>
      <c r="R94">
        <f>_xlfn.XLOOKUP(HFrame_List[[#This Row],[Cross piece style]],$AH$2:$AH$4,$AI$2:$AI$4,0,0)*(HFrame_List[[#This Row],[Width between brackets]]/12)</f>
        <v>36.5092</v>
      </c>
      <c r="S94">
        <f>5.46*(HFrame_List[[#This Row],[cross piece quantity]]-1)*(HFrame_List[[#This Row],[Width between brackets]]/12)</f>
        <v>0</v>
      </c>
      <c r="T94" s="5">
        <f>HFrame_List[[#This Row],[Bottom cross piece cost]]+HFrame_List[[#This Row],[Top cross piece cost]]+HFrame_List[[#This Row],[Component costs]]+HFrame_List[[#This Row],[Vertical strut cost]]</f>
        <v>145.77119999999999</v>
      </c>
      <c r="U94" s="7">
        <f>_xlfn.XLOOKUP(HFrame_List[[#This Row],[Fabrication type]],Fabrication_costs[Fabrication type],Fabrication_costs[unit pricing],"no result",0)</f>
        <v>40.200000000000003</v>
      </c>
      <c r="V94" s="5">
        <f>SUM(T94:U94)/(1-HFrame_List[[#This Row],[Margin]])</f>
        <v>531.34628571428573</v>
      </c>
      <c r="W94" s="36">
        <f t="shared" si="30"/>
        <v>0.65</v>
      </c>
      <c r="X94" t="s">
        <v>196</v>
      </c>
      <c r="Y94">
        <f>_xlfn.XLOOKUP("A12",Strut_costs[size],Strut_costs[Strut cost])/12*HFrame_List[[#This Row],[Strut height (in)]]*(2+HFrame_List[[#This Row],[Extra supports]])</f>
        <v>43.68</v>
      </c>
      <c r="Z94">
        <f>(_xlfn.XLOOKUP("PHB",CADDY_costs[Component],CADDY_costs[Current cost])*HFrame_List[[#This Row],[Number of feet]])+(_xlfn.XLOOKUP("HFRMHDW",CADDY_costs[Component],CADDY_costs[Current cost])*(HFrame_List[[#This Row],[number of L-brackets]]/2))</f>
        <v>65.581999999999994</v>
      </c>
      <c r="AA94">
        <v>2484</v>
      </c>
      <c r="AB94" t="str">
        <f>VLOOKUP(HFrame_List[[#This Row],[lookup]],'Pallet and shipping info'!$A$5:$H$33,6,FALSE)</f>
        <v>x</v>
      </c>
      <c r="AC94">
        <f>VLOOKUP(HFrame_List[[#This Row],[lookup]],'Pallet and shipping info'!$A$5:$H$33,8,FALSE)</f>
        <v>7</v>
      </c>
      <c r="AD94"/>
      <c r="AE94"/>
      <c r="AF94"/>
    </row>
    <row r="95" spans="1:32" x14ac:dyDescent="0.25">
      <c r="A95" s="1" t="s">
        <v>370</v>
      </c>
      <c r="B95" s="1" t="s">
        <v>371</v>
      </c>
      <c r="C95" s="1">
        <f t="shared" si="23"/>
        <v>37.674999999999997</v>
      </c>
      <c r="D95" s="1">
        <f t="shared" si="24"/>
        <v>98.051000000000002</v>
      </c>
      <c r="E95" s="1">
        <v>36</v>
      </c>
      <c r="F95" s="1">
        <v>84</v>
      </c>
      <c r="G95" s="1">
        <f t="shared" si="31"/>
        <v>80.239999999999995</v>
      </c>
      <c r="H95" s="1">
        <v>2</v>
      </c>
      <c r="I95" s="1" t="s">
        <v>176</v>
      </c>
      <c r="J95" s="1">
        <v>1</v>
      </c>
      <c r="K95" s="2">
        <f t="shared" si="25"/>
        <v>26.375</v>
      </c>
      <c r="L95" s="1">
        <f t="shared" si="26"/>
        <v>4</v>
      </c>
      <c r="M95" s="1">
        <f t="shared" si="32"/>
        <v>18</v>
      </c>
      <c r="N95" s="1">
        <f t="shared" si="33"/>
        <v>6</v>
      </c>
      <c r="O95" s="3">
        <f t="shared" si="27"/>
        <v>25</v>
      </c>
      <c r="P95" s="1">
        <f t="shared" si="28"/>
        <v>3</v>
      </c>
      <c r="Q95">
        <f t="shared" si="29"/>
        <v>10</v>
      </c>
      <c r="R95">
        <f>_xlfn.XLOOKUP(HFrame_List[[#This Row],[Cross piece style]],$AH$2:$AH$4,$AI$2:$AI$4,0,0)*(HFrame_List[[#This Row],[Width between brackets]]/12)</f>
        <v>36.5092</v>
      </c>
      <c r="S95">
        <f>5.46*(HFrame_List[[#This Row],[cross piece quantity]]-1)*(HFrame_List[[#This Row],[Width between brackets]]/12)</f>
        <v>0</v>
      </c>
      <c r="T95" s="5">
        <f>HFrame_List[[#This Row],[Bottom cross piece cost]]+HFrame_List[[#This Row],[Top cross piece cost]]+HFrame_List[[#This Row],[Component costs]]+HFrame_List[[#This Row],[Vertical strut cost]]</f>
        <v>167.6112</v>
      </c>
      <c r="U95" s="7">
        <f>_xlfn.XLOOKUP(HFrame_List[[#This Row],[Fabrication type]],Fabrication_costs[Fabrication type],Fabrication_costs[unit pricing],"no result",0)</f>
        <v>40.200000000000003</v>
      </c>
      <c r="V95" s="5">
        <f>SUM(T95:U95)/(1-HFrame_List[[#This Row],[Margin]])</f>
        <v>593.7462857142857</v>
      </c>
      <c r="W95" s="36">
        <f t="shared" si="30"/>
        <v>0.65</v>
      </c>
      <c r="X95" t="s">
        <v>196</v>
      </c>
      <c r="Y95">
        <f>_xlfn.XLOOKUP("A12",Strut_costs[size],Strut_costs[Strut cost])/12*HFrame_List[[#This Row],[Strut height (in)]]*(2+HFrame_List[[#This Row],[Extra supports]])</f>
        <v>65.52</v>
      </c>
      <c r="Z95">
        <f>(_xlfn.XLOOKUP("PHB",CADDY_costs[Component],CADDY_costs[Current cost])*HFrame_List[[#This Row],[Number of feet]])+(_xlfn.XLOOKUP("HFRMHDW",CADDY_costs[Component],CADDY_costs[Current cost])*(HFrame_List[[#This Row],[number of L-brackets]]/2))</f>
        <v>65.581999999999994</v>
      </c>
      <c r="AA95">
        <v>3684</v>
      </c>
      <c r="AB95" t="str">
        <f>VLOOKUP(HFrame_List[[#This Row],[lookup]],'Pallet and shipping info'!$A$5:$H$33,6,FALSE)</f>
        <v>x</v>
      </c>
      <c r="AC95">
        <f>VLOOKUP(HFrame_List[[#This Row],[lookup]],'Pallet and shipping info'!$A$5:$H$33,8,FALSE)</f>
        <v>7</v>
      </c>
      <c r="AD95"/>
      <c r="AE95"/>
      <c r="AF95"/>
    </row>
    <row r="96" spans="1:32" x14ac:dyDescent="0.25">
      <c r="A96" s="1" t="s">
        <v>372</v>
      </c>
      <c r="B96" s="1" t="s">
        <v>373</v>
      </c>
      <c r="C96" s="1">
        <f t="shared" si="23"/>
        <v>49.674999999999997</v>
      </c>
      <c r="D96" s="1">
        <f t="shared" si="24"/>
        <v>98.051000000000002</v>
      </c>
      <c r="E96" s="1">
        <v>48</v>
      </c>
      <c r="F96" s="1">
        <v>84</v>
      </c>
      <c r="G96" s="1">
        <f t="shared" si="31"/>
        <v>80.239999999999995</v>
      </c>
      <c r="H96" s="1">
        <v>2</v>
      </c>
      <c r="I96" s="1" t="s">
        <v>176</v>
      </c>
      <c r="J96" s="1">
        <v>1</v>
      </c>
      <c r="K96" s="2">
        <f t="shared" si="25"/>
        <v>26.375</v>
      </c>
      <c r="L96" s="1">
        <f t="shared" si="26"/>
        <v>4</v>
      </c>
      <c r="M96" s="1">
        <f t="shared" si="32"/>
        <v>18</v>
      </c>
      <c r="N96" s="1">
        <f t="shared" si="33"/>
        <v>6</v>
      </c>
      <c r="O96" s="3">
        <f t="shared" si="27"/>
        <v>31</v>
      </c>
      <c r="P96" s="1">
        <f t="shared" si="28"/>
        <v>4</v>
      </c>
      <c r="Q96">
        <f t="shared" si="29"/>
        <v>10</v>
      </c>
      <c r="R96">
        <f>_xlfn.XLOOKUP(HFrame_List[[#This Row],[Cross piece style]],$AH$2:$AH$4,$AI$2:$AI$4,0,0)*(HFrame_List[[#This Row],[Width between brackets]]/12)</f>
        <v>36.5092</v>
      </c>
      <c r="S96">
        <f>5.46*(HFrame_List[[#This Row],[cross piece quantity]]-1)*(HFrame_List[[#This Row],[Width between brackets]]/12)</f>
        <v>0</v>
      </c>
      <c r="T96" s="5">
        <f>HFrame_List[[#This Row],[Bottom cross piece cost]]+HFrame_List[[#This Row],[Top cross piece cost]]+HFrame_List[[#This Row],[Component costs]]+HFrame_List[[#This Row],[Vertical strut cost]]</f>
        <v>189.45119999999997</v>
      </c>
      <c r="U96" s="7">
        <f>_xlfn.XLOOKUP(HFrame_List[[#This Row],[Fabrication type]],Fabrication_costs[Fabrication type],Fabrication_costs[unit pricing],"no result",0)</f>
        <v>40.200000000000003</v>
      </c>
      <c r="V96" s="5">
        <f>SUM(T96:U96)/(1-HFrame_List[[#This Row],[Margin]])</f>
        <v>656.14628571428568</v>
      </c>
      <c r="W96" s="36">
        <f t="shared" si="30"/>
        <v>0.65</v>
      </c>
      <c r="X96" t="s">
        <v>196</v>
      </c>
      <c r="Y96">
        <f>_xlfn.XLOOKUP("A12",Strut_costs[size],Strut_costs[Strut cost])/12*HFrame_List[[#This Row],[Strut height (in)]]*(2+HFrame_List[[#This Row],[Extra supports]])</f>
        <v>87.36</v>
      </c>
      <c r="Z96">
        <f>(_xlfn.XLOOKUP("PHB",CADDY_costs[Component],CADDY_costs[Current cost])*HFrame_List[[#This Row],[Number of feet]])+(_xlfn.XLOOKUP("HFRMHDW",CADDY_costs[Component],CADDY_costs[Current cost])*(HFrame_List[[#This Row],[number of L-brackets]]/2))</f>
        <v>65.581999999999994</v>
      </c>
      <c r="AA96">
        <v>4884</v>
      </c>
      <c r="AB96" t="str">
        <f>VLOOKUP(HFrame_List[[#This Row],[lookup]],'Pallet and shipping info'!$A$5:$H$33,6,FALSE)</f>
        <v>x</v>
      </c>
      <c r="AC96">
        <f>VLOOKUP(HFrame_List[[#This Row],[lookup]],'Pallet and shipping info'!$A$5:$H$33,8,FALSE)</f>
        <v>7</v>
      </c>
      <c r="AD96"/>
      <c r="AE96"/>
      <c r="AF96"/>
    </row>
    <row r="97" spans="1:32" x14ac:dyDescent="0.25">
      <c r="A97" s="1" t="s">
        <v>374</v>
      </c>
      <c r="B97" s="1" t="s">
        <v>375</v>
      </c>
      <c r="C97" s="1">
        <f t="shared" si="23"/>
        <v>73.674999999999997</v>
      </c>
      <c r="D97" s="1">
        <f t="shared" si="24"/>
        <v>98.051000000000002</v>
      </c>
      <c r="E97" s="1">
        <v>72</v>
      </c>
      <c r="F97" s="1">
        <v>84</v>
      </c>
      <c r="G97" s="1">
        <f t="shared" si="31"/>
        <v>80.239999999999995</v>
      </c>
      <c r="H97" s="1">
        <v>2</v>
      </c>
      <c r="I97" s="1" t="s">
        <v>176</v>
      </c>
      <c r="J97" s="1">
        <v>1</v>
      </c>
      <c r="K97" s="2">
        <f t="shared" si="25"/>
        <v>26.375</v>
      </c>
      <c r="L97" s="1">
        <f t="shared" si="26"/>
        <v>4</v>
      </c>
      <c r="M97" s="1">
        <f t="shared" si="32"/>
        <v>18</v>
      </c>
      <c r="N97" s="1">
        <f t="shared" si="33"/>
        <v>6</v>
      </c>
      <c r="O97" s="3">
        <f t="shared" si="27"/>
        <v>43</v>
      </c>
      <c r="P97" s="1">
        <f t="shared" si="28"/>
        <v>5</v>
      </c>
      <c r="Q97">
        <f t="shared" si="29"/>
        <v>10</v>
      </c>
      <c r="R97">
        <f>_xlfn.XLOOKUP(HFrame_List[[#This Row],[Cross piece style]],$AH$2:$AH$4,$AI$2:$AI$4,0,0)*(HFrame_List[[#This Row],[Width between brackets]]/12)</f>
        <v>36.5092</v>
      </c>
      <c r="S97">
        <f>5.46*(HFrame_List[[#This Row],[cross piece quantity]]-1)*(HFrame_List[[#This Row],[Width between brackets]]/12)</f>
        <v>0</v>
      </c>
      <c r="T97" s="5">
        <f>HFrame_List[[#This Row],[Bottom cross piece cost]]+HFrame_List[[#This Row],[Top cross piece cost]]+HFrame_List[[#This Row],[Component costs]]+HFrame_List[[#This Row],[Vertical strut cost]]</f>
        <v>233.13119999999998</v>
      </c>
      <c r="U97" s="7">
        <f>_xlfn.XLOOKUP(HFrame_List[[#This Row],[Fabrication type]],Fabrication_costs[Fabrication type],Fabrication_costs[unit pricing],"no result",0)</f>
        <v>40.200000000000003</v>
      </c>
      <c r="V97" s="5">
        <f>SUM(T97:U97)/(1-HFrame_List[[#This Row],[Margin]])</f>
        <v>780.94628571428564</v>
      </c>
      <c r="W97" s="36">
        <f t="shared" si="30"/>
        <v>0.65</v>
      </c>
      <c r="X97" t="s">
        <v>196</v>
      </c>
      <c r="Y97">
        <f>_xlfn.XLOOKUP("A12",Strut_costs[size],Strut_costs[Strut cost])/12*HFrame_List[[#This Row],[Strut height (in)]]*(2+HFrame_List[[#This Row],[Extra supports]])</f>
        <v>131.04</v>
      </c>
      <c r="Z97">
        <f>(_xlfn.XLOOKUP("PHB",CADDY_costs[Component],CADDY_costs[Current cost])*HFrame_List[[#This Row],[Number of feet]])+(_xlfn.XLOOKUP("HFRMHDW",CADDY_costs[Component],CADDY_costs[Current cost])*(HFrame_List[[#This Row],[number of L-brackets]]/2))</f>
        <v>65.581999999999994</v>
      </c>
      <c r="AA97">
        <v>7284</v>
      </c>
      <c r="AB97" t="str">
        <f>VLOOKUP(HFrame_List[[#This Row],[lookup]],'Pallet and shipping info'!$A$5:$H$33,6,FALSE)</f>
        <v>x</v>
      </c>
      <c r="AC97">
        <f>VLOOKUP(HFrame_List[[#This Row],[lookup]],'Pallet and shipping info'!$A$5:$H$33,8,FALSE)</f>
        <v>7</v>
      </c>
      <c r="AD97"/>
      <c r="AE97"/>
      <c r="AF97"/>
    </row>
    <row r="98" spans="1:32" x14ac:dyDescent="0.25">
      <c r="A98" s="1" t="s">
        <v>376</v>
      </c>
      <c r="B98" t="s">
        <v>377</v>
      </c>
      <c r="C98">
        <f t="shared" si="23"/>
        <v>25.675000000000001</v>
      </c>
      <c r="D98">
        <f t="shared" si="24"/>
        <v>34.051000000000002</v>
      </c>
      <c r="E98">
        <v>24</v>
      </c>
      <c r="F98">
        <v>20</v>
      </c>
      <c r="G98">
        <f>F98-(1.88*2)</f>
        <v>16.240000000000002</v>
      </c>
      <c r="H98">
        <v>0</v>
      </c>
      <c r="I98" t="s">
        <v>181</v>
      </c>
      <c r="J98">
        <v>1</v>
      </c>
      <c r="K98" s="6">
        <f t="shared" si="25"/>
        <v>20</v>
      </c>
      <c r="L98">
        <f t="shared" si="26"/>
        <v>2</v>
      </c>
      <c r="M98">
        <f>3*N98</f>
        <v>6</v>
      </c>
      <c r="N98">
        <f>(2+(2*H98))*J98</f>
        <v>2</v>
      </c>
      <c r="O98" s="7">
        <f>((E98*(L98+H98))+(F98*J98))/12</f>
        <v>5.666666666666667</v>
      </c>
      <c r="P98">
        <f t="shared" si="28"/>
        <v>1</v>
      </c>
      <c r="Q98">
        <f t="shared" si="29"/>
        <v>6</v>
      </c>
      <c r="R98">
        <f>_xlfn.XLOOKUP(HFrame_List[[#This Row],[Cross piece style]],$AH$2:$AH$4,$AI$2:$AI$4,0,0)*(HFrame_List[[#This Row],[Width between brackets]]/12)</f>
        <v>18.851933333333335</v>
      </c>
      <c r="S98">
        <f>5.46*(HFrame_List[[#This Row],[cross piece quantity]]-1)*(HFrame_List[[#This Row],[Width between brackets]]/12)</f>
        <v>0</v>
      </c>
      <c r="T98" s="5">
        <f>HFrame_List[[#This Row],[Bottom cross piece cost]]+HFrame_List[[#This Row],[Top cross piece cost]]+HFrame_List[[#This Row],[Component costs]]+HFrame_List[[#This Row],[Vertical strut cost]]</f>
        <v>68.749933333333331</v>
      </c>
      <c r="U98" s="7">
        <f>_xlfn.XLOOKUP(HFrame_List[[#This Row],[Fabrication type]],Fabrication_costs[Fabrication type],Fabrication_costs[unit pricing],"no result",0)</f>
        <v>19.8</v>
      </c>
      <c r="V98" s="5">
        <f>SUM(T98:U98)/(1-HFrame_List[[#This Row],[Margin]])</f>
        <v>252.99980952380952</v>
      </c>
      <c r="W98" s="36">
        <f t="shared" si="30"/>
        <v>0.65</v>
      </c>
      <c r="X98" t="s">
        <v>177</v>
      </c>
      <c r="Y98">
        <f>_xlfn.XLOOKUP("A12",Strut_costs[size],Strut_costs[Strut cost])/12*HFrame_List[[#This Row],[Strut height (in)]]*(2+HFrame_List[[#This Row],[Extra supports]])</f>
        <v>21.84</v>
      </c>
      <c r="Z98">
        <f>(_xlfn.XLOOKUP("PHB",CADDY_costs[Component],CADDY_costs[Current cost])*HFrame_List[[#This Row],[Number of feet]])+(_xlfn.XLOOKUP("HFRMHDW",CADDY_costs[Component],CADDY_costs[Current cost])*(HFrame_List[[#This Row],[number of L-brackets]]/2))</f>
        <v>28.058</v>
      </c>
      <c r="AA98">
        <v>2420</v>
      </c>
      <c r="AB98">
        <f>VLOOKUP(HFrame_List[[#This Row],[lookup]],'Pallet and shipping info'!$A$5:$H$33,6,FALSE)</f>
        <v>11</v>
      </c>
      <c r="AC98">
        <f>VLOOKUP(HFrame_List[[#This Row],[lookup]],'Pallet and shipping info'!$A$5:$H$33,8,FALSE)</f>
        <v>15</v>
      </c>
      <c r="AD98"/>
      <c r="AE98"/>
      <c r="AF98"/>
    </row>
    <row r="99" spans="1:32" x14ac:dyDescent="0.25">
      <c r="A99" s="1" t="s">
        <v>378</v>
      </c>
      <c r="B99" t="s">
        <v>379</v>
      </c>
      <c r="C99">
        <f t="shared" si="23"/>
        <v>37.674999999999997</v>
      </c>
      <c r="D99">
        <f t="shared" si="24"/>
        <v>34.051000000000002</v>
      </c>
      <c r="E99">
        <v>36</v>
      </c>
      <c r="F99">
        <f>F98</f>
        <v>20</v>
      </c>
      <c r="G99">
        <f t="shared" ref="G99:G121" si="36">F99-(1.88*2)</f>
        <v>16.240000000000002</v>
      </c>
      <c r="H99">
        <v>0</v>
      </c>
      <c r="I99" t="s">
        <v>181</v>
      </c>
      <c r="J99">
        <v>1</v>
      </c>
      <c r="K99" s="6">
        <f t="shared" si="25"/>
        <v>20</v>
      </c>
      <c r="L99">
        <f t="shared" si="26"/>
        <v>2</v>
      </c>
      <c r="M99">
        <f t="shared" ref="M99:M121" si="37">3*N99</f>
        <v>6</v>
      </c>
      <c r="N99">
        <f t="shared" ref="N99:N121" si="38">(2+(2*H99))*J99</f>
        <v>2</v>
      </c>
      <c r="O99" s="7">
        <f t="shared" ref="O99:O162" si="39">((E99*(L99+H99))+(F99*J99))/12</f>
        <v>7.666666666666667</v>
      </c>
      <c r="P99">
        <f t="shared" si="28"/>
        <v>1</v>
      </c>
      <c r="Q99">
        <f t="shared" si="29"/>
        <v>6</v>
      </c>
      <c r="R99">
        <f>_xlfn.XLOOKUP(HFrame_List[[#This Row],[Cross piece style]],$AH$2:$AH$4,$AI$2:$AI$4,0,0)*(HFrame_List[[#This Row],[Width between brackets]]/12)</f>
        <v>18.851933333333335</v>
      </c>
      <c r="S99">
        <f>5.46*(HFrame_List[[#This Row],[cross piece quantity]]-1)*(HFrame_List[[#This Row],[Width between brackets]]/12)</f>
        <v>0</v>
      </c>
      <c r="T99" s="5">
        <f>HFrame_List[[#This Row],[Bottom cross piece cost]]+HFrame_List[[#This Row],[Top cross piece cost]]+HFrame_List[[#This Row],[Component costs]]+HFrame_List[[#This Row],[Vertical strut cost]]</f>
        <v>79.669933333333333</v>
      </c>
      <c r="U99" s="7">
        <f>_xlfn.XLOOKUP(HFrame_List[[#This Row],[Fabrication type]],Fabrication_costs[Fabrication type],Fabrication_costs[unit pricing],"no result",0)</f>
        <v>19.8</v>
      </c>
      <c r="V99" s="5">
        <f>SUM(T99:U99)/(1-HFrame_List[[#This Row],[Margin]])</f>
        <v>284.19980952380951</v>
      </c>
      <c r="W99" s="36">
        <f t="shared" si="30"/>
        <v>0.65</v>
      </c>
      <c r="X99" t="s">
        <v>177</v>
      </c>
      <c r="Y99">
        <f>_xlfn.XLOOKUP("A12",Strut_costs[size],Strut_costs[Strut cost])/12*HFrame_List[[#This Row],[Strut height (in)]]*(2+HFrame_List[[#This Row],[Extra supports]])</f>
        <v>32.76</v>
      </c>
      <c r="Z99">
        <f>(_xlfn.XLOOKUP("PHB",CADDY_costs[Component],CADDY_costs[Current cost])*HFrame_List[[#This Row],[Number of feet]])+(_xlfn.XLOOKUP("HFRMHDW",CADDY_costs[Component],CADDY_costs[Current cost])*(HFrame_List[[#This Row],[number of L-brackets]]/2))</f>
        <v>28.058</v>
      </c>
      <c r="AA99">
        <v>3620</v>
      </c>
      <c r="AB99">
        <f>VLOOKUP(HFrame_List[[#This Row],[lookup]],'Pallet and shipping info'!$A$5:$H$33,6,FALSE)</f>
        <v>11</v>
      </c>
      <c r="AC99">
        <f>VLOOKUP(HFrame_List[[#This Row],[lookup]],'Pallet and shipping info'!$A$5:$H$33,8,FALSE)</f>
        <v>15</v>
      </c>
      <c r="AD99"/>
      <c r="AE99"/>
      <c r="AF99"/>
    </row>
    <row r="100" spans="1:32" x14ac:dyDescent="0.25">
      <c r="A100" s="1" t="s">
        <v>380</v>
      </c>
      <c r="B100" t="s">
        <v>381</v>
      </c>
      <c r="C100">
        <f t="shared" si="23"/>
        <v>49.674999999999997</v>
      </c>
      <c r="D100">
        <f t="shared" si="24"/>
        <v>34.051000000000002</v>
      </c>
      <c r="E100">
        <v>48</v>
      </c>
      <c r="F100">
        <f t="shared" ref="F100:F101" si="40">F99</f>
        <v>20</v>
      </c>
      <c r="G100">
        <f t="shared" si="36"/>
        <v>16.240000000000002</v>
      </c>
      <c r="H100">
        <v>0</v>
      </c>
      <c r="I100" t="s">
        <v>181</v>
      </c>
      <c r="J100">
        <v>1</v>
      </c>
      <c r="K100" s="6">
        <f t="shared" si="25"/>
        <v>20</v>
      </c>
      <c r="L100">
        <f t="shared" si="26"/>
        <v>2</v>
      </c>
      <c r="M100">
        <f t="shared" si="37"/>
        <v>6</v>
      </c>
      <c r="N100">
        <f t="shared" si="38"/>
        <v>2</v>
      </c>
      <c r="O100" s="7">
        <f t="shared" si="39"/>
        <v>9.6666666666666661</v>
      </c>
      <c r="P100">
        <f t="shared" si="28"/>
        <v>1</v>
      </c>
      <c r="Q100">
        <f t="shared" si="29"/>
        <v>6</v>
      </c>
      <c r="R100">
        <f>_xlfn.XLOOKUP(HFrame_List[[#This Row],[Cross piece style]],$AH$2:$AH$4,$AI$2:$AI$4,0,0)*(HFrame_List[[#This Row],[Width between brackets]]/12)</f>
        <v>18.851933333333335</v>
      </c>
      <c r="S100">
        <f>5.46*(HFrame_List[[#This Row],[cross piece quantity]]-1)*(HFrame_List[[#This Row],[Width between brackets]]/12)</f>
        <v>0</v>
      </c>
      <c r="T100" s="5">
        <f>HFrame_List[[#This Row],[Bottom cross piece cost]]+HFrame_List[[#This Row],[Top cross piece cost]]+HFrame_List[[#This Row],[Component costs]]+HFrame_List[[#This Row],[Vertical strut cost]]</f>
        <v>90.589933333333335</v>
      </c>
      <c r="U100" s="7">
        <f>_xlfn.XLOOKUP(HFrame_List[[#This Row],[Fabrication type]],Fabrication_costs[Fabrication type],Fabrication_costs[unit pricing],"no result",0)</f>
        <v>19.8</v>
      </c>
      <c r="V100" s="5">
        <f>SUM(T100:U100)/(1-HFrame_List[[#This Row],[Margin]])</f>
        <v>315.39980952380955</v>
      </c>
      <c r="W100" s="36">
        <f t="shared" si="30"/>
        <v>0.65</v>
      </c>
      <c r="X100" t="s">
        <v>177</v>
      </c>
      <c r="Y100">
        <f>_xlfn.XLOOKUP("A12",Strut_costs[size],Strut_costs[Strut cost])/12*HFrame_List[[#This Row],[Strut height (in)]]*(2+HFrame_List[[#This Row],[Extra supports]])</f>
        <v>43.68</v>
      </c>
      <c r="Z100">
        <f>(_xlfn.XLOOKUP("PHB",CADDY_costs[Component],CADDY_costs[Current cost])*HFrame_List[[#This Row],[Number of feet]])+(_xlfn.XLOOKUP("HFRMHDW",CADDY_costs[Component],CADDY_costs[Current cost])*(HFrame_List[[#This Row],[number of L-brackets]]/2))</f>
        <v>28.058</v>
      </c>
      <c r="AA100">
        <v>4820</v>
      </c>
      <c r="AB100">
        <f>VLOOKUP(HFrame_List[[#This Row],[lookup]],'Pallet and shipping info'!$A$5:$H$33,6,FALSE)</f>
        <v>11</v>
      </c>
      <c r="AC100">
        <f>VLOOKUP(HFrame_List[[#This Row],[lookup]],'Pallet and shipping info'!$A$5:$H$33,8,FALSE)</f>
        <v>15</v>
      </c>
      <c r="AD100"/>
      <c r="AE100"/>
      <c r="AF100"/>
    </row>
    <row r="101" spans="1:32" x14ac:dyDescent="0.25">
      <c r="A101" s="1" t="s">
        <v>382</v>
      </c>
      <c r="B101" t="s">
        <v>383</v>
      </c>
      <c r="C101">
        <f t="shared" si="23"/>
        <v>73.674999999999997</v>
      </c>
      <c r="D101">
        <f t="shared" si="24"/>
        <v>34.051000000000002</v>
      </c>
      <c r="E101">
        <v>72</v>
      </c>
      <c r="F101">
        <f t="shared" si="40"/>
        <v>20</v>
      </c>
      <c r="G101">
        <f t="shared" si="36"/>
        <v>16.240000000000002</v>
      </c>
      <c r="H101">
        <v>0</v>
      </c>
      <c r="I101" t="s">
        <v>181</v>
      </c>
      <c r="J101">
        <v>1</v>
      </c>
      <c r="K101" s="6">
        <f t="shared" si="25"/>
        <v>20</v>
      </c>
      <c r="L101">
        <f t="shared" si="26"/>
        <v>2</v>
      </c>
      <c r="M101">
        <f t="shared" si="37"/>
        <v>6</v>
      </c>
      <c r="N101">
        <f t="shared" si="38"/>
        <v>2</v>
      </c>
      <c r="O101" s="7">
        <f t="shared" si="39"/>
        <v>13.666666666666666</v>
      </c>
      <c r="P101">
        <f t="shared" si="28"/>
        <v>2</v>
      </c>
      <c r="Q101">
        <f t="shared" si="29"/>
        <v>6</v>
      </c>
      <c r="R101">
        <f>_xlfn.XLOOKUP(HFrame_List[[#This Row],[Cross piece style]],$AH$2:$AH$4,$AI$2:$AI$4,0,0)*(HFrame_List[[#This Row],[Width between brackets]]/12)</f>
        <v>18.851933333333335</v>
      </c>
      <c r="S101">
        <f>5.46*(HFrame_List[[#This Row],[cross piece quantity]]-1)*(HFrame_List[[#This Row],[Width between brackets]]/12)</f>
        <v>0</v>
      </c>
      <c r="T101" s="5">
        <f>HFrame_List[[#This Row],[Bottom cross piece cost]]+HFrame_List[[#This Row],[Top cross piece cost]]+HFrame_List[[#This Row],[Component costs]]+HFrame_List[[#This Row],[Vertical strut cost]]</f>
        <v>112.42993333333334</v>
      </c>
      <c r="U101" s="7">
        <f>_xlfn.XLOOKUP(HFrame_List[[#This Row],[Fabrication type]],Fabrication_costs[Fabrication type],Fabrication_costs[unit pricing],"no result",0)</f>
        <v>19.8</v>
      </c>
      <c r="V101" s="5">
        <f>SUM(T101:U101)/(1-HFrame_List[[#This Row],[Margin]])</f>
        <v>377.79980952380959</v>
      </c>
      <c r="W101" s="36">
        <f t="shared" si="30"/>
        <v>0.65</v>
      </c>
      <c r="X101" t="s">
        <v>177</v>
      </c>
      <c r="Y101">
        <f>_xlfn.XLOOKUP("A12",Strut_costs[size],Strut_costs[Strut cost])/12*HFrame_List[[#This Row],[Strut height (in)]]*(2+HFrame_List[[#This Row],[Extra supports]])</f>
        <v>65.52</v>
      </c>
      <c r="Z101">
        <f>(_xlfn.XLOOKUP("PHB",CADDY_costs[Component],CADDY_costs[Current cost])*HFrame_List[[#This Row],[Number of feet]])+(_xlfn.XLOOKUP("HFRMHDW",CADDY_costs[Component],CADDY_costs[Current cost])*(HFrame_List[[#This Row],[number of L-brackets]]/2))</f>
        <v>28.058</v>
      </c>
      <c r="AA101">
        <v>7220</v>
      </c>
      <c r="AB101">
        <f>VLOOKUP(HFrame_List[[#This Row],[lookup]],'Pallet and shipping info'!$A$5:$H$33,6,FALSE)</f>
        <v>11</v>
      </c>
      <c r="AC101">
        <f>VLOOKUP(HFrame_List[[#This Row],[lookup]],'Pallet and shipping info'!$A$5:$H$33,8,FALSE)</f>
        <v>15</v>
      </c>
      <c r="AD101"/>
      <c r="AE101"/>
      <c r="AF101"/>
    </row>
    <row r="102" spans="1:32" x14ac:dyDescent="0.25">
      <c r="A102" s="1" t="s">
        <v>384</v>
      </c>
      <c r="B102" t="s">
        <v>385</v>
      </c>
      <c r="C102">
        <f t="shared" si="23"/>
        <v>25.675000000000001</v>
      </c>
      <c r="D102">
        <f t="shared" si="24"/>
        <v>50.050999999999995</v>
      </c>
      <c r="E102">
        <v>24</v>
      </c>
      <c r="F102">
        <v>36</v>
      </c>
      <c r="G102">
        <f t="shared" si="36"/>
        <v>32.24</v>
      </c>
      <c r="H102">
        <v>0</v>
      </c>
      <c r="I102" t="s">
        <v>181</v>
      </c>
      <c r="J102">
        <v>1</v>
      </c>
      <c r="K102" s="6">
        <f t="shared" si="25"/>
        <v>36</v>
      </c>
      <c r="L102">
        <f t="shared" si="26"/>
        <v>2</v>
      </c>
      <c r="M102">
        <f t="shared" si="37"/>
        <v>6</v>
      </c>
      <c r="N102">
        <f t="shared" si="38"/>
        <v>2</v>
      </c>
      <c r="O102" s="7">
        <f t="shared" si="39"/>
        <v>7</v>
      </c>
      <c r="P102">
        <f t="shared" si="28"/>
        <v>1</v>
      </c>
      <c r="Q102">
        <f t="shared" si="29"/>
        <v>6</v>
      </c>
      <c r="R102">
        <f>_xlfn.XLOOKUP(HFrame_List[[#This Row],[Cross piece style]],$AH$2:$AH$4,$AI$2:$AI$4,0,0)*(HFrame_List[[#This Row],[Width between brackets]]/12)</f>
        <v>37.425266666666673</v>
      </c>
      <c r="S102">
        <f>5.46*(HFrame_List[[#This Row],[cross piece quantity]]-1)*(HFrame_List[[#This Row],[Width between brackets]]/12)</f>
        <v>0</v>
      </c>
      <c r="T102" s="5">
        <f>HFrame_List[[#This Row],[Bottom cross piece cost]]+HFrame_List[[#This Row],[Top cross piece cost]]+HFrame_List[[#This Row],[Component costs]]+HFrame_List[[#This Row],[Vertical strut cost]]</f>
        <v>87.323266666666683</v>
      </c>
      <c r="U102" s="7">
        <f>_xlfn.XLOOKUP(HFrame_List[[#This Row],[Fabrication type]],Fabrication_costs[Fabrication type],Fabrication_costs[unit pricing],"no result",0)</f>
        <v>19.8</v>
      </c>
      <c r="V102" s="5">
        <f>SUM(T102:U102)/(1-HFrame_List[[#This Row],[Margin]])</f>
        <v>306.06647619047624</v>
      </c>
      <c r="W102" s="36">
        <f t="shared" si="30"/>
        <v>0.65</v>
      </c>
      <c r="X102" t="s">
        <v>177</v>
      </c>
      <c r="Y102">
        <f>_xlfn.XLOOKUP("A12",Strut_costs[size],Strut_costs[Strut cost])/12*HFrame_List[[#This Row],[Strut height (in)]]*(2+HFrame_List[[#This Row],[Extra supports]])</f>
        <v>21.84</v>
      </c>
      <c r="Z102">
        <f>(_xlfn.XLOOKUP("PHB",CADDY_costs[Component],CADDY_costs[Current cost])*HFrame_List[[#This Row],[Number of feet]])+(_xlfn.XLOOKUP("HFRMHDW",CADDY_costs[Component],CADDY_costs[Current cost])*(HFrame_List[[#This Row],[number of L-brackets]]/2))</f>
        <v>28.058</v>
      </c>
      <c r="AA102">
        <v>2436</v>
      </c>
      <c r="AB102">
        <f>VLOOKUP(HFrame_List[[#This Row],[lookup]],'Pallet and shipping info'!$A$5:$H$33,6,FALSE)</f>
        <v>9</v>
      </c>
      <c r="AC102">
        <f>VLOOKUP(HFrame_List[[#This Row],[lookup]],'Pallet and shipping info'!$A$5:$H$33,8,FALSE)</f>
        <v>14</v>
      </c>
      <c r="AD102"/>
      <c r="AE102"/>
      <c r="AF102"/>
    </row>
    <row r="103" spans="1:32" x14ac:dyDescent="0.25">
      <c r="A103" s="1" t="s">
        <v>386</v>
      </c>
      <c r="B103" t="s">
        <v>387</v>
      </c>
      <c r="C103">
        <f t="shared" si="23"/>
        <v>37.674999999999997</v>
      </c>
      <c r="D103">
        <f t="shared" si="24"/>
        <v>50.050999999999995</v>
      </c>
      <c r="E103">
        <v>36</v>
      </c>
      <c r="F103">
        <f>F102</f>
        <v>36</v>
      </c>
      <c r="G103">
        <f t="shared" si="36"/>
        <v>32.24</v>
      </c>
      <c r="H103">
        <v>0</v>
      </c>
      <c r="I103" t="s">
        <v>181</v>
      </c>
      <c r="J103">
        <v>1</v>
      </c>
      <c r="K103" s="6">
        <f t="shared" si="25"/>
        <v>36</v>
      </c>
      <c r="L103">
        <f t="shared" si="26"/>
        <v>2</v>
      </c>
      <c r="M103">
        <f t="shared" si="37"/>
        <v>6</v>
      </c>
      <c r="N103">
        <f t="shared" si="38"/>
        <v>2</v>
      </c>
      <c r="O103" s="7">
        <f t="shared" si="39"/>
        <v>9</v>
      </c>
      <c r="P103">
        <f t="shared" si="28"/>
        <v>1</v>
      </c>
      <c r="Q103">
        <f t="shared" si="29"/>
        <v>6</v>
      </c>
      <c r="R103">
        <f>_xlfn.XLOOKUP(HFrame_List[[#This Row],[Cross piece style]],$AH$2:$AH$4,$AI$2:$AI$4,0,0)*(HFrame_List[[#This Row],[Width between brackets]]/12)</f>
        <v>37.425266666666673</v>
      </c>
      <c r="S103">
        <f>5.46*(HFrame_List[[#This Row],[cross piece quantity]]-1)*(HFrame_List[[#This Row],[Width between brackets]]/12)</f>
        <v>0</v>
      </c>
      <c r="T103" s="5">
        <f>HFrame_List[[#This Row],[Bottom cross piece cost]]+HFrame_List[[#This Row],[Top cross piece cost]]+HFrame_List[[#This Row],[Component costs]]+HFrame_List[[#This Row],[Vertical strut cost]]</f>
        <v>98.243266666666671</v>
      </c>
      <c r="U103" s="7">
        <f>_xlfn.XLOOKUP(HFrame_List[[#This Row],[Fabrication type]],Fabrication_costs[Fabrication type],Fabrication_costs[unit pricing],"no result",0)</f>
        <v>19.8</v>
      </c>
      <c r="V103" s="5">
        <f>SUM(T103:U103)/(1-HFrame_List[[#This Row],[Margin]])</f>
        <v>337.26647619047623</v>
      </c>
      <c r="W103" s="36">
        <f t="shared" si="30"/>
        <v>0.65</v>
      </c>
      <c r="X103" t="s">
        <v>177</v>
      </c>
      <c r="Y103">
        <f>_xlfn.XLOOKUP("A12",Strut_costs[size],Strut_costs[Strut cost])/12*HFrame_List[[#This Row],[Strut height (in)]]*(2+HFrame_List[[#This Row],[Extra supports]])</f>
        <v>32.76</v>
      </c>
      <c r="Z103">
        <f>(_xlfn.XLOOKUP("PHB",CADDY_costs[Component],CADDY_costs[Current cost])*HFrame_List[[#This Row],[Number of feet]])+(_xlfn.XLOOKUP("HFRMHDW",CADDY_costs[Component],CADDY_costs[Current cost])*(HFrame_List[[#This Row],[number of L-brackets]]/2))</f>
        <v>28.058</v>
      </c>
      <c r="AA103">
        <v>3636</v>
      </c>
      <c r="AB103">
        <f>VLOOKUP(HFrame_List[[#This Row],[lookup]],'Pallet and shipping info'!$A$5:$H$33,6,FALSE)</f>
        <v>9</v>
      </c>
      <c r="AC103">
        <f>VLOOKUP(HFrame_List[[#This Row],[lookup]],'Pallet and shipping info'!$A$5:$H$33,8,FALSE)</f>
        <v>14</v>
      </c>
      <c r="AD103"/>
      <c r="AE103"/>
      <c r="AF103"/>
    </row>
    <row r="104" spans="1:32" x14ac:dyDescent="0.25">
      <c r="A104" s="1" t="s">
        <v>388</v>
      </c>
      <c r="B104" t="s">
        <v>389</v>
      </c>
      <c r="C104">
        <f t="shared" si="23"/>
        <v>49.674999999999997</v>
      </c>
      <c r="D104">
        <f t="shared" si="24"/>
        <v>50.050999999999995</v>
      </c>
      <c r="E104">
        <v>48</v>
      </c>
      <c r="F104">
        <f t="shared" ref="F104:F109" si="41">F103</f>
        <v>36</v>
      </c>
      <c r="G104">
        <f t="shared" si="36"/>
        <v>32.24</v>
      </c>
      <c r="H104">
        <v>0</v>
      </c>
      <c r="I104" t="s">
        <v>181</v>
      </c>
      <c r="J104">
        <v>1</v>
      </c>
      <c r="K104" s="6">
        <f t="shared" si="25"/>
        <v>36</v>
      </c>
      <c r="L104">
        <f t="shared" si="26"/>
        <v>2</v>
      </c>
      <c r="M104">
        <f t="shared" si="37"/>
        <v>6</v>
      </c>
      <c r="N104">
        <f t="shared" si="38"/>
        <v>2</v>
      </c>
      <c r="O104" s="7">
        <f t="shared" si="39"/>
        <v>11</v>
      </c>
      <c r="P104">
        <f t="shared" si="28"/>
        <v>2</v>
      </c>
      <c r="Q104">
        <f t="shared" si="29"/>
        <v>6</v>
      </c>
      <c r="R104">
        <f>_xlfn.XLOOKUP(HFrame_List[[#This Row],[Cross piece style]],$AH$2:$AH$4,$AI$2:$AI$4,0,0)*(HFrame_List[[#This Row],[Width between brackets]]/12)</f>
        <v>37.425266666666673</v>
      </c>
      <c r="S104">
        <f>5.46*(HFrame_List[[#This Row],[cross piece quantity]]-1)*(HFrame_List[[#This Row],[Width between brackets]]/12)</f>
        <v>0</v>
      </c>
      <c r="T104" s="5">
        <f>HFrame_List[[#This Row],[Bottom cross piece cost]]+HFrame_List[[#This Row],[Top cross piece cost]]+HFrame_List[[#This Row],[Component costs]]+HFrame_List[[#This Row],[Vertical strut cost]]</f>
        <v>109.16326666666669</v>
      </c>
      <c r="U104" s="7">
        <f>_xlfn.XLOOKUP(HFrame_List[[#This Row],[Fabrication type]],Fabrication_costs[Fabrication type],Fabrication_costs[unit pricing],"no result",0)</f>
        <v>19.8</v>
      </c>
      <c r="V104" s="5">
        <f>SUM(T104:U104)/(1-HFrame_List[[#This Row],[Margin]])</f>
        <v>368.46647619047633</v>
      </c>
      <c r="W104" s="36">
        <f t="shared" si="30"/>
        <v>0.65</v>
      </c>
      <c r="X104" t="s">
        <v>177</v>
      </c>
      <c r="Y104">
        <f>_xlfn.XLOOKUP("A12",Strut_costs[size],Strut_costs[Strut cost])/12*HFrame_List[[#This Row],[Strut height (in)]]*(2+HFrame_List[[#This Row],[Extra supports]])</f>
        <v>43.68</v>
      </c>
      <c r="Z104">
        <f>(_xlfn.XLOOKUP("PHB",CADDY_costs[Component],CADDY_costs[Current cost])*HFrame_List[[#This Row],[Number of feet]])+(_xlfn.XLOOKUP("HFRMHDW",CADDY_costs[Component],CADDY_costs[Current cost])*(HFrame_List[[#This Row],[number of L-brackets]]/2))</f>
        <v>28.058</v>
      </c>
      <c r="AA104">
        <v>4836</v>
      </c>
      <c r="AB104">
        <f>VLOOKUP(HFrame_List[[#This Row],[lookup]],'Pallet and shipping info'!$A$5:$H$33,6,FALSE)</f>
        <v>9</v>
      </c>
      <c r="AC104">
        <f>VLOOKUP(HFrame_List[[#This Row],[lookup]],'Pallet and shipping info'!$A$5:$H$33,8,FALSE)</f>
        <v>14</v>
      </c>
      <c r="AD104"/>
      <c r="AE104"/>
      <c r="AF104"/>
    </row>
    <row r="105" spans="1:32" x14ac:dyDescent="0.25">
      <c r="A105" s="1" t="s">
        <v>390</v>
      </c>
      <c r="B105" t="s">
        <v>391</v>
      </c>
      <c r="C105">
        <f t="shared" si="23"/>
        <v>73.674999999999997</v>
      </c>
      <c r="D105">
        <f t="shared" si="24"/>
        <v>50.050999999999995</v>
      </c>
      <c r="E105">
        <v>72</v>
      </c>
      <c r="F105">
        <f t="shared" si="41"/>
        <v>36</v>
      </c>
      <c r="G105">
        <f t="shared" si="36"/>
        <v>32.24</v>
      </c>
      <c r="H105">
        <v>0</v>
      </c>
      <c r="I105" t="s">
        <v>181</v>
      </c>
      <c r="J105">
        <v>1</v>
      </c>
      <c r="K105" s="6">
        <f t="shared" si="25"/>
        <v>36</v>
      </c>
      <c r="L105">
        <f t="shared" si="26"/>
        <v>2</v>
      </c>
      <c r="M105">
        <f t="shared" si="37"/>
        <v>6</v>
      </c>
      <c r="N105">
        <f t="shared" si="38"/>
        <v>2</v>
      </c>
      <c r="O105" s="7">
        <f t="shared" si="39"/>
        <v>15</v>
      </c>
      <c r="P105">
        <f t="shared" si="28"/>
        <v>2</v>
      </c>
      <c r="Q105">
        <f t="shared" si="29"/>
        <v>6</v>
      </c>
      <c r="R105">
        <f>_xlfn.XLOOKUP(HFrame_List[[#This Row],[Cross piece style]],$AH$2:$AH$4,$AI$2:$AI$4,0,0)*(HFrame_List[[#This Row],[Width between brackets]]/12)</f>
        <v>37.425266666666673</v>
      </c>
      <c r="S105">
        <f>5.46*(HFrame_List[[#This Row],[cross piece quantity]]-1)*(HFrame_List[[#This Row],[Width between brackets]]/12)</f>
        <v>0</v>
      </c>
      <c r="T105" s="5">
        <f>HFrame_List[[#This Row],[Bottom cross piece cost]]+HFrame_List[[#This Row],[Top cross piece cost]]+HFrame_List[[#This Row],[Component costs]]+HFrame_List[[#This Row],[Vertical strut cost]]</f>
        <v>131.00326666666666</v>
      </c>
      <c r="U105" s="7">
        <f>_xlfn.XLOOKUP(HFrame_List[[#This Row],[Fabrication type]],Fabrication_costs[Fabrication type],Fabrication_costs[unit pricing],"no result",0)</f>
        <v>19.8</v>
      </c>
      <c r="V105" s="5">
        <f>SUM(T105:U105)/(1-HFrame_List[[#This Row],[Margin]])</f>
        <v>430.86647619047625</v>
      </c>
      <c r="W105" s="36">
        <f t="shared" si="30"/>
        <v>0.65</v>
      </c>
      <c r="X105" t="s">
        <v>177</v>
      </c>
      <c r="Y105">
        <f>_xlfn.XLOOKUP("A12",Strut_costs[size],Strut_costs[Strut cost])/12*HFrame_List[[#This Row],[Strut height (in)]]*(2+HFrame_List[[#This Row],[Extra supports]])</f>
        <v>65.52</v>
      </c>
      <c r="Z105">
        <f>(_xlfn.XLOOKUP("PHB",CADDY_costs[Component],CADDY_costs[Current cost])*HFrame_List[[#This Row],[Number of feet]])+(_xlfn.XLOOKUP("HFRMHDW",CADDY_costs[Component],CADDY_costs[Current cost])*(HFrame_List[[#This Row],[number of L-brackets]]/2))</f>
        <v>28.058</v>
      </c>
      <c r="AA105">
        <v>7236</v>
      </c>
      <c r="AB105">
        <f>VLOOKUP(HFrame_List[[#This Row],[lookup]],'Pallet and shipping info'!$A$5:$H$33,6,FALSE)</f>
        <v>9</v>
      </c>
      <c r="AC105">
        <f>VLOOKUP(HFrame_List[[#This Row],[lookup]],'Pallet and shipping info'!$A$5:$H$33,8,FALSE)</f>
        <v>14</v>
      </c>
      <c r="AD105"/>
      <c r="AE105"/>
      <c r="AF105"/>
    </row>
    <row r="106" spans="1:32" x14ac:dyDescent="0.25">
      <c r="A106" s="1" t="s">
        <v>392</v>
      </c>
      <c r="B106" t="s">
        <v>393</v>
      </c>
      <c r="C106">
        <f t="shared" si="23"/>
        <v>25.675000000000001</v>
      </c>
      <c r="D106">
        <f t="shared" si="24"/>
        <v>62.050999999999995</v>
      </c>
      <c r="E106">
        <v>24</v>
      </c>
      <c r="F106">
        <v>48</v>
      </c>
      <c r="G106">
        <f t="shared" si="36"/>
        <v>44.24</v>
      </c>
      <c r="H106">
        <v>0</v>
      </c>
      <c r="I106" t="s">
        <v>181</v>
      </c>
      <c r="J106">
        <v>1</v>
      </c>
      <c r="K106" s="6">
        <f t="shared" si="25"/>
        <v>48</v>
      </c>
      <c r="L106">
        <f t="shared" si="26"/>
        <v>2</v>
      </c>
      <c r="M106">
        <f t="shared" si="37"/>
        <v>6</v>
      </c>
      <c r="N106">
        <f t="shared" si="38"/>
        <v>2</v>
      </c>
      <c r="O106" s="7">
        <f t="shared" si="39"/>
        <v>8</v>
      </c>
      <c r="P106">
        <f t="shared" si="28"/>
        <v>1</v>
      </c>
      <c r="Q106">
        <f t="shared" si="29"/>
        <v>6</v>
      </c>
      <c r="R106">
        <f>_xlfn.XLOOKUP(HFrame_List[[#This Row],[Cross piece style]],$AH$2:$AH$4,$AI$2:$AI$4,0,0)*(HFrame_List[[#This Row],[Width between brackets]]/12)</f>
        <v>51.355266666666672</v>
      </c>
      <c r="S106">
        <f>5.46*(HFrame_List[[#This Row],[cross piece quantity]]-1)*(HFrame_List[[#This Row],[Width between brackets]]/12)</f>
        <v>0</v>
      </c>
      <c r="T106" s="5">
        <f>HFrame_List[[#This Row],[Bottom cross piece cost]]+HFrame_List[[#This Row],[Top cross piece cost]]+HFrame_List[[#This Row],[Component costs]]+HFrame_List[[#This Row],[Vertical strut cost]]</f>
        <v>101.25326666666668</v>
      </c>
      <c r="U106" s="7">
        <f>_xlfn.XLOOKUP(HFrame_List[[#This Row],[Fabrication type]],Fabrication_costs[Fabrication type],Fabrication_costs[unit pricing],"no result",0)</f>
        <v>19.8</v>
      </c>
      <c r="V106" s="5">
        <f>SUM(T106:U106)/(1-HFrame_List[[#This Row],[Margin]])</f>
        <v>345.86647619047625</v>
      </c>
      <c r="W106" s="36">
        <f t="shared" si="30"/>
        <v>0.65</v>
      </c>
      <c r="X106" t="s">
        <v>177</v>
      </c>
      <c r="Y106">
        <f>_xlfn.XLOOKUP("A12",Strut_costs[size],Strut_costs[Strut cost])/12*HFrame_List[[#This Row],[Strut height (in)]]*(2+HFrame_List[[#This Row],[Extra supports]])</f>
        <v>21.84</v>
      </c>
      <c r="Z106">
        <f>(_xlfn.XLOOKUP("PHB",CADDY_costs[Component],CADDY_costs[Current cost])*HFrame_List[[#This Row],[Number of feet]])+(_xlfn.XLOOKUP("HFRMHDW",CADDY_costs[Component],CADDY_costs[Current cost])*(HFrame_List[[#This Row],[number of L-brackets]]/2))</f>
        <v>28.058</v>
      </c>
      <c r="AA106">
        <v>2448</v>
      </c>
      <c r="AB106">
        <f>VLOOKUP(HFrame_List[[#This Row],[lookup]],'Pallet and shipping info'!$A$5:$H$33,6,FALSE)</f>
        <v>7</v>
      </c>
      <c r="AC106">
        <f>VLOOKUP(HFrame_List[[#This Row],[lookup]],'Pallet and shipping info'!$A$5:$H$33,8,FALSE)</f>
        <v>10</v>
      </c>
      <c r="AD106"/>
      <c r="AE106"/>
      <c r="AF106"/>
    </row>
    <row r="107" spans="1:32" x14ac:dyDescent="0.25">
      <c r="A107" s="1" t="s">
        <v>394</v>
      </c>
      <c r="B107" t="s">
        <v>395</v>
      </c>
      <c r="C107">
        <f t="shared" si="23"/>
        <v>37.674999999999997</v>
      </c>
      <c r="D107">
        <f t="shared" si="24"/>
        <v>62.050999999999995</v>
      </c>
      <c r="E107">
        <v>36</v>
      </c>
      <c r="F107">
        <f t="shared" si="41"/>
        <v>48</v>
      </c>
      <c r="G107">
        <f t="shared" si="36"/>
        <v>44.24</v>
      </c>
      <c r="H107">
        <v>0</v>
      </c>
      <c r="I107" t="s">
        <v>181</v>
      </c>
      <c r="J107">
        <v>1</v>
      </c>
      <c r="K107" s="6">
        <f t="shared" si="25"/>
        <v>48</v>
      </c>
      <c r="L107">
        <f t="shared" si="26"/>
        <v>2</v>
      </c>
      <c r="M107">
        <f t="shared" si="37"/>
        <v>6</v>
      </c>
      <c r="N107">
        <f t="shared" si="38"/>
        <v>2</v>
      </c>
      <c r="O107" s="7">
        <f t="shared" si="39"/>
        <v>10</v>
      </c>
      <c r="P107">
        <f t="shared" si="28"/>
        <v>1</v>
      </c>
      <c r="Q107">
        <f t="shared" si="29"/>
        <v>6</v>
      </c>
      <c r="R107">
        <f>_xlfn.XLOOKUP(HFrame_List[[#This Row],[Cross piece style]],$AH$2:$AH$4,$AI$2:$AI$4,0,0)*(HFrame_List[[#This Row],[Width between brackets]]/12)</f>
        <v>51.355266666666672</v>
      </c>
      <c r="S107">
        <f>5.46*(HFrame_List[[#This Row],[cross piece quantity]]-1)*(HFrame_List[[#This Row],[Width between brackets]]/12)</f>
        <v>0</v>
      </c>
      <c r="T107" s="5">
        <f>HFrame_List[[#This Row],[Bottom cross piece cost]]+HFrame_List[[#This Row],[Top cross piece cost]]+HFrame_List[[#This Row],[Component costs]]+HFrame_List[[#This Row],[Vertical strut cost]]</f>
        <v>112.17326666666668</v>
      </c>
      <c r="U107" s="7">
        <f>_xlfn.XLOOKUP(HFrame_List[[#This Row],[Fabrication type]],Fabrication_costs[Fabrication type],Fabrication_costs[unit pricing],"no result",0)</f>
        <v>19.8</v>
      </c>
      <c r="V107" s="5">
        <f>SUM(T107:U107)/(1-HFrame_List[[#This Row],[Margin]])</f>
        <v>377.06647619047629</v>
      </c>
      <c r="W107" s="36">
        <f t="shared" si="30"/>
        <v>0.65</v>
      </c>
      <c r="X107" t="s">
        <v>177</v>
      </c>
      <c r="Y107">
        <f>_xlfn.XLOOKUP("A12",Strut_costs[size],Strut_costs[Strut cost])/12*HFrame_List[[#This Row],[Strut height (in)]]*(2+HFrame_List[[#This Row],[Extra supports]])</f>
        <v>32.76</v>
      </c>
      <c r="Z107">
        <f>(_xlfn.XLOOKUP("PHB",CADDY_costs[Component],CADDY_costs[Current cost])*HFrame_List[[#This Row],[Number of feet]])+(_xlfn.XLOOKUP("HFRMHDW",CADDY_costs[Component],CADDY_costs[Current cost])*(HFrame_List[[#This Row],[number of L-brackets]]/2))</f>
        <v>28.058</v>
      </c>
      <c r="AA107">
        <v>3648</v>
      </c>
      <c r="AB107">
        <f>VLOOKUP(HFrame_List[[#This Row],[lookup]],'Pallet and shipping info'!$A$5:$H$33,6,FALSE)</f>
        <v>7</v>
      </c>
      <c r="AC107">
        <f>VLOOKUP(HFrame_List[[#This Row],[lookup]],'Pallet and shipping info'!$A$5:$H$33,8,FALSE)</f>
        <v>10</v>
      </c>
      <c r="AD107"/>
      <c r="AE107"/>
      <c r="AF107"/>
    </row>
    <row r="108" spans="1:32" x14ac:dyDescent="0.25">
      <c r="A108" s="1" t="s">
        <v>396</v>
      </c>
      <c r="B108" t="s">
        <v>397</v>
      </c>
      <c r="C108">
        <f t="shared" si="23"/>
        <v>49.674999999999997</v>
      </c>
      <c r="D108">
        <f t="shared" si="24"/>
        <v>62.050999999999995</v>
      </c>
      <c r="E108">
        <v>48</v>
      </c>
      <c r="F108">
        <f t="shared" si="41"/>
        <v>48</v>
      </c>
      <c r="G108">
        <f t="shared" si="36"/>
        <v>44.24</v>
      </c>
      <c r="H108">
        <v>0</v>
      </c>
      <c r="I108" t="s">
        <v>181</v>
      </c>
      <c r="J108">
        <v>1</v>
      </c>
      <c r="K108" s="6">
        <f t="shared" si="25"/>
        <v>48</v>
      </c>
      <c r="L108">
        <f t="shared" si="26"/>
        <v>2</v>
      </c>
      <c r="M108">
        <f t="shared" si="37"/>
        <v>6</v>
      </c>
      <c r="N108">
        <f t="shared" si="38"/>
        <v>2</v>
      </c>
      <c r="O108" s="7">
        <f t="shared" si="39"/>
        <v>12</v>
      </c>
      <c r="P108">
        <f t="shared" si="28"/>
        <v>2</v>
      </c>
      <c r="Q108">
        <f t="shared" si="29"/>
        <v>6</v>
      </c>
      <c r="R108">
        <f>_xlfn.XLOOKUP(HFrame_List[[#This Row],[Cross piece style]],$AH$2:$AH$4,$AI$2:$AI$4,0,0)*(HFrame_List[[#This Row],[Width between brackets]]/12)</f>
        <v>51.355266666666672</v>
      </c>
      <c r="S108">
        <f>5.46*(HFrame_List[[#This Row],[cross piece quantity]]-1)*(HFrame_List[[#This Row],[Width between brackets]]/12)</f>
        <v>0</v>
      </c>
      <c r="T108" s="5">
        <f>HFrame_List[[#This Row],[Bottom cross piece cost]]+HFrame_List[[#This Row],[Top cross piece cost]]+HFrame_List[[#This Row],[Component costs]]+HFrame_List[[#This Row],[Vertical strut cost]]</f>
        <v>123.09326666666666</v>
      </c>
      <c r="U108" s="7">
        <f>_xlfn.XLOOKUP(HFrame_List[[#This Row],[Fabrication type]],Fabrication_costs[Fabrication type],Fabrication_costs[unit pricing],"no result",0)</f>
        <v>19.8</v>
      </c>
      <c r="V108" s="5">
        <f>SUM(T108:U108)/(1-HFrame_List[[#This Row],[Margin]])</f>
        <v>408.26647619047623</v>
      </c>
      <c r="W108" s="36">
        <f t="shared" si="30"/>
        <v>0.65</v>
      </c>
      <c r="X108" t="s">
        <v>177</v>
      </c>
      <c r="Y108">
        <f>_xlfn.XLOOKUP("A12",Strut_costs[size],Strut_costs[Strut cost])/12*HFrame_List[[#This Row],[Strut height (in)]]*(2+HFrame_List[[#This Row],[Extra supports]])</f>
        <v>43.68</v>
      </c>
      <c r="Z108">
        <f>(_xlfn.XLOOKUP("PHB",CADDY_costs[Component],CADDY_costs[Current cost])*HFrame_List[[#This Row],[Number of feet]])+(_xlfn.XLOOKUP("HFRMHDW",CADDY_costs[Component],CADDY_costs[Current cost])*(HFrame_List[[#This Row],[number of L-brackets]]/2))</f>
        <v>28.058</v>
      </c>
      <c r="AA108">
        <v>4848</v>
      </c>
      <c r="AB108">
        <f>VLOOKUP(HFrame_List[[#This Row],[lookup]],'Pallet and shipping info'!$A$5:$H$33,6,FALSE)</f>
        <v>7</v>
      </c>
      <c r="AC108">
        <f>VLOOKUP(HFrame_List[[#This Row],[lookup]],'Pallet and shipping info'!$A$5:$H$33,8,FALSE)</f>
        <v>10</v>
      </c>
      <c r="AD108"/>
      <c r="AE108"/>
      <c r="AF108"/>
    </row>
    <row r="109" spans="1:32" x14ac:dyDescent="0.25">
      <c r="A109" s="1" t="s">
        <v>398</v>
      </c>
      <c r="B109" t="s">
        <v>399</v>
      </c>
      <c r="C109">
        <f t="shared" si="23"/>
        <v>73.674999999999997</v>
      </c>
      <c r="D109">
        <f t="shared" si="24"/>
        <v>62.050999999999995</v>
      </c>
      <c r="E109">
        <v>72</v>
      </c>
      <c r="F109">
        <f t="shared" si="41"/>
        <v>48</v>
      </c>
      <c r="G109">
        <f t="shared" si="36"/>
        <v>44.24</v>
      </c>
      <c r="H109">
        <v>0</v>
      </c>
      <c r="I109" t="s">
        <v>181</v>
      </c>
      <c r="J109">
        <v>1</v>
      </c>
      <c r="K109" s="6">
        <f t="shared" si="25"/>
        <v>48</v>
      </c>
      <c r="L109">
        <f t="shared" si="26"/>
        <v>2</v>
      </c>
      <c r="M109">
        <f t="shared" si="37"/>
        <v>6</v>
      </c>
      <c r="N109">
        <f t="shared" si="38"/>
        <v>2</v>
      </c>
      <c r="O109" s="7">
        <f t="shared" si="39"/>
        <v>16</v>
      </c>
      <c r="P109">
        <f t="shared" si="28"/>
        <v>2</v>
      </c>
      <c r="Q109">
        <f t="shared" si="29"/>
        <v>6</v>
      </c>
      <c r="R109">
        <f>_xlfn.XLOOKUP(HFrame_List[[#This Row],[Cross piece style]],$AH$2:$AH$4,$AI$2:$AI$4,0,0)*(HFrame_List[[#This Row],[Width between brackets]]/12)</f>
        <v>51.355266666666672</v>
      </c>
      <c r="S109">
        <f>5.46*(HFrame_List[[#This Row],[cross piece quantity]]-1)*(HFrame_List[[#This Row],[Width between brackets]]/12)</f>
        <v>0</v>
      </c>
      <c r="T109" s="5">
        <f>HFrame_List[[#This Row],[Bottom cross piece cost]]+HFrame_List[[#This Row],[Top cross piece cost]]+HFrame_List[[#This Row],[Component costs]]+HFrame_List[[#This Row],[Vertical strut cost]]</f>
        <v>144.93326666666667</v>
      </c>
      <c r="U109" s="7">
        <f>_xlfn.XLOOKUP(HFrame_List[[#This Row],[Fabrication type]],Fabrication_costs[Fabrication type],Fabrication_costs[unit pricing],"no result",0)</f>
        <v>19.8</v>
      </c>
      <c r="V109" s="5">
        <f>SUM(T109:U109)/(1-HFrame_List[[#This Row],[Margin]])</f>
        <v>470.66647619047626</v>
      </c>
      <c r="W109" s="36">
        <f t="shared" si="30"/>
        <v>0.65</v>
      </c>
      <c r="X109" t="s">
        <v>177</v>
      </c>
      <c r="Y109">
        <f>_xlfn.XLOOKUP("A12",Strut_costs[size],Strut_costs[Strut cost])/12*HFrame_List[[#This Row],[Strut height (in)]]*(2+HFrame_List[[#This Row],[Extra supports]])</f>
        <v>65.52</v>
      </c>
      <c r="Z109">
        <f>(_xlfn.XLOOKUP("PHB",CADDY_costs[Component],CADDY_costs[Current cost])*HFrame_List[[#This Row],[Number of feet]])+(_xlfn.XLOOKUP("HFRMHDW",CADDY_costs[Component],CADDY_costs[Current cost])*(HFrame_List[[#This Row],[number of L-brackets]]/2))</f>
        <v>28.058</v>
      </c>
      <c r="AA109">
        <v>7248</v>
      </c>
      <c r="AB109">
        <f>VLOOKUP(HFrame_List[[#This Row],[lookup]],'Pallet and shipping info'!$A$5:$H$33,6,FALSE)</f>
        <v>7</v>
      </c>
      <c r="AC109">
        <f>VLOOKUP(HFrame_List[[#This Row],[lookup]],'Pallet and shipping info'!$A$5:$H$33,8,FALSE)</f>
        <v>10</v>
      </c>
      <c r="AD109"/>
      <c r="AE109"/>
      <c r="AF109"/>
    </row>
    <row r="110" spans="1:32" x14ac:dyDescent="0.25">
      <c r="A110" s="1" t="s">
        <v>400</v>
      </c>
      <c r="B110" t="s">
        <v>401</v>
      </c>
      <c r="C110">
        <f t="shared" si="23"/>
        <v>25.675000000000001</v>
      </c>
      <c r="D110">
        <f t="shared" si="24"/>
        <v>74.051000000000002</v>
      </c>
      <c r="E110">
        <v>24</v>
      </c>
      <c r="F110">
        <v>60</v>
      </c>
      <c r="G110">
        <f t="shared" si="36"/>
        <v>56.24</v>
      </c>
      <c r="H110">
        <v>0</v>
      </c>
      <c r="I110" t="s">
        <v>181</v>
      </c>
      <c r="J110">
        <v>1</v>
      </c>
      <c r="K110" s="6">
        <f t="shared" si="25"/>
        <v>60</v>
      </c>
      <c r="L110">
        <f t="shared" si="26"/>
        <v>2</v>
      </c>
      <c r="M110">
        <f t="shared" si="37"/>
        <v>6</v>
      </c>
      <c r="N110">
        <f t="shared" si="38"/>
        <v>2</v>
      </c>
      <c r="O110" s="7">
        <f t="shared" si="39"/>
        <v>9</v>
      </c>
      <c r="P110">
        <f t="shared" si="28"/>
        <v>1</v>
      </c>
      <c r="Q110">
        <f t="shared" si="29"/>
        <v>6</v>
      </c>
      <c r="R110">
        <f>_xlfn.XLOOKUP(HFrame_List[[#This Row],[Cross piece style]],$AH$2:$AH$4,$AI$2:$AI$4,0,0)*(HFrame_List[[#This Row],[Width between brackets]]/12)</f>
        <v>65.285266666666658</v>
      </c>
      <c r="S110">
        <f>5.46*(HFrame_List[[#This Row],[cross piece quantity]]-1)*(HFrame_List[[#This Row],[Width between brackets]]/12)</f>
        <v>0</v>
      </c>
      <c r="T110" s="5">
        <f>HFrame_List[[#This Row],[Bottom cross piece cost]]+HFrame_List[[#This Row],[Top cross piece cost]]+HFrame_List[[#This Row],[Component costs]]+HFrame_List[[#This Row],[Vertical strut cost]]</f>
        <v>115.18326666666667</v>
      </c>
      <c r="U110" s="7">
        <f>_xlfn.XLOOKUP(HFrame_List[[#This Row],[Fabrication type]],Fabrication_costs[Fabrication type],Fabrication_costs[unit pricing],"no result",0)</f>
        <v>19.8</v>
      </c>
      <c r="V110" s="5">
        <f>SUM(T110:U110)/(1-HFrame_List[[#This Row],[Margin]])</f>
        <v>385.66647619047626</v>
      </c>
      <c r="W110" s="36">
        <f t="shared" si="30"/>
        <v>0.65</v>
      </c>
      <c r="X110" t="s">
        <v>177</v>
      </c>
      <c r="Y110">
        <f>_xlfn.XLOOKUP("A12",Strut_costs[size],Strut_costs[Strut cost])/12*HFrame_List[[#This Row],[Strut height (in)]]*(2+HFrame_List[[#This Row],[Extra supports]])</f>
        <v>21.84</v>
      </c>
      <c r="Z110">
        <f>(_xlfn.XLOOKUP("PHB",CADDY_costs[Component],CADDY_costs[Current cost])*HFrame_List[[#This Row],[Number of feet]])+(_xlfn.XLOOKUP("HFRMHDW",CADDY_costs[Component],CADDY_costs[Current cost])*(HFrame_List[[#This Row],[number of L-brackets]]/2))</f>
        <v>28.058</v>
      </c>
      <c r="AA110">
        <v>2460</v>
      </c>
      <c r="AB110" t="str">
        <f>VLOOKUP(HFrame_List[[#This Row],[lookup]],'Pallet and shipping info'!$A$5:$H$33,6,FALSE)</f>
        <v>x</v>
      </c>
      <c r="AC110">
        <f>VLOOKUP(HFrame_List[[#This Row],[lookup]],'Pallet and shipping info'!$A$5:$H$33,8,FALSE)</f>
        <v>7</v>
      </c>
      <c r="AD110"/>
      <c r="AE110"/>
      <c r="AF110"/>
    </row>
    <row r="111" spans="1:32" x14ac:dyDescent="0.25">
      <c r="A111" s="1" t="s">
        <v>402</v>
      </c>
      <c r="B111" t="s">
        <v>403</v>
      </c>
      <c r="C111">
        <f t="shared" si="23"/>
        <v>37.674999999999997</v>
      </c>
      <c r="D111">
        <f t="shared" si="24"/>
        <v>74.051000000000002</v>
      </c>
      <c r="E111">
        <v>36</v>
      </c>
      <c r="F111">
        <v>60</v>
      </c>
      <c r="G111">
        <f t="shared" si="36"/>
        <v>56.24</v>
      </c>
      <c r="H111">
        <v>0</v>
      </c>
      <c r="I111" t="s">
        <v>181</v>
      </c>
      <c r="J111">
        <v>1</v>
      </c>
      <c r="K111" s="6">
        <f t="shared" si="25"/>
        <v>60</v>
      </c>
      <c r="L111">
        <f t="shared" si="26"/>
        <v>2</v>
      </c>
      <c r="M111">
        <f t="shared" si="37"/>
        <v>6</v>
      </c>
      <c r="N111">
        <f t="shared" si="38"/>
        <v>2</v>
      </c>
      <c r="O111" s="7">
        <f t="shared" si="39"/>
        <v>11</v>
      </c>
      <c r="P111">
        <f t="shared" si="28"/>
        <v>2</v>
      </c>
      <c r="Q111">
        <f t="shared" si="29"/>
        <v>6</v>
      </c>
      <c r="R111">
        <f>_xlfn.XLOOKUP(HFrame_List[[#This Row],[Cross piece style]],$AH$2:$AH$4,$AI$2:$AI$4,0,0)*(HFrame_List[[#This Row],[Width between brackets]]/12)</f>
        <v>65.285266666666658</v>
      </c>
      <c r="S111">
        <f>5.46*(HFrame_List[[#This Row],[cross piece quantity]]-1)*(HFrame_List[[#This Row],[Width between brackets]]/12)</f>
        <v>0</v>
      </c>
      <c r="T111" s="5">
        <f>HFrame_List[[#This Row],[Bottom cross piece cost]]+HFrame_List[[#This Row],[Top cross piece cost]]+HFrame_List[[#This Row],[Component costs]]+HFrame_List[[#This Row],[Vertical strut cost]]</f>
        <v>126.10326666666666</v>
      </c>
      <c r="U111" s="7">
        <f>_xlfn.XLOOKUP(HFrame_List[[#This Row],[Fabrication type]],Fabrication_costs[Fabrication type],Fabrication_costs[unit pricing],"no result",0)</f>
        <v>19.8</v>
      </c>
      <c r="V111" s="5">
        <f>SUM(T111:U111)/(1-HFrame_List[[#This Row],[Margin]])</f>
        <v>416.86647619047619</v>
      </c>
      <c r="W111" s="36">
        <f t="shared" si="30"/>
        <v>0.65</v>
      </c>
      <c r="X111" t="s">
        <v>177</v>
      </c>
      <c r="Y111">
        <f>_xlfn.XLOOKUP("A12",Strut_costs[size],Strut_costs[Strut cost])/12*HFrame_List[[#This Row],[Strut height (in)]]*(2+HFrame_List[[#This Row],[Extra supports]])</f>
        <v>32.76</v>
      </c>
      <c r="Z111">
        <f>(_xlfn.XLOOKUP("PHB",CADDY_costs[Component],CADDY_costs[Current cost])*HFrame_List[[#This Row],[Number of feet]])+(_xlfn.XLOOKUP("HFRMHDW",CADDY_costs[Component],CADDY_costs[Current cost])*(HFrame_List[[#This Row],[number of L-brackets]]/2))</f>
        <v>28.058</v>
      </c>
      <c r="AA111">
        <v>3660</v>
      </c>
      <c r="AB111" t="str">
        <f>VLOOKUP(HFrame_List[[#This Row],[lookup]],'Pallet and shipping info'!$A$5:$H$33,6,FALSE)</f>
        <v>x</v>
      </c>
      <c r="AC111">
        <f>VLOOKUP(HFrame_List[[#This Row],[lookup]],'Pallet and shipping info'!$A$5:$H$33,8,FALSE)</f>
        <v>7</v>
      </c>
      <c r="AD111"/>
      <c r="AE111"/>
      <c r="AF111"/>
    </row>
    <row r="112" spans="1:32" x14ac:dyDescent="0.25">
      <c r="A112" s="1" t="s">
        <v>404</v>
      </c>
      <c r="B112" t="s">
        <v>405</v>
      </c>
      <c r="C112">
        <f t="shared" si="23"/>
        <v>49.674999999999997</v>
      </c>
      <c r="D112">
        <f t="shared" si="24"/>
        <v>74.051000000000002</v>
      </c>
      <c r="E112">
        <v>48</v>
      </c>
      <c r="F112">
        <v>60</v>
      </c>
      <c r="G112">
        <f t="shared" si="36"/>
        <v>56.24</v>
      </c>
      <c r="H112">
        <v>0</v>
      </c>
      <c r="I112" t="s">
        <v>181</v>
      </c>
      <c r="J112">
        <v>1</v>
      </c>
      <c r="K112" s="6">
        <f t="shared" si="25"/>
        <v>60</v>
      </c>
      <c r="L112">
        <f t="shared" si="26"/>
        <v>2</v>
      </c>
      <c r="M112">
        <f t="shared" si="37"/>
        <v>6</v>
      </c>
      <c r="N112">
        <f t="shared" si="38"/>
        <v>2</v>
      </c>
      <c r="O112" s="7">
        <f t="shared" si="39"/>
        <v>13</v>
      </c>
      <c r="P112">
        <f t="shared" si="28"/>
        <v>2</v>
      </c>
      <c r="Q112">
        <f t="shared" si="29"/>
        <v>6</v>
      </c>
      <c r="R112">
        <f>_xlfn.XLOOKUP(HFrame_List[[#This Row],[Cross piece style]],$AH$2:$AH$4,$AI$2:$AI$4,0,0)*(HFrame_List[[#This Row],[Width between brackets]]/12)</f>
        <v>65.285266666666658</v>
      </c>
      <c r="S112">
        <f>5.46*(HFrame_List[[#This Row],[cross piece quantity]]-1)*(HFrame_List[[#This Row],[Width between brackets]]/12)</f>
        <v>0</v>
      </c>
      <c r="T112" s="5">
        <f>HFrame_List[[#This Row],[Bottom cross piece cost]]+HFrame_List[[#This Row],[Top cross piece cost]]+HFrame_List[[#This Row],[Component costs]]+HFrame_List[[#This Row],[Vertical strut cost]]</f>
        <v>137.02326666666667</v>
      </c>
      <c r="U112" s="7">
        <f>_xlfn.XLOOKUP(HFrame_List[[#This Row],[Fabrication type]],Fabrication_costs[Fabrication type],Fabrication_costs[unit pricing],"no result",0)</f>
        <v>19.8</v>
      </c>
      <c r="V112" s="5">
        <f>SUM(T112:U112)/(1-HFrame_List[[#This Row],[Margin]])</f>
        <v>448.06647619047624</v>
      </c>
      <c r="W112" s="36">
        <f t="shared" si="30"/>
        <v>0.65</v>
      </c>
      <c r="X112" t="s">
        <v>177</v>
      </c>
      <c r="Y112">
        <f>_xlfn.XLOOKUP("A12",Strut_costs[size],Strut_costs[Strut cost])/12*HFrame_List[[#This Row],[Strut height (in)]]*(2+HFrame_List[[#This Row],[Extra supports]])</f>
        <v>43.68</v>
      </c>
      <c r="Z112">
        <f>(_xlfn.XLOOKUP("PHB",CADDY_costs[Component],CADDY_costs[Current cost])*HFrame_List[[#This Row],[Number of feet]])+(_xlfn.XLOOKUP("HFRMHDW",CADDY_costs[Component],CADDY_costs[Current cost])*(HFrame_List[[#This Row],[number of L-brackets]]/2))</f>
        <v>28.058</v>
      </c>
      <c r="AA112">
        <v>4860</v>
      </c>
      <c r="AB112" t="str">
        <f>VLOOKUP(HFrame_List[[#This Row],[lookup]],'Pallet and shipping info'!$A$5:$H$33,6,FALSE)</f>
        <v>x</v>
      </c>
      <c r="AC112">
        <f>VLOOKUP(HFrame_List[[#This Row],[lookup]],'Pallet and shipping info'!$A$5:$H$33,8,FALSE)</f>
        <v>7</v>
      </c>
      <c r="AD112"/>
      <c r="AE112"/>
      <c r="AF112"/>
    </row>
    <row r="113" spans="1:32" x14ac:dyDescent="0.25">
      <c r="A113" s="1" t="s">
        <v>406</v>
      </c>
      <c r="B113" t="s">
        <v>407</v>
      </c>
      <c r="C113">
        <f t="shared" si="23"/>
        <v>73.674999999999997</v>
      </c>
      <c r="D113">
        <f t="shared" si="24"/>
        <v>74.051000000000002</v>
      </c>
      <c r="E113">
        <v>72</v>
      </c>
      <c r="F113">
        <v>60</v>
      </c>
      <c r="G113">
        <f t="shared" si="36"/>
        <v>56.24</v>
      </c>
      <c r="H113">
        <v>0</v>
      </c>
      <c r="I113" t="s">
        <v>181</v>
      </c>
      <c r="J113">
        <v>1</v>
      </c>
      <c r="K113" s="6">
        <f t="shared" si="25"/>
        <v>60</v>
      </c>
      <c r="L113">
        <f t="shared" si="26"/>
        <v>2</v>
      </c>
      <c r="M113">
        <f t="shared" si="37"/>
        <v>6</v>
      </c>
      <c r="N113">
        <f t="shared" si="38"/>
        <v>2</v>
      </c>
      <c r="O113" s="7">
        <f t="shared" si="39"/>
        <v>17</v>
      </c>
      <c r="P113">
        <f t="shared" si="28"/>
        <v>2</v>
      </c>
      <c r="Q113">
        <f t="shared" si="29"/>
        <v>6</v>
      </c>
      <c r="R113">
        <f>_xlfn.XLOOKUP(HFrame_List[[#This Row],[Cross piece style]],$AH$2:$AH$4,$AI$2:$AI$4,0,0)*(HFrame_List[[#This Row],[Width between brackets]]/12)</f>
        <v>65.285266666666658</v>
      </c>
      <c r="S113">
        <f>5.46*(HFrame_List[[#This Row],[cross piece quantity]]-1)*(HFrame_List[[#This Row],[Width between brackets]]/12)</f>
        <v>0</v>
      </c>
      <c r="T113" s="5">
        <f>HFrame_List[[#This Row],[Bottom cross piece cost]]+HFrame_List[[#This Row],[Top cross piece cost]]+HFrame_List[[#This Row],[Component costs]]+HFrame_List[[#This Row],[Vertical strut cost]]</f>
        <v>158.86326666666668</v>
      </c>
      <c r="U113" s="7">
        <f>_xlfn.XLOOKUP(HFrame_List[[#This Row],[Fabrication type]],Fabrication_costs[Fabrication type],Fabrication_costs[unit pricing],"no result",0)</f>
        <v>19.8</v>
      </c>
      <c r="V113" s="5">
        <f>SUM(T113:U113)/(1-HFrame_List[[#This Row],[Margin]])</f>
        <v>510.46647619047627</v>
      </c>
      <c r="W113" s="36">
        <f t="shared" si="30"/>
        <v>0.65</v>
      </c>
      <c r="X113" t="s">
        <v>177</v>
      </c>
      <c r="Y113">
        <f>_xlfn.XLOOKUP("A12",Strut_costs[size],Strut_costs[Strut cost])/12*HFrame_List[[#This Row],[Strut height (in)]]*(2+HFrame_List[[#This Row],[Extra supports]])</f>
        <v>65.52</v>
      </c>
      <c r="Z113">
        <f>(_xlfn.XLOOKUP("PHB",CADDY_costs[Component],CADDY_costs[Current cost])*HFrame_List[[#This Row],[Number of feet]])+(_xlfn.XLOOKUP("HFRMHDW",CADDY_costs[Component],CADDY_costs[Current cost])*(HFrame_List[[#This Row],[number of L-brackets]]/2))</f>
        <v>28.058</v>
      </c>
      <c r="AA113">
        <v>7260</v>
      </c>
      <c r="AB113" t="str">
        <f>VLOOKUP(HFrame_List[[#This Row],[lookup]],'Pallet and shipping info'!$A$5:$H$33,6,FALSE)</f>
        <v>x</v>
      </c>
      <c r="AC113">
        <f>VLOOKUP(HFrame_List[[#This Row],[lookup]],'Pallet and shipping info'!$A$5:$H$33,8,FALSE)</f>
        <v>7</v>
      </c>
      <c r="AD113"/>
      <c r="AE113"/>
      <c r="AF113"/>
    </row>
    <row r="114" spans="1:32" x14ac:dyDescent="0.25">
      <c r="A114" s="1" t="s">
        <v>408</v>
      </c>
      <c r="B114" t="s">
        <v>409</v>
      </c>
      <c r="C114">
        <f t="shared" si="23"/>
        <v>25.675000000000001</v>
      </c>
      <c r="D114">
        <f t="shared" si="24"/>
        <v>86.051000000000002</v>
      </c>
      <c r="E114">
        <v>24</v>
      </c>
      <c r="F114">
        <v>72</v>
      </c>
      <c r="G114">
        <f t="shared" si="36"/>
        <v>68.239999999999995</v>
      </c>
      <c r="H114">
        <v>0</v>
      </c>
      <c r="I114" t="s">
        <v>181</v>
      </c>
      <c r="J114">
        <v>1</v>
      </c>
      <c r="K114" s="6">
        <f t="shared" si="25"/>
        <v>72</v>
      </c>
      <c r="L114">
        <f t="shared" si="26"/>
        <v>2</v>
      </c>
      <c r="M114">
        <f t="shared" si="37"/>
        <v>6</v>
      </c>
      <c r="N114">
        <f t="shared" si="38"/>
        <v>2</v>
      </c>
      <c r="O114" s="7">
        <f t="shared" si="39"/>
        <v>10</v>
      </c>
      <c r="P114">
        <f t="shared" si="28"/>
        <v>1</v>
      </c>
      <c r="Q114">
        <f t="shared" si="29"/>
        <v>6</v>
      </c>
      <c r="R114">
        <f>_xlfn.XLOOKUP(HFrame_List[[#This Row],[Cross piece style]],$AH$2:$AH$4,$AI$2:$AI$4,0,0)*(HFrame_List[[#This Row],[Width between brackets]]/12)</f>
        <v>79.215266666666665</v>
      </c>
      <c r="S114">
        <f>5.46*(HFrame_List[[#This Row],[cross piece quantity]]-1)*(HFrame_List[[#This Row],[Width between brackets]]/12)</f>
        <v>0</v>
      </c>
      <c r="T114" s="5">
        <f>HFrame_List[[#This Row],[Bottom cross piece cost]]+HFrame_List[[#This Row],[Top cross piece cost]]+HFrame_List[[#This Row],[Component costs]]+HFrame_List[[#This Row],[Vertical strut cost]]</f>
        <v>129.11326666666668</v>
      </c>
      <c r="U114" s="7">
        <f>_xlfn.XLOOKUP(HFrame_List[[#This Row],[Fabrication type]],Fabrication_costs[Fabrication type],Fabrication_costs[unit pricing],"no result",0)</f>
        <v>19.8</v>
      </c>
      <c r="V114" s="5">
        <f>SUM(T114:U114)/(1-HFrame_List[[#This Row],[Margin]])</f>
        <v>425.46647619047627</v>
      </c>
      <c r="W114" s="36">
        <f t="shared" si="30"/>
        <v>0.65</v>
      </c>
      <c r="X114" t="s">
        <v>177</v>
      </c>
      <c r="Y114">
        <f>_xlfn.XLOOKUP("A12",Strut_costs[size],Strut_costs[Strut cost])/12*HFrame_List[[#This Row],[Strut height (in)]]*(2+HFrame_List[[#This Row],[Extra supports]])</f>
        <v>21.84</v>
      </c>
      <c r="Z114">
        <f>(_xlfn.XLOOKUP("PHB",CADDY_costs[Component],CADDY_costs[Current cost])*HFrame_List[[#This Row],[Number of feet]])+(_xlfn.XLOOKUP("HFRMHDW",CADDY_costs[Component],CADDY_costs[Current cost])*(HFrame_List[[#This Row],[number of L-brackets]]/2))</f>
        <v>28.058</v>
      </c>
      <c r="AA114">
        <v>2472</v>
      </c>
      <c r="AB114" t="str">
        <f>VLOOKUP(HFrame_List[[#This Row],[lookup]],'Pallet and shipping info'!$A$5:$H$33,6,FALSE)</f>
        <v>x</v>
      </c>
      <c r="AC114">
        <f>VLOOKUP(HFrame_List[[#This Row],[lookup]],'Pallet and shipping info'!$A$5:$H$33,8,FALSE)</f>
        <v>7</v>
      </c>
      <c r="AD114"/>
      <c r="AE114"/>
      <c r="AF114"/>
    </row>
    <row r="115" spans="1:32" x14ac:dyDescent="0.25">
      <c r="A115" s="1" t="s">
        <v>410</v>
      </c>
      <c r="B115" t="s">
        <v>411</v>
      </c>
      <c r="C115">
        <f t="shared" si="23"/>
        <v>37.674999999999997</v>
      </c>
      <c r="D115">
        <f t="shared" si="24"/>
        <v>86.051000000000002</v>
      </c>
      <c r="E115">
        <v>36</v>
      </c>
      <c r="F115">
        <v>72</v>
      </c>
      <c r="G115">
        <f t="shared" si="36"/>
        <v>68.239999999999995</v>
      </c>
      <c r="H115">
        <v>0</v>
      </c>
      <c r="I115" t="s">
        <v>181</v>
      </c>
      <c r="J115">
        <v>1</v>
      </c>
      <c r="K115" s="6">
        <f t="shared" si="25"/>
        <v>72</v>
      </c>
      <c r="L115">
        <f t="shared" si="26"/>
        <v>2</v>
      </c>
      <c r="M115">
        <f t="shared" si="37"/>
        <v>6</v>
      </c>
      <c r="N115">
        <f t="shared" si="38"/>
        <v>2</v>
      </c>
      <c r="O115" s="7">
        <f t="shared" si="39"/>
        <v>12</v>
      </c>
      <c r="P115">
        <f t="shared" si="28"/>
        <v>2</v>
      </c>
      <c r="Q115">
        <f t="shared" si="29"/>
        <v>6</v>
      </c>
      <c r="R115">
        <f>_xlfn.XLOOKUP(HFrame_List[[#This Row],[Cross piece style]],$AH$2:$AH$4,$AI$2:$AI$4,0,0)*(HFrame_List[[#This Row],[Width between brackets]]/12)</f>
        <v>79.215266666666665</v>
      </c>
      <c r="S115">
        <f>5.46*(HFrame_List[[#This Row],[cross piece quantity]]-1)*(HFrame_List[[#This Row],[Width between brackets]]/12)</f>
        <v>0</v>
      </c>
      <c r="T115" s="5">
        <f>HFrame_List[[#This Row],[Bottom cross piece cost]]+HFrame_List[[#This Row],[Top cross piece cost]]+HFrame_List[[#This Row],[Component costs]]+HFrame_List[[#This Row],[Vertical strut cost]]</f>
        <v>140.03326666666666</v>
      </c>
      <c r="U115" s="7">
        <f>_xlfn.XLOOKUP(HFrame_List[[#This Row],[Fabrication type]],Fabrication_costs[Fabrication type],Fabrication_costs[unit pricing],"no result",0)</f>
        <v>19.8</v>
      </c>
      <c r="V115" s="5">
        <f>SUM(T115:U115)/(1-HFrame_List[[#This Row],[Margin]])</f>
        <v>456.66647619047626</v>
      </c>
      <c r="W115" s="36">
        <f t="shared" si="30"/>
        <v>0.65</v>
      </c>
      <c r="X115" t="s">
        <v>177</v>
      </c>
      <c r="Y115">
        <f>_xlfn.XLOOKUP("A12",Strut_costs[size],Strut_costs[Strut cost])/12*HFrame_List[[#This Row],[Strut height (in)]]*(2+HFrame_List[[#This Row],[Extra supports]])</f>
        <v>32.76</v>
      </c>
      <c r="Z115">
        <f>(_xlfn.XLOOKUP("PHB",CADDY_costs[Component],CADDY_costs[Current cost])*HFrame_List[[#This Row],[Number of feet]])+(_xlfn.XLOOKUP("HFRMHDW",CADDY_costs[Component],CADDY_costs[Current cost])*(HFrame_List[[#This Row],[number of L-brackets]]/2))</f>
        <v>28.058</v>
      </c>
      <c r="AA115">
        <v>3672</v>
      </c>
      <c r="AB115" t="str">
        <f>VLOOKUP(HFrame_List[[#This Row],[lookup]],'Pallet and shipping info'!$A$5:$H$33,6,FALSE)</f>
        <v>x</v>
      </c>
      <c r="AC115">
        <f>VLOOKUP(HFrame_List[[#This Row],[lookup]],'Pallet and shipping info'!$A$5:$H$33,8,FALSE)</f>
        <v>7</v>
      </c>
      <c r="AD115"/>
      <c r="AE115"/>
      <c r="AF115"/>
    </row>
    <row r="116" spans="1:32" x14ac:dyDescent="0.25">
      <c r="A116" s="1" t="s">
        <v>412</v>
      </c>
      <c r="B116" t="s">
        <v>413</v>
      </c>
      <c r="C116">
        <f t="shared" si="23"/>
        <v>49.674999999999997</v>
      </c>
      <c r="D116">
        <f t="shared" si="24"/>
        <v>86.051000000000002</v>
      </c>
      <c r="E116">
        <v>48</v>
      </c>
      <c r="F116">
        <v>72</v>
      </c>
      <c r="G116">
        <f t="shared" si="36"/>
        <v>68.239999999999995</v>
      </c>
      <c r="H116">
        <v>0</v>
      </c>
      <c r="I116" t="s">
        <v>181</v>
      </c>
      <c r="J116">
        <v>1</v>
      </c>
      <c r="K116" s="6">
        <f t="shared" si="25"/>
        <v>72</v>
      </c>
      <c r="L116">
        <f t="shared" si="26"/>
        <v>2</v>
      </c>
      <c r="M116">
        <f t="shared" si="37"/>
        <v>6</v>
      </c>
      <c r="N116">
        <f t="shared" si="38"/>
        <v>2</v>
      </c>
      <c r="O116" s="7">
        <f t="shared" si="39"/>
        <v>14</v>
      </c>
      <c r="P116">
        <f t="shared" si="28"/>
        <v>2</v>
      </c>
      <c r="Q116">
        <f t="shared" si="29"/>
        <v>6</v>
      </c>
      <c r="R116">
        <f>_xlfn.XLOOKUP(HFrame_List[[#This Row],[Cross piece style]],$AH$2:$AH$4,$AI$2:$AI$4,0,0)*(HFrame_List[[#This Row],[Width between brackets]]/12)</f>
        <v>79.215266666666665</v>
      </c>
      <c r="S116">
        <f>5.46*(HFrame_List[[#This Row],[cross piece quantity]]-1)*(HFrame_List[[#This Row],[Width between brackets]]/12)</f>
        <v>0</v>
      </c>
      <c r="T116" s="5">
        <f>HFrame_List[[#This Row],[Bottom cross piece cost]]+HFrame_List[[#This Row],[Top cross piece cost]]+HFrame_List[[#This Row],[Component costs]]+HFrame_List[[#This Row],[Vertical strut cost]]</f>
        <v>150.95326666666668</v>
      </c>
      <c r="U116" s="7">
        <f>_xlfn.XLOOKUP(HFrame_List[[#This Row],[Fabrication type]],Fabrication_costs[Fabrication type],Fabrication_costs[unit pricing],"no result",0)</f>
        <v>19.8</v>
      </c>
      <c r="V116" s="5">
        <f>SUM(T116:U116)/(1-HFrame_List[[#This Row],[Margin]])</f>
        <v>487.86647619047631</v>
      </c>
      <c r="W116" s="36">
        <f t="shared" si="30"/>
        <v>0.65</v>
      </c>
      <c r="X116" t="s">
        <v>177</v>
      </c>
      <c r="Y116">
        <f>_xlfn.XLOOKUP("A12",Strut_costs[size],Strut_costs[Strut cost])/12*HFrame_List[[#This Row],[Strut height (in)]]*(2+HFrame_List[[#This Row],[Extra supports]])</f>
        <v>43.68</v>
      </c>
      <c r="Z116">
        <f>(_xlfn.XLOOKUP("PHB",CADDY_costs[Component],CADDY_costs[Current cost])*HFrame_List[[#This Row],[Number of feet]])+(_xlfn.XLOOKUP("HFRMHDW",CADDY_costs[Component],CADDY_costs[Current cost])*(HFrame_List[[#This Row],[number of L-brackets]]/2))</f>
        <v>28.058</v>
      </c>
      <c r="AA116">
        <v>4872</v>
      </c>
      <c r="AB116" t="str">
        <f>VLOOKUP(HFrame_List[[#This Row],[lookup]],'Pallet and shipping info'!$A$5:$H$33,6,FALSE)</f>
        <v>x</v>
      </c>
      <c r="AC116">
        <f>VLOOKUP(HFrame_List[[#This Row],[lookup]],'Pallet and shipping info'!$A$5:$H$33,8,FALSE)</f>
        <v>7</v>
      </c>
      <c r="AD116"/>
      <c r="AE116"/>
      <c r="AF116"/>
    </row>
    <row r="117" spans="1:32" x14ac:dyDescent="0.25">
      <c r="A117" s="1" t="s">
        <v>414</v>
      </c>
      <c r="B117" t="s">
        <v>415</v>
      </c>
      <c r="C117">
        <f t="shared" si="23"/>
        <v>73.674999999999997</v>
      </c>
      <c r="D117">
        <f t="shared" si="24"/>
        <v>86.051000000000002</v>
      </c>
      <c r="E117">
        <v>72</v>
      </c>
      <c r="F117">
        <v>72</v>
      </c>
      <c r="G117">
        <f t="shared" si="36"/>
        <v>68.239999999999995</v>
      </c>
      <c r="H117">
        <v>0</v>
      </c>
      <c r="I117" t="s">
        <v>181</v>
      </c>
      <c r="J117">
        <v>1</v>
      </c>
      <c r="K117" s="6">
        <f t="shared" si="25"/>
        <v>72</v>
      </c>
      <c r="L117">
        <f t="shared" si="26"/>
        <v>2</v>
      </c>
      <c r="M117">
        <f t="shared" si="37"/>
        <v>6</v>
      </c>
      <c r="N117">
        <f t="shared" si="38"/>
        <v>2</v>
      </c>
      <c r="O117" s="7">
        <f t="shared" si="39"/>
        <v>18</v>
      </c>
      <c r="P117">
        <f t="shared" si="28"/>
        <v>2</v>
      </c>
      <c r="Q117">
        <f t="shared" si="29"/>
        <v>6</v>
      </c>
      <c r="R117">
        <f>_xlfn.XLOOKUP(HFrame_List[[#This Row],[Cross piece style]],$AH$2:$AH$4,$AI$2:$AI$4,0,0)*(HFrame_List[[#This Row],[Width between brackets]]/12)</f>
        <v>79.215266666666665</v>
      </c>
      <c r="S117">
        <f>5.46*(HFrame_List[[#This Row],[cross piece quantity]]-1)*(HFrame_List[[#This Row],[Width between brackets]]/12)</f>
        <v>0</v>
      </c>
      <c r="T117" s="5">
        <f>HFrame_List[[#This Row],[Bottom cross piece cost]]+HFrame_List[[#This Row],[Top cross piece cost]]+HFrame_List[[#This Row],[Component costs]]+HFrame_List[[#This Row],[Vertical strut cost]]</f>
        <v>172.79326666666668</v>
      </c>
      <c r="U117" s="7">
        <f>_xlfn.XLOOKUP(HFrame_List[[#This Row],[Fabrication type]],Fabrication_costs[Fabrication type],Fabrication_costs[unit pricing],"no result",0)</f>
        <v>19.8</v>
      </c>
      <c r="V117" s="5">
        <f>SUM(T117:U117)/(1-HFrame_List[[#This Row],[Margin]])</f>
        <v>550.26647619047628</v>
      </c>
      <c r="W117" s="36">
        <f t="shared" si="30"/>
        <v>0.65</v>
      </c>
      <c r="X117" t="s">
        <v>177</v>
      </c>
      <c r="Y117">
        <f>_xlfn.XLOOKUP("A12",Strut_costs[size],Strut_costs[Strut cost])/12*HFrame_List[[#This Row],[Strut height (in)]]*(2+HFrame_List[[#This Row],[Extra supports]])</f>
        <v>65.52</v>
      </c>
      <c r="Z117">
        <f>(_xlfn.XLOOKUP("PHB",CADDY_costs[Component],CADDY_costs[Current cost])*HFrame_List[[#This Row],[Number of feet]])+(_xlfn.XLOOKUP("HFRMHDW",CADDY_costs[Component],CADDY_costs[Current cost])*(HFrame_List[[#This Row],[number of L-brackets]]/2))</f>
        <v>28.058</v>
      </c>
      <c r="AA117">
        <v>7272</v>
      </c>
      <c r="AB117" t="str">
        <f>VLOOKUP(HFrame_List[[#This Row],[lookup]],'Pallet and shipping info'!$A$5:$H$33,6,FALSE)</f>
        <v>x</v>
      </c>
      <c r="AC117">
        <f>VLOOKUP(HFrame_List[[#This Row],[lookup]],'Pallet and shipping info'!$A$5:$H$33,8,FALSE)</f>
        <v>7</v>
      </c>
      <c r="AD117"/>
      <c r="AE117"/>
      <c r="AF117"/>
    </row>
    <row r="118" spans="1:32" x14ac:dyDescent="0.25">
      <c r="A118" s="1" t="s">
        <v>416</v>
      </c>
      <c r="B118" t="s">
        <v>417</v>
      </c>
      <c r="C118">
        <f t="shared" si="23"/>
        <v>25.675000000000001</v>
      </c>
      <c r="D118">
        <f t="shared" si="24"/>
        <v>98.051000000000002</v>
      </c>
      <c r="E118">
        <v>24</v>
      </c>
      <c r="F118">
        <v>84</v>
      </c>
      <c r="G118">
        <f t="shared" si="36"/>
        <v>80.239999999999995</v>
      </c>
      <c r="H118">
        <v>0</v>
      </c>
      <c r="I118" t="s">
        <v>181</v>
      </c>
      <c r="J118">
        <v>1</v>
      </c>
      <c r="K118" s="6">
        <f t="shared" si="25"/>
        <v>84</v>
      </c>
      <c r="L118">
        <f t="shared" si="26"/>
        <v>2</v>
      </c>
      <c r="M118">
        <f t="shared" si="37"/>
        <v>6</v>
      </c>
      <c r="N118">
        <f t="shared" si="38"/>
        <v>2</v>
      </c>
      <c r="O118" s="7">
        <f t="shared" si="39"/>
        <v>11</v>
      </c>
      <c r="P118">
        <f t="shared" si="28"/>
        <v>2</v>
      </c>
      <c r="Q118">
        <f t="shared" si="29"/>
        <v>6</v>
      </c>
      <c r="R118">
        <f>_xlfn.XLOOKUP(HFrame_List[[#This Row],[Cross piece style]],$AH$2:$AH$4,$AI$2:$AI$4,0,0)*(HFrame_List[[#This Row],[Width between brackets]]/12)</f>
        <v>93.145266666666657</v>
      </c>
      <c r="S118">
        <f>5.46*(HFrame_List[[#This Row],[cross piece quantity]]-1)*(HFrame_List[[#This Row],[Width between brackets]]/12)</f>
        <v>0</v>
      </c>
      <c r="T118" s="5">
        <f>HFrame_List[[#This Row],[Bottom cross piece cost]]+HFrame_List[[#This Row],[Top cross piece cost]]+HFrame_List[[#This Row],[Component costs]]+HFrame_List[[#This Row],[Vertical strut cost]]</f>
        <v>143.04326666666665</v>
      </c>
      <c r="U118" s="7">
        <f>_xlfn.XLOOKUP(HFrame_List[[#This Row],[Fabrication type]],Fabrication_costs[Fabrication type],Fabrication_costs[unit pricing],"no result",0)</f>
        <v>19.8</v>
      </c>
      <c r="V118" s="5">
        <f>SUM(T118:U118)/(1-HFrame_List[[#This Row],[Margin]])</f>
        <v>465.26647619047623</v>
      </c>
      <c r="W118" s="36">
        <f t="shared" si="30"/>
        <v>0.65</v>
      </c>
      <c r="X118" t="s">
        <v>177</v>
      </c>
      <c r="Y118">
        <f>_xlfn.XLOOKUP("A12",Strut_costs[size],Strut_costs[Strut cost])/12*HFrame_List[[#This Row],[Strut height (in)]]*(2+HFrame_List[[#This Row],[Extra supports]])</f>
        <v>21.84</v>
      </c>
      <c r="Z118">
        <f>(_xlfn.XLOOKUP("PHB",CADDY_costs[Component],CADDY_costs[Current cost])*HFrame_List[[#This Row],[Number of feet]])+(_xlfn.XLOOKUP("HFRMHDW",CADDY_costs[Component],CADDY_costs[Current cost])*(HFrame_List[[#This Row],[number of L-brackets]]/2))</f>
        <v>28.058</v>
      </c>
      <c r="AA118">
        <v>2484</v>
      </c>
      <c r="AB118" t="str">
        <f>VLOOKUP(HFrame_List[[#This Row],[lookup]],'Pallet and shipping info'!$A$5:$H$33,6,FALSE)</f>
        <v>x</v>
      </c>
      <c r="AC118">
        <f>VLOOKUP(HFrame_List[[#This Row],[lookup]],'Pallet and shipping info'!$A$5:$H$33,8,FALSE)</f>
        <v>7</v>
      </c>
      <c r="AD118"/>
      <c r="AE118"/>
      <c r="AF118"/>
    </row>
    <row r="119" spans="1:32" x14ac:dyDescent="0.25">
      <c r="A119" s="1" t="s">
        <v>418</v>
      </c>
      <c r="B119" t="s">
        <v>419</v>
      </c>
      <c r="C119">
        <f t="shared" si="23"/>
        <v>37.674999999999997</v>
      </c>
      <c r="D119">
        <f t="shared" si="24"/>
        <v>98.051000000000002</v>
      </c>
      <c r="E119">
        <v>36</v>
      </c>
      <c r="F119">
        <v>84</v>
      </c>
      <c r="G119">
        <f t="shared" si="36"/>
        <v>80.239999999999995</v>
      </c>
      <c r="H119">
        <v>0</v>
      </c>
      <c r="I119" t="s">
        <v>181</v>
      </c>
      <c r="J119">
        <v>1</v>
      </c>
      <c r="K119" s="6">
        <f t="shared" si="25"/>
        <v>84</v>
      </c>
      <c r="L119">
        <f t="shared" si="26"/>
        <v>2</v>
      </c>
      <c r="M119">
        <f t="shared" si="37"/>
        <v>6</v>
      </c>
      <c r="N119">
        <f t="shared" si="38"/>
        <v>2</v>
      </c>
      <c r="O119" s="7">
        <f t="shared" si="39"/>
        <v>13</v>
      </c>
      <c r="P119">
        <f t="shared" si="28"/>
        <v>2</v>
      </c>
      <c r="Q119">
        <f t="shared" si="29"/>
        <v>6</v>
      </c>
      <c r="R119">
        <f>_xlfn.XLOOKUP(HFrame_List[[#This Row],[Cross piece style]],$AH$2:$AH$4,$AI$2:$AI$4,0,0)*(HFrame_List[[#This Row],[Width between brackets]]/12)</f>
        <v>93.145266666666657</v>
      </c>
      <c r="S119">
        <f>5.46*(HFrame_List[[#This Row],[cross piece quantity]]-1)*(HFrame_List[[#This Row],[Width between brackets]]/12)</f>
        <v>0</v>
      </c>
      <c r="T119" s="5">
        <f>HFrame_List[[#This Row],[Bottom cross piece cost]]+HFrame_List[[#This Row],[Top cross piece cost]]+HFrame_List[[#This Row],[Component costs]]+HFrame_List[[#This Row],[Vertical strut cost]]</f>
        <v>153.96326666666664</v>
      </c>
      <c r="U119" s="7">
        <f>_xlfn.XLOOKUP(HFrame_List[[#This Row],[Fabrication type]],Fabrication_costs[Fabrication type],Fabrication_costs[unit pricing],"no result",0)</f>
        <v>19.8</v>
      </c>
      <c r="V119" s="5">
        <f>SUM(T119:U119)/(1-HFrame_List[[#This Row],[Margin]])</f>
        <v>496.46647619047616</v>
      </c>
      <c r="W119" s="36">
        <f t="shared" si="30"/>
        <v>0.65</v>
      </c>
      <c r="X119" t="s">
        <v>177</v>
      </c>
      <c r="Y119">
        <f>_xlfn.XLOOKUP("A12",Strut_costs[size],Strut_costs[Strut cost])/12*HFrame_List[[#This Row],[Strut height (in)]]*(2+HFrame_List[[#This Row],[Extra supports]])</f>
        <v>32.76</v>
      </c>
      <c r="Z119">
        <f>(_xlfn.XLOOKUP("PHB",CADDY_costs[Component],CADDY_costs[Current cost])*HFrame_List[[#This Row],[Number of feet]])+(_xlfn.XLOOKUP("HFRMHDW",CADDY_costs[Component],CADDY_costs[Current cost])*(HFrame_List[[#This Row],[number of L-brackets]]/2))</f>
        <v>28.058</v>
      </c>
      <c r="AA119">
        <v>3684</v>
      </c>
      <c r="AB119" t="str">
        <f>VLOOKUP(HFrame_List[[#This Row],[lookup]],'Pallet and shipping info'!$A$5:$H$33,6,FALSE)</f>
        <v>x</v>
      </c>
      <c r="AC119">
        <f>VLOOKUP(HFrame_List[[#This Row],[lookup]],'Pallet and shipping info'!$A$5:$H$33,8,FALSE)</f>
        <v>7</v>
      </c>
      <c r="AD119"/>
      <c r="AE119"/>
      <c r="AF119"/>
    </row>
    <row r="120" spans="1:32" x14ac:dyDescent="0.25">
      <c r="A120" s="1" t="s">
        <v>420</v>
      </c>
      <c r="B120" t="s">
        <v>421</v>
      </c>
      <c r="C120">
        <f t="shared" si="23"/>
        <v>49.674999999999997</v>
      </c>
      <c r="D120">
        <f t="shared" si="24"/>
        <v>98.051000000000002</v>
      </c>
      <c r="E120">
        <v>48</v>
      </c>
      <c r="F120">
        <v>84</v>
      </c>
      <c r="G120">
        <f t="shared" si="36"/>
        <v>80.239999999999995</v>
      </c>
      <c r="H120">
        <v>0</v>
      </c>
      <c r="I120" t="s">
        <v>181</v>
      </c>
      <c r="J120">
        <v>1</v>
      </c>
      <c r="K120" s="6">
        <f t="shared" si="25"/>
        <v>84</v>
      </c>
      <c r="L120">
        <f t="shared" si="26"/>
        <v>2</v>
      </c>
      <c r="M120">
        <f t="shared" si="37"/>
        <v>6</v>
      </c>
      <c r="N120">
        <f t="shared" si="38"/>
        <v>2</v>
      </c>
      <c r="O120" s="7">
        <f t="shared" si="39"/>
        <v>15</v>
      </c>
      <c r="P120">
        <f t="shared" si="28"/>
        <v>2</v>
      </c>
      <c r="Q120">
        <f t="shared" si="29"/>
        <v>6</v>
      </c>
      <c r="R120">
        <f>_xlfn.XLOOKUP(HFrame_List[[#This Row],[Cross piece style]],$AH$2:$AH$4,$AI$2:$AI$4,0,0)*(HFrame_List[[#This Row],[Width between brackets]]/12)</f>
        <v>93.145266666666657</v>
      </c>
      <c r="S120">
        <f>5.46*(HFrame_List[[#This Row],[cross piece quantity]]-1)*(HFrame_List[[#This Row],[Width between brackets]]/12)</f>
        <v>0</v>
      </c>
      <c r="T120" s="5">
        <f>HFrame_List[[#This Row],[Bottom cross piece cost]]+HFrame_List[[#This Row],[Top cross piece cost]]+HFrame_List[[#This Row],[Component costs]]+HFrame_List[[#This Row],[Vertical strut cost]]</f>
        <v>164.88326666666666</v>
      </c>
      <c r="U120" s="7">
        <f>_xlfn.XLOOKUP(HFrame_List[[#This Row],[Fabrication type]],Fabrication_costs[Fabrication type],Fabrication_costs[unit pricing],"no result",0)</f>
        <v>19.8</v>
      </c>
      <c r="V120" s="5">
        <f>SUM(T120:U120)/(1-HFrame_List[[#This Row],[Margin]])</f>
        <v>527.66647619047626</v>
      </c>
      <c r="W120" s="36">
        <f t="shared" si="30"/>
        <v>0.65</v>
      </c>
      <c r="X120" t="s">
        <v>177</v>
      </c>
      <c r="Y120">
        <f>_xlfn.XLOOKUP("A12",Strut_costs[size],Strut_costs[Strut cost])/12*HFrame_List[[#This Row],[Strut height (in)]]*(2+HFrame_List[[#This Row],[Extra supports]])</f>
        <v>43.68</v>
      </c>
      <c r="Z120">
        <f>(_xlfn.XLOOKUP("PHB",CADDY_costs[Component],CADDY_costs[Current cost])*HFrame_List[[#This Row],[Number of feet]])+(_xlfn.XLOOKUP("HFRMHDW",CADDY_costs[Component],CADDY_costs[Current cost])*(HFrame_List[[#This Row],[number of L-brackets]]/2))</f>
        <v>28.058</v>
      </c>
      <c r="AA120">
        <v>4884</v>
      </c>
      <c r="AB120" t="str">
        <f>VLOOKUP(HFrame_List[[#This Row],[lookup]],'Pallet and shipping info'!$A$5:$H$33,6,FALSE)</f>
        <v>x</v>
      </c>
      <c r="AC120">
        <f>VLOOKUP(HFrame_List[[#This Row],[lookup]],'Pallet and shipping info'!$A$5:$H$33,8,FALSE)</f>
        <v>7</v>
      </c>
      <c r="AD120"/>
      <c r="AE120"/>
      <c r="AF120"/>
    </row>
    <row r="121" spans="1:32" x14ac:dyDescent="0.25">
      <c r="A121" s="1" t="s">
        <v>422</v>
      </c>
      <c r="B121" t="s">
        <v>423</v>
      </c>
      <c r="C121">
        <f t="shared" si="23"/>
        <v>73.674999999999997</v>
      </c>
      <c r="D121">
        <f t="shared" si="24"/>
        <v>98.051000000000002</v>
      </c>
      <c r="E121">
        <v>72</v>
      </c>
      <c r="F121">
        <v>84</v>
      </c>
      <c r="G121">
        <f t="shared" si="36"/>
        <v>80.239999999999995</v>
      </c>
      <c r="H121">
        <v>0</v>
      </c>
      <c r="I121" t="s">
        <v>181</v>
      </c>
      <c r="J121">
        <v>1</v>
      </c>
      <c r="K121" s="6">
        <f t="shared" si="25"/>
        <v>84</v>
      </c>
      <c r="L121">
        <f t="shared" si="26"/>
        <v>2</v>
      </c>
      <c r="M121">
        <f t="shared" si="37"/>
        <v>6</v>
      </c>
      <c r="N121">
        <f t="shared" si="38"/>
        <v>2</v>
      </c>
      <c r="O121" s="7">
        <f t="shared" si="39"/>
        <v>19</v>
      </c>
      <c r="P121">
        <f t="shared" si="28"/>
        <v>2</v>
      </c>
      <c r="Q121">
        <f t="shared" si="29"/>
        <v>6</v>
      </c>
      <c r="R121">
        <f>_xlfn.XLOOKUP(HFrame_List[[#This Row],[Cross piece style]],$AH$2:$AH$4,$AI$2:$AI$4,0,0)*(HFrame_List[[#This Row],[Width between brackets]]/12)</f>
        <v>93.145266666666657</v>
      </c>
      <c r="S121">
        <f>5.46*(HFrame_List[[#This Row],[cross piece quantity]]-1)*(HFrame_List[[#This Row],[Width between brackets]]/12)</f>
        <v>0</v>
      </c>
      <c r="T121" s="5">
        <f>HFrame_List[[#This Row],[Bottom cross piece cost]]+HFrame_List[[#This Row],[Top cross piece cost]]+HFrame_List[[#This Row],[Component costs]]+HFrame_List[[#This Row],[Vertical strut cost]]</f>
        <v>186.72326666666663</v>
      </c>
      <c r="U121" s="7">
        <f>_xlfn.XLOOKUP(HFrame_List[[#This Row],[Fabrication type]],Fabrication_costs[Fabrication type],Fabrication_costs[unit pricing],"no result",0)</f>
        <v>19.8</v>
      </c>
      <c r="V121" s="5">
        <f>SUM(T121:U121)/(1-HFrame_List[[#This Row],[Margin]])</f>
        <v>590.06647619047612</v>
      </c>
      <c r="W121" s="36">
        <f t="shared" si="30"/>
        <v>0.65</v>
      </c>
      <c r="X121" t="s">
        <v>177</v>
      </c>
      <c r="Y121">
        <f>_xlfn.XLOOKUP("A12",Strut_costs[size],Strut_costs[Strut cost])/12*HFrame_List[[#This Row],[Strut height (in)]]*(2+HFrame_List[[#This Row],[Extra supports]])</f>
        <v>65.52</v>
      </c>
      <c r="Z121">
        <f>(_xlfn.XLOOKUP("PHB",CADDY_costs[Component],CADDY_costs[Current cost])*HFrame_List[[#This Row],[Number of feet]])+(_xlfn.XLOOKUP("HFRMHDW",CADDY_costs[Component],CADDY_costs[Current cost])*(HFrame_List[[#This Row],[number of L-brackets]]/2))</f>
        <v>28.058</v>
      </c>
      <c r="AA121">
        <v>7284</v>
      </c>
      <c r="AB121" t="str">
        <f>VLOOKUP(HFrame_List[[#This Row],[lookup]],'Pallet and shipping info'!$A$5:$H$33,6,FALSE)</f>
        <v>x</v>
      </c>
      <c r="AC121">
        <f>VLOOKUP(HFrame_List[[#This Row],[lookup]],'Pallet and shipping info'!$A$5:$H$33,8,FALSE)</f>
        <v>7</v>
      </c>
      <c r="AD121"/>
      <c r="AE121"/>
      <c r="AF121"/>
    </row>
    <row r="122" spans="1:32" x14ac:dyDescent="0.25">
      <c r="A122" s="1" t="s">
        <v>424</v>
      </c>
      <c r="B122" t="s">
        <v>425</v>
      </c>
      <c r="C122">
        <f t="shared" si="23"/>
        <v>25.675000000000001</v>
      </c>
      <c r="D122">
        <f t="shared" si="24"/>
        <v>34.051000000000002</v>
      </c>
      <c r="E122">
        <v>24</v>
      </c>
      <c r="F122">
        <v>20</v>
      </c>
      <c r="G122">
        <f>F122-(1.88*2)</f>
        <v>16.240000000000002</v>
      </c>
      <c r="H122">
        <v>1</v>
      </c>
      <c r="I122" t="s">
        <v>181</v>
      </c>
      <c r="J122">
        <v>1</v>
      </c>
      <c r="K122" s="6">
        <f t="shared" si="25"/>
        <v>9.1875</v>
      </c>
      <c r="L122">
        <f t="shared" si="26"/>
        <v>3</v>
      </c>
      <c r="M122">
        <f>3*N122</f>
        <v>12</v>
      </c>
      <c r="N122">
        <f>(2+(2*H122))*J122</f>
        <v>4</v>
      </c>
      <c r="O122" s="7">
        <f t="shared" si="39"/>
        <v>9.6666666666666661</v>
      </c>
      <c r="P122">
        <f t="shared" si="28"/>
        <v>1</v>
      </c>
      <c r="Q122">
        <f t="shared" si="29"/>
        <v>8</v>
      </c>
      <c r="R122">
        <f>_xlfn.XLOOKUP(HFrame_List[[#This Row],[Cross piece style]],$AH$2:$AH$4,$AI$2:$AI$4,0,0)*(HFrame_List[[#This Row],[Width between brackets]]/12)</f>
        <v>18.851933333333335</v>
      </c>
      <c r="S122">
        <f>5.46*(HFrame_List[[#This Row],[cross piece quantity]]-1)*(HFrame_List[[#This Row],[Width between brackets]]/12)</f>
        <v>0</v>
      </c>
      <c r="T122" s="5">
        <f>HFrame_List[[#This Row],[Bottom cross piece cost]]+HFrame_List[[#This Row],[Top cross piece cost]]+HFrame_List[[#This Row],[Component costs]]+HFrame_List[[#This Row],[Vertical strut cost]]</f>
        <v>98.431933333333319</v>
      </c>
      <c r="U122" s="7">
        <f>_xlfn.XLOOKUP(HFrame_List[[#This Row],[Fabrication type]],Fabrication_costs[Fabrication type],Fabrication_costs[unit pricing],"no result",0)</f>
        <v>30</v>
      </c>
      <c r="V122" s="5">
        <f>SUM(T122:U122)/(1-HFrame_List[[#This Row],[Margin]])</f>
        <v>366.94838095238094</v>
      </c>
      <c r="W122" s="36">
        <f t="shared" si="30"/>
        <v>0.65</v>
      </c>
      <c r="X122" t="s">
        <v>193</v>
      </c>
      <c r="Y122">
        <f>_xlfn.XLOOKUP("A12",Strut_costs[size],Strut_costs[Strut cost])/12*HFrame_List[[#This Row],[Strut height (in)]]*(2+HFrame_List[[#This Row],[Extra supports]])</f>
        <v>32.76</v>
      </c>
      <c r="Z122">
        <f>(_xlfn.XLOOKUP("PHB",CADDY_costs[Component],CADDY_costs[Current cost])*HFrame_List[[#This Row],[Number of feet]])+(_xlfn.XLOOKUP("HFRMHDW",CADDY_costs[Component],CADDY_costs[Current cost])*(HFrame_List[[#This Row],[number of L-brackets]]/2))</f>
        <v>46.819999999999993</v>
      </c>
      <c r="AA122">
        <v>2420</v>
      </c>
      <c r="AB122">
        <f>VLOOKUP(HFrame_List[[#This Row],[lookup]],'Pallet and shipping info'!$A$5:$H$33,6,FALSE)</f>
        <v>11</v>
      </c>
      <c r="AC122">
        <f>VLOOKUP(HFrame_List[[#This Row],[lookup]],'Pallet and shipping info'!$A$5:$H$33,8,FALSE)</f>
        <v>15</v>
      </c>
      <c r="AD122"/>
      <c r="AE122"/>
      <c r="AF122"/>
    </row>
    <row r="123" spans="1:32" x14ac:dyDescent="0.25">
      <c r="A123" s="1" t="s">
        <v>426</v>
      </c>
      <c r="B123" t="s">
        <v>427</v>
      </c>
      <c r="C123">
        <f t="shared" si="23"/>
        <v>37.674999999999997</v>
      </c>
      <c r="D123">
        <f t="shared" si="24"/>
        <v>34.051000000000002</v>
      </c>
      <c r="E123">
        <v>36</v>
      </c>
      <c r="F123">
        <f>F122</f>
        <v>20</v>
      </c>
      <c r="G123">
        <f t="shared" ref="G123:G145" si="42">F123-(1.88*2)</f>
        <v>16.240000000000002</v>
      </c>
      <c r="H123">
        <v>1</v>
      </c>
      <c r="I123" t="s">
        <v>181</v>
      </c>
      <c r="J123">
        <v>1</v>
      </c>
      <c r="K123" s="6">
        <f t="shared" si="25"/>
        <v>9.1875</v>
      </c>
      <c r="L123">
        <f t="shared" si="26"/>
        <v>3</v>
      </c>
      <c r="M123">
        <f t="shared" ref="M123:M145" si="43">3*N123</f>
        <v>12</v>
      </c>
      <c r="N123">
        <f t="shared" ref="N123:N145" si="44">(2+(2*H123))*J123</f>
        <v>4</v>
      </c>
      <c r="O123" s="7">
        <f t="shared" si="39"/>
        <v>13.666666666666666</v>
      </c>
      <c r="P123">
        <f t="shared" si="28"/>
        <v>2</v>
      </c>
      <c r="Q123">
        <f t="shared" si="29"/>
        <v>8</v>
      </c>
      <c r="R123">
        <f>_xlfn.XLOOKUP(HFrame_List[[#This Row],[Cross piece style]],$AH$2:$AH$4,$AI$2:$AI$4,0,0)*(HFrame_List[[#This Row],[Width between brackets]]/12)</f>
        <v>18.851933333333335</v>
      </c>
      <c r="S123">
        <f>5.46*(HFrame_List[[#This Row],[cross piece quantity]]-1)*(HFrame_List[[#This Row],[Width between brackets]]/12)</f>
        <v>0</v>
      </c>
      <c r="T123" s="5">
        <f>HFrame_List[[#This Row],[Bottom cross piece cost]]+HFrame_List[[#This Row],[Top cross piece cost]]+HFrame_List[[#This Row],[Component costs]]+HFrame_List[[#This Row],[Vertical strut cost]]</f>
        <v>114.81193333333333</v>
      </c>
      <c r="U123" s="7">
        <f>_xlfn.XLOOKUP(HFrame_List[[#This Row],[Fabrication type]],Fabrication_costs[Fabrication type],Fabrication_costs[unit pricing],"no result",0)</f>
        <v>30</v>
      </c>
      <c r="V123" s="5">
        <f>SUM(T123:U123)/(1-HFrame_List[[#This Row],[Margin]])</f>
        <v>413.74838095238101</v>
      </c>
      <c r="W123" s="36">
        <f t="shared" si="30"/>
        <v>0.65</v>
      </c>
      <c r="X123" t="s">
        <v>193</v>
      </c>
      <c r="Y123">
        <f>_xlfn.XLOOKUP("A12",Strut_costs[size],Strut_costs[Strut cost])/12*HFrame_List[[#This Row],[Strut height (in)]]*(2+HFrame_List[[#This Row],[Extra supports]])</f>
        <v>49.14</v>
      </c>
      <c r="Z123">
        <f>(_xlfn.XLOOKUP("PHB",CADDY_costs[Component],CADDY_costs[Current cost])*HFrame_List[[#This Row],[Number of feet]])+(_xlfn.XLOOKUP("HFRMHDW",CADDY_costs[Component],CADDY_costs[Current cost])*(HFrame_List[[#This Row],[number of L-brackets]]/2))</f>
        <v>46.819999999999993</v>
      </c>
      <c r="AA123">
        <v>3620</v>
      </c>
      <c r="AB123">
        <f>VLOOKUP(HFrame_List[[#This Row],[lookup]],'Pallet and shipping info'!$A$5:$H$33,6,FALSE)</f>
        <v>11</v>
      </c>
      <c r="AC123">
        <f>VLOOKUP(HFrame_List[[#This Row],[lookup]],'Pallet and shipping info'!$A$5:$H$33,8,FALSE)</f>
        <v>15</v>
      </c>
      <c r="AD123"/>
      <c r="AE123"/>
      <c r="AF123"/>
    </row>
    <row r="124" spans="1:32" x14ac:dyDescent="0.25">
      <c r="A124" s="1" t="s">
        <v>428</v>
      </c>
      <c r="B124" t="s">
        <v>429</v>
      </c>
      <c r="C124">
        <f t="shared" si="23"/>
        <v>49.674999999999997</v>
      </c>
      <c r="D124">
        <f t="shared" si="24"/>
        <v>34.051000000000002</v>
      </c>
      <c r="E124">
        <v>48</v>
      </c>
      <c r="F124">
        <f t="shared" ref="F124:F125" si="45">F123</f>
        <v>20</v>
      </c>
      <c r="G124">
        <f t="shared" si="42"/>
        <v>16.240000000000002</v>
      </c>
      <c r="H124">
        <v>1</v>
      </c>
      <c r="I124" t="s">
        <v>181</v>
      </c>
      <c r="J124">
        <v>1</v>
      </c>
      <c r="K124" s="6">
        <f t="shared" si="25"/>
        <v>9.1875</v>
      </c>
      <c r="L124">
        <f t="shared" si="26"/>
        <v>3</v>
      </c>
      <c r="M124">
        <f t="shared" si="43"/>
        <v>12</v>
      </c>
      <c r="N124">
        <f t="shared" si="44"/>
        <v>4</v>
      </c>
      <c r="O124" s="7">
        <f t="shared" si="39"/>
        <v>17.666666666666668</v>
      </c>
      <c r="P124">
        <f t="shared" si="28"/>
        <v>2</v>
      </c>
      <c r="Q124">
        <f t="shared" si="29"/>
        <v>8</v>
      </c>
      <c r="R124">
        <f>_xlfn.XLOOKUP(HFrame_List[[#This Row],[Cross piece style]],$AH$2:$AH$4,$AI$2:$AI$4,0,0)*(HFrame_List[[#This Row],[Width between brackets]]/12)</f>
        <v>18.851933333333335</v>
      </c>
      <c r="S124">
        <f>5.46*(HFrame_List[[#This Row],[cross piece quantity]]-1)*(HFrame_List[[#This Row],[Width between brackets]]/12)</f>
        <v>0</v>
      </c>
      <c r="T124" s="5">
        <f>HFrame_List[[#This Row],[Bottom cross piece cost]]+HFrame_List[[#This Row],[Top cross piece cost]]+HFrame_List[[#This Row],[Component costs]]+HFrame_List[[#This Row],[Vertical strut cost]]</f>
        <v>131.19193333333334</v>
      </c>
      <c r="U124" s="7">
        <f>_xlfn.XLOOKUP(HFrame_List[[#This Row],[Fabrication type]],Fabrication_costs[Fabrication type],Fabrication_costs[unit pricing],"no result",0)</f>
        <v>30</v>
      </c>
      <c r="V124" s="5">
        <f>SUM(T124:U124)/(1-HFrame_List[[#This Row],[Margin]])</f>
        <v>460.54838095238102</v>
      </c>
      <c r="W124" s="36">
        <f t="shared" si="30"/>
        <v>0.65</v>
      </c>
      <c r="X124" t="s">
        <v>193</v>
      </c>
      <c r="Y124">
        <f>_xlfn.XLOOKUP("A12",Strut_costs[size],Strut_costs[Strut cost])/12*HFrame_List[[#This Row],[Strut height (in)]]*(2+HFrame_List[[#This Row],[Extra supports]])</f>
        <v>65.52</v>
      </c>
      <c r="Z124">
        <f>(_xlfn.XLOOKUP("PHB",CADDY_costs[Component],CADDY_costs[Current cost])*HFrame_List[[#This Row],[Number of feet]])+(_xlfn.XLOOKUP("HFRMHDW",CADDY_costs[Component],CADDY_costs[Current cost])*(HFrame_List[[#This Row],[number of L-brackets]]/2))</f>
        <v>46.819999999999993</v>
      </c>
      <c r="AA124">
        <v>4820</v>
      </c>
      <c r="AB124">
        <f>VLOOKUP(HFrame_List[[#This Row],[lookup]],'Pallet and shipping info'!$A$5:$H$33,6,FALSE)</f>
        <v>11</v>
      </c>
      <c r="AC124">
        <f>VLOOKUP(HFrame_List[[#This Row],[lookup]],'Pallet and shipping info'!$A$5:$H$33,8,FALSE)</f>
        <v>15</v>
      </c>
      <c r="AD124"/>
      <c r="AE124"/>
      <c r="AF124"/>
    </row>
    <row r="125" spans="1:32" x14ac:dyDescent="0.25">
      <c r="A125" s="1" t="s">
        <v>430</v>
      </c>
      <c r="B125" t="s">
        <v>431</v>
      </c>
      <c r="C125">
        <f t="shared" si="23"/>
        <v>73.674999999999997</v>
      </c>
      <c r="D125">
        <f t="shared" si="24"/>
        <v>34.051000000000002</v>
      </c>
      <c r="E125">
        <v>72</v>
      </c>
      <c r="F125">
        <f t="shared" si="45"/>
        <v>20</v>
      </c>
      <c r="G125">
        <f t="shared" si="42"/>
        <v>16.240000000000002</v>
      </c>
      <c r="H125">
        <v>1</v>
      </c>
      <c r="I125" t="s">
        <v>181</v>
      </c>
      <c r="J125">
        <v>1</v>
      </c>
      <c r="K125" s="6">
        <f t="shared" si="25"/>
        <v>9.1875</v>
      </c>
      <c r="L125">
        <f t="shared" si="26"/>
        <v>3</v>
      </c>
      <c r="M125">
        <f t="shared" si="43"/>
        <v>12</v>
      </c>
      <c r="N125">
        <f t="shared" si="44"/>
        <v>4</v>
      </c>
      <c r="O125" s="7">
        <f t="shared" si="39"/>
        <v>25.666666666666668</v>
      </c>
      <c r="P125">
        <f t="shared" si="28"/>
        <v>3</v>
      </c>
      <c r="Q125">
        <f t="shared" si="29"/>
        <v>8</v>
      </c>
      <c r="R125">
        <f>_xlfn.XLOOKUP(HFrame_List[[#This Row],[Cross piece style]],$AH$2:$AH$4,$AI$2:$AI$4,0,0)*(HFrame_List[[#This Row],[Width between brackets]]/12)</f>
        <v>18.851933333333335</v>
      </c>
      <c r="S125">
        <f>5.46*(HFrame_List[[#This Row],[cross piece quantity]]-1)*(HFrame_List[[#This Row],[Width between brackets]]/12)</f>
        <v>0</v>
      </c>
      <c r="T125" s="5">
        <f>HFrame_List[[#This Row],[Bottom cross piece cost]]+HFrame_List[[#This Row],[Top cross piece cost]]+HFrame_List[[#This Row],[Component costs]]+HFrame_List[[#This Row],[Vertical strut cost]]</f>
        <v>163.95193333333333</v>
      </c>
      <c r="U125" s="7">
        <f>_xlfn.XLOOKUP(HFrame_List[[#This Row],[Fabrication type]],Fabrication_costs[Fabrication type],Fabrication_costs[unit pricing],"no result",0)</f>
        <v>30</v>
      </c>
      <c r="V125" s="5">
        <f>SUM(T125:U125)/(1-HFrame_List[[#This Row],[Margin]])</f>
        <v>554.14838095238099</v>
      </c>
      <c r="W125" s="36">
        <f t="shared" si="30"/>
        <v>0.65</v>
      </c>
      <c r="X125" t="s">
        <v>193</v>
      </c>
      <c r="Y125">
        <f>_xlfn.XLOOKUP("A12",Strut_costs[size],Strut_costs[Strut cost])/12*HFrame_List[[#This Row],[Strut height (in)]]*(2+HFrame_List[[#This Row],[Extra supports]])</f>
        <v>98.28</v>
      </c>
      <c r="Z125">
        <f>(_xlfn.XLOOKUP("PHB",CADDY_costs[Component],CADDY_costs[Current cost])*HFrame_List[[#This Row],[Number of feet]])+(_xlfn.XLOOKUP("HFRMHDW",CADDY_costs[Component],CADDY_costs[Current cost])*(HFrame_List[[#This Row],[number of L-brackets]]/2))</f>
        <v>46.819999999999993</v>
      </c>
      <c r="AA125">
        <v>7220</v>
      </c>
      <c r="AB125">
        <f>VLOOKUP(HFrame_List[[#This Row],[lookup]],'Pallet and shipping info'!$A$5:$H$33,6,FALSE)</f>
        <v>11</v>
      </c>
      <c r="AC125">
        <f>VLOOKUP(HFrame_List[[#This Row],[lookup]],'Pallet and shipping info'!$A$5:$H$33,8,FALSE)</f>
        <v>15</v>
      </c>
      <c r="AD125"/>
      <c r="AE125"/>
      <c r="AF125"/>
    </row>
    <row r="126" spans="1:32" x14ac:dyDescent="0.25">
      <c r="A126" s="1" t="s">
        <v>432</v>
      </c>
      <c r="B126" t="s">
        <v>433</v>
      </c>
      <c r="C126">
        <f t="shared" si="23"/>
        <v>25.675000000000001</v>
      </c>
      <c r="D126">
        <f t="shared" si="24"/>
        <v>50.050999999999995</v>
      </c>
      <c r="E126">
        <v>24</v>
      </c>
      <c r="F126">
        <v>36</v>
      </c>
      <c r="G126">
        <f t="shared" si="42"/>
        <v>32.24</v>
      </c>
      <c r="H126">
        <v>1</v>
      </c>
      <c r="I126" t="s">
        <v>181</v>
      </c>
      <c r="J126">
        <v>1</v>
      </c>
      <c r="K126" s="6">
        <f t="shared" si="25"/>
        <v>17.1875</v>
      </c>
      <c r="L126">
        <f t="shared" si="26"/>
        <v>3</v>
      </c>
      <c r="M126">
        <f t="shared" si="43"/>
        <v>12</v>
      </c>
      <c r="N126">
        <f t="shared" si="44"/>
        <v>4</v>
      </c>
      <c r="O126" s="7">
        <f t="shared" si="39"/>
        <v>11</v>
      </c>
      <c r="P126">
        <f t="shared" si="28"/>
        <v>2</v>
      </c>
      <c r="Q126">
        <f t="shared" si="29"/>
        <v>8</v>
      </c>
      <c r="R126">
        <f>_xlfn.XLOOKUP(HFrame_List[[#This Row],[Cross piece style]],$AH$2:$AH$4,$AI$2:$AI$4,0,0)*(HFrame_List[[#This Row],[Width between brackets]]/12)</f>
        <v>37.425266666666673</v>
      </c>
      <c r="S126">
        <f>5.46*(HFrame_List[[#This Row],[cross piece quantity]]-1)*(HFrame_List[[#This Row],[Width between brackets]]/12)</f>
        <v>0</v>
      </c>
      <c r="T126" s="5">
        <f>HFrame_List[[#This Row],[Bottom cross piece cost]]+HFrame_List[[#This Row],[Top cross piece cost]]+HFrame_List[[#This Row],[Component costs]]+HFrame_List[[#This Row],[Vertical strut cost]]</f>
        <v>117.00526666666667</v>
      </c>
      <c r="U126" s="7">
        <f>_xlfn.XLOOKUP(HFrame_List[[#This Row],[Fabrication type]],Fabrication_costs[Fabrication type],Fabrication_costs[unit pricing],"no result",0)</f>
        <v>30</v>
      </c>
      <c r="V126" s="5">
        <f>SUM(T126:U126)/(1-HFrame_List[[#This Row],[Margin]])</f>
        <v>420.01504761904766</v>
      </c>
      <c r="W126" s="36">
        <f t="shared" si="30"/>
        <v>0.65</v>
      </c>
      <c r="X126" t="s">
        <v>193</v>
      </c>
      <c r="Y126">
        <f>_xlfn.XLOOKUP("A12",Strut_costs[size],Strut_costs[Strut cost])/12*HFrame_List[[#This Row],[Strut height (in)]]*(2+HFrame_List[[#This Row],[Extra supports]])</f>
        <v>32.76</v>
      </c>
      <c r="Z126">
        <f>(_xlfn.XLOOKUP("PHB",CADDY_costs[Component],CADDY_costs[Current cost])*HFrame_List[[#This Row],[Number of feet]])+(_xlfn.XLOOKUP("HFRMHDW",CADDY_costs[Component],CADDY_costs[Current cost])*(HFrame_List[[#This Row],[number of L-brackets]]/2))</f>
        <v>46.819999999999993</v>
      </c>
      <c r="AA126">
        <v>2436</v>
      </c>
      <c r="AB126">
        <f>VLOOKUP(HFrame_List[[#This Row],[lookup]],'Pallet and shipping info'!$A$5:$H$33,6,FALSE)</f>
        <v>9</v>
      </c>
      <c r="AC126">
        <f>VLOOKUP(HFrame_List[[#This Row],[lookup]],'Pallet and shipping info'!$A$5:$H$33,8,FALSE)</f>
        <v>14</v>
      </c>
      <c r="AD126"/>
      <c r="AE126"/>
      <c r="AF126"/>
    </row>
    <row r="127" spans="1:32" x14ac:dyDescent="0.25">
      <c r="A127" s="1" t="s">
        <v>434</v>
      </c>
      <c r="B127" t="s">
        <v>435</v>
      </c>
      <c r="C127">
        <f t="shared" si="23"/>
        <v>37.674999999999997</v>
      </c>
      <c r="D127">
        <f t="shared" si="24"/>
        <v>50.050999999999995</v>
      </c>
      <c r="E127">
        <v>36</v>
      </c>
      <c r="F127">
        <f>F126</f>
        <v>36</v>
      </c>
      <c r="G127">
        <f t="shared" si="42"/>
        <v>32.24</v>
      </c>
      <c r="H127">
        <v>1</v>
      </c>
      <c r="I127" t="s">
        <v>181</v>
      </c>
      <c r="J127">
        <v>1</v>
      </c>
      <c r="K127" s="6">
        <f t="shared" si="25"/>
        <v>17.1875</v>
      </c>
      <c r="L127">
        <f t="shared" si="26"/>
        <v>3</v>
      </c>
      <c r="M127">
        <f t="shared" si="43"/>
        <v>12</v>
      </c>
      <c r="N127">
        <f t="shared" si="44"/>
        <v>4</v>
      </c>
      <c r="O127" s="7">
        <f t="shared" si="39"/>
        <v>15</v>
      </c>
      <c r="P127">
        <f t="shared" si="28"/>
        <v>2</v>
      </c>
      <c r="Q127">
        <f t="shared" si="29"/>
        <v>8</v>
      </c>
      <c r="R127">
        <f>_xlfn.XLOOKUP(HFrame_List[[#This Row],[Cross piece style]],$AH$2:$AH$4,$AI$2:$AI$4,0,0)*(HFrame_List[[#This Row],[Width between brackets]]/12)</f>
        <v>37.425266666666673</v>
      </c>
      <c r="S127">
        <f>5.46*(HFrame_List[[#This Row],[cross piece quantity]]-1)*(HFrame_List[[#This Row],[Width between brackets]]/12)</f>
        <v>0</v>
      </c>
      <c r="T127" s="5">
        <f>HFrame_List[[#This Row],[Bottom cross piece cost]]+HFrame_List[[#This Row],[Top cross piece cost]]+HFrame_List[[#This Row],[Component costs]]+HFrame_List[[#This Row],[Vertical strut cost]]</f>
        <v>133.38526666666667</v>
      </c>
      <c r="U127" s="7">
        <f>_xlfn.XLOOKUP(HFrame_List[[#This Row],[Fabrication type]],Fabrication_costs[Fabrication type],Fabrication_costs[unit pricing],"no result",0)</f>
        <v>30</v>
      </c>
      <c r="V127" s="5">
        <f>SUM(T127:U127)/(1-HFrame_List[[#This Row],[Margin]])</f>
        <v>466.81504761904768</v>
      </c>
      <c r="W127" s="36">
        <f t="shared" si="30"/>
        <v>0.65</v>
      </c>
      <c r="X127" t="s">
        <v>193</v>
      </c>
      <c r="Y127">
        <f>_xlfn.XLOOKUP("A12",Strut_costs[size],Strut_costs[Strut cost])/12*HFrame_List[[#This Row],[Strut height (in)]]*(2+HFrame_List[[#This Row],[Extra supports]])</f>
        <v>49.14</v>
      </c>
      <c r="Z127">
        <f>(_xlfn.XLOOKUP("PHB",CADDY_costs[Component],CADDY_costs[Current cost])*HFrame_List[[#This Row],[Number of feet]])+(_xlfn.XLOOKUP("HFRMHDW",CADDY_costs[Component],CADDY_costs[Current cost])*(HFrame_List[[#This Row],[number of L-brackets]]/2))</f>
        <v>46.819999999999993</v>
      </c>
      <c r="AA127">
        <v>3636</v>
      </c>
      <c r="AB127">
        <f>VLOOKUP(HFrame_List[[#This Row],[lookup]],'Pallet and shipping info'!$A$5:$H$33,6,FALSE)</f>
        <v>9</v>
      </c>
      <c r="AC127">
        <f>VLOOKUP(HFrame_List[[#This Row],[lookup]],'Pallet and shipping info'!$A$5:$H$33,8,FALSE)</f>
        <v>14</v>
      </c>
      <c r="AD127"/>
      <c r="AE127"/>
      <c r="AF127"/>
    </row>
    <row r="128" spans="1:32" x14ac:dyDescent="0.25">
      <c r="A128" s="1" t="s">
        <v>436</v>
      </c>
      <c r="B128" t="s">
        <v>437</v>
      </c>
      <c r="C128">
        <f t="shared" si="23"/>
        <v>49.674999999999997</v>
      </c>
      <c r="D128">
        <f t="shared" si="24"/>
        <v>50.050999999999995</v>
      </c>
      <c r="E128">
        <v>48</v>
      </c>
      <c r="F128">
        <f t="shared" ref="F128:F133" si="46">F127</f>
        <v>36</v>
      </c>
      <c r="G128">
        <f t="shared" si="42"/>
        <v>32.24</v>
      </c>
      <c r="H128">
        <v>1</v>
      </c>
      <c r="I128" t="s">
        <v>181</v>
      </c>
      <c r="J128">
        <v>1</v>
      </c>
      <c r="K128" s="6">
        <f t="shared" si="25"/>
        <v>17.1875</v>
      </c>
      <c r="L128">
        <f t="shared" si="26"/>
        <v>3</v>
      </c>
      <c r="M128">
        <f t="shared" si="43"/>
        <v>12</v>
      </c>
      <c r="N128">
        <f t="shared" si="44"/>
        <v>4</v>
      </c>
      <c r="O128" s="7">
        <f t="shared" si="39"/>
        <v>19</v>
      </c>
      <c r="P128">
        <f t="shared" si="28"/>
        <v>2</v>
      </c>
      <c r="Q128">
        <f t="shared" si="29"/>
        <v>8</v>
      </c>
      <c r="R128">
        <f>_xlfn.XLOOKUP(HFrame_List[[#This Row],[Cross piece style]],$AH$2:$AH$4,$AI$2:$AI$4,0,0)*(HFrame_List[[#This Row],[Width between brackets]]/12)</f>
        <v>37.425266666666673</v>
      </c>
      <c r="S128">
        <f>5.46*(HFrame_List[[#This Row],[cross piece quantity]]-1)*(HFrame_List[[#This Row],[Width between brackets]]/12)</f>
        <v>0</v>
      </c>
      <c r="T128" s="5">
        <f>HFrame_List[[#This Row],[Bottom cross piece cost]]+HFrame_List[[#This Row],[Top cross piece cost]]+HFrame_List[[#This Row],[Component costs]]+HFrame_List[[#This Row],[Vertical strut cost]]</f>
        <v>149.76526666666666</v>
      </c>
      <c r="U128" s="7">
        <f>_xlfn.XLOOKUP(HFrame_List[[#This Row],[Fabrication type]],Fabrication_costs[Fabrication type],Fabrication_costs[unit pricing],"no result",0)</f>
        <v>30</v>
      </c>
      <c r="V128" s="5">
        <f>SUM(T128:U128)/(1-HFrame_List[[#This Row],[Margin]])</f>
        <v>513.61504761904769</v>
      </c>
      <c r="W128" s="36">
        <f t="shared" si="30"/>
        <v>0.65</v>
      </c>
      <c r="X128" t="s">
        <v>193</v>
      </c>
      <c r="Y128">
        <f>_xlfn.XLOOKUP("A12",Strut_costs[size],Strut_costs[Strut cost])/12*HFrame_List[[#This Row],[Strut height (in)]]*(2+HFrame_List[[#This Row],[Extra supports]])</f>
        <v>65.52</v>
      </c>
      <c r="Z128">
        <f>(_xlfn.XLOOKUP("PHB",CADDY_costs[Component],CADDY_costs[Current cost])*HFrame_List[[#This Row],[Number of feet]])+(_xlfn.XLOOKUP("HFRMHDW",CADDY_costs[Component],CADDY_costs[Current cost])*(HFrame_List[[#This Row],[number of L-brackets]]/2))</f>
        <v>46.819999999999993</v>
      </c>
      <c r="AA128">
        <v>4836</v>
      </c>
      <c r="AB128">
        <f>VLOOKUP(HFrame_List[[#This Row],[lookup]],'Pallet and shipping info'!$A$5:$H$33,6,FALSE)</f>
        <v>9</v>
      </c>
      <c r="AC128">
        <f>VLOOKUP(HFrame_List[[#This Row],[lookup]],'Pallet and shipping info'!$A$5:$H$33,8,FALSE)</f>
        <v>14</v>
      </c>
      <c r="AD128"/>
      <c r="AE128"/>
      <c r="AF128"/>
    </row>
    <row r="129" spans="1:32" x14ac:dyDescent="0.25">
      <c r="A129" s="1" t="s">
        <v>438</v>
      </c>
      <c r="B129" t="s">
        <v>439</v>
      </c>
      <c r="C129">
        <f t="shared" si="23"/>
        <v>73.674999999999997</v>
      </c>
      <c r="D129">
        <f t="shared" si="24"/>
        <v>50.050999999999995</v>
      </c>
      <c r="E129">
        <v>72</v>
      </c>
      <c r="F129">
        <f t="shared" si="46"/>
        <v>36</v>
      </c>
      <c r="G129">
        <f t="shared" si="42"/>
        <v>32.24</v>
      </c>
      <c r="H129">
        <v>1</v>
      </c>
      <c r="I129" t="s">
        <v>181</v>
      </c>
      <c r="J129">
        <v>1</v>
      </c>
      <c r="K129" s="6">
        <f t="shared" si="25"/>
        <v>17.1875</v>
      </c>
      <c r="L129">
        <f t="shared" si="26"/>
        <v>3</v>
      </c>
      <c r="M129">
        <f t="shared" si="43"/>
        <v>12</v>
      </c>
      <c r="N129">
        <f t="shared" si="44"/>
        <v>4</v>
      </c>
      <c r="O129" s="7">
        <f t="shared" si="39"/>
        <v>27</v>
      </c>
      <c r="P129">
        <f t="shared" si="28"/>
        <v>3</v>
      </c>
      <c r="Q129">
        <f t="shared" si="29"/>
        <v>8</v>
      </c>
      <c r="R129">
        <f>_xlfn.XLOOKUP(HFrame_List[[#This Row],[Cross piece style]],$AH$2:$AH$4,$AI$2:$AI$4,0,0)*(HFrame_List[[#This Row],[Width between brackets]]/12)</f>
        <v>37.425266666666673</v>
      </c>
      <c r="S129">
        <f>5.46*(HFrame_List[[#This Row],[cross piece quantity]]-1)*(HFrame_List[[#This Row],[Width between brackets]]/12)</f>
        <v>0</v>
      </c>
      <c r="T129" s="5">
        <f>HFrame_List[[#This Row],[Bottom cross piece cost]]+HFrame_List[[#This Row],[Top cross piece cost]]+HFrame_List[[#This Row],[Component costs]]+HFrame_List[[#This Row],[Vertical strut cost]]</f>
        <v>182.52526666666665</v>
      </c>
      <c r="U129" s="7">
        <f>_xlfn.XLOOKUP(HFrame_List[[#This Row],[Fabrication type]],Fabrication_costs[Fabrication type],Fabrication_costs[unit pricing],"no result",0)</f>
        <v>30</v>
      </c>
      <c r="V129" s="5">
        <f>SUM(T129:U129)/(1-HFrame_List[[#This Row],[Margin]])</f>
        <v>607.2150476190476</v>
      </c>
      <c r="W129" s="36">
        <f t="shared" si="30"/>
        <v>0.65</v>
      </c>
      <c r="X129" t="s">
        <v>193</v>
      </c>
      <c r="Y129">
        <f>_xlfn.XLOOKUP("A12",Strut_costs[size],Strut_costs[Strut cost])/12*HFrame_List[[#This Row],[Strut height (in)]]*(2+HFrame_List[[#This Row],[Extra supports]])</f>
        <v>98.28</v>
      </c>
      <c r="Z129">
        <f>(_xlfn.XLOOKUP("PHB",CADDY_costs[Component],CADDY_costs[Current cost])*HFrame_List[[#This Row],[Number of feet]])+(_xlfn.XLOOKUP("HFRMHDW",CADDY_costs[Component],CADDY_costs[Current cost])*(HFrame_List[[#This Row],[number of L-brackets]]/2))</f>
        <v>46.819999999999993</v>
      </c>
      <c r="AA129">
        <v>7236</v>
      </c>
      <c r="AB129">
        <f>VLOOKUP(HFrame_List[[#This Row],[lookup]],'Pallet and shipping info'!$A$5:$H$33,6,FALSE)</f>
        <v>9</v>
      </c>
      <c r="AC129">
        <f>VLOOKUP(HFrame_List[[#This Row],[lookup]],'Pallet and shipping info'!$A$5:$H$33,8,FALSE)</f>
        <v>14</v>
      </c>
      <c r="AD129"/>
      <c r="AE129"/>
      <c r="AF129"/>
    </row>
    <row r="130" spans="1:32" x14ac:dyDescent="0.25">
      <c r="A130" s="1" t="s">
        <v>440</v>
      </c>
      <c r="B130" t="s">
        <v>441</v>
      </c>
      <c r="C130">
        <f t="shared" ref="C130:C193" si="47">E130+1.675</f>
        <v>25.675000000000001</v>
      </c>
      <c r="D130">
        <f t="shared" ref="D130:D193" si="48">F130+1.675+12.376</f>
        <v>62.050999999999995</v>
      </c>
      <c r="E130">
        <v>24</v>
      </c>
      <c r="F130">
        <v>48</v>
      </c>
      <c r="G130">
        <f t="shared" si="42"/>
        <v>44.24</v>
      </c>
      <c r="H130">
        <v>1</v>
      </c>
      <c r="I130" t="s">
        <v>181</v>
      </c>
      <c r="J130">
        <v>1</v>
      </c>
      <c r="K130" s="6">
        <f t="shared" ref="K130:K193" si="49">((F130)/(L130-1))-(H130*0.8125)</f>
        <v>23.1875</v>
      </c>
      <c r="L130">
        <f t="shared" ref="L130:L193" si="50">2+(H130)</f>
        <v>3</v>
      </c>
      <c r="M130">
        <f t="shared" si="43"/>
        <v>12</v>
      </c>
      <c r="N130">
        <f t="shared" si="44"/>
        <v>4</v>
      </c>
      <c r="O130" s="7">
        <f t="shared" si="39"/>
        <v>12</v>
      </c>
      <c r="P130">
        <f t="shared" si="28"/>
        <v>2</v>
      </c>
      <c r="Q130">
        <f t="shared" si="29"/>
        <v>8</v>
      </c>
      <c r="R130">
        <f>_xlfn.XLOOKUP(HFrame_List[[#This Row],[Cross piece style]],$AH$2:$AH$4,$AI$2:$AI$4,0,0)*(HFrame_List[[#This Row],[Width between brackets]]/12)</f>
        <v>51.355266666666672</v>
      </c>
      <c r="S130">
        <f>5.46*(HFrame_List[[#This Row],[cross piece quantity]]-1)*(HFrame_List[[#This Row],[Width between brackets]]/12)</f>
        <v>0</v>
      </c>
      <c r="T130" s="5">
        <f>HFrame_List[[#This Row],[Bottom cross piece cost]]+HFrame_List[[#This Row],[Top cross piece cost]]+HFrame_List[[#This Row],[Component costs]]+HFrame_List[[#This Row],[Vertical strut cost]]</f>
        <v>130.93526666666665</v>
      </c>
      <c r="U130" s="7">
        <f>_xlfn.XLOOKUP(HFrame_List[[#This Row],[Fabrication type]],Fabrication_costs[Fabrication type],Fabrication_costs[unit pricing],"no result",0)</f>
        <v>30</v>
      </c>
      <c r="V130" s="5">
        <f>SUM(T130:U130)/(1-HFrame_List[[#This Row],[Margin]])</f>
        <v>459.81504761904762</v>
      </c>
      <c r="W130" s="36">
        <f t="shared" si="30"/>
        <v>0.65</v>
      </c>
      <c r="X130" t="s">
        <v>193</v>
      </c>
      <c r="Y130">
        <f>_xlfn.XLOOKUP("A12",Strut_costs[size],Strut_costs[Strut cost])/12*HFrame_List[[#This Row],[Strut height (in)]]*(2+HFrame_List[[#This Row],[Extra supports]])</f>
        <v>32.76</v>
      </c>
      <c r="Z130">
        <f>(_xlfn.XLOOKUP("PHB",CADDY_costs[Component],CADDY_costs[Current cost])*HFrame_List[[#This Row],[Number of feet]])+(_xlfn.XLOOKUP("HFRMHDW",CADDY_costs[Component],CADDY_costs[Current cost])*(HFrame_List[[#This Row],[number of L-brackets]]/2))</f>
        <v>46.819999999999993</v>
      </c>
      <c r="AA130">
        <v>2448</v>
      </c>
      <c r="AB130">
        <f>VLOOKUP(HFrame_List[[#This Row],[lookup]],'Pallet and shipping info'!$A$5:$H$33,6,FALSE)</f>
        <v>7</v>
      </c>
      <c r="AC130">
        <f>VLOOKUP(HFrame_List[[#This Row],[lookup]],'Pallet and shipping info'!$A$5:$H$33,8,FALSE)</f>
        <v>10</v>
      </c>
      <c r="AD130"/>
      <c r="AE130"/>
      <c r="AF130"/>
    </row>
    <row r="131" spans="1:32" x14ac:dyDescent="0.25">
      <c r="A131" s="1" t="s">
        <v>442</v>
      </c>
      <c r="B131" t="s">
        <v>443</v>
      </c>
      <c r="C131">
        <f t="shared" si="47"/>
        <v>37.674999999999997</v>
      </c>
      <c r="D131">
        <f t="shared" si="48"/>
        <v>62.050999999999995</v>
      </c>
      <c r="E131">
        <v>36</v>
      </c>
      <c r="F131">
        <f t="shared" si="46"/>
        <v>48</v>
      </c>
      <c r="G131">
        <f t="shared" si="42"/>
        <v>44.24</v>
      </c>
      <c r="H131">
        <v>1</v>
      </c>
      <c r="I131" t="s">
        <v>181</v>
      </c>
      <c r="J131">
        <v>1</v>
      </c>
      <c r="K131" s="6">
        <f t="shared" si="49"/>
        <v>23.1875</v>
      </c>
      <c r="L131">
        <f t="shared" si="50"/>
        <v>3</v>
      </c>
      <c r="M131">
        <f t="shared" si="43"/>
        <v>12</v>
      </c>
      <c r="N131">
        <f t="shared" si="44"/>
        <v>4</v>
      </c>
      <c r="O131" s="7">
        <f t="shared" si="39"/>
        <v>16</v>
      </c>
      <c r="P131">
        <f t="shared" ref="P131:P194" si="51">ROUNDUP(O131/10,0)</f>
        <v>2</v>
      </c>
      <c r="Q131">
        <f t="shared" ref="Q131:Q194" si="52">2*(L131+J131)</f>
        <v>8</v>
      </c>
      <c r="R131">
        <f>_xlfn.XLOOKUP(HFrame_List[[#This Row],[Cross piece style]],$AH$2:$AH$4,$AI$2:$AI$4,0,0)*(HFrame_List[[#This Row],[Width between brackets]]/12)</f>
        <v>51.355266666666672</v>
      </c>
      <c r="S131">
        <f>5.46*(HFrame_List[[#This Row],[cross piece quantity]]-1)*(HFrame_List[[#This Row],[Width between brackets]]/12)</f>
        <v>0</v>
      </c>
      <c r="T131" s="5">
        <f>HFrame_List[[#This Row],[Bottom cross piece cost]]+HFrame_List[[#This Row],[Top cross piece cost]]+HFrame_List[[#This Row],[Component costs]]+HFrame_List[[#This Row],[Vertical strut cost]]</f>
        <v>147.31526666666667</v>
      </c>
      <c r="U131" s="7">
        <f>_xlfn.XLOOKUP(HFrame_List[[#This Row],[Fabrication type]],Fabrication_costs[Fabrication type],Fabrication_costs[unit pricing],"no result",0)</f>
        <v>30</v>
      </c>
      <c r="V131" s="5">
        <f>SUM(T131:U131)/(1-HFrame_List[[#This Row],[Margin]])</f>
        <v>506.61504761904769</v>
      </c>
      <c r="W131" s="36">
        <f t="shared" si="30"/>
        <v>0.65</v>
      </c>
      <c r="X131" t="s">
        <v>193</v>
      </c>
      <c r="Y131">
        <f>_xlfn.XLOOKUP("A12",Strut_costs[size],Strut_costs[Strut cost])/12*HFrame_List[[#This Row],[Strut height (in)]]*(2+HFrame_List[[#This Row],[Extra supports]])</f>
        <v>49.14</v>
      </c>
      <c r="Z131">
        <f>(_xlfn.XLOOKUP("PHB",CADDY_costs[Component],CADDY_costs[Current cost])*HFrame_List[[#This Row],[Number of feet]])+(_xlfn.XLOOKUP("HFRMHDW",CADDY_costs[Component],CADDY_costs[Current cost])*(HFrame_List[[#This Row],[number of L-brackets]]/2))</f>
        <v>46.819999999999993</v>
      </c>
      <c r="AA131">
        <v>3648</v>
      </c>
      <c r="AB131">
        <f>VLOOKUP(HFrame_List[[#This Row],[lookup]],'Pallet and shipping info'!$A$5:$H$33,6,FALSE)</f>
        <v>7</v>
      </c>
      <c r="AC131">
        <f>VLOOKUP(HFrame_List[[#This Row],[lookup]],'Pallet and shipping info'!$A$5:$H$33,8,FALSE)</f>
        <v>10</v>
      </c>
      <c r="AD131"/>
      <c r="AE131"/>
      <c r="AF131"/>
    </row>
    <row r="132" spans="1:32" x14ac:dyDescent="0.25">
      <c r="A132" s="1" t="s">
        <v>444</v>
      </c>
      <c r="B132" t="s">
        <v>445</v>
      </c>
      <c r="C132">
        <f t="shared" si="47"/>
        <v>49.674999999999997</v>
      </c>
      <c r="D132">
        <f t="shared" si="48"/>
        <v>62.050999999999995</v>
      </c>
      <c r="E132">
        <v>48</v>
      </c>
      <c r="F132">
        <f t="shared" si="46"/>
        <v>48</v>
      </c>
      <c r="G132">
        <f t="shared" si="42"/>
        <v>44.24</v>
      </c>
      <c r="H132">
        <v>1</v>
      </c>
      <c r="I132" t="s">
        <v>181</v>
      </c>
      <c r="J132">
        <v>1</v>
      </c>
      <c r="K132" s="6">
        <f t="shared" si="49"/>
        <v>23.1875</v>
      </c>
      <c r="L132">
        <f t="shared" si="50"/>
        <v>3</v>
      </c>
      <c r="M132">
        <f t="shared" si="43"/>
        <v>12</v>
      </c>
      <c r="N132">
        <f t="shared" si="44"/>
        <v>4</v>
      </c>
      <c r="O132" s="7">
        <f t="shared" si="39"/>
        <v>20</v>
      </c>
      <c r="P132">
        <f t="shared" si="51"/>
        <v>2</v>
      </c>
      <c r="Q132">
        <f t="shared" si="52"/>
        <v>8</v>
      </c>
      <c r="R132">
        <f>_xlfn.XLOOKUP(HFrame_List[[#This Row],[Cross piece style]],$AH$2:$AH$4,$AI$2:$AI$4,0,0)*(HFrame_List[[#This Row],[Width between brackets]]/12)</f>
        <v>51.355266666666672</v>
      </c>
      <c r="S132">
        <f>5.46*(HFrame_List[[#This Row],[cross piece quantity]]-1)*(HFrame_List[[#This Row],[Width between brackets]]/12)</f>
        <v>0</v>
      </c>
      <c r="T132" s="5">
        <f>HFrame_List[[#This Row],[Bottom cross piece cost]]+HFrame_List[[#This Row],[Top cross piece cost]]+HFrame_List[[#This Row],[Component costs]]+HFrame_List[[#This Row],[Vertical strut cost]]</f>
        <v>163.69526666666667</v>
      </c>
      <c r="U132" s="7">
        <f>_xlfn.XLOOKUP(HFrame_List[[#This Row],[Fabrication type]],Fabrication_costs[Fabrication type],Fabrication_costs[unit pricing],"no result",0)</f>
        <v>30</v>
      </c>
      <c r="V132" s="5">
        <f>SUM(T132:U132)/(1-HFrame_List[[#This Row],[Margin]])</f>
        <v>553.41504761904764</v>
      </c>
      <c r="W132" s="36">
        <f t="shared" ref="W132:W195" si="53">W131</f>
        <v>0.65</v>
      </c>
      <c r="X132" t="s">
        <v>193</v>
      </c>
      <c r="Y132">
        <f>_xlfn.XLOOKUP("A12",Strut_costs[size],Strut_costs[Strut cost])/12*HFrame_List[[#This Row],[Strut height (in)]]*(2+HFrame_List[[#This Row],[Extra supports]])</f>
        <v>65.52</v>
      </c>
      <c r="Z132">
        <f>(_xlfn.XLOOKUP("PHB",CADDY_costs[Component],CADDY_costs[Current cost])*HFrame_List[[#This Row],[Number of feet]])+(_xlfn.XLOOKUP("HFRMHDW",CADDY_costs[Component],CADDY_costs[Current cost])*(HFrame_List[[#This Row],[number of L-brackets]]/2))</f>
        <v>46.819999999999993</v>
      </c>
      <c r="AA132">
        <v>4848</v>
      </c>
      <c r="AB132">
        <f>VLOOKUP(HFrame_List[[#This Row],[lookup]],'Pallet and shipping info'!$A$5:$H$33,6,FALSE)</f>
        <v>7</v>
      </c>
      <c r="AC132">
        <f>VLOOKUP(HFrame_List[[#This Row],[lookup]],'Pallet and shipping info'!$A$5:$H$33,8,FALSE)</f>
        <v>10</v>
      </c>
      <c r="AD132"/>
      <c r="AE132"/>
      <c r="AF132"/>
    </row>
    <row r="133" spans="1:32" x14ac:dyDescent="0.25">
      <c r="A133" s="1" t="s">
        <v>446</v>
      </c>
      <c r="B133" t="s">
        <v>447</v>
      </c>
      <c r="C133">
        <f t="shared" si="47"/>
        <v>73.674999999999997</v>
      </c>
      <c r="D133">
        <f t="shared" si="48"/>
        <v>62.050999999999995</v>
      </c>
      <c r="E133">
        <v>72</v>
      </c>
      <c r="F133">
        <f t="shared" si="46"/>
        <v>48</v>
      </c>
      <c r="G133">
        <f t="shared" si="42"/>
        <v>44.24</v>
      </c>
      <c r="H133">
        <v>1</v>
      </c>
      <c r="I133" t="s">
        <v>181</v>
      </c>
      <c r="J133">
        <v>1</v>
      </c>
      <c r="K133" s="6">
        <f t="shared" si="49"/>
        <v>23.1875</v>
      </c>
      <c r="L133">
        <f t="shared" si="50"/>
        <v>3</v>
      </c>
      <c r="M133">
        <f t="shared" si="43"/>
        <v>12</v>
      </c>
      <c r="N133">
        <f t="shared" si="44"/>
        <v>4</v>
      </c>
      <c r="O133" s="7">
        <f t="shared" si="39"/>
        <v>28</v>
      </c>
      <c r="P133">
        <f t="shared" si="51"/>
        <v>3</v>
      </c>
      <c r="Q133">
        <f t="shared" si="52"/>
        <v>8</v>
      </c>
      <c r="R133">
        <f>_xlfn.XLOOKUP(HFrame_List[[#This Row],[Cross piece style]],$AH$2:$AH$4,$AI$2:$AI$4,0,0)*(HFrame_List[[#This Row],[Width between brackets]]/12)</f>
        <v>51.355266666666672</v>
      </c>
      <c r="S133">
        <f>5.46*(HFrame_List[[#This Row],[cross piece quantity]]-1)*(HFrame_List[[#This Row],[Width between brackets]]/12)</f>
        <v>0</v>
      </c>
      <c r="T133" s="5">
        <f>HFrame_List[[#This Row],[Bottom cross piece cost]]+HFrame_List[[#This Row],[Top cross piece cost]]+HFrame_List[[#This Row],[Component costs]]+HFrame_List[[#This Row],[Vertical strut cost]]</f>
        <v>196.45526666666666</v>
      </c>
      <c r="U133" s="7">
        <f>_xlfn.XLOOKUP(HFrame_List[[#This Row],[Fabrication type]],Fabrication_costs[Fabrication type],Fabrication_costs[unit pricing],"no result",0)</f>
        <v>30</v>
      </c>
      <c r="V133" s="5">
        <f>SUM(T133:U133)/(1-HFrame_List[[#This Row],[Margin]])</f>
        <v>647.01504761904766</v>
      </c>
      <c r="W133" s="36">
        <f t="shared" si="53"/>
        <v>0.65</v>
      </c>
      <c r="X133" t="s">
        <v>193</v>
      </c>
      <c r="Y133">
        <f>_xlfn.XLOOKUP("A12",Strut_costs[size],Strut_costs[Strut cost])/12*HFrame_List[[#This Row],[Strut height (in)]]*(2+HFrame_List[[#This Row],[Extra supports]])</f>
        <v>98.28</v>
      </c>
      <c r="Z133">
        <f>(_xlfn.XLOOKUP("PHB",CADDY_costs[Component],CADDY_costs[Current cost])*HFrame_List[[#This Row],[Number of feet]])+(_xlfn.XLOOKUP("HFRMHDW",CADDY_costs[Component],CADDY_costs[Current cost])*(HFrame_List[[#This Row],[number of L-brackets]]/2))</f>
        <v>46.819999999999993</v>
      </c>
      <c r="AA133">
        <v>7248</v>
      </c>
      <c r="AB133">
        <f>VLOOKUP(HFrame_List[[#This Row],[lookup]],'Pallet and shipping info'!$A$5:$H$33,6,FALSE)</f>
        <v>7</v>
      </c>
      <c r="AC133">
        <f>VLOOKUP(HFrame_List[[#This Row],[lookup]],'Pallet and shipping info'!$A$5:$H$33,8,FALSE)</f>
        <v>10</v>
      </c>
      <c r="AD133"/>
      <c r="AE133"/>
      <c r="AF133"/>
    </row>
    <row r="134" spans="1:32" x14ac:dyDescent="0.25">
      <c r="A134" s="1" t="s">
        <v>448</v>
      </c>
      <c r="B134" t="s">
        <v>449</v>
      </c>
      <c r="C134">
        <f t="shared" si="47"/>
        <v>25.675000000000001</v>
      </c>
      <c r="D134">
        <f t="shared" si="48"/>
        <v>74.051000000000002</v>
      </c>
      <c r="E134">
        <v>24</v>
      </c>
      <c r="F134">
        <v>60</v>
      </c>
      <c r="G134">
        <f t="shared" si="42"/>
        <v>56.24</v>
      </c>
      <c r="H134">
        <v>1</v>
      </c>
      <c r="I134" t="s">
        <v>181</v>
      </c>
      <c r="J134">
        <v>1</v>
      </c>
      <c r="K134" s="6">
        <f t="shared" si="49"/>
        <v>29.1875</v>
      </c>
      <c r="L134">
        <f t="shared" si="50"/>
        <v>3</v>
      </c>
      <c r="M134">
        <f t="shared" si="43"/>
        <v>12</v>
      </c>
      <c r="N134">
        <f t="shared" si="44"/>
        <v>4</v>
      </c>
      <c r="O134" s="7">
        <f t="shared" si="39"/>
        <v>13</v>
      </c>
      <c r="P134">
        <f t="shared" si="51"/>
        <v>2</v>
      </c>
      <c r="Q134">
        <f t="shared" si="52"/>
        <v>8</v>
      </c>
      <c r="R134">
        <f>_xlfn.XLOOKUP(HFrame_List[[#This Row],[Cross piece style]],$AH$2:$AH$4,$AI$2:$AI$4,0,0)*(HFrame_List[[#This Row],[Width between brackets]]/12)</f>
        <v>65.285266666666658</v>
      </c>
      <c r="S134">
        <f>5.46*(HFrame_List[[#This Row],[cross piece quantity]]-1)*(HFrame_List[[#This Row],[Width between brackets]]/12)</f>
        <v>0</v>
      </c>
      <c r="T134" s="5">
        <f>HFrame_List[[#This Row],[Bottom cross piece cost]]+HFrame_List[[#This Row],[Top cross piece cost]]+HFrame_List[[#This Row],[Component costs]]+HFrame_List[[#This Row],[Vertical strut cost]]</f>
        <v>144.86526666666666</v>
      </c>
      <c r="U134" s="7">
        <f>_xlfn.XLOOKUP(HFrame_List[[#This Row],[Fabrication type]],Fabrication_costs[Fabrication type],Fabrication_costs[unit pricing],"no result",0)</f>
        <v>30</v>
      </c>
      <c r="V134" s="5">
        <f>SUM(T134:U134)/(1-HFrame_List[[#This Row],[Margin]])</f>
        <v>499.61504761904763</v>
      </c>
      <c r="W134" s="36">
        <f t="shared" si="53"/>
        <v>0.65</v>
      </c>
      <c r="X134" t="s">
        <v>193</v>
      </c>
      <c r="Y134">
        <f>_xlfn.XLOOKUP("A12",Strut_costs[size],Strut_costs[Strut cost])/12*HFrame_List[[#This Row],[Strut height (in)]]*(2+HFrame_List[[#This Row],[Extra supports]])</f>
        <v>32.76</v>
      </c>
      <c r="Z134">
        <f>(_xlfn.XLOOKUP("PHB",CADDY_costs[Component],CADDY_costs[Current cost])*HFrame_List[[#This Row],[Number of feet]])+(_xlfn.XLOOKUP("HFRMHDW",CADDY_costs[Component],CADDY_costs[Current cost])*(HFrame_List[[#This Row],[number of L-brackets]]/2))</f>
        <v>46.819999999999993</v>
      </c>
      <c r="AA134">
        <v>2460</v>
      </c>
      <c r="AB134" t="str">
        <f>VLOOKUP(HFrame_List[[#This Row],[lookup]],'Pallet and shipping info'!$A$5:$H$33,6,FALSE)</f>
        <v>x</v>
      </c>
      <c r="AC134">
        <f>VLOOKUP(HFrame_List[[#This Row],[lookup]],'Pallet and shipping info'!$A$5:$H$33,8,FALSE)</f>
        <v>7</v>
      </c>
      <c r="AD134"/>
      <c r="AE134"/>
      <c r="AF134"/>
    </row>
    <row r="135" spans="1:32" x14ac:dyDescent="0.25">
      <c r="A135" s="1" t="s">
        <v>450</v>
      </c>
      <c r="B135" t="s">
        <v>451</v>
      </c>
      <c r="C135">
        <f t="shared" si="47"/>
        <v>37.674999999999997</v>
      </c>
      <c r="D135">
        <f t="shared" si="48"/>
        <v>74.051000000000002</v>
      </c>
      <c r="E135">
        <v>36</v>
      </c>
      <c r="F135">
        <v>60</v>
      </c>
      <c r="G135">
        <f t="shared" si="42"/>
        <v>56.24</v>
      </c>
      <c r="H135">
        <v>1</v>
      </c>
      <c r="I135" t="s">
        <v>181</v>
      </c>
      <c r="J135">
        <v>1</v>
      </c>
      <c r="K135" s="6">
        <f t="shared" si="49"/>
        <v>29.1875</v>
      </c>
      <c r="L135">
        <f t="shared" si="50"/>
        <v>3</v>
      </c>
      <c r="M135">
        <f t="shared" si="43"/>
        <v>12</v>
      </c>
      <c r="N135">
        <f t="shared" si="44"/>
        <v>4</v>
      </c>
      <c r="O135" s="7">
        <f t="shared" si="39"/>
        <v>17</v>
      </c>
      <c r="P135">
        <f t="shared" si="51"/>
        <v>2</v>
      </c>
      <c r="Q135">
        <f t="shared" si="52"/>
        <v>8</v>
      </c>
      <c r="R135">
        <f>_xlfn.XLOOKUP(HFrame_List[[#This Row],[Cross piece style]],$AH$2:$AH$4,$AI$2:$AI$4,0,0)*(HFrame_List[[#This Row],[Width between brackets]]/12)</f>
        <v>65.285266666666658</v>
      </c>
      <c r="S135">
        <f>5.46*(HFrame_List[[#This Row],[cross piece quantity]]-1)*(HFrame_List[[#This Row],[Width between brackets]]/12)</f>
        <v>0</v>
      </c>
      <c r="T135" s="5">
        <f>HFrame_List[[#This Row],[Bottom cross piece cost]]+HFrame_List[[#This Row],[Top cross piece cost]]+HFrame_List[[#This Row],[Component costs]]+HFrame_List[[#This Row],[Vertical strut cost]]</f>
        <v>161.24526666666665</v>
      </c>
      <c r="U135" s="7">
        <f>_xlfn.XLOOKUP(HFrame_List[[#This Row],[Fabrication type]],Fabrication_costs[Fabrication type],Fabrication_costs[unit pricing],"no result",0)</f>
        <v>30</v>
      </c>
      <c r="V135" s="5">
        <f>SUM(T135:U135)/(1-HFrame_List[[#This Row],[Margin]])</f>
        <v>546.41504761904764</v>
      </c>
      <c r="W135" s="36">
        <f t="shared" si="53"/>
        <v>0.65</v>
      </c>
      <c r="X135" t="s">
        <v>193</v>
      </c>
      <c r="Y135">
        <f>_xlfn.XLOOKUP("A12",Strut_costs[size],Strut_costs[Strut cost])/12*HFrame_List[[#This Row],[Strut height (in)]]*(2+HFrame_List[[#This Row],[Extra supports]])</f>
        <v>49.14</v>
      </c>
      <c r="Z135">
        <f>(_xlfn.XLOOKUP("PHB",CADDY_costs[Component],CADDY_costs[Current cost])*HFrame_List[[#This Row],[Number of feet]])+(_xlfn.XLOOKUP("HFRMHDW",CADDY_costs[Component],CADDY_costs[Current cost])*(HFrame_List[[#This Row],[number of L-brackets]]/2))</f>
        <v>46.819999999999993</v>
      </c>
      <c r="AA135">
        <v>3660</v>
      </c>
      <c r="AB135" t="str">
        <f>VLOOKUP(HFrame_List[[#This Row],[lookup]],'Pallet and shipping info'!$A$5:$H$33,6,FALSE)</f>
        <v>x</v>
      </c>
      <c r="AC135">
        <f>VLOOKUP(HFrame_List[[#This Row],[lookup]],'Pallet and shipping info'!$A$5:$H$33,8,FALSE)</f>
        <v>7</v>
      </c>
      <c r="AD135"/>
      <c r="AE135"/>
      <c r="AF135"/>
    </row>
    <row r="136" spans="1:32" x14ac:dyDescent="0.25">
      <c r="A136" s="1" t="s">
        <v>452</v>
      </c>
      <c r="B136" t="s">
        <v>453</v>
      </c>
      <c r="C136">
        <f t="shared" si="47"/>
        <v>49.674999999999997</v>
      </c>
      <c r="D136">
        <f t="shared" si="48"/>
        <v>74.051000000000002</v>
      </c>
      <c r="E136">
        <v>48</v>
      </c>
      <c r="F136">
        <v>60</v>
      </c>
      <c r="G136">
        <f t="shared" si="42"/>
        <v>56.24</v>
      </c>
      <c r="H136">
        <v>1</v>
      </c>
      <c r="I136" t="s">
        <v>181</v>
      </c>
      <c r="J136">
        <v>1</v>
      </c>
      <c r="K136" s="6">
        <f t="shared" si="49"/>
        <v>29.1875</v>
      </c>
      <c r="L136">
        <f t="shared" si="50"/>
        <v>3</v>
      </c>
      <c r="M136">
        <f t="shared" si="43"/>
        <v>12</v>
      </c>
      <c r="N136">
        <f t="shared" si="44"/>
        <v>4</v>
      </c>
      <c r="O136" s="7">
        <f t="shared" si="39"/>
        <v>21</v>
      </c>
      <c r="P136">
        <f t="shared" si="51"/>
        <v>3</v>
      </c>
      <c r="Q136">
        <f t="shared" si="52"/>
        <v>8</v>
      </c>
      <c r="R136">
        <f>_xlfn.XLOOKUP(HFrame_List[[#This Row],[Cross piece style]],$AH$2:$AH$4,$AI$2:$AI$4,0,0)*(HFrame_List[[#This Row],[Width between brackets]]/12)</f>
        <v>65.285266666666658</v>
      </c>
      <c r="S136">
        <f>5.46*(HFrame_List[[#This Row],[cross piece quantity]]-1)*(HFrame_List[[#This Row],[Width between brackets]]/12)</f>
        <v>0</v>
      </c>
      <c r="T136" s="5">
        <f>HFrame_List[[#This Row],[Bottom cross piece cost]]+HFrame_List[[#This Row],[Top cross piece cost]]+HFrame_List[[#This Row],[Component costs]]+HFrame_List[[#This Row],[Vertical strut cost]]</f>
        <v>177.62526666666665</v>
      </c>
      <c r="U136" s="7">
        <f>_xlfn.XLOOKUP(HFrame_List[[#This Row],[Fabrication type]],Fabrication_costs[Fabrication type],Fabrication_costs[unit pricing],"no result",0)</f>
        <v>30</v>
      </c>
      <c r="V136" s="5">
        <f>SUM(T136:U136)/(1-HFrame_List[[#This Row],[Margin]])</f>
        <v>593.2150476190476</v>
      </c>
      <c r="W136" s="36">
        <f t="shared" si="53"/>
        <v>0.65</v>
      </c>
      <c r="X136" t="s">
        <v>193</v>
      </c>
      <c r="Y136">
        <f>_xlfn.XLOOKUP("A12",Strut_costs[size],Strut_costs[Strut cost])/12*HFrame_List[[#This Row],[Strut height (in)]]*(2+HFrame_List[[#This Row],[Extra supports]])</f>
        <v>65.52</v>
      </c>
      <c r="Z136">
        <f>(_xlfn.XLOOKUP("PHB",CADDY_costs[Component],CADDY_costs[Current cost])*HFrame_List[[#This Row],[Number of feet]])+(_xlfn.XLOOKUP("HFRMHDW",CADDY_costs[Component],CADDY_costs[Current cost])*(HFrame_List[[#This Row],[number of L-brackets]]/2))</f>
        <v>46.819999999999993</v>
      </c>
      <c r="AA136">
        <v>4860</v>
      </c>
      <c r="AB136" t="str">
        <f>VLOOKUP(HFrame_List[[#This Row],[lookup]],'Pallet and shipping info'!$A$5:$H$33,6,FALSE)</f>
        <v>x</v>
      </c>
      <c r="AC136">
        <f>VLOOKUP(HFrame_List[[#This Row],[lookup]],'Pallet and shipping info'!$A$5:$H$33,8,FALSE)</f>
        <v>7</v>
      </c>
      <c r="AD136"/>
      <c r="AE136"/>
      <c r="AF136"/>
    </row>
    <row r="137" spans="1:32" x14ac:dyDescent="0.25">
      <c r="A137" s="1" t="s">
        <v>454</v>
      </c>
      <c r="B137" t="s">
        <v>455</v>
      </c>
      <c r="C137">
        <f t="shared" si="47"/>
        <v>73.674999999999997</v>
      </c>
      <c r="D137">
        <f t="shared" si="48"/>
        <v>74.051000000000002</v>
      </c>
      <c r="E137">
        <v>72</v>
      </c>
      <c r="F137">
        <v>60</v>
      </c>
      <c r="G137">
        <f t="shared" si="42"/>
        <v>56.24</v>
      </c>
      <c r="H137">
        <v>1</v>
      </c>
      <c r="I137" t="s">
        <v>181</v>
      </c>
      <c r="J137">
        <v>1</v>
      </c>
      <c r="K137" s="6">
        <f t="shared" si="49"/>
        <v>29.1875</v>
      </c>
      <c r="L137">
        <f t="shared" si="50"/>
        <v>3</v>
      </c>
      <c r="M137">
        <f t="shared" si="43"/>
        <v>12</v>
      </c>
      <c r="N137">
        <f t="shared" si="44"/>
        <v>4</v>
      </c>
      <c r="O137" s="7">
        <f t="shared" si="39"/>
        <v>29</v>
      </c>
      <c r="P137">
        <f t="shared" si="51"/>
        <v>3</v>
      </c>
      <c r="Q137">
        <f t="shared" si="52"/>
        <v>8</v>
      </c>
      <c r="R137">
        <f>_xlfn.XLOOKUP(HFrame_List[[#This Row],[Cross piece style]],$AH$2:$AH$4,$AI$2:$AI$4,0,0)*(HFrame_List[[#This Row],[Width between brackets]]/12)</f>
        <v>65.285266666666658</v>
      </c>
      <c r="S137">
        <f>5.46*(HFrame_List[[#This Row],[cross piece quantity]]-1)*(HFrame_List[[#This Row],[Width between brackets]]/12)</f>
        <v>0</v>
      </c>
      <c r="T137" s="5">
        <f>HFrame_List[[#This Row],[Bottom cross piece cost]]+HFrame_List[[#This Row],[Top cross piece cost]]+HFrame_List[[#This Row],[Component costs]]+HFrame_List[[#This Row],[Vertical strut cost]]</f>
        <v>210.38526666666667</v>
      </c>
      <c r="U137" s="7">
        <f>_xlfn.XLOOKUP(HFrame_List[[#This Row],[Fabrication type]],Fabrication_costs[Fabrication type],Fabrication_costs[unit pricing],"no result",0)</f>
        <v>30</v>
      </c>
      <c r="V137" s="5">
        <f>SUM(T137:U137)/(1-HFrame_List[[#This Row],[Margin]])</f>
        <v>686.81504761904762</v>
      </c>
      <c r="W137" s="36">
        <f t="shared" si="53"/>
        <v>0.65</v>
      </c>
      <c r="X137" t="s">
        <v>193</v>
      </c>
      <c r="Y137">
        <f>_xlfn.XLOOKUP("A12",Strut_costs[size],Strut_costs[Strut cost])/12*HFrame_List[[#This Row],[Strut height (in)]]*(2+HFrame_List[[#This Row],[Extra supports]])</f>
        <v>98.28</v>
      </c>
      <c r="Z137">
        <f>(_xlfn.XLOOKUP("PHB",CADDY_costs[Component],CADDY_costs[Current cost])*HFrame_List[[#This Row],[Number of feet]])+(_xlfn.XLOOKUP("HFRMHDW",CADDY_costs[Component],CADDY_costs[Current cost])*(HFrame_List[[#This Row],[number of L-brackets]]/2))</f>
        <v>46.819999999999993</v>
      </c>
      <c r="AA137">
        <v>7260</v>
      </c>
      <c r="AB137" t="str">
        <f>VLOOKUP(HFrame_List[[#This Row],[lookup]],'Pallet and shipping info'!$A$5:$H$33,6,FALSE)</f>
        <v>x</v>
      </c>
      <c r="AC137">
        <f>VLOOKUP(HFrame_List[[#This Row],[lookup]],'Pallet and shipping info'!$A$5:$H$33,8,FALSE)</f>
        <v>7</v>
      </c>
      <c r="AD137"/>
      <c r="AE137"/>
      <c r="AF137"/>
    </row>
    <row r="138" spans="1:32" x14ac:dyDescent="0.25">
      <c r="A138" s="1" t="s">
        <v>456</v>
      </c>
      <c r="B138" t="s">
        <v>457</v>
      </c>
      <c r="C138">
        <f t="shared" si="47"/>
        <v>25.675000000000001</v>
      </c>
      <c r="D138">
        <f t="shared" si="48"/>
        <v>86.051000000000002</v>
      </c>
      <c r="E138">
        <v>24</v>
      </c>
      <c r="F138">
        <v>72</v>
      </c>
      <c r="G138">
        <f t="shared" si="42"/>
        <v>68.239999999999995</v>
      </c>
      <c r="H138">
        <v>1</v>
      </c>
      <c r="I138" t="s">
        <v>181</v>
      </c>
      <c r="J138">
        <v>1</v>
      </c>
      <c r="K138" s="6">
        <f t="shared" si="49"/>
        <v>35.1875</v>
      </c>
      <c r="L138">
        <f t="shared" si="50"/>
        <v>3</v>
      </c>
      <c r="M138">
        <f t="shared" si="43"/>
        <v>12</v>
      </c>
      <c r="N138">
        <f t="shared" si="44"/>
        <v>4</v>
      </c>
      <c r="O138" s="7">
        <f t="shared" si="39"/>
        <v>14</v>
      </c>
      <c r="P138">
        <f t="shared" si="51"/>
        <v>2</v>
      </c>
      <c r="Q138">
        <f t="shared" si="52"/>
        <v>8</v>
      </c>
      <c r="R138">
        <f>_xlfn.XLOOKUP(HFrame_List[[#This Row],[Cross piece style]],$AH$2:$AH$4,$AI$2:$AI$4,0,0)*(HFrame_List[[#This Row],[Width between brackets]]/12)</f>
        <v>79.215266666666665</v>
      </c>
      <c r="S138">
        <f>5.46*(HFrame_List[[#This Row],[cross piece quantity]]-1)*(HFrame_List[[#This Row],[Width between brackets]]/12)</f>
        <v>0</v>
      </c>
      <c r="T138" s="5">
        <f>HFrame_List[[#This Row],[Bottom cross piece cost]]+HFrame_List[[#This Row],[Top cross piece cost]]+HFrame_List[[#This Row],[Component costs]]+HFrame_List[[#This Row],[Vertical strut cost]]</f>
        <v>158.79526666666666</v>
      </c>
      <c r="U138" s="7">
        <f>_xlfn.XLOOKUP(HFrame_List[[#This Row],[Fabrication type]],Fabrication_costs[Fabrication type],Fabrication_costs[unit pricing],"no result",0)</f>
        <v>30</v>
      </c>
      <c r="V138" s="5">
        <f>SUM(T138:U138)/(1-HFrame_List[[#This Row],[Margin]])</f>
        <v>539.41504761904764</v>
      </c>
      <c r="W138" s="36">
        <f t="shared" si="53"/>
        <v>0.65</v>
      </c>
      <c r="X138" t="s">
        <v>193</v>
      </c>
      <c r="Y138">
        <f>_xlfn.XLOOKUP("A12",Strut_costs[size],Strut_costs[Strut cost])/12*HFrame_List[[#This Row],[Strut height (in)]]*(2+HFrame_List[[#This Row],[Extra supports]])</f>
        <v>32.76</v>
      </c>
      <c r="Z138">
        <f>(_xlfn.XLOOKUP("PHB",CADDY_costs[Component],CADDY_costs[Current cost])*HFrame_List[[#This Row],[Number of feet]])+(_xlfn.XLOOKUP("HFRMHDW",CADDY_costs[Component],CADDY_costs[Current cost])*(HFrame_List[[#This Row],[number of L-brackets]]/2))</f>
        <v>46.819999999999993</v>
      </c>
      <c r="AA138">
        <v>2472</v>
      </c>
      <c r="AB138" t="str">
        <f>VLOOKUP(HFrame_List[[#This Row],[lookup]],'Pallet and shipping info'!$A$5:$H$33,6,FALSE)</f>
        <v>x</v>
      </c>
      <c r="AC138">
        <f>VLOOKUP(HFrame_List[[#This Row],[lookup]],'Pallet and shipping info'!$A$5:$H$33,8,FALSE)</f>
        <v>7</v>
      </c>
      <c r="AD138"/>
      <c r="AE138"/>
      <c r="AF138"/>
    </row>
    <row r="139" spans="1:32" x14ac:dyDescent="0.25">
      <c r="A139" s="1" t="s">
        <v>458</v>
      </c>
      <c r="B139" t="s">
        <v>459</v>
      </c>
      <c r="C139">
        <f t="shared" si="47"/>
        <v>37.674999999999997</v>
      </c>
      <c r="D139">
        <f t="shared" si="48"/>
        <v>86.051000000000002</v>
      </c>
      <c r="E139">
        <v>36</v>
      </c>
      <c r="F139">
        <v>72</v>
      </c>
      <c r="G139">
        <f t="shared" si="42"/>
        <v>68.239999999999995</v>
      </c>
      <c r="H139">
        <v>1</v>
      </c>
      <c r="I139" t="s">
        <v>181</v>
      </c>
      <c r="J139">
        <v>1</v>
      </c>
      <c r="K139" s="6">
        <f t="shared" si="49"/>
        <v>35.1875</v>
      </c>
      <c r="L139">
        <f t="shared" si="50"/>
        <v>3</v>
      </c>
      <c r="M139">
        <f t="shared" si="43"/>
        <v>12</v>
      </c>
      <c r="N139">
        <f t="shared" si="44"/>
        <v>4</v>
      </c>
      <c r="O139" s="7">
        <f t="shared" si="39"/>
        <v>18</v>
      </c>
      <c r="P139">
        <f t="shared" si="51"/>
        <v>2</v>
      </c>
      <c r="Q139">
        <f t="shared" si="52"/>
        <v>8</v>
      </c>
      <c r="R139">
        <f>_xlfn.XLOOKUP(HFrame_List[[#This Row],[Cross piece style]],$AH$2:$AH$4,$AI$2:$AI$4,0,0)*(HFrame_List[[#This Row],[Width between brackets]]/12)</f>
        <v>79.215266666666665</v>
      </c>
      <c r="S139">
        <f>5.46*(HFrame_List[[#This Row],[cross piece quantity]]-1)*(HFrame_List[[#This Row],[Width between brackets]]/12)</f>
        <v>0</v>
      </c>
      <c r="T139" s="5">
        <f>HFrame_List[[#This Row],[Bottom cross piece cost]]+HFrame_List[[#This Row],[Top cross piece cost]]+HFrame_List[[#This Row],[Component costs]]+HFrame_List[[#This Row],[Vertical strut cost]]</f>
        <v>175.17526666666666</v>
      </c>
      <c r="U139" s="7">
        <f>_xlfn.XLOOKUP(HFrame_List[[#This Row],[Fabrication type]],Fabrication_costs[Fabrication type],Fabrication_costs[unit pricing],"no result",0)</f>
        <v>30</v>
      </c>
      <c r="V139" s="5">
        <f>SUM(T139:U139)/(1-HFrame_List[[#This Row],[Margin]])</f>
        <v>586.2150476190476</v>
      </c>
      <c r="W139" s="36">
        <f t="shared" si="53"/>
        <v>0.65</v>
      </c>
      <c r="X139" t="s">
        <v>193</v>
      </c>
      <c r="Y139">
        <f>_xlfn.XLOOKUP("A12",Strut_costs[size],Strut_costs[Strut cost])/12*HFrame_List[[#This Row],[Strut height (in)]]*(2+HFrame_List[[#This Row],[Extra supports]])</f>
        <v>49.14</v>
      </c>
      <c r="Z139">
        <f>(_xlfn.XLOOKUP("PHB",CADDY_costs[Component],CADDY_costs[Current cost])*HFrame_List[[#This Row],[Number of feet]])+(_xlfn.XLOOKUP("HFRMHDW",CADDY_costs[Component],CADDY_costs[Current cost])*(HFrame_List[[#This Row],[number of L-brackets]]/2))</f>
        <v>46.819999999999993</v>
      </c>
      <c r="AA139">
        <v>3672</v>
      </c>
      <c r="AB139" t="str">
        <f>VLOOKUP(HFrame_List[[#This Row],[lookup]],'Pallet and shipping info'!$A$5:$H$33,6,FALSE)</f>
        <v>x</v>
      </c>
      <c r="AC139">
        <f>VLOOKUP(HFrame_List[[#This Row],[lookup]],'Pallet and shipping info'!$A$5:$H$33,8,FALSE)</f>
        <v>7</v>
      </c>
      <c r="AD139"/>
      <c r="AE139"/>
      <c r="AF139"/>
    </row>
    <row r="140" spans="1:32" x14ac:dyDescent="0.25">
      <c r="A140" s="1" t="s">
        <v>460</v>
      </c>
      <c r="B140" t="s">
        <v>461</v>
      </c>
      <c r="C140">
        <f t="shared" si="47"/>
        <v>49.674999999999997</v>
      </c>
      <c r="D140">
        <f t="shared" si="48"/>
        <v>86.051000000000002</v>
      </c>
      <c r="E140">
        <v>48</v>
      </c>
      <c r="F140">
        <v>72</v>
      </c>
      <c r="G140">
        <f t="shared" si="42"/>
        <v>68.239999999999995</v>
      </c>
      <c r="H140">
        <v>1</v>
      </c>
      <c r="I140" t="s">
        <v>181</v>
      </c>
      <c r="J140">
        <v>1</v>
      </c>
      <c r="K140" s="6">
        <f t="shared" si="49"/>
        <v>35.1875</v>
      </c>
      <c r="L140">
        <f t="shared" si="50"/>
        <v>3</v>
      </c>
      <c r="M140">
        <f t="shared" si="43"/>
        <v>12</v>
      </c>
      <c r="N140">
        <f t="shared" si="44"/>
        <v>4</v>
      </c>
      <c r="O140" s="7">
        <f t="shared" si="39"/>
        <v>22</v>
      </c>
      <c r="P140">
        <f t="shared" si="51"/>
        <v>3</v>
      </c>
      <c r="Q140">
        <f t="shared" si="52"/>
        <v>8</v>
      </c>
      <c r="R140">
        <f>_xlfn.XLOOKUP(HFrame_List[[#This Row],[Cross piece style]],$AH$2:$AH$4,$AI$2:$AI$4,0,0)*(HFrame_List[[#This Row],[Width between brackets]]/12)</f>
        <v>79.215266666666665</v>
      </c>
      <c r="S140">
        <f>5.46*(HFrame_List[[#This Row],[cross piece quantity]]-1)*(HFrame_List[[#This Row],[Width between brackets]]/12)</f>
        <v>0</v>
      </c>
      <c r="T140" s="5">
        <f>HFrame_List[[#This Row],[Bottom cross piece cost]]+HFrame_List[[#This Row],[Top cross piece cost]]+HFrame_List[[#This Row],[Component costs]]+HFrame_List[[#This Row],[Vertical strut cost]]</f>
        <v>191.55526666666665</v>
      </c>
      <c r="U140" s="7">
        <f>_xlfn.XLOOKUP(HFrame_List[[#This Row],[Fabrication type]],Fabrication_costs[Fabrication type],Fabrication_costs[unit pricing],"no result",0)</f>
        <v>30</v>
      </c>
      <c r="V140" s="5">
        <f>SUM(T140:U140)/(1-HFrame_List[[#This Row],[Margin]])</f>
        <v>633.01504761904766</v>
      </c>
      <c r="W140" s="36">
        <f t="shared" si="53"/>
        <v>0.65</v>
      </c>
      <c r="X140" t="s">
        <v>193</v>
      </c>
      <c r="Y140">
        <f>_xlfn.XLOOKUP("A12",Strut_costs[size],Strut_costs[Strut cost])/12*HFrame_List[[#This Row],[Strut height (in)]]*(2+HFrame_List[[#This Row],[Extra supports]])</f>
        <v>65.52</v>
      </c>
      <c r="Z140">
        <f>(_xlfn.XLOOKUP("PHB",CADDY_costs[Component],CADDY_costs[Current cost])*HFrame_List[[#This Row],[Number of feet]])+(_xlfn.XLOOKUP("HFRMHDW",CADDY_costs[Component],CADDY_costs[Current cost])*(HFrame_List[[#This Row],[number of L-brackets]]/2))</f>
        <v>46.819999999999993</v>
      </c>
      <c r="AA140">
        <v>4872</v>
      </c>
      <c r="AB140" t="str">
        <f>VLOOKUP(HFrame_List[[#This Row],[lookup]],'Pallet and shipping info'!$A$5:$H$33,6,FALSE)</f>
        <v>x</v>
      </c>
      <c r="AC140">
        <f>VLOOKUP(HFrame_List[[#This Row],[lookup]],'Pallet and shipping info'!$A$5:$H$33,8,FALSE)</f>
        <v>7</v>
      </c>
      <c r="AD140"/>
      <c r="AE140"/>
      <c r="AF140"/>
    </row>
    <row r="141" spans="1:32" x14ac:dyDescent="0.25">
      <c r="A141" s="1" t="s">
        <v>462</v>
      </c>
      <c r="B141" t="s">
        <v>463</v>
      </c>
      <c r="C141">
        <f t="shared" si="47"/>
        <v>73.674999999999997</v>
      </c>
      <c r="D141">
        <f t="shared" si="48"/>
        <v>86.051000000000002</v>
      </c>
      <c r="E141">
        <v>72</v>
      </c>
      <c r="F141">
        <v>72</v>
      </c>
      <c r="G141">
        <f t="shared" si="42"/>
        <v>68.239999999999995</v>
      </c>
      <c r="H141">
        <v>1</v>
      </c>
      <c r="I141" t="s">
        <v>181</v>
      </c>
      <c r="J141">
        <v>1</v>
      </c>
      <c r="K141" s="6">
        <f t="shared" si="49"/>
        <v>35.1875</v>
      </c>
      <c r="L141">
        <f t="shared" si="50"/>
        <v>3</v>
      </c>
      <c r="M141">
        <f t="shared" si="43"/>
        <v>12</v>
      </c>
      <c r="N141">
        <f t="shared" si="44"/>
        <v>4</v>
      </c>
      <c r="O141" s="7">
        <f t="shared" si="39"/>
        <v>30</v>
      </c>
      <c r="P141">
        <f t="shared" si="51"/>
        <v>3</v>
      </c>
      <c r="Q141">
        <f t="shared" si="52"/>
        <v>8</v>
      </c>
      <c r="R141">
        <f>_xlfn.XLOOKUP(HFrame_List[[#This Row],[Cross piece style]],$AH$2:$AH$4,$AI$2:$AI$4,0,0)*(HFrame_List[[#This Row],[Width between brackets]]/12)</f>
        <v>79.215266666666665</v>
      </c>
      <c r="S141">
        <f>5.46*(HFrame_List[[#This Row],[cross piece quantity]]-1)*(HFrame_List[[#This Row],[Width between brackets]]/12)</f>
        <v>0</v>
      </c>
      <c r="T141" s="5">
        <f>HFrame_List[[#This Row],[Bottom cross piece cost]]+HFrame_List[[#This Row],[Top cross piece cost]]+HFrame_List[[#This Row],[Component costs]]+HFrame_List[[#This Row],[Vertical strut cost]]</f>
        <v>224.31526666666667</v>
      </c>
      <c r="U141" s="7">
        <f>_xlfn.XLOOKUP(HFrame_List[[#This Row],[Fabrication type]],Fabrication_costs[Fabrication type],Fabrication_costs[unit pricing],"no result",0)</f>
        <v>30</v>
      </c>
      <c r="V141" s="5">
        <f>SUM(T141:U141)/(1-HFrame_List[[#This Row],[Margin]])</f>
        <v>726.61504761904769</v>
      </c>
      <c r="W141" s="36">
        <f t="shared" si="53"/>
        <v>0.65</v>
      </c>
      <c r="X141" t="s">
        <v>193</v>
      </c>
      <c r="Y141">
        <f>_xlfn.XLOOKUP("A12",Strut_costs[size],Strut_costs[Strut cost])/12*HFrame_List[[#This Row],[Strut height (in)]]*(2+HFrame_List[[#This Row],[Extra supports]])</f>
        <v>98.28</v>
      </c>
      <c r="Z141">
        <f>(_xlfn.XLOOKUP("PHB",CADDY_costs[Component],CADDY_costs[Current cost])*HFrame_List[[#This Row],[Number of feet]])+(_xlfn.XLOOKUP("HFRMHDW",CADDY_costs[Component],CADDY_costs[Current cost])*(HFrame_List[[#This Row],[number of L-brackets]]/2))</f>
        <v>46.819999999999993</v>
      </c>
      <c r="AA141">
        <v>7272</v>
      </c>
      <c r="AB141" t="str">
        <f>VLOOKUP(HFrame_List[[#This Row],[lookup]],'Pallet and shipping info'!$A$5:$H$33,6,FALSE)</f>
        <v>x</v>
      </c>
      <c r="AC141">
        <f>VLOOKUP(HFrame_List[[#This Row],[lookup]],'Pallet and shipping info'!$A$5:$H$33,8,FALSE)</f>
        <v>7</v>
      </c>
      <c r="AD141"/>
      <c r="AE141"/>
      <c r="AF141"/>
    </row>
    <row r="142" spans="1:32" x14ac:dyDescent="0.25">
      <c r="A142" s="1" t="s">
        <v>464</v>
      </c>
      <c r="B142" t="s">
        <v>465</v>
      </c>
      <c r="C142">
        <f t="shared" si="47"/>
        <v>25.675000000000001</v>
      </c>
      <c r="D142">
        <f t="shared" si="48"/>
        <v>98.051000000000002</v>
      </c>
      <c r="E142">
        <v>24</v>
      </c>
      <c r="F142">
        <v>84</v>
      </c>
      <c r="G142">
        <f t="shared" si="42"/>
        <v>80.239999999999995</v>
      </c>
      <c r="H142">
        <v>1</v>
      </c>
      <c r="I142" t="s">
        <v>181</v>
      </c>
      <c r="J142">
        <v>1</v>
      </c>
      <c r="K142" s="6">
        <f t="shared" si="49"/>
        <v>41.1875</v>
      </c>
      <c r="L142">
        <f t="shared" si="50"/>
        <v>3</v>
      </c>
      <c r="M142">
        <f t="shared" si="43"/>
        <v>12</v>
      </c>
      <c r="N142">
        <f t="shared" si="44"/>
        <v>4</v>
      </c>
      <c r="O142" s="7">
        <f t="shared" si="39"/>
        <v>15</v>
      </c>
      <c r="P142">
        <f t="shared" si="51"/>
        <v>2</v>
      </c>
      <c r="Q142">
        <f t="shared" si="52"/>
        <v>8</v>
      </c>
      <c r="R142">
        <f>_xlfn.XLOOKUP(HFrame_List[[#This Row],[Cross piece style]],$AH$2:$AH$4,$AI$2:$AI$4,0,0)*(HFrame_List[[#This Row],[Width between brackets]]/12)</f>
        <v>93.145266666666657</v>
      </c>
      <c r="S142">
        <f>5.46*(HFrame_List[[#This Row],[cross piece quantity]]-1)*(HFrame_List[[#This Row],[Width between brackets]]/12)</f>
        <v>0</v>
      </c>
      <c r="T142" s="5">
        <f>HFrame_List[[#This Row],[Bottom cross piece cost]]+HFrame_List[[#This Row],[Top cross piece cost]]+HFrame_List[[#This Row],[Component costs]]+HFrame_List[[#This Row],[Vertical strut cost]]</f>
        <v>172.72526666666664</v>
      </c>
      <c r="U142" s="7">
        <f>_xlfn.XLOOKUP(HFrame_List[[#This Row],[Fabrication type]],Fabrication_costs[Fabrication type],Fabrication_costs[unit pricing],"no result",0)</f>
        <v>30</v>
      </c>
      <c r="V142" s="5">
        <f>SUM(T142:U142)/(1-HFrame_List[[#This Row],[Margin]])</f>
        <v>579.2150476190476</v>
      </c>
      <c r="W142" s="36">
        <f t="shared" si="53"/>
        <v>0.65</v>
      </c>
      <c r="X142" t="s">
        <v>193</v>
      </c>
      <c r="Y142">
        <f>_xlfn.XLOOKUP("A12",Strut_costs[size],Strut_costs[Strut cost])/12*HFrame_List[[#This Row],[Strut height (in)]]*(2+HFrame_List[[#This Row],[Extra supports]])</f>
        <v>32.76</v>
      </c>
      <c r="Z142">
        <f>(_xlfn.XLOOKUP("PHB",CADDY_costs[Component],CADDY_costs[Current cost])*HFrame_List[[#This Row],[Number of feet]])+(_xlfn.XLOOKUP("HFRMHDW",CADDY_costs[Component],CADDY_costs[Current cost])*(HFrame_List[[#This Row],[number of L-brackets]]/2))</f>
        <v>46.819999999999993</v>
      </c>
      <c r="AA142">
        <v>2484</v>
      </c>
      <c r="AB142" t="str">
        <f>VLOOKUP(HFrame_List[[#This Row],[lookup]],'Pallet and shipping info'!$A$5:$H$33,6,FALSE)</f>
        <v>x</v>
      </c>
      <c r="AC142">
        <f>VLOOKUP(HFrame_List[[#This Row],[lookup]],'Pallet and shipping info'!$A$5:$H$33,8,FALSE)</f>
        <v>7</v>
      </c>
      <c r="AD142"/>
      <c r="AE142"/>
      <c r="AF142"/>
    </row>
    <row r="143" spans="1:32" x14ac:dyDescent="0.25">
      <c r="A143" s="1" t="s">
        <v>466</v>
      </c>
      <c r="B143" t="s">
        <v>467</v>
      </c>
      <c r="C143">
        <f t="shared" si="47"/>
        <v>37.674999999999997</v>
      </c>
      <c r="D143">
        <f t="shared" si="48"/>
        <v>98.051000000000002</v>
      </c>
      <c r="E143">
        <v>36</v>
      </c>
      <c r="F143">
        <v>84</v>
      </c>
      <c r="G143">
        <f t="shared" si="42"/>
        <v>80.239999999999995</v>
      </c>
      <c r="H143">
        <v>1</v>
      </c>
      <c r="I143" t="s">
        <v>181</v>
      </c>
      <c r="J143">
        <v>1</v>
      </c>
      <c r="K143" s="6">
        <f t="shared" si="49"/>
        <v>41.1875</v>
      </c>
      <c r="L143">
        <f t="shared" si="50"/>
        <v>3</v>
      </c>
      <c r="M143">
        <f t="shared" si="43"/>
        <v>12</v>
      </c>
      <c r="N143">
        <f t="shared" si="44"/>
        <v>4</v>
      </c>
      <c r="O143" s="7">
        <f t="shared" si="39"/>
        <v>19</v>
      </c>
      <c r="P143">
        <f t="shared" si="51"/>
        <v>2</v>
      </c>
      <c r="Q143">
        <f t="shared" si="52"/>
        <v>8</v>
      </c>
      <c r="R143">
        <f>_xlfn.XLOOKUP(HFrame_List[[#This Row],[Cross piece style]],$AH$2:$AH$4,$AI$2:$AI$4,0,0)*(HFrame_List[[#This Row],[Width between brackets]]/12)</f>
        <v>93.145266666666657</v>
      </c>
      <c r="S143">
        <f>5.46*(HFrame_List[[#This Row],[cross piece quantity]]-1)*(HFrame_List[[#This Row],[Width between brackets]]/12)</f>
        <v>0</v>
      </c>
      <c r="T143" s="5">
        <f>HFrame_List[[#This Row],[Bottom cross piece cost]]+HFrame_List[[#This Row],[Top cross piece cost]]+HFrame_List[[#This Row],[Component costs]]+HFrame_List[[#This Row],[Vertical strut cost]]</f>
        <v>189.10526666666664</v>
      </c>
      <c r="U143" s="7">
        <f>_xlfn.XLOOKUP(HFrame_List[[#This Row],[Fabrication type]],Fabrication_costs[Fabrication type],Fabrication_costs[unit pricing],"no result",0)</f>
        <v>30</v>
      </c>
      <c r="V143" s="5">
        <f>SUM(T143:U143)/(1-HFrame_List[[#This Row],[Margin]])</f>
        <v>626.01504761904755</v>
      </c>
      <c r="W143" s="36">
        <f t="shared" si="53"/>
        <v>0.65</v>
      </c>
      <c r="X143" t="s">
        <v>193</v>
      </c>
      <c r="Y143">
        <f>_xlfn.XLOOKUP("A12",Strut_costs[size],Strut_costs[Strut cost])/12*HFrame_List[[#This Row],[Strut height (in)]]*(2+HFrame_List[[#This Row],[Extra supports]])</f>
        <v>49.14</v>
      </c>
      <c r="Z143">
        <f>(_xlfn.XLOOKUP("PHB",CADDY_costs[Component],CADDY_costs[Current cost])*HFrame_List[[#This Row],[Number of feet]])+(_xlfn.XLOOKUP("HFRMHDW",CADDY_costs[Component],CADDY_costs[Current cost])*(HFrame_List[[#This Row],[number of L-brackets]]/2))</f>
        <v>46.819999999999993</v>
      </c>
      <c r="AA143">
        <v>3684</v>
      </c>
      <c r="AB143" t="str">
        <f>VLOOKUP(HFrame_List[[#This Row],[lookup]],'Pallet and shipping info'!$A$5:$H$33,6,FALSE)</f>
        <v>x</v>
      </c>
      <c r="AC143">
        <f>VLOOKUP(HFrame_List[[#This Row],[lookup]],'Pallet and shipping info'!$A$5:$H$33,8,FALSE)</f>
        <v>7</v>
      </c>
      <c r="AD143"/>
      <c r="AE143"/>
      <c r="AF143"/>
    </row>
    <row r="144" spans="1:32" x14ac:dyDescent="0.25">
      <c r="A144" s="1" t="s">
        <v>468</v>
      </c>
      <c r="B144" t="s">
        <v>469</v>
      </c>
      <c r="C144">
        <f t="shared" si="47"/>
        <v>49.674999999999997</v>
      </c>
      <c r="D144">
        <f t="shared" si="48"/>
        <v>98.051000000000002</v>
      </c>
      <c r="E144">
        <v>48</v>
      </c>
      <c r="F144">
        <v>84</v>
      </c>
      <c r="G144">
        <f t="shared" si="42"/>
        <v>80.239999999999995</v>
      </c>
      <c r="H144">
        <v>1</v>
      </c>
      <c r="I144" t="s">
        <v>181</v>
      </c>
      <c r="J144">
        <v>1</v>
      </c>
      <c r="K144" s="6">
        <f t="shared" si="49"/>
        <v>41.1875</v>
      </c>
      <c r="L144">
        <f t="shared" si="50"/>
        <v>3</v>
      </c>
      <c r="M144">
        <f t="shared" si="43"/>
        <v>12</v>
      </c>
      <c r="N144">
        <f t="shared" si="44"/>
        <v>4</v>
      </c>
      <c r="O144" s="7">
        <f t="shared" si="39"/>
        <v>23</v>
      </c>
      <c r="P144">
        <f t="shared" si="51"/>
        <v>3</v>
      </c>
      <c r="Q144">
        <f t="shared" si="52"/>
        <v>8</v>
      </c>
      <c r="R144">
        <f>_xlfn.XLOOKUP(HFrame_List[[#This Row],[Cross piece style]],$AH$2:$AH$4,$AI$2:$AI$4,0,0)*(HFrame_List[[#This Row],[Width between brackets]]/12)</f>
        <v>93.145266666666657</v>
      </c>
      <c r="S144">
        <f>5.46*(HFrame_List[[#This Row],[cross piece quantity]]-1)*(HFrame_List[[#This Row],[Width between brackets]]/12)</f>
        <v>0</v>
      </c>
      <c r="T144" s="5">
        <f>HFrame_List[[#This Row],[Bottom cross piece cost]]+HFrame_List[[#This Row],[Top cross piece cost]]+HFrame_List[[#This Row],[Component costs]]+HFrame_List[[#This Row],[Vertical strut cost]]</f>
        <v>205.48526666666663</v>
      </c>
      <c r="U144" s="7">
        <f>_xlfn.XLOOKUP(HFrame_List[[#This Row],[Fabrication type]],Fabrication_costs[Fabrication type],Fabrication_costs[unit pricing],"no result",0)</f>
        <v>30</v>
      </c>
      <c r="V144" s="5">
        <f>SUM(T144:U144)/(1-HFrame_List[[#This Row],[Margin]])</f>
        <v>672.81504761904762</v>
      </c>
      <c r="W144" s="36">
        <f t="shared" si="53"/>
        <v>0.65</v>
      </c>
      <c r="X144" t="s">
        <v>193</v>
      </c>
      <c r="Y144">
        <f>_xlfn.XLOOKUP("A12",Strut_costs[size],Strut_costs[Strut cost])/12*HFrame_List[[#This Row],[Strut height (in)]]*(2+HFrame_List[[#This Row],[Extra supports]])</f>
        <v>65.52</v>
      </c>
      <c r="Z144">
        <f>(_xlfn.XLOOKUP("PHB",CADDY_costs[Component],CADDY_costs[Current cost])*HFrame_List[[#This Row],[Number of feet]])+(_xlfn.XLOOKUP("HFRMHDW",CADDY_costs[Component],CADDY_costs[Current cost])*(HFrame_List[[#This Row],[number of L-brackets]]/2))</f>
        <v>46.819999999999993</v>
      </c>
      <c r="AA144">
        <v>4884</v>
      </c>
      <c r="AB144" t="str">
        <f>VLOOKUP(HFrame_List[[#This Row],[lookup]],'Pallet and shipping info'!$A$5:$H$33,6,FALSE)</f>
        <v>x</v>
      </c>
      <c r="AC144">
        <f>VLOOKUP(HFrame_List[[#This Row],[lookup]],'Pallet and shipping info'!$A$5:$H$33,8,FALSE)</f>
        <v>7</v>
      </c>
      <c r="AD144"/>
      <c r="AE144"/>
      <c r="AF144"/>
    </row>
    <row r="145" spans="1:32" x14ac:dyDescent="0.25">
      <c r="A145" s="1" t="s">
        <v>470</v>
      </c>
      <c r="B145" t="s">
        <v>471</v>
      </c>
      <c r="C145">
        <f t="shared" si="47"/>
        <v>73.674999999999997</v>
      </c>
      <c r="D145">
        <f t="shared" si="48"/>
        <v>98.051000000000002</v>
      </c>
      <c r="E145">
        <v>72</v>
      </c>
      <c r="F145">
        <v>84</v>
      </c>
      <c r="G145">
        <f t="shared" si="42"/>
        <v>80.239999999999995</v>
      </c>
      <c r="H145">
        <v>1</v>
      </c>
      <c r="I145" t="s">
        <v>181</v>
      </c>
      <c r="J145">
        <v>1</v>
      </c>
      <c r="K145" s="6">
        <f t="shared" si="49"/>
        <v>41.1875</v>
      </c>
      <c r="L145">
        <f t="shared" si="50"/>
        <v>3</v>
      </c>
      <c r="M145">
        <f t="shared" si="43"/>
        <v>12</v>
      </c>
      <c r="N145">
        <f t="shared" si="44"/>
        <v>4</v>
      </c>
      <c r="O145" s="7">
        <f t="shared" si="39"/>
        <v>31</v>
      </c>
      <c r="P145">
        <f t="shared" si="51"/>
        <v>4</v>
      </c>
      <c r="Q145">
        <f t="shared" si="52"/>
        <v>8</v>
      </c>
      <c r="R145">
        <f>_xlfn.XLOOKUP(HFrame_List[[#This Row],[Cross piece style]],$AH$2:$AH$4,$AI$2:$AI$4,0,0)*(HFrame_List[[#This Row],[Width between brackets]]/12)</f>
        <v>93.145266666666657</v>
      </c>
      <c r="S145">
        <f>5.46*(HFrame_List[[#This Row],[cross piece quantity]]-1)*(HFrame_List[[#This Row],[Width between brackets]]/12)</f>
        <v>0</v>
      </c>
      <c r="T145" s="5">
        <f>HFrame_List[[#This Row],[Bottom cross piece cost]]+HFrame_List[[#This Row],[Top cross piece cost]]+HFrame_List[[#This Row],[Component costs]]+HFrame_List[[#This Row],[Vertical strut cost]]</f>
        <v>238.24526666666665</v>
      </c>
      <c r="U145" s="7">
        <f>_xlfn.XLOOKUP(HFrame_List[[#This Row],[Fabrication type]],Fabrication_costs[Fabrication type],Fabrication_costs[unit pricing],"no result",0)</f>
        <v>30</v>
      </c>
      <c r="V145" s="5">
        <f>SUM(T145:U145)/(1-HFrame_List[[#This Row],[Margin]])</f>
        <v>766.41504761904775</v>
      </c>
      <c r="W145" s="36">
        <f t="shared" si="53"/>
        <v>0.65</v>
      </c>
      <c r="X145" t="s">
        <v>193</v>
      </c>
      <c r="Y145">
        <f>_xlfn.XLOOKUP("A12",Strut_costs[size],Strut_costs[Strut cost])/12*HFrame_List[[#This Row],[Strut height (in)]]*(2+HFrame_List[[#This Row],[Extra supports]])</f>
        <v>98.28</v>
      </c>
      <c r="Z145">
        <f>(_xlfn.XLOOKUP("PHB",CADDY_costs[Component],CADDY_costs[Current cost])*HFrame_List[[#This Row],[Number of feet]])+(_xlfn.XLOOKUP("HFRMHDW",CADDY_costs[Component],CADDY_costs[Current cost])*(HFrame_List[[#This Row],[number of L-brackets]]/2))</f>
        <v>46.819999999999993</v>
      </c>
      <c r="AA145">
        <v>7284</v>
      </c>
      <c r="AB145" t="str">
        <f>VLOOKUP(HFrame_List[[#This Row],[lookup]],'Pallet and shipping info'!$A$5:$H$33,6,FALSE)</f>
        <v>x</v>
      </c>
      <c r="AC145">
        <f>VLOOKUP(HFrame_List[[#This Row],[lookup]],'Pallet and shipping info'!$A$5:$H$33,8,FALSE)</f>
        <v>7</v>
      </c>
      <c r="AD145"/>
      <c r="AE145"/>
      <c r="AF145"/>
    </row>
    <row r="146" spans="1:32" x14ac:dyDescent="0.25">
      <c r="A146" s="1" t="s">
        <v>472</v>
      </c>
      <c r="B146" t="s">
        <v>473</v>
      </c>
      <c r="C146">
        <f t="shared" si="47"/>
        <v>25.675000000000001</v>
      </c>
      <c r="D146">
        <f t="shared" si="48"/>
        <v>34.051000000000002</v>
      </c>
      <c r="E146">
        <v>24</v>
      </c>
      <c r="F146">
        <v>20</v>
      </c>
      <c r="G146">
        <f>F146-(1.88*2)</f>
        <v>16.240000000000002</v>
      </c>
      <c r="H146">
        <v>2</v>
      </c>
      <c r="I146" t="s">
        <v>181</v>
      </c>
      <c r="J146">
        <v>1</v>
      </c>
      <c r="K146" s="6">
        <f t="shared" si="49"/>
        <v>5.041666666666667</v>
      </c>
      <c r="L146">
        <f t="shared" si="50"/>
        <v>4</v>
      </c>
      <c r="M146">
        <f>3*N146</f>
        <v>18</v>
      </c>
      <c r="N146">
        <f>(2+(2*H146))*J146</f>
        <v>6</v>
      </c>
      <c r="O146" s="7">
        <f t="shared" si="39"/>
        <v>13.666666666666666</v>
      </c>
      <c r="P146">
        <f t="shared" si="51"/>
        <v>2</v>
      </c>
      <c r="Q146">
        <f t="shared" si="52"/>
        <v>10</v>
      </c>
      <c r="R146">
        <f>_xlfn.XLOOKUP(HFrame_List[[#This Row],[Cross piece style]],$AH$2:$AH$4,$AI$2:$AI$4,0,0)*(HFrame_List[[#This Row],[Width between brackets]]/12)</f>
        <v>18.851933333333335</v>
      </c>
      <c r="S146">
        <f>5.46*(HFrame_List[[#This Row],[cross piece quantity]]-1)*(HFrame_List[[#This Row],[Width between brackets]]/12)</f>
        <v>0</v>
      </c>
      <c r="T146" s="5">
        <f>HFrame_List[[#This Row],[Bottom cross piece cost]]+HFrame_List[[#This Row],[Top cross piece cost]]+HFrame_List[[#This Row],[Component costs]]+HFrame_List[[#This Row],[Vertical strut cost]]</f>
        <v>128.11393333333334</v>
      </c>
      <c r="U146" s="7">
        <f>_xlfn.XLOOKUP(HFrame_List[[#This Row],[Fabrication type]],Fabrication_costs[Fabrication type],Fabrication_costs[unit pricing],"no result",0)</f>
        <v>40.200000000000003</v>
      </c>
      <c r="V146" s="5">
        <f>SUM(T146:U146)/(1-HFrame_List[[#This Row],[Margin]])</f>
        <v>480.89695238095248</v>
      </c>
      <c r="W146" s="36">
        <f t="shared" si="53"/>
        <v>0.65</v>
      </c>
      <c r="X146" t="s">
        <v>196</v>
      </c>
      <c r="Y146">
        <f>_xlfn.XLOOKUP("A12",Strut_costs[size],Strut_costs[Strut cost])/12*HFrame_List[[#This Row],[Strut height (in)]]*(2+HFrame_List[[#This Row],[Extra supports]])</f>
        <v>43.68</v>
      </c>
      <c r="Z146">
        <f>(_xlfn.XLOOKUP("PHB",CADDY_costs[Component],CADDY_costs[Current cost])*HFrame_List[[#This Row],[Number of feet]])+(_xlfn.XLOOKUP("HFRMHDW",CADDY_costs[Component],CADDY_costs[Current cost])*(HFrame_List[[#This Row],[number of L-brackets]]/2))</f>
        <v>65.581999999999994</v>
      </c>
      <c r="AA146">
        <v>2420</v>
      </c>
      <c r="AB146">
        <f>VLOOKUP(HFrame_List[[#This Row],[lookup]],'Pallet and shipping info'!$A$5:$H$33,6,FALSE)</f>
        <v>11</v>
      </c>
      <c r="AC146">
        <f>VLOOKUP(HFrame_List[[#This Row],[lookup]],'Pallet and shipping info'!$A$5:$H$33,8,FALSE)</f>
        <v>15</v>
      </c>
      <c r="AD146"/>
      <c r="AE146"/>
      <c r="AF146"/>
    </row>
    <row r="147" spans="1:32" x14ac:dyDescent="0.25">
      <c r="A147" s="1" t="s">
        <v>474</v>
      </c>
      <c r="B147" t="s">
        <v>475</v>
      </c>
      <c r="C147">
        <f t="shared" si="47"/>
        <v>37.674999999999997</v>
      </c>
      <c r="D147">
        <f t="shared" si="48"/>
        <v>34.051000000000002</v>
      </c>
      <c r="E147">
        <v>36</v>
      </c>
      <c r="F147">
        <f>F146</f>
        <v>20</v>
      </c>
      <c r="G147">
        <f t="shared" ref="G147:G169" si="54">F147-(1.88*2)</f>
        <v>16.240000000000002</v>
      </c>
      <c r="H147">
        <v>2</v>
      </c>
      <c r="I147" t="s">
        <v>181</v>
      </c>
      <c r="J147">
        <v>1</v>
      </c>
      <c r="K147" s="6">
        <f t="shared" si="49"/>
        <v>5.041666666666667</v>
      </c>
      <c r="L147">
        <f t="shared" si="50"/>
        <v>4</v>
      </c>
      <c r="M147">
        <f t="shared" ref="M147:M169" si="55">3*N147</f>
        <v>18</v>
      </c>
      <c r="N147">
        <f t="shared" ref="N147:N169" si="56">(2+(2*H147))*J147</f>
        <v>6</v>
      </c>
      <c r="O147" s="7">
        <f t="shared" si="39"/>
        <v>19.666666666666668</v>
      </c>
      <c r="P147">
        <f t="shared" si="51"/>
        <v>2</v>
      </c>
      <c r="Q147">
        <f t="shared" si="52"/>
        <v>10</v>
      </c>
      <c r="R147">
        <f>_xlfn.XLOOKUP(HFrame_List[[#This Row],[Cross piece style]],$AH$2:$AH$4,$AI$2:$AI$4,0,0)*(HFrame_List[[#This Row],[Width between brackets]]/12)</f>
        <v>18.851933333333335</v>
      </c>
      <c r="S147">
        <f>5.46*(HFrame_List[[#This Row],[cross piece quantity]]-1)*(HFrame_List[[#This Row],[Width between brackets]]/12)</f>
        <v>0</v>
      </c>
      <c r="T147" s="5">
        <f>HFrame_List[[#This Row],[Bottom cross piece cost]]+HFrame_List[[#This Row],[Top cross piece cost]]+HFrame_List[[#This Row],[Component costs]]+HFrame_List[[#This Row],[Vertical strut cost]]</f>
        <v>149.95393333333334</v>
      </c>
      <c r="U147" s="7">
        <f>_xlfn.XLOOKUP(HFrame_List[[#This Row],[Fabrication type]],Fabrication_costs[Fabrication type],Fabrication_costs[unit pricing],"no result",0)</f>
        <v>40.200000000000003</v>
      </c>
      <c r="V147" s="5">
        <f>SUM(T147:U147)/(1-HFrame_List[[#This Row],[Margin]])</f>
        <v>543.29695238095235</v>
      </c>
      <c r="W147" s="36">
        <f t="shared" si="53"/>
        <v>0.65</v>
      </c>
      <c r="X147" t="s">
        <v>196</v>
      </c>
      <c r="Y147">
        <f>_xlfn.XLOOKUP("A12",Strut_costs[size],Strut_costs[Strut cost])/12*HFrame_List[[#This Row],[Strut height (in)]]*(2+HFrame_List[[#This Row],[Extra supports]])</f>
        <v>65.52</v>
      </c>
      <c r="Z147">
        <f>(_xlfn.XLOOKUP("PHB",CADDY_costs[Component],CADDY_costs[Current cost])*HFrame_List[[#This Row],[Number of feet]])+(_xlfn.XLOOKUP("HFRMHDW",CADDY_costs[Component],CADDY_costs[Current cost])*(HFrame_List[[#This Row],[number of L-brackets]]/2))</f>
        <v>65.581999999999994</v>
      </c>
      <c r="AA147">
        <v>3620</v>
      </c>
      <c r="AB147">
        <f>VLOOKUP(HFrame_List[[#This Row],[lookup]],'Pallet and shipping info'!$A$5:$H$33,6,FALSE)</f>
        <v>11</v>
      </c>
      <c r="AC147">
        <f>VLOOKUP(HFrame_List[[#This Row],[lookup]],'Pallet and shipping info'!$A$5:$H$33,8,FALSE)</f>
        <v>15</v>
      </c>
      <c r="AD147"/>
      <c r="AE147"/>
      <c r="AF147"/>
    </row>
    <row r="148" spans="1:32" x14ac:dyDescent="0.25">
      <c r="A148" s="1" t="s">
        <v>476</v>
      </c>
      <c r="B148" t="s">
        <v>477</v>
      </c>
      <c r="C148">
        <f t="shared" si="47"/>
        <v>49.674999999999997</v>
      </c>
      <c r="D148">
        <f t="shared" si="48"/>
        <v>34.051000000000002</v>
      </c>
      <c r="E148">
        <v>48</v>
      </c>
      <c r="F148">
        <f t="shared" ref="F148:F149" si="57">F147</f>
        <v>20</v>
      </c>
      <c r="G148">
        <f t="shared" si="54"/>
        <v>16.240000000000002</v>
      </c>
      <c r="H148">
        <v>2</v>
      </c>
      <c r="I148" t="s">
        <v>181</v>
      </c>
      <c r="J148">
        <v>1</v>
      </c>
      <c r="K148" s="6">
        <f t="shared" si="49"/>
        <v>5.041666666666667</v>
      </c>
      <c r="L148">
        <f t="shared" si="50"/>
        <v>4</v>
      </c>
      <c r="M148">
        <f t="shared" si="55"/>
        <v>18</v>
      </c>
      <c r="N148">
        <f t="shared" si="56"/>
        <v>6</v>
      </c>
      <c r="O148" s="7">
        <f t="shared" si="39"/>
        <v>25.666666666666668</v>
      </c>
      <c r="P148">
        <f t="shared" si="51"/>
        <v>3</v>
      </c>
      <c r="Q148">
        <f t="shared" si="52"/>
        <v>10</v>
      </c>
      <c r="R148">
        <f>_xlfn.XLOOKUP(HFrame_List[[#This Row],[Cross piece style]],$AH$2:$AH$4,$AI$2:$AI$4,0,0)*(HFrame_List[[#This Row],[Width between brackets]]/12)</f>
        <v>18.851933333333335</v>
      </c>
      <c r="S148">
        <f>5.46*(HFrame_List[[#This Row],[cross piece quantity]]-1)*(HFrame_List[[#This Row],[Width between brackets]]/12)</f>
        <v>0</v>
      </c>
      <c r="T148" s="5">
        <f>HFrame_List[[#This Row],[Bottom cross piece cost]]+HFrame_List[[#This Row],[Top cross piece cost]]+HFrame_List[[#This Row],[Component costs]]+HFrame_List[[#This Row],[Vertical strut cost]]</f>
        <v>171.79393333333331</v>
      </c>
      <c r="U148" s="7">
        <f>_xlfn.XLOOKUP(HFrame_List[[#This Row],[Fabrication type]],Fabrication_costs[Fabrication type],Fabrication_costs[unit pricing],"no result",0)</f>
        <v>40.200000000000003</v>
      </c>
      <c r="V148" s="5">
        <f>SUM(T148:U148)/(1-HFrame_List[[#This Row],[Margin]])</f>
        <v>605.69695238095233</v>
      </c>
      <c r="W148" s="36">
        <f t="shared" si="53"/>
        <v>0.65</v>
      </c>
      <c r="X148" t="s">
        <v>196</v>
      </c>
      <c r="Y148">
        <f>_xlfn.XLOOKUP("A12",Strut_costs[size],Strut_costs[Strut cost])/12*HFrame_List[[#This Row],[Strut height (in)]]*(2+HFrame_List[[#This Row],[Extra supports]])</f>
        <v>87.36</v>
      </c>
      <c r="Z148">
        <f>(_xlfn.XLOOKUP("PHB",CADDY_costs[Component],CADDY_costs[Current cost])*HFrame_List[[#This Row],[Number of feet]])+(_xlfn.XLOOKUP("HFRMHDW",CADDY_costs[Component],CADDY_costs[Current cost])*(HFrame_List[[#This Row],[number of L-brackets]]/2))</f>
        <v>65.581999999999994</v>
      </c>
      <c r="AA148">
        <v>4820</v>
      </c>
      <c r="AB148">
        <f>VLOOKUP(HFrame_List[[#This Row],[lookup]],'Pallet and shipping info'!$A$5:$H$33,6,FALSE)</f>
        <v>11</v>
      </c>
      <c r="AC148">
        <f>VLOOKUP(HFrame_List[[#This Row],[lookup]],'Pallet and shipping info'!$A$5:$H$33,8,FALSE)</f>
        <v>15</v>
      </c>
      <c r="AD148"/>
      <c r="AE148"/>
      <c r="AF148"/>
    </row>
    <row r="149" spans="1:32" x14ac:dyDescent="0.25">
      <c r="A149" s="1" t="s">
        <v>478</v>
      </c>
      <c r="B149" t="s">
        <v>479</v>
      </c>
      <c r="C149">
        <f t="shared" si="47"/>
        <v>73.674999999999997</v>
      </c>
      <c r="D149">
        <f t="shared" si="48"/>
        <v>34.051000000000002</v>
      </c>
      <c r="E149">
        <v>72</v>
      </c>
      <c r="F149">
        <f t="shared" si="57"/>
        <v>20</v>
      </c>
      <c r="G149">
        <f t="shared" si="54"/>
        <v>16.240000000000002</v>
      </c>
      <c r="H149">
        <v>2</v>
      </c>
      <c r="I149" t="s">
        <v>181</v>
      </c>
      <c r="J149">
        <v>1</v>
      </c>
      <c r="K149" s="6">
        <f t="shared" si="49"/>
        <v>5.041666666666667</v>
      </c>
      <c r="L149">
        <f t="shared" si="50"/>
        <v>4</v>
      </c>
      <c r="M149">
        <f t="shared" si="55"/>
        <v>18</v>
      </c>
      <c r="N149">
        <f t="shared" si="56"/>
        <v>6</v>
      </c>
      <c r="O149" s="7">
        <f t="shared" si="39"/>
        <v>37.666666666666664</v>
      </c>
      <c r="P149">
        <f t="shared" si="51"/>
        <v>4</v>
      </c>
      <c r="Q149">
        <f t="shared" si="52"/>
        <v>10</v>
      </c>
      <c r="R149">
        <f>_xlfn.XLOOKUP(HFrame_List[[#This Row],[Cross piece style]],$AH$2:$AH$4,$AI$2:$AI$4,0,0)*(HFrame_List[[#This Row],[Width between brackets]]/12)</f>
        <v>18.851933333333335</v>
      </c>
      <c r="S149">
        <f>5.46*(HFrame_List[[#This Row],[cross piece quantity]]-1)*(HFrame_List[[#This Row],[Width between brackets]]/12)</f>
        <v>0</v>
      </c>
      <c r="T149" s="5">
        <f>HFrame_List[[#This Row],[Bottom cross piece cost]]+HFrame_List[[#This Row],[Top cross piece cost]]+HFrame_List[[#This Row],[Component costs]]+HFrame_List[[#This Row],[Vertical strut cost]]</f>
        <v>215.47393333333332</v>
      </c>
      <c r="U149" s="7">
        <f>_xlfn.XLOOKUP(HFrame_List[[#This Row],[Fabrication type]],Fabrication_costs[Fabrication type],Fabrication_costs[unit pricing],"no result",0)</f>
        <v>40.200000000000003</v>
      </c>
      <c r="V149" s="5">
        <f>SUM(T149:U149)/(1-HFrame_List[[#This Row],[Margin]])</f>
        <v>730.49695238095239</v>
      </c>
      <c r="W149" s="36">
        <f t="shared" si="53"/>
        <v>0.65</v>
      </c>
      <c r="X149" t="s">
        <v>196</v>
      </c>
      <c r="Y149">
        <f>_xlfn.XLOOKUP("A12",Strut_costs[size],Strut_costs[Strut cost])/12*HFrame_List[[#This Row],[Strut height (in)]]*(2+HFrame_List[[#This Row],[Extra supports]])</f>
        <v>131.04</v>
      </c>
      <c r="Z149">
        <f>(_xlfn.XLOOKUP("PHB",CADDY_costs[Component],CADDY_costs[Current cost])*HFrame_List[[#This Row],[Number of feet]])+(_xlfn.XLOOKUP("HFRMHDW",CADDY_costs[Component],CADDY_costs[Current cost])*(HFrame_List[[#This Row],[number of L-brackets]]/2))</f>
        <v>65.581999999999994</v>
      </c>
      <c r="AA149">
        <v>7220</v>
      </c>
      <c r="AB149">
        <f>VLOOKUP(HFrame_List[[#This Row],[lookup]],'Pallet and shipping info'!$A$5:$H$33,6,FALSE)</f>
        <v>11</v>
      </c>
      <c r="AC149">
        <f>VLOOKUP(HFrame_List[[#This Row],[lookup]],'Pallet and shipping info'!$A$5:$H$33,8,FALSE)</f>
        <v>15</v>
      </c>
      <c r="AD149"/>
      <c r="AE149"/>
      <c r="AF149"/>
    </row>
    <row r="150" spans="1:32" x14ac:dyDescent="0.25">
      <c r="A150" s="1" t="s">
        <v>480</v>
      </c>
      <c r="B150" t="s">
        <v>481</v>
      </c>
      <c r="C150">
        <f t="shared" si="47"/>
        <v>25.675000000000001</v>
      </c>
      <c r="D150">
        <f t="shared" si="48"/>
        <v>50.050999999999995</v>
      </c>
      <c r="E150">
        <v>24</v>
      </c>
      <c r="F150">
        <v>36</v>
      </c>
      <c r="G150">
        <f t="shared" si="54"/>
        <v>32.24</v>
      </c>
      <c r="H150">
        <v>2</v>
      </c>
      <c r="I150" t="s">
        <v>181</v>
      </c>
      <c r="J150">
        <v>1</v>
      </c>
      <c r="K150" s="6">
        <f t="shared" si="49"/>
        <v>10.375</v>
      </c>
      <c r="L150">
        <f t="shared" si="50"/>
        <v>4</v>
      </c>
      <c r="M150">
        <f t="shared" si="55"/>
        <v>18</v>
      </c>
      <c r="N150">
        <f t="shared" si="56"/>
        <v>6</v>
      </c>
      <c r="O150" s="7">
        <f t="shared" si="39"/>
        <v>15</v>
      </c>
      <c r="P150">
        <f t="shared" si="51"/>
        <v>2</v>
      </c>
      <c r="Q150">
        <f t="shared" si="52"/>
        <v>10</v>
      </c>
      <c r="R150">
        <f>_xlfn.XLOOKUP(HFrame_List[[#This Row],[Cross piece style]],$AH$2:$AH$4,$AI$2:$AI$4,0,0)*(HFrame_List[[#This Row],[Width between brackets]]/12)</f>
        <v>37.425266666666673</v>
      </c>
      <c r="S150">
        <f>5.46*(HFrame_List[[#This Row],[cross piece quantity]]-1)*(HFrame_List[[#This Row],[Width between brackets]]/12)</f>
        <v>0</v>
      </c>
      <c r="T150" s="5">
        <f>HFrame_List[[#This Row],[Bottom cross piece cost]]+HFrame_List[[#This Row],[Top cross piece cost]]+HFrame_List[[#This Row],[Component costs]]+HFrame_List[[#This Row],[Vertical strut cost]]</f>
        <v>146.68726666666666</v>
      </c>
      <c r="U150" s="7">
        <f>_xlfn.XLOOKUP(HFrame_List[[#This Row],[Fabrication type]],Fabrication_costs[Fabrication type],Fabrication_costs[unit pricing],"no result",0)</f>
        <v>40.200000000000003</v>
      </c>
      <c r="V150" s="5">
        <f>SUM(T150:U150)/(1-HFrame_List[[#This Row],[Margin]])</f>
        <v>533.96361904761909</v>
      </c>
      <c r="W150" s="36">
        <f t="shared" si="53"/>
        <v>0.65</v>
      </c>
      <c r="X150" t="s">
        <v>196</v>
      </c>
      <c r="Y150">
        <f>_xlfn.XLOOKUP("A12",Strut_costs[size],Strut_costs[Strut cost])/12*HFrame_List[[#This Row],[Strut height (in)]]*(2+HFrame_List[[#This Row],[Extra supports]])</f>
        <v>43.68</v>
      </c>
      <c r="Z150">
        <f>(_xlfn.XLOOKUP("PHB",CADDY_costs[Component],CADDY_costs[Current cost])*HFrame_List[[#This Row],[Number of feet]])+(_xlfn.XLOOKUP("HFRMHDW",CADDY_costs[Component],CADDY_costs[Current cost])*(HFrame_List[[#This Row],[number of L-brackets]]/2))</f>
        <v>65.581999999999994</v>
      </c>
      <c r="AA150">
        <v>2436</v>
      </c>
      <c r="AB150">
        <f>VLOOKUP(HFrame_List[[#This Row],[lookup]],'Pallet and shipping info'!$A$5:$H$33,6,FALSE)</f>
        <v>9</v>
      </c>
      <c r="AC150">
        <f>VLOOKUP(HFrame_List[[#This Row],[lookup]],'Pallet and shipping info'!$A$5:$H$33,8,FALSE)</f>
        <v>14</v>
      </c>
      <c r="AD150"/>
      <c r="AE150"/>
      <c r="AF150"/>
    </row>
    <row r="151" spans="1:32" x14ac:dyDescent="0.25">
      <c r="A151" s="1" t="s">
        <v>482</v>
      </c>
      <c r="B151" t="s">
        <v>483</v>
      </c>
      <c r="C151">
        <f t="shared" si="47"/>
        <v>37.674999999999997</v>
      </c>
      <c r="D151">
        <f t="shared" si="48"/>
        <v>50.050999999999995</v>
      </c>
      <c r="E151">
        <v>36</v>
      </c>
      <c r="F151">
        <f>F150</f>
        <v>36</v>
      </c>
      <c r="G151">
        <f t="shared" si="54"/>
        <v>32.24</v>
      </c>
      <c r="H151">
        <v>2</v>
      </c>
      <c r="I151" t="s">
        <v>181</v>
      </c>
      <c r="J151">
        <v>1</v>
      </c>
      <c r="K151" s="6">
        <f t="shared" si="49"/>
        <v>10.375</v>
      </c>
      <c r="L151">
        <f t="shared" si="50"/>
        <v>4</v>
      </c>
      <c r="M151">
        <f t="shared" si="55"/>
        <v>18</v>
      </c>
      <c r="N151">
        <f t="shared" si="56"/>
        <v>6</v>
      </c>
      <c r="O151" s="7">
        <f t="shared" si="39"/>
        <v>21</v>
      </c>
      <c r="P151">
        <f t="shared" si="51"/>
        <v>3</v>
      </c>
      <c r="Q151">
        <f t="shared" si="52"/>
        <v>10</v>
      </c>
      <c r="R151">
        <f>_xlfn.XLOOKUP(HFrame_List[[#This Row],[Cross piece style]],$AH$2:$AH$4,$AI$2:$AI$4,0,0)*(HFrame_List[[#This Row],[Width between brackets]]/12)</f>
        <v>37.425266666666673</v>
      </c>
      <c r="S151">
        <f>5.46*(HFrame_List[[#This Row],[cross piece quantity]]-1)*(HFrame_List[[#This Row],[Width between brackets]]/12)</f>
        <v>0</v>
      </c>
      <c r="T151" s="5">
        <f>HFrame_List[[#This Row],[Bottom cross piece cost]]+HFrame_List[[#This Row],[Top cross piece cost]]+HFrame_List[[#This Row],[Component costs]]+HFrame_List[[#This Row],[Vertical strut cost]]</f>
        <v>168.52726666666666</v>
      </c>
      <c r="U151" s="7">
        <f>_xlfn.XLOOKUP(HFrame_List[[#This Row],[Fabrication type]],Fabrication_costs[Fabrication type],Fabrication_costs[unit pricing],"no result",0)</f>
        <v>40.200000000000003</v>
      </c>
      <c r="V151" s="5">
        <f>SUM(T151:U151)/(1-HFrame_List[[#This Row],[Margin]])</f>
        <v>596.36361904761907</v>
      </c>
      <c r="W151" s="36">
        <f t="shared" si="53"/>
        <v>0.65</v>
      </c>
      <c r="X151" t="s">
        <v>196</v>
      </c>
      <c r="Y151">
        <f>_xlfn.XLOOKUP("A12",Strut_costs[size],Strut_costs[Strut cost])/12*HFrame_List[[#This Row],[Strut height (in)]]*(2+HFrame_List[[#This Row],[Extra supports]])</f>
        <v>65.52</v>
      </c>
      <c r="Z151">
        <f>(_xlfn.XLOOKUP("PHB",CADDY_costs[Component],CADDY_costs[Current cost])*HFrame_List[[#This Row],[Number of feet]])+(_xlfn.XLOOKUP("HFRMHDW",CADDY_costs[Component],CADDY_costs[Current cost])*(HFrame_List[[#This Row],[number of L-brackets]]/2))</f>
        <v>65.581999999999994</v>
      </c>
      <c r="AA151">
        <v>3636</v>
      </c>
      <c r="AB151">
        <f>VLOOKUP(HFrame_List[[#This Row],[lookup]],'Pallet and shipping info'!$A$5:$H$33,6,FALSE)</f>
        <v>9</v>
      </c>
      <c r="AC151">
        <f>VLOOKUP(HFrame_List[[#This Row],[lookup]],'Pallet and shipping info'!$A$5:$H$33,8,FALSE)</f>
        <v>14</v>
      </c>
      <c r="AD151"/>
      <c r="AE151"/>
      <c r="AF151"/>
    </row>
    <row r="152" spans="1:32" x14ac:dyDescent="0.25">
      <c r="A152" s="1" t="s">
        <v>484</v>
      </c>
      <c r="B152" t="s">
        <v>485</v>
      </c>
      <c r="C152">
        <f t="shared" si="47"/>
        <v>49.674999999999997</v>
      </c>
      <c r="D152">
        <f t="shared" si="48"/>
        <v>50.050999999999995</v>
      </c>
      <c r="E152">
        <v>48</v>
      </c>
      <c r="F152">
        <f t="shared" ref="F152:F157" si="58">F151</f>
        <v>36</v>
      </c>
      <c r="G152">
        <f t="shared" si="54"/>
        <v>32.24</v>
      </c>
      <c r="H152">
        <v>2</v>
      </c>
      <c r="I152" t="s">
        <v>181</v>
      </c>
      <c r="J152">
        <v>1</v>
      </c>
      <c r="K152" s="6">
        <f t="shared" si="49"/>
        <v>10.375</v>
      </c>
      <c r="L152">
        <f t="shared" si="50"/>
        <v>4</v>
      </c>
      <c r="M152">
        <f t="shared" si="55"/>
        <v>18</v>
      </c>
      <c r="N152">
        <f t="shared" si="56"/>
        <v>6</v>
      </c>
      <c r="O152" s="7">
        <f t="shared" si="39"/>
        <v>27</v>
      </c>
      <c r="P152">
        <f t="shared" si="51"/>
        <v>3</v>
      </c>
      <c r="Q152">
        <f t="shared" si="52"/>
        <v>10</v>
      </c>
      <c r="R152">
        <f>_xlfn.XLOOKUP(HFrame_List[[#This Row],[Cross piece style]],$AH$2:$AH$4,$AI$2:$AI$4,0,0)*(HFrame_List[[#This Row],[Width between brackets]]/12)</f>
        <v>37.425266666666673</v>
      </c>
      <c r="S152">
        <f>5.46*(HFrame_List[[#This Row],[cross piece quantity]]-1)*(HFrame_List[[#This Row],[Width between brackets]]/12)</f>
        <v>0</v>
      </c>
      <c r="T152" s="5">
        <f>HFrame_List[[#This Row],[Bottom cross piece cost]]+HFrame_List[[#This Row],[Top cross piece cost]]+HFrame_List[[#This Row],[Component costs]]+HFrame_List[[#This Row],[Vertical strut cost]]</f>
        <v>190.36726666666667</v>
      </c>
      <c r="U152" s="7">
        <f>_xlfn.XLOOKUP(HFrame_List[[#This Row],[Fabrication type]],Fabrication_costs[Fabrication type],Fabrication_costs[unit pricing],"no result",0)</f>
        <v>40.200000000000003</v>
      </c>
      <c r="V152" s="5">
        <f>SUM(T152:U152)/(1-HFrame_List[[#This Row],[Margin]])</f>
        <v>658.76361904761916</v>
      </c>
      <c r="W152" s="36">
        <f t="shared" si="53"/>
        <v>0.65</v>
      </c>
      <c r="X152" t="s">
        <v>196</v>
      </c>
      <c r="Y152">
        <f>_xlfn.XLOOKUP("A12",Strut_costs[size],Strut_costs[Strut cost])/12*HFrame_List[[#This Row],[Strut height (in)]]*(2+HFrame_List[[#This Row],[Extra supports]])</f>
        <v>87.36</v>
      </c>
      <c r="Z152">
        <f>(_xlfn.XLOOKUP("PHB",CADDY_costs[Component],CADDY_costs[Current cost])*HFrame_List[[#This Row],[Number of feet]])+(_xlfn.XLOOKUP("HFRMHDW",CADDY_costs[Component],CADDY_costs[Current cost])*(HFrame_List[[#This Row],[number of L-brackets]]/2))</f>
        <v>65.581999999999994</v>
      </c>
      <c r="AA152">
        <v>4836</v>
      </c>
      <c r="AB152">
        <f>VLOOKUP(HFrame_List[[#This Row],[lookup]],'Pallet and shipping info'!$A$5:$H$33,6,FALSE)</f>
        <v>9</v>
      </c>
      <c r="AC152">
        <f>VLOOKUP(HFrame_List[[#This Row],[lookup]],'Pallet and shipping info'!$A$5:$H$33,8,FALSE)</f>
        <v>14</v>
      </c>
      <c r="AD152"/>
      <c r="AE152"/>
      <c r="AF152"/>
    </row>
    <row r="153" spans="1:32" x14ac:dyDescent="0.25">
      <c r="A153" s="1" t="s">
        <v>486</v>
      </c>
      <c r="B153" t="s">
        <v>487</v>
      </c>
      <c r="C153">
        <f t="shared" si="47"/>
        <v>73.674999999999997</v>
      </c>
      <c r="D153">
        <f t="shared" si="48"/>
        <v>50.050999999999995</v>
      </c>
      <c r="E153">
        <v>72</v>
      </c>
      <c r="F153">
        <f t="shared" si="58"/>
        <v>36</v>
      </c>
      <c r="G153">
        <f t="shared" si="54"/>
        <v>32.24</v>
      </c>
      <c r="H153">
        <v>2</v>
      </c>
      <c r="I153" t="s">
        <v>181</v>
      </c>
      <c r="J153">
        <v>1</v>
      </c>
      <c r="K153" s="6">
        <f t="shared" si="49"/>
        <v>10.375</v>
      </c>
      <c r="L153">
        <f t="shared" si="50"/>
        <v>4</v>
      </c>
      <c r="M153">
        <f t="shared" si="55"/>
        <v>18</v>
      </c>
      <c r="N153">
        <f t="shared" si="56"/>
        <v>6</v>
      </c>
      <c r="O153" s="7">
        <f t="shared" si="39"/>
        <v>39</v>
      </c>
      <c r="P153">
        <f t="shared" si="51"/>
        <v>4</v>
      </c>
      <c r="Q153">
        <f t="shared" si="52"/>
        <v>10</v>
      </c>
      <c r="R153">
        <f>_xlfn.XLOOKUP(HFrame_List[[#This Row],[Cross piece style]],$AH$2:$AH$4,$AI$2:$AI$4,0,0)*(HFrame_List[[#This Row],[Width between brackets]]/12)</f>
        <v>37.425266666666673</v>
      </c>
      <c r="S153">
        <f>5.46*(HFrame_List[[#This Row],[cross piece quantity]]-1)*(HFrame_List[[#This Row],[Width between brackets]]/12)</f>
        <v>0</v>
      </c>
      <c r="T153" s="5">
        <f>HFrame_List[[#This Row],[Bottom cross piece cost]]+HFrame_List[[#This Row],[Top cross piece cost]]+HFrame_List[[#This Row],[Component costs]]+HFrame_List[[#This Row],[Vertical strut cost]]</f>
        <v>234.04726666666664</v>
      </c>
      <c r="U153" s="7">
        <f>_xlfn.XLOOKUP(HFrame_List[[#This Row],[Fabrication type]],Fabrication_costs[Fabrication type],Fabrication_costs[unit pricing],"no result",0)</f>
        <v>40.200000000000003</v>
      </c>
      <c r="V153" s="5">
        <f>SUM(T153:U153)/(1-HFrame_List[[#This Row],[Margin]])</f>
        <v>783.563619047619</v>
      </c>
      <c r="W153" s="36">
        <f t="shared" si="53"/>
        <v>0.65</v>
      </c>
      <c r="X153" t="s">
        <v>196</v>
      </c>
      <c r="Y153">
        <f>_xlfn.XLOOKUP("A12",Strut_costs[size],Strut_costs[Strut cost])/12*HFrame_List[[#This Row],[Strut height (in)]]*(2+HFrame_List[[#This Row],[Extra supports]])</f>
        <v>131.04</v>
      </c>
      <c r="Z153">
        <f>(_xlfn.XLOOKUP("PHB",CADDY_costs[Component],CADDY_costs[Current cost])*HFrame_List[[#This Row],[Number of feet]])+(_xlfn.XLOOKUP("HFRMHDW",CADDY_costs[Component],CADDY_costs[Current cost])*(HFrame_List[[#This Row],[number of L-brackets]]/2))</f>
        <v>65.581999999999994</v>
      </c>
      <c r="AA153">
        <v>7236</v>
      </c>
      <c r="AB153">
        <f>VLOOKUP(HFrame_List[[#This Row],[lookup]],'Pallet and shipping info'!$A$5:$H$33,6,FALSE)</f>
        <v>9</v>
      </c>
      <c r="AC153">
        <f>VLOOKUP(HFrame_List[[#This Row],[lookup]],'Pallet and shipping info'!$A$5:$H$33,8,FALSE)</f>
        <v>14</v>
      </c>
      <c r="AD153"/>
      <c r="AE153"/>
      <c r="AF153"/>
    </row>
    <row r="154" spans="1:32" x14ac:dyDescent="0.25">
      <c r="A154" s="1" t="s">
        <v>488</v>
      </c>
      <c r="B154" t="s">
        <v>489</v>
      </c>
      <c r="C154">
        <f t="shared" si="47"/>
        <v>25.675000000000001</v>
      </c>
      <c r="D154">
        <f t="shared" si="48"/>
        <v>62.050999999999995</v>
      </c>
      <c r="E154">
        <v>24</v>
      </c>
      <c r="F154">
        <v>48</v>
      </c>
      <c r="G154">
        <f t="shared" si="54"/>
        <v>44.24</v>
      </c>
      <c r="H154">
        <v>2</v>
      </c>
      <c r="I154" t="s">
        <v>181</v>
      </c>
      <c r="J154">
        <v>1</v>
      </c>
      <c r="K154" s="6">
        <f t="shared" si="49"/>
        <v>14.375</v>
      </c>
      <c r="L154">
        <f t="shared" si="50"/>
        <v>4</v>
      </c>
      <c r="M154">
        <f t="shared" si="55"/>
        <v>18</v>
      </c>
      <c r="N154">
        <f t="shared" si="56"/>
        <v>6</v>
      </c>
      <c r="O154" s="7">
        <f t="shared" si="39"/>
        <v>16</v>
      </c>
      <c r="P154">
        <f t="shared" si="51"/>
        <v>2</v>
      </c>
      <c r="Q154">
        <f t="shared" si="52"/>
        <v>10</v>
      </c>
      <c r="R154">
        <f>_xlfn.XLOOKUP(HFrame_List[[#This Row],[Cross piece style]],$AH$2:$AH$4,$AI$2:$AI$4,0,0)*(HFrame_List[[#This Row],[Width between brackets]]/12)</f>
        <v>51.355266666666672</v>
      </c>
      <c r="S154">
        <f>5.46*(HFrame_List[[#This Row],[cross piece quantity]]-1)*(HFrame_List[[#This Row],[Width between brackets]]/12)</f>
        <v>0</v>
      </c>
      <c r="T154" s="5">
        <f>HFrame_List[[#This Row],[Bottom cross piece cost]]+HFrame_List[[#This Row],[Top cross piece cost]]+HFrame_List[[#This Row],[Component costs]]+HFrame_List[[#This Row],[Vertical strut cost]]</f>
        <v>160.61726666666667</v>
      </c>
      <c r="U154" s="7">
        <f>_xlfn.XLOOKUP(HFrame_List[[#This Row],[Fabrication type]],Fabrication_costs[Fabrication type],Fabrication_costs[unit pricing],"no result",0)</f>
        <v>40.200000000000003</v>
      </c>
      <c r="V154" s="5">
        <f>SUM(T154:U154)/(1-HFrame_List[[#This Row],[Margin]])</f>
        <v>573.76361904761916</v>
      </c>
      <c r="W154" s="36">
        <f t="shared" si="53"/>
        <v>0.65</v>
      </c>
      <c r="X154" t="s">
        <v>196</v>
      </c>
      <c r="Y154">
        <f>_xlfn.XLOOKUP("A12",Strut_costs[size],Strut_costs[Strut cost])/12*HFrame_List[[#This Row],[Strut height (in)]]*(2+HFrame_List[[#This Row],[Extra supports]])</f>
        <v>43.68</v>
      </c>
      <c r="Z154">
        <f>(_xlfn.XLOOKUP("PHB",CADDY_costs[Component],CADDY_costs[Current cost])*HFrame_List[[#This Row],[Number of feet]])+(_xlfn.XLOOKUP("HFRMHDW",CADDY_costs[Component],CADDY_costs[Current cost])*(HFrame_List[[#This Row],[number of L-brackets]]/2))</f>
        <v>65.581999999999994</v>
      </c>
      <c r="AA154">
        <v>2448</v>
      </c>
      <c r="AB154">
        <f>VLOOKUP(HFrame_List[[#This Row],[lookup]],'Pallet and shipping info'!$A$5:$H$33,6,FALSE)</f>
        <v>7</v>
      </c>
      <c r="AC154">
        <f>VLOOKUP(HFrame_List[[#This Row],[lookup]],'Pallet and shipping info'!$A$5:$H$33,8,FALSE)</f>
        <v>10</v>
      </c>
      <c r="AD154"/>
      <c r="AE154"/>
      <c r="AF154"/>
    </row>
    <row r="155" spans="1:32" x14ac:dyDescent="0.25">
      <c r="A155" s="1" t="s">
        <v>490</v>
      </c>
      <c r="B155" t="s">
        <v>491</v>
      </c>
      <c r="C155">
        <f t="shared" si="47"/>
        <v>37.674999999999997</v>
      </c>
      <c r="D155">
        <f t="shared" si="48"/>
        <v>62.050999999999995</v>
      </c>
      <c r="E155">
        <v>36</v>
      </c>
      <c r="F155">
        <f t="shared" si="58"/>
        <v>48</v>
      </c>
      <c r="G155">
        <f t="shared" si="54"/>
        <v>44.24</v>
      </c>
      <c r="H155">
        <v>2</v>
      </c>
      <c r="I155" t="s">
        <v>181</v>
      </c>
      <c r="J155">
        <v>1</v>
      </c>
      <c r="K155" s="6">
        <f t="shared" si="49"/>
        <v>14.375</v>
      </c>
      <c r="L155">
        <f t="shared" si="50"/>
        <v>4</v>
      </c>
      <c r="M155">
        <f t="shared" si="55"/>
        <v>18</v>
      </c>
      <c r="N155">
        <f t="shared" si="56"/>
        <v>6</v>
      </c>
      <c r="O155" s="7">
        <f t="shared" si="39"/>
        <v>22</v>
      </c>
      <c r="P155">
        <f t="shared" si="51"/>
        <v>3</v>
      </c>
      <c r="Q155">
        <f t="shared" si="52"/>
        <v>10</v>
      </c>
      <c r="R155">
        <f>_xlfn.XLOOKUP(HFrame_List[[#This Row],[Cross piece style]],$AH$2:$AH$4,$AI$2:$AI$4,0,0)*(HFrame_List[[#This Row],[Width between brackets]]/12)</f>
        <v>51.355266666666672</v>
      </c>
      <c r="S155">
        <f>5.46*(HFrame_List[[#This Row],[cross piece quantity]]-1)*(HFrame_List[[#This Row],[Width between brackets]]/12)</f>
        <v>0</v>
      </c>
      <c r="T155" s="5">
        <f>HFrame_List[[#This Row],[Bottom cross piece cost]]+HFrame_List[[#This Row],[Top cross piece cost]]+HFrame_List[[#This Row],[Component costs]]+HFrame_List[[#This Row],[Vertical strut cost]]</f>
        <v>182.45726666666667</v>
      </c>
      <c r="U155" s="7">
        <f>_xlfn.XLOOKUP(HFrame_List[[#This Row],[Fabrication type]],Fabrication_costs[Fabrication type],Fabrication_costs[unit pricing],"no result",0)</f>
        <v>40.200000000000003</v>
      </c>
      <c r="V155" s="5">
        <f>SUM(T155:U155)/(1-HFrame_List[[#This Row],[Margin]])</f>
        <v>636.16361904761902</v>
      </c>
      <c r="W155" s="36">
        <f t="shared" si="53"/>
        <v>0.65</v>
      </c>
      <c r="X155" t="s">
        <v>196</v>
      </c>
      <c r="Y155">
        <f>_xlfn.XLOOKUP("A12",Strut_costs[size],Strut_costs[Strut cost])/12*HFrame_List[[#This Row],[Strut height (in)]]*(2+HFrame_List[[#This Row],[Extra supports]])</f>
        <v>65.52</v>
      </c>
      <c r="Z155">
        <f>(_xlfn.XLOOKUP("PHB",CADDY_costs[Component],CADDY_costs[Current cost])*HFrame_List[[#This Row],[Number of feet]])+(_xlfn.XLOOKUP("HFRMHDW",CADDY_costs[Component],CADDY_costs[Current cost])*(HFrame_List[[#This Row],[number of L-brackets]]/2))</f>
        <v>65.581999999999994</v>
      </c>
      <c r="AA155">
        <v>3648</v>
      </c>
      <c r="AB155">
        <f>VLOOKUP(HFrame_List[[#This Row],[lookup]],'Pallet and shipping info'!$A$5:$H$33,6,FALSE)</f>
        <v>7</v>
      </c>
      <c r="AC155">
        <f>VLOOKUP(HFrame_List[[#This Row],[lookup]],'Pallet and shipping info'!$A$5:$H$33,8,FALSE)</f>
        <v>10</v>
      </c>
      <c r="AD155"/>
      <c r="AE155"/>
      <c r="AF155"/>
    </row>
    <row r="156" spans="1:32" x14ac:dyDescent="0.25">
      <c r="A156" s="1" t="s">
        <v>492</v>
      </c>
      <c r="B156" t="s">
        <v>493</v>
      </c>
      <c r="C156">
        <f t="shared" si="47"/>
        <v>49.674999999999997</v>
      </c>
      <c r="D156">
        <f t="shared" si="48"/>
        <v>62.050999999999995</v>
      </c>
      <c r="E156">
        <v>48</v>
      </c>
      <c r="F156">
        <f t="shared" si="58"/>
        <v>48</v>
      </c>
      <c r="G156">
        <f t="shared" si="54"/>
        <v>44.24</v>
      </c>
      <c r="H156">
        <v>2</v>
      </c>
      <c r="I156" t="s">
        <v>181</v>
      </c>
      <c r="J156">
        <v>1</v>
      </c>
      <c r="K156" s="6">
        <f t="shared" si="49"/>
        <v>14.375</v>
      </c>
      <c r="L156">
        <f t="shared" si="50"/>
        <v>4</v>
      </c>
      <c r="M156">
        <f t="shared" si="55"/>
        <v>18</v>
      </c>
      <c r="N156">
        <f t="shared" si="56"/>
        <v>6</v>
      </c>
      <c r="O156" s="7">
        <f t="shared" si="39"/>
        <v>28</v>
      </c>
      <c r="P156">
        <f t="shared" si="51"/>
        <v>3</v>
      </c>
      <c r="Q156">
        <f t="shared" si="52"/>
        <v>10</v>
      </c>
      <c r="R156">
        <f>_xlfn.XLOOKUP(HFrame_List[[#This Row],[Cross piece style]],$AH$2:$AH$4,$AI$2:$AI$4,0,0)*(HFrame_List[[#This Row],[Width between brackets]]/12)</f>
        <v>51.355266666666672</v>
      </c>
      <c r="S156">
        <f>5.46*(HFrame_List[[#This Row],[cross piece quantity]]-1)*(HFrame_List[[#This Row],[Width between brackets]]/12)</f>
        <v>0</v>
      </c>
      <c r="T156" s="5">
        <f>HFrame_List[[#This Row],[Bottom cross piece cost]]+HFrame_List[[#This Row],[Top cross piece cost]]+HFrame_List[[#This Row],[Component costs]]+HFrame_List[[#This Row],[Vertical strut cost]]</f>
        <v>204.29726666666664</v>
      </c>
      <c r="U156" s="7">
        <f>_xlfn.XLOOKUP(HFrame_List[[#This Row],[Fabrication type]],Fabrication_costs[Fabrication type],Fabrication_costs[unit pricing],"no result",0)</f>
        <v>40.200000000000003</v>
      </c>
      <c r="V156" s="5">
        <f>SUM(T156:U156)/(1-HFrame_List[[#This Row],[Margin]])</f>
        <v>698.563619047619</v>
      </c>
      <c r="W156" s="36">
        <f t="shared" si="53"/>
        <v>0.65</v>
      </c>
      <c r="X156" t="s">
        <v>196</v>
      </c>
      <c r="Y156">
        <f>_xlfn.XLOOKUP("A12",Strut_costs[size],Strut_costs[Strut cost])/12*HFrame_List[[#This Row],[Strut height (in)]]*(2+HFrame_List[[#This Row],[Extra supports]])</f>
        <v>87.36</v>
      </c>
      <c r="Z156">
        <f>(_xlfn.XLOOKUP("PHB",CADDY_costs[Component],CADDY_costs[Current cost])*HFrame_List[[#This Row],[Number of feet]])+(_xlfn.XLOOKUP("HFRMHDW",CADDY_costs[Component],CADDY_costs[Current cost])*(HFrame_List[[#This Row],[number of L-brackets]]/2))</f>
        <v>65.581999999999994</v>
      </c>
      <c r="AA156">
        <v>4848</v>
      </c>
      <c r="AB156">
        <f>VLOOKUP(HFrame_List[[#This Row],[lookup]],'Pallet and shipping info'!$A$5:$H$33,6,FALSE)</f>
        <v>7</v>
      </c>
      <c r="AC156">
        <f>VLOOKUP(HFrame_List[[#This Row],[lookup]],'Pallet and shipping info'!$A$5:$H$33,8,FALSE)</f>
        <v>10</v>
      </c>
      <c r="AD156"/>
      <c r="AE156"/>
      <c r="AF156"/>
    </row>
    <row r="157" spans="1:32" x14ac:dyDescent="0.25">
      <c r="A157" s="1" t="s">
        <v>494</v>
      </c>
      <c r="B157" t="s">
        <v>495</v>
      </c>
      <c r="C157">
        <f t="shared" si="47"/>
        <v>73.674999999999997</v>
      </c>
      <c r="D157">
        <f t="shared" si="48"/>
        <v>62.050999999999995</v>
      </c>
      <c r="E157">
        <v>72</v>
      </c>
      <c r="F157">
        <f t="shared" si="58"/>
        <v>48</v>
      </c>
      <c r="G157">
        <f t="shared" si="54"/>
        <v>44.24</v>
      </c>
      <c r="H157">
        <v>2</v>
      </c>
      <c r="I157" t="s">
        <v>181</v>
      </c>
      <c r="J157">
        <v>1</v>
      </c>
      <c r="K157" s="6">
        <f t="shared" si="49"/>
        <v>14.375</v>
      </c>
      <c r="L157">
        <f t="shared" si="50"/>
        <v>4</v>
      </c>
      <c r="M157">
        <f t="shared" si="55"/>
        <v>18</v>
      </c>
      <c r="N157">
        <f t="shared" si="56"/>
        <v>6</v>
      </c>
      <c r="O157" s="7">
        <f t="shared" si="39"/>
        <v>40</v>
      </c>
      <c r="P157">
        <f t="shared" si="51"/>
        <v>4</v>
      </c>
      <c r="Q157">
        <f t="shared" si="52"/>
        <v>10</v>
      </c>
      <c r="R157">
        <f>_xlfn.XLOOKUP(HFrame_List[[#This Row],[Cross piece style]],$AH$2:$AH$4,$AI$2:$AI$4,0,0)*(HFrame_List[[#This Row],[Width between brackets]]/12)</f>
        <v>51.355266666666672</v>
      </c>
      <c r="S157">
        <f>5.46*(HFrame_List[[#This Row],[cross piece quantity]]-1)*(HFrame_List[[#This Row],[Width between brackets]]/12)</f>
        <v>0</v>
      </c>
      <c r="T157" s="5">
        <f>HFrame_List[[#This Row],[Bottom cross piece cost]]+HFrame_List[[#This Row],[Top cross piece cost]]+HFrame_List[[#This Row],[Component costs]]+HFrame_List[[#This Row],[Vertical strut cost]]</f>
        <v>247.97726666666665</v>
      </c>
      <c r="U157" s="7">
        <f>_xlfn.XLOOKUP(HFrame_List[[#This Row],[Fabrication type]],Fabrication_costs[Fabrication type],Fabrication_costs[unit pricing],"no result",0)</f>
        <v>40.200000000000003</v>
      </c>
      <c r="V157" s="5">
        <f>SUM(T157:U157)/(1-HFrame_List[[#This Row],[Margin]])</f>
        <v>823.36361904761907</v>
      </c>
      <c r="W157" s="36">
        <f t="shared" si="53"/>
        <v>0.65</v>
      </c>
      <c r="X157" t="s">
        <v>196</v>
      </c>
      <c r="Y157">
        <f>_xlfn.XLOOKUP("A12",Strut_costs[size],Strut_costs[Strut cost])/12*HFrame_List[[#This Row],[Strut height (in)]]*(2+HFrame_List[[#This Row],[Extra supports]])</f>
        <v>131.04</v>
      </c>
      <c r="Z157">
        <f>(_xlfn.XLOOKUP("PHB",CADDY_costs[Component],CADDY_costs[Current cost])*HFrame_List[[#This Row],[Number of feet]])+(_xlfn.XLOOKUP("HFRMHDW",CADDY_costs[Component],CADDY_costs[Current cost])*(HFrame_List[[#This Row],[number of L-brackets]]/2))</f>
        <v>65.581999999999994</v>
      </c>
      <c r="AA157">
        <v>7248</v>
      </c>
      <c r="AB157">
        <f>VLOOKUP(HFrame_List[[#This Row],[lookup]],'Pallet and shipping info'!$A$5:$H$33,6,FALSE)</f>
        <v>7</v>
      </c>
      <c r="AC157">
        <f>VLOOKUP(HFrame_List[[#This Row],[lookup]],'Pallet and shipping info'!$A$5:$H$33,8,FALSE)</f>
        <v>10</v>
      </c>
      <c r="AD157"/>
      <c r="AE157"/>
      <c r="AF157"/>
    </row>
    <row r="158" spans="1:32" x14ac:dyDescent="0.25">
      <c r="A158" s="1" t="s">
        <v>496</v>
      </c>
      <c r="B158" t="s">
        <v>497</v>
      </c>
      <c r="C158">
        <f t="shared" si="47"/>
        <v>25.675000000000001</v>
      </c>
      <c r="D158">
        <f t="shared" si="48"/>
        <v>74.051000000000002</v>
      </c>
      <c r="E158">
        <v>24</v>
      </c>
      <c r="F158">
        <v>60</v>
      </c>
      <c r="G158">
        <f t="shared" si="54"/>
        <v>56.24</v>
      </c>
      <c r="H158">
        <v>2</v>
      </c>
      <c r="I158" t="s">
        <v>181</v>
      </c>
      <c r="J158">
        <v>1</v>
      </c>
      <c r="K158" s="6">
        <f t="shared" si="49"/>
        <v>18.375</v>
      </c>
      <c r="L158">
        <f t="shared" si="50"/>
        <v>4</v>
      </c>
      <c r="M158">
        <f t="shared" si="55"/>
        <v>18</v>
      </c>
      <c r="N158">
        <f t="shared" si="56"/>
        <v>6</v>
      </c>
      <c r="O158" s="7">
        <f t="shared" si="39"/>
        <v>17</v>
      </c>
      <c r="P158">
        <f t="shared" si="51"/>
        <v>2</v>
      </c>
      <c r="Q158">
        <f t="shared" si="52"/>
        <v>10</v>
      </c>
      <c r="R158">
        <f>_xlfn.XLOOKUP(HFrame_List[[#This Row],[Cross piece style]],$AH$2:$AH$4,$AI$2:$AI$4,0,0)*(HFrame_List[[#This Row],[Width between brackets]]/12)</f>
        <v>65.285266666666658</v>
      </c>
      <c r="S158">
        <f>5.46*(HFrame_List[[#This Row],[cross piece quantity]]-1)*(HFrame_List[[#This Row],[Width between brackets]]/12)</f>
        <v>0</v>
      </c>
      <c r="T158" s="5">
        <f>HFrame_List[[#This Row],[Bottom cross piece cost]]+HFrame_List[[#This Row],[Top cross piece cost]]+HFrame_List[[#This Row],[Component costs]]+HFrame_List[[#This Row],[Vertical strut cost]]</f>
        <v>174.54726666666664</v>
      </c>
      <c r="U158" s="7">
        <f>_xlfn.XLOOKUP(HFrame_List[[#This Row],[Fabrication type]],Fabrication_costs[Fabrication type],Fabrication_costs[unit pricing],"no result",0)</f>
        <v>40.200000000000003</v>
      </c>
      <c r="V158" s="5">
        <f>SUM(T158:U158)/(1-HFrame_List[[#This Row],[Margin]])</f>
        <v>613.563619047619</v>
      </c>
      <c r="W158" s="36">
        <f t="shared" si="53"/>
        <v>0.65</v>
      </c>
      <c r="X158" t="s">
        <v>196</v>
      </c>
      <c r="Y158">
        <f>_xlfn.XLOOKUP("A12",Strut_costs[size],Strut_costs[Strut cost])/12*HFrame_List[[#This Row],[Strut height (in)]]*(2+HFrame_List[[#This Row],[Extra supports]])</f>
        <v>43.68</v>
      </c>
      <c r="Z158">
        <f>(_xlfn.XLOOKUP("PHB",CADDY_costs[Component],CADDY_costs[Current cost])*HFrame_List[[#This Row],[Number of feet]])+(_xlfn.XLOOKUP("HFRMHDW",CADDY_costs[Component],CADDY_costs[Current cost])*(HFrame_List[[#This Row],[number of L-brackets]]/2))</f>
        <v>65.581999999999994</v>
      </c>
      <c r="AA158">
        <v>2460</v>
      </c>
      <c r="AB158" t="str">
        <f>VLOOKUP(HFrame_List[[#This Row],[lookup]],'Pallet and shipping info'!$A$5:$H$33,6,FALSE)</f>
        <v>x</v>
      </c>
      <c r="AC158">
        <f>VLOOKUP(HFrame_List[[#This Row],[lookup]],'Pallet and shipping info'!$A$5:$H$33,8,FALSE)</f>
        <v>7</v>
      </c>
      <c r="AD158"/>
      <c r="AE158"/>
      <c r="AF158"/>
    </row>
    <row r="159" spans="1:32" x14ac:dyDescent="0.25">
      <c r="A159" s="1" t="s">
        <v>498</v>
      </c>
      <c r="B159" t="s">
        <v>499</v>
      </c>
      <c r="C159">
        <f t="shared" si="47"/>
        <v>37.674999999999997</v>
      </c>
      <c r="D159">
        <f t="shared" si="48"/>
        <v>74.051000000000002</v>
      </c>
      <c r="E159">
        <v>36</v>
      </c>
      <c r="F159">
        <v>60</v>
      </c>
      <c r="G159">
        <f t="shared" si="54"/>
        <v>56.24</v>
      </c>
      <c r="H159">
        <v>2</v>
      </c>
      <c r="I159" t="s">
        <v>181</v>
      </c>
      <c r="J159">
        <v>1</v>
      </c>
      <c r="K159" s="6">
        <f t="shared" si="49"/>
        <v>18.375</v>
      </c>
      <c r="L159">
        <f t="shared" si="50"/>
        <v>4</v>
      </c>
      <c r="M159">
        <f t="shared" si="55"/>
        <v>18</v>
      </c>
      <c r="N159">
        <f t="shared" si="56"/>
        <v>6</v>
      </c>
      <c r="O159" s="7">
        <f t="shared" si="39"/>
        <v>23</v>
      </c>
      <c r="P159">
        <f t="shared" si="51"/>
        <v>3</v>
      </c>
      <c r="Q159">
        <f t="shared" si="52"/>
        <v>10</v>
      </c>
      <c r="R159">
        <f>_xlfn.XLOOKUP(HFrame_List[[#This Row],[Cross piece style]],$AH$2:$AH$4,$AI$2:$AI$4,0,0)*(HFrame_List[[#This Row],[Width between brackets]]/12)</f>
        <v>65.285266666666658</v>
      </c>
      <c r="S159">
        <f>5.46*(HFrame_List[[#This Row],[cross piece quantity]]-1)*(HFrame_List[[#This Row],[Width between brackets]]/12)</f>
        <v>0</v>
      </c>
      <c r="T159" s="5">
        <f>HFrame_List[[#This Row],[Bottom cross piece cost]]+HFrame_List[[#This Row],[Top cross piece cost]]+HFrame_List[[#This Row],[Component costs]]+HFrame_List[[#This Row],[Vertical strut cost]]</f>
        <v>196.38726666666662</v>
      </c>
      <c r="U159" s="7">
        <f>_xlfn.XLOOKUP(HFrame_List[[#This Row],[Fabrication type]],Fabrication_costs[Fabrication type],Fabrication_costs[unit pricing],"no result",0)</f>
        <v>40.200000000000003</v>
      </c>
      <c r="V159" s="5">
        <f>SUM(T159:U159)/(1-HFrame_List[[#This Row],[Margin]])</f>
        <v>675.96361904761898</v>
      </c>
      <c r="W159" s="36">
        <f t="shared" si="53"/>
        <v>0.65</v>
      </c>
      <c r="X159" t="s">
        <v>196</v>
      </c>
      <c r="Y159">
        <f>_xlfn.XLOOKUP("A12",Strut_costs[size],Strut_costs[Strut cost])/12*HFrame_List[[#This Row],[Strut height (in)]]*(2+HFrame_List[[#This Row],[Extra supports]])</f>
        <v>65.52</v>
      </c>
      <c r="Z159">
        <f>(_xlfn.XLOOKUP("PHB",CADDY_costs[Component],CADDY_costs[Current cost])*HFrame_List[[#This Row],[Number of feet]])+(_xlfn.XLOOKUP("HFRMHDW",CADDY_costs[Component],CADDY_costs[Current cost])*(HFrame_List[[#This Row],[number of L-brackets]]/2))</f>
        <v>65.581999999999994</v>
      </c>
      <c r="AA159">
        <v>3660</v>
      </c>
      <c r="AB159" t="str">
        <f>VLOOKUP(HFrame_List[[#This Row],[lookup]],'Pallet and shipping info'!$A$5:$H$33,6,FALSE)</f>
        <v>x</v>
      </c>
      <c r="AC159">
        <f>VLOOKUP(HFrame_List[[#This Row],[lookup]],'Pallet and shipping info'!$A$5:$H$33,8,FALSE)</f>
        <v>7</v>
      </c>
      <c r="AD159"/>
      <c r="AE159"/>
      <c r="AF159"/>
    </row>
    <row r="160" spans="1:32" x14ac:dyDescent="0.25">
      <c r="A160" s="1" t="s">
        <v>500</v>
      </c>
      <c r="B160" t="s">
        <v>501</v>
      </c>
      <c r="C160">
        <f t="shared" si="47"/>
        <v>49.674999999999997</v>
      </c>
      <c r="D160">
        <f t="shared" si="48"/>
        <v>74.051000000000002</v>
      </c>
      <c r="E160">
        <v>48</v>
      </c>
      <c r="F160">
        <v>60</v>
      </c>
      <c r="G160">
        <f t="shared" si="54"/>
        <v>56.24</v>
      </c>
      <c r="H160">
        <v>2</v>
      </c>
      <c r="I160" t="s">
        <v>181</v>
      </c>
      <c r="J160">
        <v>1</v>
      </c>
      <c r="K160" s="6">
        <f t="shared" si="49"/>
        <v>18.375</v>
      </c>
      <c r="L160">
        <f t="shared" si="50"/>
        <v>4</v>
      </c>
      <c r="M160">
        <f t="shared" si="55"/>
        <v>18</v>
      </c>
      <c r="N160">
        <f t="shared" si="56"/>
        <v>6</v>
      </c>
      <c r="O160" s="7">
        <f t="shared" si="39"/>
        <v>29</v>
      </c>
      <c r="P160">
        <f t="shared" si="51"/>
        <v>3</v>
      </c>
      <c r="Q160">
        <f t="shared" si="52"/>
        <v>10</v>
      </c>
      <c r="R160">
        <f>_xlfn.XLOOKUP(HFrame_List[[#This Row],[Cross piece style]],$AH$2:$AH$4,$AI$2:$AI$4,0,0)*(HFrame_List[[#This Row],[Width between brackets]]/12)</f>
        <v>65.285266666666658</v>
      </c>
      <c r="S160">
        <f>5.46*(HFrame_List[[#This Row],[cross piece quantity]]-1)*(HFrame_List[[#This Row],[Width between brackets]]/12)</f>
        <v>0</v>
      </c>
      <c r="T160" s="5">
        <f>HFrame_List[[#This Row],[Bottom cross piece cost]]+HFrame_List[[#This Row],[Top cross piece cost]]+HFrame_List[[#This Row],[Component costs]]+HFrame_List[[#This Row],[Vertical strut cost]]</f>
        <v>218.22726666666665</v>
      </c>
      <c r="U160" s="7">
        <f>_xlfn.XLOOKUP(HFrame_List[[#This Row],[Fabrication type]],Fabrication_costs[Fabrication type],Fabrication_costs[unit pricing],"no result",0)</f>
        <v>40.200000000000003</v>
      </c>
      <c r="V160" s="5">
        <f>SUM(T160:U160)/(1-HFrame_List[[#This Row],[Margin]])</f>
        <v>738.36361904761907</v>
      </c>
      <c r="W160" s="36">
        <f t="shared" si="53"/>
        <v>0.65</v>
      </c>
      <c r="X160" t="s">
        <v>196</v>
      </c>
      <c r="Y160">
        <f>_xlfn.XLOOKUP("A12",Strut_costs[size],Strut_costs[Strut cost])/12*HFrame_List[[#This Row],[Strut height (in)]]*(2+HFrame_List[[#This Row],[Extra supports]])</f>
        <v>87.36</v>
      </c>
      <c r="Z160">
        <f>(_xlfn.XLOOKUP("PHB",CADDY_costs[Component],CADDY_costs[Current cost])*HFrame_List[[#This Row],[Number of feet]])+(_xlfn.XLOOKUP("HFRMHDW",CADDY_costs[Component],CADDY_costs[Current cost])*(HFrame_List[[#This Row],[number of L-brackets]]/2))</f>
        <v>65.581999999999994</v>
      </c>
      <c r="AA160">
        <v>4860</v>
      </c>
      <c r="AB160" t="str">
        <f>VLOOKUP(HFrame_List[[#This Row],[lookup]],'Pallet and shipping info'!$A$5:$H$33,6,FALSE)</f>
        <v>x</v>
      </c>
      <c r="AC160">
        <f>VLOOKUP(HFrame_List[[#This Row],[lookup]],'Pallet and shipping info'!$A$5:$H$33,8,FALSE)</f>
        <v>7</v>
      </c>
      <c r="AD160"/>
      <c r="AE160"/>
      <c r="AF160"/>
    </row>
    <row r="161" spans="1:32" x14ac:dyDescent="0.25">
      <c r="A161" s="1" t="s">
        <v>502</v>
      </c>
      <c r="B161" t="s">
        <v>503</v>
      </c>
      <c r="C161">
        <f t="shared" si="47"/>
        <v>73.674999999999997</v>
      </c>
      <c r="D161">
        <f t="shared" si="48"/>
        <v>74.051000000000002</v>
      </c>
      <c r="E161">
        <v>72</v>
      </c>
      <c r="F161">
        <v>60</v>
      </c>
      <c r="G161">
        <f t="shared" si="54"/>
        <v>56.24</v>
      </c>
      <c r="H161">
        <v>2</v>
      </c>
      <c r="I161" t="s">
        <v>181</v>
      </c>
      <c r="J161">
        <v>1</v>
      </c>
      <c r="K161" s="6">
        <f t="shared" si="49"/>
        <v>18.375</v>
      </c>
      <c r="L161">
        <f t="shared" si="50"/>
        <v>4</v>
      </c>
      <c r="M161">
        <f t="shared" si="55"/>
        <v>18</v>
      </c>
      <c r="N161">
        <f t="shared" si="56"/>
        <v>6</v>
      </c>
      <c r="O161" s="7">
        <f t="shared" si="39"/>
        <v>41</v>
      </c>
      <c r="P161">
        <f t="shared" si="51"/>
        <v>5</v>
      </c>
      <c r="Q161">
        <f t="shared" si="52"/>
        <v>10</v>
      </c>
      <c r="R161">
        <f>_xlfn.XLOOKUP(HFrame_List[[#This Row],[Cross piece style]],$AH$2:$AH$4,$AI$2:$AI$4,0,0)*(HFrame_List[[#This Row],[Width between brackets]]/12)</f>
        <v>65.285266666666658</v>
      </c>
      <c r="S161">
        <f>5.46*(HFrame_List[[#This Row],[cross piece quantity]]-1)*(HFrame_List[[#This Row],[Width between brackets]]/12)</f>
        <v>0</v>
      </c>
      <c r="T161" s="5">
        <f>HFrame_List[[#This Row],[Bottom cross piece cost]]+HFrame_List[[#This Row],[Top cross piece cost]]+HFrame_List[[#This Row],[Component costs]]+HFrame_List[[#This Row],[Vertical strut cost]]</f>
        <v>261.9072666666666</v>
      </c>
      <c r="U161" s="7">
        <f>_xlfn.XLOOKUP(HFrame_List[[#This Row],[Fabrication type]],Fabrication_costs[Fabrication type],Fabrication_costs[unit pricing],"no result",0)</f>
        <v>40.200000000000003</v>
      </c>
      <c r="V161" s="5">
        <f>SUM(T161:U161)/(1-HFrame_List[[#This Row],[Margin]])</f>
        <v>863.16361904761891</v>
      </c>
      <c r="W161" s="36">
        <f t="shared" si="53"/>
        <v>0.65</v>
      </c>
      <c r="X161" t="s">
        <v>196</v>
      </c>
      <c r="Y161">
        <f>_xlfn.XLOOKUP("A12",Strut_costs[size],Strut_costs[Strut cost])/12*HFrame_List[[#This Row],[Strut height (in)]]*(2+HFrame_List[[#This Row],[Extra supports]])</f>
        <v>131.04</v>
      </c>
      <c r="Z161">
        <f>(_xlfn.XLOOKUP("PHB",CADDY_costs[Component],CADDY_costs[Current cost])*HFrame_List[[#This Row],[Number of feet]])+(_xlfn.XLOOKUP("HFRMHDW",CADDY_costs[Component],CADDY_costs[Current cost])*(HFrame_List[[#This Row],[number of L-brackets]]/2))</f>
        <v>65.581999999999994</v>
      </c>
      <c r="AA161">
        <v>7260</v>
      </c>
      <c r="AB161" t="str">
        <f>VLOOKUP(HFrame_List[[#This Row],[lookup]],'Pallet and shipping info'!$A$5:$H$33,6,FALSE)</f>
        <v>x</v>
      </c>
      <c r="AC161">
        <f>VLOOKUP(HFrame_List[[#This Row],[lookup]],'Pallet and shipping info'!$A$5:$H$33,8,FALSE)</f>
        <v>7</v>
      </c>
      <c r="AD161"/>
      <c r="AE161"/>
      <c r="AF161"/>
    </row>
    <row r="162" spans="1:32" x14ac:dyDescent="0.25">
      <c r="A162" s="1" t="s">
        <v>504</v>
      </c>
      <c r="B162" t="s">
        <v>505</v>
      </c>
      <c r="C162">
        <f t="shared" si="47"/>
        <v>25.675000000000001</v>
      </c>
      <c r="D162">
        <f t="shared" si="48"/>
        <v>86.051000000000002</v>
      </c>
      <c r="E162">
        <v>24</v>
      </c>
      <c r="F162">
        <v>72</v>
      </c>
      <c r="G162">
        <f t="shared" si="54"/>
        <v>68.239999999999995</v>
      </c>
      <c r="H162">
        <v>2</v>
      </c>
      <c r="I162" t="s">
        <v>181</v>
      </c>
      <c r="J162">
        <v>1</v>
      </c>
      <c r="K162" s="6">
        <f t="shared" si="49"/>
        <v>22.375</v>
      </c>
      <c r="L162">
        <f t="shared" si="50"/>
        <v>4</v>
      </c>
      <c r="M162">
        <f t="shared" si="55"/>
        <v>18</v>
      </c>
      <c r="N162">
        <f t="shared" si="56"/>
        <v>6</v>
      </c>
      <c r="O162" s="7">
        <f t="shared" si="39"/>
        <v>18</v>
      </c>
      <c r="P162">
        <f t="shared" si="51"/>
        <v>2</v>
      </c>
      <c r="Q162">
        <f t="shared" si="52"/>
        <v>10</v>
      </c>
      <c r="R162">
        <f>_xlfn.XLOOKUP(HFrame_List[[#This Row],[Cross piece style]],$AH$2:$AH$4,$AI$2:$AI$4,0,0)*(HFrame_List[[#This Row],[Width between brackets]]/12)</f>
        <v>79.215266666666665</v>
      </c>
      <c r="S162">
        <f>5.46*(HFrame_List[[#This Row],[cross piece quantity]]-1)*(HFrame_List[[#This Row],[Width between brackets]]/12)</f>
        <v>0</v>
      </c>
      <c r="T162" s="5">
        <f>HFrame_List[[#This Row],[Bottom cross piece cost]]+HFrame_List[[#This Row],[Top cross piece cost]]+HFrame_List[[#This Row],[Component costs]]+HFrame_List[[#This Row],[Vertical strut cost]]</f>
        <v>188.47726666666665</v>
      </c>
      <c r="U162" s="7">
        <f>_xlfn.XLOOKUP(HFrame_List[[#This Row],[Fabrication type]],Fabrication_costs[Fabrication type],Fabrication_costs[unit pricing],"no result",0)</f>
        <v>40.200000000000003</v>
      </c>
      <c r="V162" s="5">
        <f>SUM(T162:U162)/(1-HFrame_List[[#This Row],[Margin]])</f>
        <v>653.36361904761907</v>
      </c>
      <c r="W162" s="36">
        <f t="shared" si="53"/>
        <v>0.65</v>
      </c>
      <c r="X162" t="s">
        <v>196</v>
      </c>
      <c r="Y162">
        <f>_xlfn.XLOOKUP("A12",Strut_costs[size],Strut_costs[Strut cost])/12*HFrame_List[[#This Row],[Strut height (in)]]*(2+HFrame_List[[#This Row],[Extra supports]])</f>
        <v>43.68</v>
      </c>
      <c r="Z162">
        <f>(_xlfn.XLOOKUP("PHB",CADDY_costs[Component],CADDY_costs[Current cost])*HFrame_List[[#This Row],[Number of feet]])+(_xlfn.XLOOKUP("HFRMHDW",CADDY_costs[Component],CADDY_costs[Current cost])*(HFrame_List[[#This Row],[number of L-brackets]]/2))</f>
        <v>65.581999999999994</v>
      </c>
      <c r="AA162">
        <v>2472</v>
      </c>
      <c r="AB162" t="str">
        <f>VLOOKUP(HFrame_List[[#This Row],[lookup]],'Pallet and shipping info'!$A$5:$H$33,6,FALSE)</f>
        <v>x</v>
      </c>
      <c r="AC162">
        <f>VLOOKUP(HFrame_List[[#This Row],[lookup]],'Pallet and shipping info'!$A$5:$H$33,8,FALSE)</f>
        <v>7</v>
      </c>
      <c r="AD162"/>
      <c r="AE162"/>
      <c r="AF162"/>
    </row>
    <row r="163" spans="1:32" x14ac:dyDescent="0.25">
      <c r="A163" s="1" t="s">
        <v>506</v>
      </c>
      <c r="B163" t="s">
        <v>507</v>
      </c>
      <c r="C163">
        <f t="shared" si="47"/>
        <v>37.674999999999997</v>
      </c>
      <c r="D163">
        <f t="shared" si="48"/>
        <v>86.051000000000002</v>
      </c>
      <c r="E163">
        <v>36</v>
      </c>
      <c r="F163">
        <v>72</v>
      </c>
      <c r="G163">
        <f t="shared" si="54"/>
        <v>68.239999999999995</v>
      </c>
      <c r="H163">
        <v>2</v>
      </c>
      <c r="I163" t="s">
        <v>181</v>
      </c>
      <c r="J163">
        <v>1</v>
      </c>
      <c r="K163" s="6">
        <f t="shared" si="49"/>
        <v>22.375</v>
      </c>
      <c r="L163">
        <f t="shared" si="50"/>
        <v>4</v>
      </c>
      <c r="M163">
        <f t="shared" si="55"/>
        <v>18</v>
      </c>
      <c r="N163">
        <f t="shared" si="56"/>
        <v>6</v>
      </c>
      <c r="O163" s="7">
        <f t="shared" ref="O163:O169" si="59">((E163*(L163+H163))+(F163*J163))/12</f>
        <v>24</v>
      </c>
      <c r="P163">
        <f t="shared" si="51"/>
        <v>3</v>
      </c>
      <c r="Q163">
        <f t="shared" si="52"/>
        <v>10</v>
      </c>
      <c r="R163">
        <f>_xlfn.XLOOKUP(HFrame_List[[#This Row],[Cross piece style]],$AH$2:$AH$4,$AI$2:$AI$4,0,0)*(HFrame_List[[#This Row],[Width between brackets]]/12)</f>
        <v>79.215266666666665</v>
      </c>
      <c r="S163">
        <f>5.46*(HFrame_List[[#This Row],[cross piece quantity]]-1)*(HFrame_List[[#This Row],[Width between brackets]]/12)</f>
        <v>0</v>
      </c>
      <c r="T163" s="5">
        <f>HFrame_List[[#This Row],[Bottom cross piece cost]]+HFrame_List[[#This Row],[Top cross piece cost]]+HFrame_List[[#This Row],[Component costs]]+HFrame_List[[#This Row],[Vertical strut cost]]</f>
        <v>210.31726666666663</v>
      </c>
      <c r="U163" s="7">
        <f>_xlfn.XLOOKUP(HFrame_List[[#This Row],[Fabrication type]],Fabrication_costs[Fabrication type],Fabrication_costs[unit pricing],"no result",0)</f>
        <v>40.200000000000003</v>
      </c>
      <c r="V163" s="5">
        <f>SUM(T163:U163)/(1-HFrame_List[[#This Row],[Margin]])</f>
        <v>715.76361904761893</v>
      </c>
      <c r="W163" s="36">
        <f t="shared" si="53"/>
        <v>0.65</v>
      </c>
      <c r="X163" t="s">
        <v>196</v>
      </c>
      <c r="Y163">
        <f>_xlfn.XLOOKUP("A12",Strut_costs[size],Strut_costs[Strut cost])/12*HFrame_List[[#This Row],[Strut height (in)]]*(2+HFrame_List[[#This Row],[Extra supports]])</f>
        <v>65.52</v>
      </c>
      <c r="Z163">
        <f>(_xlfn.XLOOKUP("PHB",CADDY_costs[Component],CADDY_costs[Current cost])*HFrame_List[[#This Row],[Number of feet]])+(_xlfn.XLOOKUP("HFRMHDW",CADDY_costs[Component],CADDY_costs[Current cost])*(HFrame_List[[#This Row],[number of L-brackets]]/2))</f>
        <v>65.581999999999994</v>
      </c>
      <c r="AA163">
        <v>3672</v>
      </c>
      <c r="AB163" t="str">
        <f>VLOOKUP(HFrame_List[[#This Row],[lookup]],'Pallet and shipping info'!$A$5:$H$33,6,FALSE)</f>
        <v>x</v>
      </c>
      <c r="AC163">
        <f>VLOOKUP(HFrame_List[[#This Row],[lookup]],'Pallet and shipping info'!$A$5:$H$33,8,FALSE)</f>
        <v>7</v>
      </c>
      <c r="AD163"/>
      <c r="AE163"/>
      <c r="AF163"/>
    </row>
    <row r="164" spans="1:32" x14ac:dyDescent="0.25">
      <c r="A164" s="1" t="s">
        <v>508</v>
      </c>
      <c r="B164" t="s">
        <v>509</v>
      </c>
      <c r="C164">
        <f t="shared" si="47"/>
        <v>49.674999999999997</v>
      </c>
      <c r="D164">
        <f t="shared" si="48"/>
        <v>86.051000000000002</v>
      </c>
      <c r="E164">
        <v>48</v>
      </c>
      <c r="F164">
        <v>72</v>
      </c>
      <c r="G164">
        <f t="shared" si="54"/>
        <v>68.239999999999995</v>
      </c>
      <c r="H164">
        <v>2</v>
      </c>
      <c r="I164" t="s">
        <v>181</v>
      </c>
      <c r="J164">
        <v>1</v>
      </c>
      <c r="K164" s="6">
        <f t="shared" si="49"/>
        <v>22.375</v>
      </c>
      <c r="L164">
        <f t="shared" si="50"/>
        <v>4</v>
      </c>
      <c r="M164">
        <f t="shared" si="55"/>
        <v>18</v>
      </c>
      <c r="N164">
        <f t="shared" si="56"/>
        <v>6</v>
      </c>
      <c r="O164" s="7">
        <f t="shared" si="59"/>
        <v>30</v>
      </c>
      <c r="P164">
        <f t="shared" si="51"/>
        <v>3</v>
      </c>
      <c r="Q164">
        <f t="shared" si="52"/>
        <v>10</v>
      </c>
      <c r="R164">
        <f>_xlfn.XLOOKUP(HFrame_List[[#This Row],[Cross piece style]],$AH$2:$AH$4,$AI$2:$AI$4,0,0)*(HFrame_List[[#This Row],[Width between brackets]]/12)</f>
        <v>79.215266666666665</v>
      </c>
      <c r="S164">
        <f>5.46*(HFrame_List[[#This Row],[cross piece quantity]]-1)*(HFrame_List[[#This Row],[Width between brackets]]/12)</f>
        <v>0</v>
      </c>
      <c r="T164" s="5">
        <f>HFrame_List[[#This Row],[Bottom cross piece cost]]+HFrame_List[[#This Row],[Top cross piece cost]]+HFrame_List[[#This Row],[Component costs]]+HFrame_List[[#This Row],[Vertical strut cost]]</f>
        <v>232.15726666666666</v>
      </c>
      <c r="U164" s="7">
        <f>_xlfn.XLOOKUP(HFrame_List[[#This Row],[Fabrication type]],Fabrication_costs[Fabrication type],Fabrication_costs[unit pricing],"no result",0)</f>
        <v>40.200000000000003</v>
      </c>
      <c r="V164" s="5">
        <f>SUM(T164:U164)/(1-HFrame_List[[#This Row],[Margin]])</f>
        <v>778.16361904761902</v>
      </c>
      <c r="W164" s="36">
        <f t="shared" si="53"/>
        <v>0.65</v>
      </c>
      <c r="X164" t="s">
        <v>196</v>
      </c>
      <c r="Y164">
        <f>_xlfn.XLOOKUP("A12",Strut_costs[size],Strut_costs[Strut cost])/12*HFrame_List[[#This Row],[Strut height (in)]]*(2+HFrame_List[[#This Row],[Extra supports]])</f>
        <v>87.36</v>
      </c>
      <c r="Z164">
        <f>(_xlfn.XLOOKUP("PHB",CADDY_costs[Component],CADDY_costs[Current cost])*HFrame_List[[#This Row],[Number of feet]])+(_xlfn.XLOOKUP("HFRMHDW",CADDY_costs[Component],CADDY_costs[Current cost])*(HFrame_List[[#This Row],[number of L-brackets]]/2))</f>
        <v>65.581999999999994</v>
      </c>
      <c r="AA164">
        <v>4872</v>
      </c>
      <c r="AB164" t="str">
        <f>VLOOKUP(HFrame_List[[#This Row],[lookup]],'Pallet and shipping info'!$A$5:$H$33,6,FALSE)</f>
        <v>x</v>
      </c>
      <c r="AC164">
        <f>VLOOKUP(HFrame_List[[#This Row],[lookup]],'Pallet and shipping info'!$A$5:$H$33,8,FALSE)</f>
        <v>7</v>
      </c>
      <c r="AD164"/>
      <c r="AE164"/>
      <c r="AF164"/>
    </row>
    <row r="165" spans="1:32" x14ac:dyDescent="0.25">
      <c r="A165" s="1" t="s">
        <v>510</v>
      </c>
      <c r="B165" t="s">
        <v>511</v>
      </c>
      <c r="C165">
        <f t="shared" si="47"/>
        <v>73.674999999999997</v>
      </c>
      <c r="D165">
        <f t="shared" si="48"/>
        <v>86.051000000000002</v>
      </c>
      <c r="E165">
        <v>72</v>
      </c>
      <c r="F165">
        <v>72</v>
      </c>
      <c r="G165">
        <f t="shared" si="54"/>
        <v>68.239999999999995</v>
      </c>
      <c r="H165">
        <v>2</v>
      </c>
      <c r="I165" t="s">
        <v>181</v>
      </c>
      <c r="J165">
        <v>1</v>
      </c>
      <c r="K165" s="6">
        <f t="shared" si="49"/>
        <v>22.375</v>
      </c>
      <c r="L165">
        <f t="shared" si="50"/>
        <v>4</v>
      </c>
      <c r="M165">
        <f t="shared" si="55"/>
        <v>18</v>
      </c>
      <c r="N165">
        <f t="shared" si="56"/>
        <v>6</v>
      </c>
      <c r="O165" s="7">
        <f t="shared" si="59"/>
        <v>42</v>
      </c>
      <c r="P165">
        <f t="shared" si="51"/>
        <v>5</v>
      </c>
      <c r="Q165">
        <f t="shared" si="52"/>
        <v>10</v>
      </c>
      <c r="R165">
        <f>_xlfn.XLOOKUP(HFrame_List[[#This Row],[Cross piece style]],$AH$2:$AH$4,$AI$2:$AI$4,0,0)*(HFrame_List[[#This Row],[Width between brackets]]/12)</f>
        <v>79.215266666666665</v>
      </c>
      <c r="S165">
        <f>5.46*(HFrame_List[[#This Row],[cross piece quantity]]-1)*(HFrame_List[[#This Row],[Width between brackets]]/12)</f>
        <v>0</v>
      </c>
      <c r="T165" s="5">
        <f>HFrame_List[[#This Row],[Bottom cross piece cost]]+HFrame_List[[#This Row],[Top cross piece cost]]+HFrame_List[[#This Row],[Component costs]]+HFrame_List[[#This Row],[Vertical strut cost]]</f>
        <v>275.83726666666666</v>
      </c>
      <c r="U165" s="7">
        <f>_xlfn.XLOOKUP(HFrame_List[[#This Row],[Fabrication type]],Fabrication_costs[Fabrication type],Fabrication_costs[unit pricing],"no result",0)</f>
        <v>40.200000000000003</v>
      </c>
      <c r="V165" s="5">
        <f>SUM(T165:U165)/(1-HFrame_List[[#This Row],[Margin]])</f>
        <v>902.96361904761909</v>
      </c>
      <c r="W165" s="36">
        <f t="shared" si="53"/>
        <v>0.65</v>
      </c>
      <c r="X165" t="s">
        <v>196</v>
      </c>
      <c r="Y165">
        <f>_xlfn.XLOOKUP("A12",Strut_costs[size],Strut_costs[Strut cost])/12*HFrame_List[[#This Row],[Strut height (in)]]*(2+HFrame_List[[#This Row],[Extra supports]])</f>
        <v>131.04</v>
      </c>
      <c r="Z165">
        <f>(_xlfn.XLOOKUP("PHB",CADDY_costs[Component],CADDY_costs[Current cost])*HFrame_List[[#This Row],[Number of feet]])+(_xlfn.XLOOKUP("HFRMHDW",CADDY_costs[Component],CADDY_costs[Current cost])*(HFrame_List[[#This Row],[number of L-brackets]]/2))</f>
        <v>65.581999999999994</v>
      </c>
      <c r="AA165">
        <v>7272</v>
      </c>
      <c r="AB165" t="str">
        <f>VLOOKUP(HFrame_List[[#This Row],[lookup]],'Pallet and shipping info'!$A$5:$H$33,6,FALSE)</f>
        <v>x</v>
      </c>
      <c r="AC165">
        <f>VLOOKUP(HFrame_List[[#This Row],[lookup]],'Pallet and shipping info'!$A$5:$H$33,8,FALSE)</f>
        <v>7</v>
      </c>
      <c r="AD165"/>
      <c r="AE165"/>
      <c r="AF165"/>
    </row>
    <row r="166" spans="1:32" x14ac:dyDescent="0.25">
      <c r="A166" s="1" t="s">
        <v>512</v>
      </c>
      <c r="B166" t="s">
        <v>513</v>
      </c>
      <c r="C166">
        <f t="shared" si="47"/>
        <v>25.675000000000001</v>
      </c>
      <c r="D166">
        <f t="shared" si="48"/>
        <v>98.051000000000002</v>
      </c>
      <c r="E166">
        <v>24</v>
      </c>
      <c r="F166">
        <v>84</v>
      </c>
      <c r="G166">
        <f t="shared" si="54"/>
        <v>80.239999999999995</v>
      </c>
      <c r="H166">
        <v>2</v>
      </c>
      <c r="I166" t="s">
        <v>181</v>
      </c>
      <c r="J166">
        <v>1</v>
      </c>
      <c r="K166" s="6">
        <f t="shared" si="49"/>
        <v>26.375</v>
      </c>
      <c r="L166">
        <f t="shared" si="50"/>
        <v>4</v>
      </c>
      <c r="M166">
        <f t="shared" si="55"/>
        <v>18</v>
      </c>
      <c r="N166">
        <f t="shared" si="56"/>
        <v>6</v>
      </c>
      <c r="O166" s="7">
        <f t="shared" si="59"/>
        <v>19</v>
      </c>
      <c r="P166">
        <f t="shared" si="51"/>
        <v>2</v>
      </c>
      <c r="Q166">
        <f t="shared" si="52"/>
        <v>10</v>
      </c>
      <c r="R166">
        <f>_xlfn.XLOOKUP(HFrame_List[[#This Row],[Cross piece style]],$AH$2:$AH$4,$AI$2:$AI$4,0,0)*(HFrame_List[[#This Row],[Width between brackets]]/12)</f>
        <v>93.145266666666657</v>
      </c>
      <c r="S166">
        <f>5.46*(HFrame_List[[#This Row],[cross piece quantity]]-1)*(HFrame_List[[#This Row],[Width between brackets]]/12)</f>
        <v>0</v>
      </c>
      <c r="T166" s="5">
        <f>HFrame_List[[#This Row],[Bottom cross piece cost]]+HFrame_List[[#This Row],[Top cross piece cost]]+HFrame_List[[#This Row],[Component costs]]+HFrame_List[[#This Row],[Vertical strut cost]]</f>
        <v>202.40726666666666</v>
      </c>
      <c r="U166" s="7">
        <f>_xlfn.XLOOKUP(HFrame_List[[#This Row],[Fabrication type]],Fabrication_costs[Fabrication type],Fabrication_costs[unit pricing],"no result",0)</f>
        <v>40.200000000000003</v>
      </c>
      <c r="V166" s="5">
        <f>SUM(T166:U166)/(1-HFrame_List[[#This Row],[Margin]])</f>
        <v>693.16361904761902</v>
      </c>
      <c r="W166" s="36">
        <f t="shared" si="53"/>
        <v>0.65</v>
      </c>
      <c r="X166" t="s">
        <v>196</v>
      </c>
      <c r="Y166">
        <f>_xlfn.XLOOKUP("A12",Strut_costs[size],Strut_costs[Strut cost])/12*HFrame_List[[#This Row],[Strut height (in)]]*(2+HFrame_List[[#This Row],[Extra supports]])</f>
        <v>43.68</v>
      </c>
      <c r="Z166">
        <f>(_xlfn.XLOOKUP("PHB",CADDY_costs[Component],CADDY_costs[Current cost])*HFrame_List[[#This Row],[Number of feet]])+(_xlfn.XLOOKUP("HFRMHDW",CADDY_costs[Component],CADDY_costs[Current cost])*(HFrame_List[[#This Row],[number of L-brackets]]/2))</f>
        <v>65.581999999999994</v>
      </c>
      <c r="AA166">
        <v>2484</v>
      </c>
      <c r="AB166" t="str">
        <f>VLOOKUP(HFrame_List[[#This Row],[lookup]],'Pallet and shipping info'!$A$5:$H$33,6,FALSE)</f>
        <v>x</v>
      </c>
      <c r="AC166">
        <f>VLOOKUP(HFrame_List[[#This Row],[lookup]],'Pallet and shipping info'!$A$5:$H$33,8,FALSE)</f>
        <v>7</v>
      </c>
      <c r="AD166"/>
      <c r="AE166"/>
      <c r="AF166"/>
    </row>
    <row r="167" spans="1:32" x14ac:dyDescent="0.25">
      <c r="A167" s="1" t="s">
        <v>514</v>
      </c>
      <c r="B167" t="s">
        <v>515</v>
      </c>
      <c r="C167">
        <f t="shared" si="47"/>
        <v>37.674999999999997</v>
      </c>
      <c r="D167">
        <f t="shared" si="48"/>
        <v>98.051000000000002</v>
      </c>
      <c r="E167">
        <v>36</v>
      </c>
      <c r="F167">
        <v>84</v>
      </c>
      <c r="G167">
        <f t="shared" si="54"/>
        <v>80.239999999999995</v>
      </c>
      <c r="H167">
        <v>2</v>
      </c>
      <c r="I167" t="s">
        <v>181</v>
      </c>
      <c r="J167">
        <v>1</v>
      </c>
      <c r="K167" s="6">
        <f t="shared" si="49"/>
        <v>26.375</v>
      </c>
      <c r="L167">
        <f t="shared" si="50"/>
        <v>4</v>
      </c>
      <c r="M167">
        <f t="shared" si="55"/>
        <v>18</v>
      </c>
      <c r="N167">
        <f t="shared" si="56"/>
        <v>6</v>
      </c>
      <c r="O167" s="7">
        <f t="shared" si="59"/>
        <v>25</v>
      </c>
      <c r="P167">
        <f t="shared" si="51"/>
        <v>3</v>
      </c>
      <c r="Q167">
        <f t="shared" si="52"/>
        <v>10</v>
      </c>
      <c r="R167">
        <f>_xlfn.XLOOKUP(HFrame_List[[#This Row],[Cross piece style]],$AH$2:$AH$4,$AI$2:$AI$4,0,0)*(HFrame_List[[#This Row],[Width between brackets]]/12)</f>
        <v>93.145266666666657</v>
      </c>
      <c r="S167">
        <f>5.46*(HFrame_List[[#This Row],[cross piece quantity]]-1)*(HFrame_List[[#This Row],[Width between brackets]]/12)</f>
        <v>0</v>
      </c>
      <c r="T167" s="5">
        <f>HFrame_List[[#This Row],[Bottom cross piece cost]]+HFrame_List[[#This Row],[Top cross piece cost]]+HFrame_List[[#This Row],[Component costs]]+HFrame_List[[#This Row],[Vertical strut cost]]</f>
        <v>224.24726666666663</v>
      </c>
      <c r="U167" s="7">
        <f>_xlfn.XLOOKUP(HFrame_List[[#This Row],[Fabrication type]],Fabrication_costs[Fabrication type],Fabrication_costs[unit pricing],"no result",0)</f>
        <v>40.200000000000003</v>
      </c>
      <c r="V167" s="5">
        <f>SUM(T167:U167)/(1-HFrame_List[[#This Row],[Margin]])</f>
        <v>755.563619047619</v>
      </c>
      <c r="W167" s="36">
        <f t="shared" si="53"/>
        <v>0.65</v>
      </c>
      <c r="X167" t="s">
        <v>196</v>
      </c>
      <c r="Y167">
        <f>_xlfn.XLOOKUP("A12",Strut_costs[size],Strut_costs[Strut cost])/12*HFrame_List[[#This Row],[Strut height (in)]]*(2+HFrame_List[[#This Row],[Extra supports]])</f>
        <v>65.52</v>
      </c>
      <c r="Z167">
        <f>(_xlfn.XLOOKUP("PHB",CADDY_costs[Component],CADDY_costs[Current cost])*HFrame_List[[#This Row],[Number of feet]])+(_xlfn.XLOOKUP("HFRMHDW",CADDY_costs[Component],CADDY_costs[Current cost])*(HFrame_List[[#This Row],[number of L-brackets]]/2))</f>
        <v>65.581999999999994</v>
      </c>
      <c r="AA167">
        <v>3684</v>
      </c>
      <c r="AB167" t="str">
        <f>VLOOKUP(HFrame_List[[#This Row],[lookup]],'Pallet and shipping info'!$A$5:$H$33,6,FALSE)</f>
        <v>x</v>
      </c>
      <c r="AC167">
        <f>VLOOKUP(HFrame_List[[#This Row],[lookup]],'Pallet and shipping info'!$A$5:$H$33,8,FALSE)</f>
        <v>7</v>
      </c>
      <c r="AD167"/>
      <c r="AE167"/>
      <c r="AF167"/>
    </row>
    <row r="168" spans="1:32" x14ac:dyDescent="0.25">
      <c r="A168" s="1" t="s">
        <v>516</v>
      </c>
      <c r="B168" t="s">
        <v>517</v>
      </c>
      <c r="C168">
        <f t="shared" si="47"/>
        <v>49.674999999999997</v>
      </c>
      <c r="D168">
        <f t="shared" si="48"/>
        <v>98.051000000000002</v>
      </c>
      <c r="E168">
        <v>48</v>
      </c>
      <c r="F168">
        <v>84</v>
      </c>
      <c r="G168">
        <f t="shared" si="54"/>
        <v>80.239999999999995</v>
      </c>
      <c r="H168">
        <v>2</v>
      </c>
      <c r="I168" t="s">
        <v>181</v>
      </c>
      <c r="J168">
        <v>1</v>
      </c>
      <c r="K168" s="6">
        <f t="shared" si="49"/>
        <v>26.375</v>
      </c>
      <c r="L168">
        <f t="shared" si="50"/>
        <v>4</v>
      </c>
      <c r="M168">
        <f t="shared" si="55"/>
        <v>18</v>
      </c>
      <c r="N168">
        <f t="shared" si="56"/>
        <v>6</v>
      </c>
      <c r="O168" s="7">
        <f t="shared" si="59"/>
        <v>31</v>
      </c>
      <c r="P168">
        <f t="shared" si="51"/>
        <v>4</v>
      </c>
      <c r="Q168">
        <f t="shared" si="52"/>
        <v>10</v>
      </c>
      <c r="R168">
        <f>_xlfn.XLOOKUP(HFrame_List[[#This Row],[Cross piece style]],$AH$2:$AH$4,$AI$2:$AI$4,0,0)*(HFrame_List[[#This Row],[Width between brackets]]/12)</f>
        <v>93.145266666666657</v>
      </c>
      <c r="S168">
        <f>5.46*(HFrame_List[[#This Row],[cross piece quantity]]-1)*(HFrame_List[[#This Row],[Width between brackets]]/12)</f>
        <v>0</v>
      </c>
      <c r="T168" s="5">
        <f>HFrame_List[[#This Row],[Bottom cross piece cost]]+HFrame_List[[#This Row],[Top cross piece cost]]+HFrame_List[[#This Row],[Component costs]]+HFrame_List[[#This Row],[Vertical strut cost]]</f>
        <v>246.08726666666666</v>
      </c>
      <c r="U168" s="7">
        <f>_xlfn.XLOOKUP(HFrame_List[[#This Row],[Fabrication type]],Fabrication_costs[Fabrication type],Fabrication_costs[unit pricing],"no result",0)</f>
        <v>40.200000000000003</v>
      </c>
      <c r="V168" s="5">
        <f>SUM(T168:U168)/(1-HFrame_List[[#This Row],[Margin]])</f>
        <v>817.96361904761909</v>
      </c>
      <c r="W168" s="36">
        <f t="shared" si="53"/>
        <v>0.65</v>
      </c>
      <c r="X168" t="s">
        <v>196</v>
      </c>
      <c r="Y168">
        <f>_xlfn.XLOOKUP("A12",Strut_costs[size],Strut_costs[Strut cost])/12*HFrame_List[[#This Row],[Strut height (in)]]*(2+HFrame_List[[#This Row],[Extra supports]])</f>
        <v>87.36</v>
      </c>
      <c r="Z168">
        <f>(_xlfn.XLOOKUP("PHB",CADDY_costs[Component],CADDY_costs[Current cost])*HFrame_List[[#This Row],[Number of feet]])+(_xlfn.XLOOKUP("HFRMHDW",CADDY_costs[Component],CADDY_costs[Current cost])*(HFrame_List[[#This Row],[number of L-brackets]]/2))</f>
        <v>65.581999999999994</v>
      </c>
      <c r="AA168">
        <v>4884</v>
      </c>
      <c r="AB168" t="str">
        <f>VLOOKUP(HFrame_List[[#This Row],[lookup]],'Pallet and shipping info'!$A$5:$H$33,6,FALSE)</f>
        <v>x</v>
      </c>
      <c r="AC168">
        <f>VLOOKUP(HFrame_List[[#This Row],[lookup]],'Pallet and shipping info'!$A$5:$H$33,8,FALSE)</f>
        <v>7</v>
      </c>
      <c r="AD168"/>
      <c r="AE168"/>
      <c r="AF168"/>
    </row>
    <row r="169" spans="1:32" x14ac:dyDescent="0.25">
      <c r="A169" s="1" t="s">
        <v>518</v>
      </c>
      <c r="B169" t="s">
        <v>519</v>
      </c>
      <c r="C169">
        <f t="shared" si="47"/>
        <v>73.674999999999997</v>
      </c>
      <c r="D169">
        <f t="shared" si="48"/>
        <v>98.051000000000002</v>
      </c>
      <c r="E169">
        <v>72</v>
      </c>
      <c r="F169">
        <v>84</v>
      </c>
      <c r="G169">
        <f t="shared" si="54"/>
        <v>80.239999999999995</v>
      </c>
      <c r="H169">
        <v>2</v>
      </c>
      <c r="I169" t="s">
        <v>181</v>
      </c>
      <c r="J169">
        <v>1</v>
      </c>
      <c r="K169" s="6">
        <f t="shared" si="49"/>
        <v>26.375</v>
      </c>
      <c r="L169">
        <f t="shared" si="50"/>
        <v>4</v>
      </c>
      <c r="M169">
        <f t="shared" si="55"/>
        <v>18</v>
      </c>
      <c r="N169">
        <f t="shared" si="56"/>
        <v>6</v>
      </c>
      <c r="O169" s="7">
        <f t="shared" si="59"/>
        <v>43</v>
      </c>
      <c r="P169">
        <f t="shared" si="51"/>
        <v>5</v>
      </c>
      <c r="Q169">
        <f t="shared" si="52"/>
        <v>10</v>
      </c>
      <c r="R169">
        <f>_xlfn.XLOOKUP(HFrame_List[[#This Row],[Cross piece style]],$AH$2:$AH$4,$AI$2:$AI$4,0,0)*(HFrame_List[[#This Row],[Width between brackets]]/12)</f>
        <v>93.145266666666657</v>
      </c>
      <c r="S169">
        <f>5.46*(HFrame_List[[#This Row],[cross piece quantity]]-1)*(HFrame_List[[#This Row],[Width between brackets]]/12)</f>
        <v>0</v>
      </c>
      <c r="T169" s="5">
        <f>HFrame_List[[#This Row],[Bottom cross piece cost]]+HFrame_List[[#This Row],[Top cross piece cost]]+HFrame_List[[#This Row],[Component costs]]+HFrame_List[[#This Row],[Vertical strut cost]]</f>
        <v>289.76726666666661</v>
      </c>
      <c r="U169" s="7">
        <f>_xlfn.XLOOKUP(HFrame_List[[#This Row],[Fabrication type]],Fabrication_costs[Fabrication type],Fabrication_costs[unit pricing],"no result",0)</f>
        <v>40.200000000000003</v>
      </c>
      <c r="V169" s="5">
        <f>SUM(T169:U169)/(1-HFrame_List[[#This Row],[Margin]])</f>
        <v>942.76361904761893</v>
      </c>
      <c r="W169" s="36">
        <f t="shared" si="53"/>
        <v>0.65</v>
      </c>
      <c r="X169" t="s">
        <v>196</v>
      </c>
      <c r="Y169">
        <f>_xlfn.XLOOKUP("A12",Strut_costs[size],Strut_costs[Strut cost])/12*HFrame_List[[#This Row],[Strut height (in)]]*(2+HFrame_List[[#This Row],[Extra supports]])</f>
        <v>131.04</v>
      </c>
      <c r="Z169">
        <f>(_xlfn.XLOOKUP("PHB",CADDY_costs[Component],CADDY_costs[Current cost])*HFrame_List[[#This Row],[Number of feet]])+(_xlfn.XLOOKUP("HFRMHDW",CADDY_costs[Component],CADDY_costs[Current cost])*(HFrame_List[[#This Row],[number of L-brackets]]/2))</f>
        <v>65.581999999999994</v>
      </c>
      <c r="AA169">
        <v>7284</v>
      </c>
      <c r="AB169" t="str">
        <f>VLOOKUP(HFrame_List[[#This Row],[lookup]],'Pallet and shipping info'!$A$5:$H$33,6,FALSE)</f>
        <v>x</v>
      </c>
      <c r="AC169">
        <f>VLOOKUP(HFrame_List[[#This Row],[lookup]],'Pallet and shipping info'!$A$5:$H$33,8,FALSE)</f>
        <v>7</v>
      </c>
      <c r="AD169"/>
      <c r="AE169"/>
      <c r="AF169"/>
    </row>
    <row r="170" spans="1:32" x14ac:dyDescent="0.25">
      <c r="A170" s="1" t="s">
        <v>520</v>
      </c>
      <c r="B170" s="1" t="s">
        <v>521</v>
      </c>
      <c r="C170" s="1">
        <f t="shared" si="47"/>
        <v>25.675000000000001</v>
      </c>
      <c r="D170" s="1">
        <f t="shared" si="48"/>
        <v>34.051000000000002</v>
      </c>
      <c r="E170" s="1">
        <v>24</v>
      </c>
      <c r="F170" s="1">
        <v>20</v>
      </c>
      <c r="G170" s="1">
        <f>F170-(1.88*2)</f>
        <v>16.240000000000002</v>
      </c>
      <c r="H170" s="1">
        <v>0</v>
      </c>
      <c r="I170" s="1" t="s">
        <v>186</v>
      </c>
      <c r="J170" s="1">
        <v>1</v>
      </c>
      <c r="K170" s="2">
        <f t="shared" si="49"/>
        <v>20</v>
      </c>
      <c r="L170" s="1">
        <f t="shared" si="50"/>
        <v>2</v>
      </c>
      <c r="M170" s="1">
        <f>3*N170</f>
        <v>6</v>
      </c>
      <c r="N170" s="1">
        <f>(2+(2*H170))*J170</f>
        <v>2</v>
      </c>
      <c r="O170" s="3">
        <f>((E170*(L170+H170))+(F170*J170))/12</f>
        <v>5.666666666666667</v>
      </c>
      <c r="P170" s="1">
        <f t="shared" si="51"/>
        <v>1</v>
      </c>
      <c r="Q170">
        <f t="shared" si="52"/>
        <v>6</v>
      </c>
      <c r="R170">
        <f>_xlfn.XLOOKUP(HFrame_List[[#This Row],[Cross piece style]],$AH$2:$AH$4,$AI$2:$AI$4,0,0)*(HFrame_List[[#This Row],[Width between brackets]]/12)</f>
        <v>40.194000000000003</v>
      </c>
      <c r="S170">
        <f>5.46*(HFrame_List[[#This Row],[cross piece quantity]]-1)*(HFrame_List[[#This Row],[Width between brackets]]/12)</f>
        <v>0</v>
      </c>
      <c r="T170" s="5">
        <f>HFrame_List[[#This Row],[Bottom cross piece cost]]+HFrame_List[[#This Row],[Top cross piece cost]]+HFrame_List[[#This Row],[Component costs]]+HFrame_List[[#This Row],[Vertical strut cost]]</f>
        <v>90.092000000000013</v>
      </c>
      <c r="U170" s="7">
        <f>_xlfn.XLOOKUP(HFrame_List[[#This Row],[Fabrication type]],Fabrication_costs[Fabrication type],Fabrication_costs[unit pricing],"no result",0)</f>
        <v>19.8</v>
      </c>
      <c r="V170" s="5">
        <f>SUM(T170:U170)/(1-HFrame_List[[#This Row],[Margin]])</f>
        <v>313.97714285714289</v>
      </c>
      <c r="W170" s="36">
        <f t="shared" si="53"/>
        <v>0.65</v>
      </c>
      <c r="X170" t="s">
        <v>177</v>
      </c>
      <c r="Y170">
        <f>_xlfn.XLOOKUP("A12",Strut_costs[size],Strut_costs[Strut cost])/12*HFrame_List[[#This Row],[Strut height (in)]]*(2+HFrame_List[[#This Row],[Extra supports]])</f>
        <v>21.84</v>
      </c>
      <c r="Z170">
        <f>(_xlfn.XLOOKUP("PHB",CADDY_costs[Component],CADDY_costs[Current cost])*HFrame_List[[#This Row],[Number of feet]])+(_xlfn.XLOOKUP("HFRMHDW",CADDY_costs[Component],CADDY_costs[Current cost])*(HFrame_List[[#This Row],[number of L-brackets]]/2))</f>
        <v>28.058</v>
      </c>
      <c r="AA170">
        <v>2420</v>
      </c>
      <c r="AB170">
        <f>VLOOKUP(HFrame_List[[#This Row],[lookup]],'Pallet and shipping info'!$A$5:$H$33,6,FALSE)</f>
        <v>11</v>
      </c>
      <c r="AC170">
        <f>VLOOKUP(HFrame_List[[#This Row],[lookup]],'Pallet and shipping info'!$A$5:$H$33,8,FALSE)</f>
        <v>15</v>
      </c>
      <c r="AD170"/>
      <c r="AE170"/>
      <c r="AF170"/>
    </row>
    <row r="171" spans="1:32" x14ac:dyDescent="0.25">
      <c r="A171" s="1" t="s">
        <v>522</v>
      </c>
      <c r="B171" s="1" t="s">
        <v>523</v>
      </c>
      <c r="C171" s="1">
        <f t="shared" si="47"/>
        <v>37.674999999999997</v>
      </c>
      <c r="D171" s="1">
        <f t="shared" si="48"/>
        <v>34.051000000000002</v>
      </c>
      <c r="E171" s="1">
        <v>36</v>
      </c>
      <c r="F171" s="1">
        <f>F170</f>
        <v>20</v>
      </c>
      <c r="G171" s="1">
        <f t="shared" ref="G171:G193" si="60">F171-(1.88*2)</f>
        <v>16.240000000000002</v>
      </c>
      <c r="H171" s="1">
        <v>0</v>
      </c>
      <c r="I171" s="1" t="s">
        <v>186</v>
      </c>
      <c r="J171" s="1">
        <v>1</v>
      </c>
      <c r="K171" s="2">
        <f t="shared" si="49"/>
        <v>20</v>
      </c>
      <c r="L171" s="1">
        <f t="shared" si="50"/>
        <v>2</v>
      </c>
      <c r="M171" s="1">
        <f t="shared" ref="M171:M193" si="61">3*N171</f>
        <v>6</v>
      </c>
      <c r="N171" s="1">
        <f t="shared" ref="N171:N193" si="62">(2+(2*H171))*J171</f>
        <v>2</v>
      </c>
      <c r="O171" s="3">
        <f t="shared" ref="O171:O234" si="63">((E171*(L171+H171))+(F171*J171))/12</f>
        <v>7.666666666666667</v>
      </c>
      <c r="P171" s="1">
        <f t="shared" si="51"/>
        <v>1</v>
      </c>
      <c r="Q171">
        <f t="shared" si="52"/>
        <v>6</v>
      </c>
      <c r="R171">
        <f>_xlfn.XLOOKUP(HFrame_List[[#This Row],[Cross piece style]],$AH$2:$AH$4,$AI$2:$AI$4,0,0)*(HFrame_List[[#This Row],[Width between brackets]]/12)</f>
        <v>40.194000000000003</v>
      </c>
      <c r="S171">
        <f>5.46*(HFrame_List[[#This Row],[cross piece quantity]]-1)*(HFrame_List[[#This Row],[Width between brackets]]/12)</f>
        <v>0</v>
      </c>
      <c r="T171" s="5">
        <f>HFrame_List[[#This Row],[Bottom cross piece cost]]+HFrame_List[[#This Row],[Top cross piece cost]]+HFrame_List[[#This Row],[Component costs]]+HFrame_List[[#This Row],[Vertical strut cost]]</f>
        <v>101.012</v>
      </c>
      <c r="U171" s="7">
        <f>_xlfn.XLOOKUP(HFrame_List[[#This Row],[Fabrication type]],Fabrication_costs[Fabrication type],Fabrication_costs[unit pricing],"no result",0)</f>
        <v>19.8</v>
      </c>
      <c r="V171" s="5">
        <f>SUM(T171:U171)/(1-HFrame_List[[#This Row],[Margin]])</f>
        <v>345.17714285714288</v>
      </c>
      <c r="W171" s="36">
        <f t="shared" si="53"/>
        <v>0.65</v>
      </c>
      <c r="X171" t="s">
        <v>177</v>
      </c>
      <c r="Y171">
        <f>_xlfn.XLOOKUP("A12",Strut_costs[size],Strut_costs[Strut cost])/12*HFrame_List[[#This Row],[Strut height (in)]]*(2+HFrame_List[[#This Row],[Extra supports]])</f>
        <v>32.76</v>
      </c>
      <c r="Z171">
        <f>(_xlfn.XLOOKUP("PHB",CADDY_costs[Component],CADDY_costs[Current cost])*HFrame_List[[#This Row],[Number of feet]])+(_xlfn.XLOOKUP("HFRMHDW",CADDY_costs[Component],CADDY_costs[Current cost])*(HFrame_List[[#This Row],[number of L-brackets]]/2))</f>
        <v>28.058</v>
      </c>
      <c r="AA171">
        <v>3620</v>
      </c>
      <c r="AB171">
        <f>VLOOKUP(HFrame_List[[#This Row],[lookup]],'Pallet and shipping info'!$A$5:$H$33,6,FALSE)</f>
        <v>11</v>
      </c>
      <c r="AC171">
        <f>VLOOKUP(HFrame_List[[#This Row],[lookup]],'Pallet and shipping info'!$A$5:$H$33,8,FALSE)</f>
        <v>15</v>
      </c>
      <c r="AD171"/>
      <c r="AE171"/>
      <c r="AF171"/>
    </row>
    <row r="172" spans="1:32" x14ac:dyDescent="0.25">
      <c r="A172" s="1" t="s">
        <v>524</v>
      </c>
      <c r="B172" s="1" t="s">
        <v>525</v>
      </c>
      <c r="C172" s="1">
        <f t="shared" si="47"/>
        <v>49.674999999999997</v>
      </c>
      <c r="D172" s="1">
        <f t="shared" si="48"/>
        <v>34.051000000000002</v>
      </c>
      <c r="E172" s="1">
        <v>48</v>
      </c>
      <c r="F172" s="1">
        <f t="shared" ref="F172:F173" si="64">F171</f>
        <v>20</v>
      </c>
      <c r="G172" s="1">
        <f t="shared" si="60"/>
        <v>16.240000000000002</v>
      </c>
      <c r="H172" s="1">
        <v>0</v>
      </c>
      <c r="I172" s="1" t="s">
        <v>186</v>
      </c>
      <c r="J172" s="1">
        <v>1</v>
      </c>
      <c r="K172" s="2">
        <f t="shared" si="49"/>
        <v>20</v>
      </c>
      <c r="L172" s="1">
        <f t="shared" si="50"/>
        <v>2</v>
      </c>
      <c r="M172" s="1">
        <f t="shared" si="61"/>
        <v>6</v>
      </c>
      <c r="N172" s="1">
        <f t="shared" si="62"/>
        <v>2</v>
      </c>
      <c r="O172" s="3">
        <f t="shared" si="63"/>
        <v>9.6666666666666661</v>
      </c>
      <c r="P172" s="1">
        <f t="shared" si="51"/>
        <v>1</v>
      </c>
      <c r="Q172">
        <f t="shared" si="52"/>
        <v>6</v>
      </c>
      <c r="R172">
        <f>_xlfn.XLOOKUP(HFrame_List[[#This Row],[Cross piece style]],$AH$2:$AH$4,$AI$2:$AI$4,0,0)*(HFrame_List[[#This Row],[Width between brackets]]/12)</f>
        <v>40.194000000000003</v>
      </c>
      <c r="S172">
        <f>5.46*(HFrame_List[[#This Row],[cross piece quantity]]-1)*(HFrame_List[[#This Row],[Width between brackets]]/12)</f>
        <v>0</v>
      </c>
      <c r="T172" s="5">
        <f>HFrame_List[[#This Row],[Bottom cross piece cost]]+HFrame_List[[#This Row],[Top cross piece cost]]+HFrame_List[[#This Row],[Component costs]]+HFrame_List[[#This Row],[Vertical strut cost]]</f>
        <v>111.93200000000002</v>
      </c>
      <c r="U172" s="7">
        <f>_xlfn.XLOOKUP(HFrame_List[[#This Row],[Fabrication type]],Fabrication_costs[Fabrication type],Fabrication_costs[unit pricing],"no result",0)</f>
        <v>19.8</v>
      </c>
      <c r="V172" s="5">
        <f>SUM(T172:U172)/(1-HFrame_List[[#This Row],[Margin]])</f>
        <v>376.37714285714299</v>
      </c>
      <c r="W172" s="36">
        <f t="shared" si="53"/>
        <v>0.65</v>
      </c>
      <c r="X172" t="s">
        <v>177</v>
      </c>
      <c r="Y172">
        <f>_xlfn.XLOOKUP("A12",Strut_costs[size],Strut_costs[Strut cost])/12*HFrame_List[[#This Row],[Strut height (in)]]*(2+HFrame_List[[#This Row],[Extra supports]])</f>
        <v>43.68</v>
      </c>
      <c r="Z172">
        <f>(_xlfn.XLOOKUP("PHB",CADDY_costs[Component],CADDY_costs[Current cost])*HFrame_List[[#This Row],[Number of feet]])+(_xlfn.XLOOKUP("HFRMHDW",CADDY_costs[Component],CADDY_costs[Current cost])*(HFrame_List[[#This Row],[number of L-brackets]]/2))</f>
        <v>28.058</v>
      </c>
      <c r="AA172">
        <v>4820</v>
      </c>
      <c r="AB172">
        <f>VLOOKUP(HFrame_List[[#This Row],[lookup]],'Pallet and shipping info'!$A$5:$H$33,6,FALSE)</f>
        <v>11</v>
      </c>
      <c r="AC172">
        <f>VLOOKUP(HFrame_List[[#This Row],[lookup]],'Pallet and shipping info'!$A$5:$H$33,8,FALSE)</f>
        <v>15</v>
      </c>
      <c r="AD172"/>
      <c r="AE172"/>
      <c r="AF172"/>
    </row>
    <row r="173" spans="1:32" x14ac:dyDescent="0.25">
      <c r="A173" s="1" t="s">
        <v>526</v>
      </c>
      <c r="B173" s="1" t="s">
        <v>527</v>
      </c>
      <c r="C173" s="1">
        <f t="shared" si="47"/>
        <v>73.674999999999997</v>
      </c>
      <c r="D173" s="1">
        <f t="shared" si="48"/>
        <v>34.051000000000002</v>
      </c>
      <c r="E173" s="1">
        <v>72</v>
      </c>
      <c r="F173" s="1">
        <f t="shared" si="64"/>
        <v>20</v>
      </c>
      <c r="G173" s="1">
        <f t="shared" si="60"/>
        <v>16.240000000000002</v>
      </c>
      <c r="H173" s="1">
        <v>0</v>
      </c>
      <c r="I173" s="1" t="s">
        <v>186</v>
      </c>
      <c r="J173" s="1">
        <v>1</v>
      </c>
      <c r="K173" s="2">
        <f t="shared" si="49"/>
        <v>20</v>
      </c>
      <c r="L173" s="1">
        <f t="shared" si="50"/>
        <v>2</v>
      </c>
      <c r="M173" s="1">
        <f t="shared" si="61"/>
        <v>6</v>
      </c>
      <c r="N173" s="1">
        <f t="shared" si="62"/>
        <v>2</v>
      </c>
      <c r="O173" s="3">
        <f t="shared" si="63"/>
        <v>13.666666666666666</v>
      </c>
      <c r="P173" s="1">
        <f t="shared" si="51"/>
        <v>2</v>
      </c>
      <c r="Q173">
        <f t="shared" si="52"/>
        <v>6</v>
      </c>
      <c r="R173">
        <f>_xlfn.XLOOKUP(HFrame_List[[#This Row],[Cross piece style]],$AH$2:$AH$4,$AI$2:$AI$4,0,0)*(HFrame_List[[#This Row],[Width between brackets]]/12)</f>
        <v>40.194000000000003</v>
      </c>
      <c r="S173">
        <f>5.46*(HFrame_List[[#This Row],[cross piece quantity]]-1)*(HFrame_List[[#This Row],[Width between brackets]]/12)</f>
        <v>0</v>
      </c>
      <c r="T173" s="5">
        <f>HFrame_List[[#This Row],[Bottom cross piece cost]]+HFrame_List[[#This Row],[Top cross piece cost]]+HFrame_List[[#This Row],[Component costs]]+HFrame_List[[#This Row],[Vertical strut cost]]</f>
        <v>133.77199999999999</v>
      </c>
      <c r="U173" s="7">
        <f>_xlfn.XLOOKUP(HFrame_List[[#This Row],[Fabrication type]],Fabrication_costs[Fabrication type],Fabrication_costs[unit pricing],"no result",0)</f>
        <v>19.8</v>
      </c>
      <c r="V173" s="5">
        <f>SUM(T173:U173)/(1-HFrame_List[[#This Row],[Margin]])</f>
        <v>438.77714285714291</v>
      </c>
      <c r="W173" s="36">
        <f t="shared" si="53"/>
        <v>0.65</v>
      </c>
      <c r="X173" t="s">
        <v>177</v>
      </c>
      <c r="Y173">
        <f>_xlfn.XLOOKUP("A12",Strut_costs[size],Strut_costs[Strut cost])/12*HFrame_List[[#This Row],[Strut height (in)]]*(2+HFrame_List[[#This Row],[Extra supports]])</f>
        <v>65.52</v>
      </c>
      <c r="Z173">
        <f>(_xlfn.XLOOKUP("PHB",CADDY_costs[Component],CADDY_costs[Current cost])*HFrame_List[[#This Row],[Number of feet]])+(_xlfn.XLOOKUP("HFRMHDW",CADDY_costs[Component],CADDY_costs[Current cost])*(HFrame_List[[#This Row],[number of L-brackets]]/2))</f>
        <v>28.058</v>
      </c>
      <c r="AA173">
        <v>7220</v>
      </c>
      <c r="AB173">
        <f>VLOOKUP(HFrame_List[[#This Row],[lookup]],'Pallet and shipping info'!$A$5:$H$33,6,FALSE)</f>
        <v>11</v>
      </c>
      <c r="AC173">
        <f>VLOOKUP(HFrame_List[[#This Row],[lookup]],'Pallet and shipping info'!$A$5:$H$33,8,FALSE)</f>
        <v>15</v>
      </c>
      <c r="AD173"/>
      <c r="AE173"/>
      <c r="AF173"/>
    </row>
    <row r="174" spans="1:32" x14ac:dyDescent="0.25">
      <c r="A174" s="1" t="s">
        <v>528</v>
      </c>
      <c r="B174" s="1" t="s">
        <v>529</v>
      </c>
      <c r="C174" s="1">
        <f t="shared" si="47"/>
        <v>25.675000000000001</v>
      </c>
      <c r="D174" s="1">
        <f t="shared" si="48"/>
        <v>50.050999999999995</v>
      </c>
      <c r="E174" s="1">
        <v>24</v>
      </c>
      <c r="F174" s="1">
        <v>36</v>
      </c>
      <c r="G174" s="1">
        <f t="shared" si="60"/>
        <v>32.24</v>
      </c>
      <c r="H174" s="1">
        <v>0</v>
      </c>
      <c r="I174" s="1" t="s">
        <v>186</v>
      </c>
      <c r="J174" s="1">
        <v>1</v>
      </c>
      <c r="K174" s="2">
        <f t="shared" si="49"/>
        <v>36</v>
      </c>
      <c r="L174" s="1">
        <f t="shared" si="50"/>
        <v>2</v>
      </c>
      <c r="M174" s="1">
        <f t="shared" si="61"/>
        <v>6</v>
      </c>
      <c r="N174" s="1">
        <f t="shared" si="62"/>
        <v>2</v>
      </c>
      <c r="O174" s="3">
        <f t="shared" si="63"/>
        <v>7</v>
      </c>
      <c r="P174" s="1">
        <f t="shared" si="51"/>
        <v>1</v>
      </c>
      <c r="Q174">
        <f t="shared" si="52"/>
        <v>6</v>
      </c>
      <c r="R174">
        <f>_xlfn.XLOOKUP(HFrame_List[[#This Row],[Cross piece style]],$AH$2:$AH$4,$AI$2:$AI$4,0,0)*(HFrame_List[[#This Row],[Width between brackets]]/12)</f>
        <v>79.794000000000011</v>
      </c>
      <c r="S174">
        <f>5.46*(HFrame_List[[#This Row],[cross piece quantity]]-1)*(HFrame_List[[#This Row],[Width between brackets]]/12)</f>
        <v>0</v>
      </c>
      <c r="T174" s="5">
        <f>HFrame_List[[#This Row],[Bottom cross piece cost]]+HFrame_List[[#This Row],[Top cross piece cost]]+HFrame_List[[#This Row],[Component costs]]+HFrame_List[[#This Row],[Vertical strut cost]]</f>
        <v>129.69200000000001</v>
      </c>
      <c r="U174" s="7">
        <f>_xlfn.XLOOKUP(HFrame_List[[#This Row],[Fabrication type]],Fabrication_costs[Fabrication type],Fabrication_costs[unit pricing],"no result",0)</f>
        <v>19.8</v>
      </c>
      <c r="V174" s="5">
        <f>SUM(T174:U174)/(1-HFrame_List[[#This Row],[Margin]])</f>
        <v>427.12000000000006</v>
      </c>
      <c r="W174" s="36">
        <f t="shared" si="53"/>
        <v>0.65</v>
      </c>
      <c r="X174" t="s">
        <v>177</v>
      </c>
      <c r="Y174">
        <f>_xlfn.XLOOKUP("A12",Strut_costs[size],Strut_costs[Strut cost])/12*HFrame_List[[#This Row],[Strut height (in)]]*(2+HFrame_List[[#This Row],[Extra supports]])</f>
        <v>21.84</v>
      </c>
      <c r="Z174">
        <f>(_xlfn.XLOOKUP("PHB",CADDY_costs[Component],CADDY_costs[Current cost])*HFrame_List[[#This Row],[Number of feet]])+(_xlfn.XLOOKUP("HFRMHDW",CADDY_costs[Component],CADDY_costs[Current cost])*(HFrame_List[[#This Row],[number of L-brackets]]/2))</f>
        <v>28.058</v>
      </c>
      <c r="AA174">
        <v>2436</v>
      </c>
      <c r="AB174">
        <f>VLOOKUP(HFrame_List[[#This Row],[lookup]],'Pallet and shipping info'!$A$5:$H$33,6,FALSE)</f>
        <v>9</v>
      </c>
      <c r="AC174">
        <f>VLOOKUP(HFrame_List[[#This Row],[lookup]],'Pallet and shipping info'!$A$5:$H$33,8,FALSE)</f>
        <v>14</v>
      </c>
      <c r="AD174"/>
      <c r="AE174"/>
      <c r="AF174"/>
    </row>
    <row r="175" spans="1:32" x14ac:dyDescent="0.25">
      <c r="A175" s="1" t="s">
        <v>530</v>
      </c>
      <c r="B175" s="1" t="s">
        <v>531</v>
      </c>
      <c r="C175" s="1">
        <f t="shared" si="47"/>
        <v>37.674999999999997</v>
      </c>
      <c r="D175" s="1">
        <f t="shared" si="48"/>
        <v>50.050999999999995</v>
      </c>
      <c r="E175" s="1">
        <v>36</v>
      </c>
      <c r="F175" s="1">
        <f>F174</f>
        <v>36</v>
      </c>
      <c r="G175" s="1">
        <f t="shared" si="60"/>
        <v>32.24</v>
      </c>
      <c r="H175" s="1">
        <v>0</v>
      </c>
      <c r="I175" s="1" t="s">
        <v>186</v>
      </c>
      <c r="J175" s="1">
        <v>1</v>
      </c>
      <c r="K175" s="2">
        <f t="shared" si="49"/>
        <v>36</v>
      </c>
      <c r="L175" s="1">
        <f t="shared" si="50"/>
        <v>2</v>
      </c>
      <c r="M175" s="1">
        <f t="shared" si="61"/>
        <v>6</v>
      </c>
      <c r="N175" s="1">
        <f t="shared" si="62"/>
        <v>2</v>
      </c>
      <c r="O175" s="3">
        <f t="shared" si="63"/>
        <v>9</v>
      </c>
      <c r="P175" s="1">
        <f t="shared" si="51"/>
        <v>1</v>
      </c>
      <c r="Q175">
        <f t="shared" si="52"/>
        <v>6</v>
      </c>
      <c r="R175">
        <f>_xlfn.XLOOKUP(HFrame_List[[#This Row],[Cross piece style]],$AH$2:$AH$4,$AI$2:$AI$4,0,0)*(HFrame_List[[#This Row],[Width between brackets]]/12)</f>
        <v>79.794000000000011</v>
      </c>
      <c r="S175">
        <f>5.46*(HFrame_List[[#This Row],[cross piece quantity]]-1)*(HFrame_List[[#This Row],[Width between brackets]]/12)</f>
        <v>0</v>
      </c>
      <c r="T175" s="5">
        <f>HFrame_List[[#This Row],[Bottom cross piece cost]]+HFrame_List[[#This Row],[Top cross piece cost]]+HFrame_List[[#This Row],[Component costs]]+HFrame_List[[#This Row],[Vertical strut cost]]</f>
        <v>140.61199999999999</v>
      </c>
      <c r="U175" s="7">
        <f>_xlfn.XLOOKUP(HFrame_List[[#This Row],[Fabrication type]],Fabrication_costs[Fabrication type],Fabrication_costs[unit pricing],"no result",0)</f>
        <v>19.8</v>
      </c>
      <c r="V175" s="5">
        <f>SUM(T175:U175)/(1-HFrame_List[[#This Row],[Margin]])</f>
        <v>458.32000000000005</v>
      </c>
      <c r="W175" s="36">
        <f t="shared" si="53"/>
        <v>0.65</v>
      </c>
      <c r="X175" t="s">
        <v>177</v>
      </c>
      <c r="Y175">
        <f>_xlfn.XLOOKUP("A12",Strut_costs[size],Strut_costs[Strut cost])/12*HFrame_List[[#This Row],[Strut height (in)]]*(2+HFrame_List[[#This Row],[Extra supports]])</f>
        <v>32.76</v>
      </c>
      <c r="Z175">
        <f>(_xlfn.XLOOKUP("PHB",CADDY_costs[Component],CADDY_costs[Current cost])*HFrame_List[[#This Row],[Number of feet]])+(_xlfn.XLOOKUP("HFRMHDW",CADDY_costs[Component],CADDY_costs[Current cost])*(HFrame_List[[#This Row],[number of L-brackets]]/2))</f>
        <v>28.058</v>
      </c>
      <c r="AA175">
        <v>3636</v>
      </c>
      <c r="AB175">
        <f>VLOOKUP(HFrame_List[[#This Row],[lookup]],'Pallet and shipping info'!$A$5:$H$33,6,FALSE)</f>
        <v>9</v>
      </c>
      <c r="AC175">
        <f>VLOOKUP(HFrame_List[[#This Row],[lookup]],'Pallet and shipping info'!$A$5:$H$33,8,FALSE)</f>
        <v>14</v>
      </c>
      <c r="AD175"/>
      <c r="AE175"/>
      <c r="AF175"/>
    </row>
    <row r="176" spans="1:32" x14ac:dyDescent="0.25">
      <c r="A176" s="1" t="s">
        <v>532</v>
      </c>
      <c r="B176" s="1" t="s">
        <v>533</v>
      </c>
      <c r="C176" s="1">
        <f t="shared" si="47"/>
        <v>49.674999999999997</v>
      </c>
      <c r="D176" s="1">
        <f t="shared" si="48"/>
        <v>50.050999999999995</v>
      </c>
      <c r="E176" s="1">
        <v>48</v>
      </c>
      <c r="F176" s="1">
        <f t="shared" ref="F176:F181" si="65">F175</f>
        <v>36</v>
      </c>
      <c r="G176" s="1">
        <f t="shared" si="60"/>
        <v>32.24</v>
      </c>
      <c r="H176" s="1">
        <v>0</v>
      </c>
      <c r="I176" s="1" t="s">
        <v>186</v>
      </c>
      <c r="J176" s="1">
        <v>1</v>
      </c>
      <c r="K176" s="2">
        <f t="shared" si="49"/>
        <v>36</v>
      </c>
      <c r="L176" s="1">
        <f t="shared" si="50"/>
        <v>2</v>
      </c>
      <c r="M176" s="1">
        <f t="shared" si="61"/>
        <v>6</v>
      </c>
      <c r="N176" s="1">
        <f t="shared" si="62"/>
        <v>2</v>
      </c>
      <c r="O176" s="3">
        <f t="shared" si="63"/>
        <v>11</v>
      </c>
      <c r="P176" s="1">
        <f t="shared" si="51"/>
        <v>2</v>
      </c>
      <c r="Q176">
        <f t="shared" si="52"/>
        <v>6</v>
      </c>
      <c r="R176">
        <f>_xlfn.XLOOKUP(HFrame_List[[#This Row],[Cross piece style]],$AH$2:$AH$4,$AI$2:$AI$4,0,0)*(HFrame_List[[#This Row],[Width between brackets]]/12)</f>
        <v>79.794000000000011</v>
      </c>
      <c r="S176">
        <f>5.46*(HFrame_List[[#This Row],[cross piece quantity]]-1)*(HFrame_List[[#This Row],[Width between brackets]]/12)</f>
        <v>0</v>
      </c>
      <c r="T176" s="5">
        <f>HFrame_List[[#This Row],[Bottom cross piece cost]]+HFrame_List[[#This Row],[Top cross piece cost]]+HFrame_List[[#This Row],[Component costs]]+HFrame_List[[#This Row],[Vertical strut cost]]</f>
        <v>151.53200000000001</v>
      </c>
      <c r="U176" s="7">
        <f>_xlfn.XLOOKUP(HFrame_List[[#This Row],[Fabrication type]],Fabrication_costs[Fabrication type],Fabrication_costs[unit pricing],"no result",0)</f>
        <v>19.8</v>
      </c>
      <c r="V176" s="5">
        <f>SUM(T176:U176)/(1-HFrame_List[[#This Row],[Margin]])</f>
        <v>489.5200000000001</v>
      </c>
      <c r="W176" s="36">
        <f t="shared" si="53"/>
        <v>0.65</v>
      </c>
      <c r="X176" t="s">
        <v>177</v>
      </c>
      <c r="Y176">
        <f>_xlfn.XLOOKUP("A12",Strut_costs[size],Strut_costs[Strut cost])/12*HFrame_List[[#This Row],[Strut height (in)]]*(2+HFrame_List[[#This Row],[Extra supports]])</f>
        <v>43.68</v>
      </c>
      <c r="Z176">
        <f>(_xlfn.XLOOKUP("PHB",CADDY_costs[Component],CADDY_costs[Current cost])*HFrame_List[[#This Row],[Number of feet]])+(_xlfn.XLOOKUP("HFRMHDW",CADDY_costs[Component],CADDY_costs[Current cost])*(HFrame_List[[#This Row],[number of L-brackets]]/2))</f>
        <v>28.058</v>
      </c>
      <c r="AA176">
        <v>4836</v>
      </c>
      <c r="AB176">
        <f>VLOOKUP(HFrame_List[[#This Row],[lookup]],'Pallet and shipping info'!$A$5:$H$33,6,FALSE)</f>
        <v>9</v>
      </c>
      <c r="AC176">
        <f>VLOOKUP(HFrame_List[[#This Row],[lookup]],'Pallet and shipping info'!$A$5:$H$33,8,FALSE)</f>
        <v>14</v>
      </c>
      <c r="AD176"/>
      <c r="AE176"/>
      <c r="AF176"/>
    </row>
    <row r="177" spans="1:32" x14ac:dyDescent="0.25">
      <c r="A177" s="1" t="s">
        <v>534</v>
      </c>
      <c r="B177" s="1" t="s">
        <v>535</v>
      </c>
      <c r="C177" s="1">
        <f t="shared" si="47"/>
        <v>73.674999999999997</v>
      </c>
      <c r="D177" s="1">
        <f t="shared" si="48"/>
        <v>50.050999999999995</v>
      </c>
      <c r="E177" s="1">
        <v>72</v>
      </c>
      <c r="F177" s="1">
        <f t="shared" si="65"/>
        <v>36</v>
      </c>
      <c r="G177" s="1">
        <f t="shared" si="60"/>
        <v>32.24</v>
      </c>
      <c r="H177" s="1">
        <v>0</v>
      </c>
      <c r="I177" s="1" t="s">
        <v>186</v>
      </c>
      <c r="J177" s="1">
        <v>1</v>
      </c>
      <c r="K177" s="2">
        <f t="shared" si="49"/>
        <v>36</v>
      </c>
      <c r="L177" s="1">
        <f t="shared" si="50"/>
        <v>2</v>
      </c>
      <c r="M177" s="1">
        <f t="shared" si="61"/>
        <v>6</v>
      </c>
      <c r="N177" s="1">
        <f t="shared" si="62"/>
        <v>2</v>
      </c>
      <c r="O177" s="3">
        <f t="shared" si="63"/>
        <v>15</v>
      </c>
      <c r="P177" s="1">
        <f t="shared" si="51"/>
        <v>2</v>
      </c>
      <c r="Q177">
        <f t="shared" si="52"/>
        <v>6</v>
      </c>
      <c r="R177">
        <f>_xlfn.XLOOKUP(HFrame_List[[#This Row],[Cross piece style]],$AH$2:$AH$4,$AI$2:$AI$4,0,0)*(HFrame_List[[#This Row],[Width between brackets]]/12)</f>
        <v>79.794000000000011</v>
      </c>
      <c r="S177">
        <f>5.46*(HFrame_List[[#This Row],[cross piece quantity]]-1)*(HFrame_List[[#This Row],[Width between brackets]]/12)</f>
        <v>0</v>
      </c>
      <c r="T177" s="5">
        <f>HFrame_List[[#This Row],[Bottom cross piece cost]]+HFrame_List[[#This Row],[Top cross piece cost]]+HFrame_List[[#This Row],[Component costs]]+HFrame_List[[#This Row],[Vertical strut cost]]</f>
        <v>173.37200000000001</v>
      </c>
      <c r="U177" s="7">
        <f>_xlfn.XLOOKUP(HFrame_List[[#This Row],[Fabrication type]],Fabrication_costs[Fabrication type],Fabrication_costs[unit pricing],"no result",0)</f>
        <v>19.8</v>
      </c>
      <c r="V177" s="5">
        <f>SUM(T177:U177)/(1-HFrame_List[[#This Row],[Margin]])</f>
        <v>551.92000000000007</v>
      </c>
      <c r="W177" s="36">
        <f t="shared" si="53"/>
        <v>0.65</v>
      </c>
      <c r="X177" t="s">
        <v>177</v>
      </c>
      <c r="Y177">
        <f>_xlfn.XLOOKUP("A12",Strut_costs[size],Strut_costs[Strut cost])/12*HFrame_List[[#This Row],[Strut height (in)]]*(2+HFrame_List[[#This Row],[Extra supports]])</f>
        <v>65.52</v>
      </c>
      <c r="Z177">
        <f>(_xlfn.XLOOKUP("PHB",CADDY_costs[Component],CADDY_costs[Current cost])*HFrame_List[[#This Row],[Number of feet]])+(_xlfn.XLOOKUP("HFRMHDW",CADDY_costs[Component],CADDY_costs[Current cost])*(HFrame_List[[#This Row],[number of L-brackets]]/2))</f>
        <v>28.058</v>
      </c>
      <c r="AA177">
        <v>7236</v>
      </c>
      <c r="AB177">
        <f>VLOOKUP(HFrame_List[[#This Row],[lookup]],'Pallet and shipping info'!$A$5:$H$33,6,FALSE)</f>
        <v>9</v>
      </c>
      <c r="AC177">
        <f>VLOOKUP(HFrame_List[[#This Row],[lookup]],'Pallet and shipping info'!$A$5:$H$33,8,FALSE)</f>
        <v>14</v>
      </c>
      <c r="AD177"/>
      <c r="AE177"/>
      <c r="AF177"/>
    </row>
    <row r="178" spans="1:32" x14ac:dyDescent="0.25">
      <c r="A178" s="1" t="s">
        <v>536</v>
      </c>
      <c r="B178" s="1" t="s">
        <v>537</v>
      </c>
      <c r="C178" s="1">
        <f t="shared" si="47"/>
        <v>25.675000000000001</v>
      </c>
      <c r="D178" s="1">
        <f t="shared" si="48"/>
        <v>62.050999999999995</v>
      </c>
      <c r="E178" s="1">
        <v>24</v>
      </c>
      <c r="F178" s="1">
        <v>48</v>
      </c>
      <c r="G178" s="1">
        <f t="shared" si="60"/>
        <v>44.24</v>
      </c>
      <c r="H178" s="1">
        <v>0</v>
      </c>
      <c r="I178" s="1" t="s">
        <v>186</v>
      </c>
      <c r="J178" s="1">
        <v>1</v>
      </c>
      <c r="K178" s="2">
        <f t="shared" si="49"/>
        <v>48</v>
      </c>
      <c r="L178" s="1">
        <f t="shared" si="50"/>
        <v>2</v>
      </c>
      <c r="M178" s="1">
        <f t="shared" si="61"/>
        <v>6</v>
      </c>
      <c r="N178" s="1">
        <f t="shared" si="62"/>
        <v>2</v>
      </c>
      <c r="O178" s="3">
        <f t="shared" si="63"/>
        <v>8</v>
      </c>
      <c r="P178" s="1">
        <f t="shared" si="51"/>
        <v>1</v>
      </c>
      <c r="Q178">
        <f t="shared" si="52"/>
        <v>6</v>
      </c>
      <c r="R178">
        <f>_xlfn.XLOOKUP(HFrame_List[[#This Row],[Cross piece style]],$AH$2:$AH$4,$AI$2:$AI$4,0,0)*(HFrame_List[[#This Row],[Width between brackets]]/12)</f>
        <v>109.494</v>
      </c>
      <c r="S178">
        <f>5.46*(HFrame_List[[#This Row],[cross piece quantity]]-1)*(HFrame_List[[#This Row],[Width between brackets]]/12)</f>
        <v>0</v>
      </c>
      <c r="T178" s="5">
        <f>HFrame_List[[#This Row],[Bottom cross piece cost]]+HFrame_List[[#This Row],[Top cross piece cost]]+HFrame_List[[#This Row],[Component costs]]+HFrame_List[[#This Row],[Vertical strut cost]]</f>
        <v>159.392</v>
      </c>
      <c r="U178" s="7">
        <f>_xlfn.XLOOKUP(HFrame_List[[#This Row],[Fabrication type]],Fabrication_costs[Fabrication type],Fabrication_costs[unit pricing],"no result",0)</f>
        <v>19.8</v>
      </c>
      <c r="V178" s="5">
        <f>SUM(T178:U178)/(1-HFrame_List[[#This Row],[Margin]])</f>
        <v>511.97714285714289</v>
      </c>
      <c r="W178" s="36">
        <f t="shared" si="53"/>
        <v>0.65</v>
      </c>
      <c r="X178" t="s">
        <v>177</v>
      </c>
      <c r="Y178">
        <f>_xlfn.XLOOKUP("A12",Strut_costs[size],Strut_costs[Strut cost])/12*HFrame_List[[#This Row],[Strut height (in)]]*(2+HFrame_List[[#This Row],[Extra supports]])</f>
        <v>21.84</v>
      </c>
      <c r="Z178">
        <f>(_xlfn.XLOOKUP("PHB",CADDY_costs[Component],CADDY_costs[Current cost])*HFrame_List[[#This Row],[Number of feet]])+(_xlfn.XLOOKUP("HFRMHDW",CADDY_costs[Component],CADDY_costs[Current cost])*(HFrame_List[[#This Row],[number of L-brackets]]/2))</f>
        <v>28.058</v>
      </c>
      <c r="AA178">
        <v>2448</v>
      </c>
      <c r="AB178">
        <f>VLOOKUP(HFrame_List[[#This Row],[lookup]],'Pallet and shipping info'!$A$5:$H$33,6,FALSE)</f>
        <v>7</v>
      </c>
      <c r="AC178">
        <f>VLOOKUP(HFrame_List[[#This Row],[lookup]],'Pallet and shipping info'!$A$5:$H$33,8,FALSE)</f>
        <v>10</v>
      </c>
      <c r="AD178"/>
      <c r="AE178"/>
      <c r="AF178"/>
    </row>
    <row r="179" spans="1:32" x14ac:dyDescent="0.25">
      <c r="A179" s="1" t="s">
        <v>538</v>
      </c>
      <c r="B179" s="1" t="s">
        <v>539</v>
      </c>
      <c r="C179" s="1">
        <f t="shared" si="47"/>
        <v>37.674999999999997</v>
      </c>
      <c r="D179" s="1">
        <f t="shared" si="48"/>
        <v>62.050999999999995</v>
      </c>
      <c r="E179" s="1">
        <v>36</v>
      </c>
      <c r="F179" s="1">
        <f t="shared" si="65"/>
        <v>48</v>
      </c>
      <c r="G179" s="1">
        <f t="shared" si="60"/>
        <v>44.24</v>
      </c>
      <c r="H179" s="1">
        <v>0</v>
      </c>
      <c r="I179" s="1" t="s">
        <v>186</v>
      </c>
      <c r="J179" s="1">
        <v>1</v>
      </c>
      <c r="K179" s="2">
        <f t="shared" si="49"/>
        <v>48</v>
      </c>
      <c r="L179" s="1">
        <f t="shared" si="50"/>
        <v>2</v>
      </c>
      <c r="M179" s="1">
        <f t="shared" si="61"/>
        <v>6</v>
      </c>
      <c r="N179" s="1">
        <f t="shared" si="62"/>
        <v>2</v>
      </c>
      <c r="O179" s="3">
        <f t="shared" si="63"/>
        <v>10</v>
      </c>
      <c r="P179" s="1">
        <f t="shared" si="51"/>
        <v>1</v>
      </c>
      <c r="Q179">
        <f t="shared" si="52"/>
        <v>6</v>
      </c>
      <c r="R179">
        <f>_xlfn.XLOOKUP(HFrame_List[[#This Row],[Cross piece style]],$AH$2:$AH$4,$AI$2:$AI$4,0,0)*(HFrame_List[[#This Row],[Width between brackets]]/12)</f>
        <v>109.494</v>
      </c>
      <c r="S179">
        <f>5.46*(HFrame_List[[#This Row],[cross piece quantity]]-1)*(HFrame_List[[#This Row],[Width between brackets]]/12)</f>
        <v>0</v>
      </c>
      <c r="T179" s="5">
        <f>HFrame_List[[#This Row],[Bottom cross piece cost]]+HFrame_List[[#This Row],[Top cross piece cost]]+HFrame_List[[#This Row],[Component costs]]+HFrame_List[[#This Row],[Vertical strut cost]]</f>
        <v>170.31199999999998</v>
      </c>
      <c r="U179" s="7">
        <f>_xlfn.XLOOKUP(HFrame_List[[#This Row],[Fabrication type]],Fabrication_costs[Fabrication type],Fabrication_costs[unit pricing],"no result",0)</f>
        <v>19.8</v>
      </c>
      <c r="V179" s="5">
        <f>SUM(T179:U179)/(1-HFrame_List[[#This Row],[Margin]])</f>
        <v>543.17714285714283</v>
      </c>
      <c r="W179" s="36">
        <f t="shared" si="53"/>
        <v>0.65</v>
      </c>
      <c r="X179" t="s">
        <v>177</v>
      </c>
      <c r="Y179">
        <f>_xlfn.XLOOKUP("A12",Strut_costs[size],Strut_costs[Strut cost])/12*HFrame_List[[#This Row],[Strut height (in)]]*(2+HFrame_List[[#This Row],[Extra supports]])</f>
        <v>32.76</v>
      </c>
      <c r="Z179">
        <f>(_xlfn.XLOOKUP("PHB",CADDY_costs[Component],CADDY_costs[Current cost])*HFrame_List[[#This Row],[Number of feet]])+(_xlfn.XLOOKUP("HFRMHDW",CADDY_costs[Component],CADDY_costs[Current cost])*(HFrame_List[[#This Row],[number of L-brackets]]/2))</f>
        <v>28.058</v>
      </c>
      <c r="AA179">
        <v>3648</v>
      </c>
      <c r="AB179">
        <f>VLOOKUP(HFrame_List[[#This Row],[lookup]],'Pallet and shipping info'!$A$5:$H$33,6,FALSE)</f>
        <v>7</v>
      </c>
      <c r="AC179">
        <f>VLOOKUP(HFrame_List[[#This Row],[lookup]],'Pallet and shipping info'!$A$5:$H$33,8,FALSE)</f>
        <v>10</v>
      </c>
      <c r="AD179"/>
      <c r="AE179"/>
      <c r="AF179"/>
    </row>
    <row r="180" spans="1:32" x14ac:dyDescent="0.25">
      <c r="A180" s="1" t="s">
        <v>540</v>
      </c>
      <c r="B180" s="1" t="s">
        <v>541</v>
      </c>
      <c r="C180" s="1">
        <f t="shared" si="47"/>
        <v>49.674999999999997</v>
      </c>
      <c r="D180" s="1">
        <f t="shared" si="48"/>
        <v>62.050999999999995</v>
      </c>
      <c r="E180" s="1">
        <v>48</v>
      </c>
      <c r="F180" s="1">
        <f t="shared" si="65"/>
        <v>48</v>
      </c>
      <c r="G180" s="1">
        <f t="shared" si="60"/>
        <v>44.24</v>
      </c>
      <c r="H180" s="1">
        <v>0</v>
      </c>
      <c r="I180" s="1" t="s">
        <v>186</v>
      </c>
      <c r="J180" s="1">
        <v>1</v>
      </c>
      <c r="K180" s="2">
        <f t="shared" si="49"/>
        <v>48</v>
      </c>
      <c r="L180" s="1">
        <f t="shared" si="50"/>
        <v>2</v>
      </c>
      <c r="M180" s="1">
        <f t="shared" si="61"/>
        <v>6</v>
      </c>
      <c r="N180" s="1">
        <f t="shared" si="62"/>
        <v>2</v>
      </c>
      <c r="O180" s="3">
        <f t="shared" si="63"/>
        <v>12</v>
      </c>
      <c r="P180" s="1">
        <f t="shared" si="51"/>
        <v>2</v>
      </c>
      <c r="Q180">
        <f t="shared" si="52"/>
        <v>6</v>
      </c>
      <c r="R180">
        <f>_xlfn.XLOOKUP(HFrame_List[[#This Row],[Cross piece style]],$AH$2:$AH$4,$AI$2:$AI$4,0,0)*(HFrame_List[[#This Row],[Width between brackets]]/12)</f>
        <v>109.494</v>
      </c>
      <c r="S180">
        <f>5.46*(HFrame_List[[#This Row],[cross piece quantity]]-1)*(HFrame_List[[#This Row],[Width between brackets]]/12)</f>
        <v>0</v>
      </c>
      <c r="T180" s="5">
        <f>HFrame_List[[#This Row],[Bottom cross piece cost]]+HFrame_List[[#This Row],[Top cross piece cost]]+HFrame_List[[#This Row],[Component costs]]+HFrame_List[[#This Row],[Vertical strut cost]]</f>
        <v>181.232</v>
      </c>
      <c r="U180" s="7">
        <f>_xlfn.XLOOKUP(HFrame_List[[#This Row],[Fabrication type]],Fabrication_costs[Fabrication type],Fabrication_costs[unit pricing],"no result",0)</f>
        <v>19.8</v>
      </c>
      <c r="V180" s="5">
        <f>SUM(T180:U180)/(1-HFrame_List[[#This Row],[Margin]])</f>
        <v>574.37714285714287</v>
      </c>
      <c r="W180" s="36">
        <f t="shared" si="53"/>
        <v>0.65</v>
      </c>
      <c r="X180" t="s">
        <v>177</v>
      </c>
      <c r="Y180">
        <f>_xlfn.XLOOKUP("A12",Strut_costs[size],Strut_costs[Strut cost])/12*HFrame_List[[#This Row],[Strut height (in)]]*(2+HFrame_List[[#This Row],[Extra supports]])</f>
        <v>43.68</v>
      </c>
      <c r="Z180">
        <f>(_xlfn.XLOOKUP("PHB",CADDY_costs[Component],CADDY_costs[Current cost])*HFrame_List[[#This Row],[Number of feet]])+(_xlfn.XLOOKUP("HFRMHDW",CADDY_costs[Component],CADDY_costs[Current cost])*(HFrame_List[[#This Row],[number of L-brackets]]/2))</f>
        <v>28.058</v>
      </c>
      <c r="AA180">
        <v>4848</v>
      </c>
      <c r="AB180">
        <f>VLOOKUP(HFrame_List[[#This Row],[lookup]],'Pallet and shipping info'!$A$5:$H$33,6,FALSE)</f>
        <v>7</v>
      </c>
      <c r="AC180">
        <f>VLOOKUP(HFrame_List[[#This Row],[lookup]],'Pallet and shipping info'!$A$5:$H$33,8,FALSE)</f>
        <v>10</v>
      </c>
      <c r="AD180"/>
      <c r="AE180"/>
      <c r="AF180"/>
    </row>
    <row r="181" spans="1:32" x14ac:dyDescent="0.25">
      <c r="A181" s="1" t="s">
        <v>542</v>
      </c>
      <c r="B181" s="1" t="s">
        <v>543</v>
      </c>
      <c r="C181" s="1">
        <f t="shared" si="47"/>
        <v>73.674999999999997</v>
      </c>
      <c r="D181" s="1">
        <f t="shared" si="48"/>
        <v>62.050999999999995</v>
      </c>
      <c r="E181" s="1">
        <v>72</v>
      </c>
      <c r="F181" s="1">
        <f t="shared" si="65"/>
        <v>48</v>
      </c>
      <c r="G181" s="1">
        <f t="shared" si="60"/>
        <v>44.24</v>
      </c>
      <c r="H181" s="1">
        <v>0</v>
      </c>
      <c r="I181" s="1" t="s">
        <v>186</v>
      </c>
      <c r="J181" s="1">
        <v>1</v>
      </c>
      <c r="K181" s="2">
        <f t="shared" si="49"/>
        <v>48</v>
      </c>
      <c r="L181" s="1">
        <f t="shared" si="50"/>
        <v>2</v>
      </c>
      <c r="M181" s="1">
        <f t="shared" si="61"/>
        <v>6</v>
      </c>
      <c r="N181" s="1">
        <f t="shared" si="62"/>
        <v>2</v>
      </c>
      <c r="O181" s="3">
        <f t="shared" si="63"/>
        <v>16</v>
      </c>
      <c r="P181" s="1">
        <f t="shared" si="51"/>
        <v>2</v>
      </c>
      <c r="Q181">
        <f t="shared" si="52"/>
        <v>6</v>
      </c>
      <c r="R181">
        <f>_xlfn.XLOOKUP(HFrame_List[[#This Row],[Cross piece style]],$AH$2:$AH$4,$AI$2:$AI$4,0,0)*(HFrame_List[[#This Row],[Width between brackets]]/12)</f>
        <v>109.494</v>
      </c>
      <c r="S181">
        <f>5.46*(HFrame_List[[#This Row],[cross piece quantity]]-1)*(HFrame_List[[#This Row],[Width between brackets]]/12)</f>
        <v>0</v>
      </c>
      <c r="T181" s="5">
        <f>HFrame_List[[#This Row],[Bottom cross piece cost]]+HFrame_List[[#This Row],[Top cross piece cost]]+HFrame_List[[#This Row],[Component costs]]+HFrame_List[[#This Row],[Vertical strut cost]]</f>
        <v>203.072</v>
      </c>
      <c r="U181" s="7">
        <f>_xlfn.XLOOKUP(HFrame_List[[#This Row],[Fabrication type]],Fabrication_costs[Fabrication type],Fabrication_costs[unit pricing],"no result",0)</f>
        <v>19.8</v>
      </c>
      <c r="V181" s="5">
        <f>SUM(T181:U181)/(1-HFrame_List[[#This Row],[Margin]])</f>
        <v>636.77714285714296</v>
      </c>
      <c r="W181" s="36">
        <f t="shared" si="53"/>
        <v>0.65</v>
      </c>
      <c r="X181" t="s">
        <v>177</v>
      </c>
      <c r="Y181">
        <f>_xlfn.XLOOKUP("A12",Strut_costs[size],Strut_costs[Strut cost])/12*HFrame_List[[#This Row],[Strut height (in)]]*(2+HFrame_List[[#This Row],[Extra supports]])</f>
        <v>65.52</v>
      </c>
      <c r="Z181">
        <f>(_xlfn.XLOOKUP("PHB",CADDY_costs[Component],CADDY_costs[Current cost])*HFrame_List[[#This Row],[Number of feet]])+(_xlfn.XLOOKUP("HFRMHDW",CADDY_costs[Component],CADDY_costs[Current cost])*(HFrame_List[[#This Row],[number of L-brackets]]/2))</f>
        <v>28.058</v>
      </c>
      <c r="AA181">
        <v>7248</v>
      </c>
      <c r="AB181">
        <f>VLOOKUP(HFrame_List[[#This Row],[lookup]],'Pallet and shipping info'!$A$5:$H$33,6,FALSE)</f>
        <v>7</v>
      </c>
      <c r="AC181">
        <f>VLOOKUP(HFrame_List[[#This Row],[lookup]],'Pallet and shipping info'!$A$5:$H$33,8,FALSE)</f>
        <v>10</v>
      </c>
      <c r="AD181"/>
      <c r="AE181"/>
      <c r="AF181"/>
    </row>
    <row r="182" spans="1:32" x14ac:dyDescent="0.25">
      <c r="A182" s="1" t="s">
        <v>544</v>
      </c>
      <c r="B182" s="1" t="s">
        <v>545</v>
      </c>
      <c r="C182" s="1">
        <f t="shared" si="47"/>
        <v>25.675000000000001</v>
      </c>
      <c r="D182" s="1">
        <f t="shared" si="48"/>
        <v>74.051000000000002</v>
      </c>
      <c r="E182" s="1">
        <v>24</v>
      </c>
      <c r="F182" s="1">
        <v>60</v>
      </c>
      <c r="G182" s="1">
        <f t="shared" si="60"/>
        <v>56.24</v>
      </c>
      <c r="H182" s="1">
        <v>0</v>
      </c>
      <c r="I182" s="1" t="s">
        <v>186</v>
      </c>
      <c r="J182" s="1">
        <v>1</v>
      </c>
      <c r="K182" s="2">
        <f t="shared" si="49"/>
        <v>60</v>
      </c>
      <c r="L182" s="1">
        <f t="shared" si="50"/>
        <v>2</v>
      </c>
      <c r="M182" s="1">
        <f t="shared" si="61"/>
        <v>6</v>
      </c>
      <c r="N182" s="1">
        <f t="shared" si="62"/>
        <v>2</v>
      </c>
      <c r="O182" s="3">
        <f t="shared" si="63"/>
        <v>9</v>
      </c>
      <c r="P182" s="1">
        <f t="shared" si="51"/>
        <v>1</v>
      </c>
      <c r="Q182">
        <f t="shared" si="52"/>
        <v>6</v>
      </c>
      <c r="R182">
        <f>_xlfn.XLOOKUP(HFrame_List[[#This Row],[Cross piece style]],$AH$2:$AH$4,$AI$2:$AI$4,0,0)*(HFrame_List[[#This Row],[Width between brackets]]/12)</f>
        <v>139.19399999999999</v>
      </c>
      <c r="S182">
        <f>5.46*(HFrame_List[[#This Row],[cross piece quantity]]-1)*(HFrame_List[[#This Row],[Width between brackets]]/12)</f>
        <v>0</v>
      </c>
      <c r="T182" s="5">
        <f>HFrame_List[[#This Row],[Bottom cross piece cost]]+HFrame_List[[#This Row],[Top cross piece cost]]+HFrame_List[[#This Row],[Component costs]]+HFrame_List[[#This Row],[Vertical strut cost]]</f>
        <v>189.09199999999998</v>
      </c>
      <c r="U182" s="7">
        <f>_xlfn.XLOOKUP(HFrame_List[[#This Row],[Fabrication type]],Fabrication_costs[Fabrication type],Fabrication_costs[unit pricing],"no result",0)</f>
        <v>19.8</v>
      </c>
      <c r="V182" s="5">
        <f>SUM(T182:U182)/(1-HFrame_List[[#This Row],[Margin]])</f>
        <v>596.83428571428578</v>
      </c>
      <c r="W182" s="36">
        <f t="shared" si="53"/>
        <v>0.65</v>
      </c>
      <c r="X182" t="s">
        <v>177</v>
      </c>
      <c r="Y182">
        <f>_xlfn.XLOOKUP("A12",Strut_costs[size],Strut_costs[Strut cost])/12*HFrame_List[[#This Row],[Strut height (in)]]*(2+HFrame_List[[#This Row],[Extra supports]])</f>
        <v>21.84</v>
      </c>
      <c r="Z182">
        <f>(_xlfn.XLOOKUP("PHB",CADDY_costs[Component],CADDY_costs[Current cost])*HFrame_List[[#This Row],[Number of feet]])+(_xlfn.XLOOKUP("HFRMHDW",CADDY_costs[Component],CADDY_costs[Current cost])*(HFrame_List[[#This Row],[number of L-brackets]]/2))</f>
        <v>28.058</v>
      </c>
      <c r="AA182">
        <v>2460</v>
      </c>
      <c r="AB182" t="str">
        <f>VLOOKUP(HFrame_List[[#This Row],[lookup]],'Pallet and shipping info'!$A$5:$H$33,6,FALSE)</f>
        <v>x</v>
      </c>
      <c r="AC182">
        <f>VLOOKUP(HFrame_List[[#This Row],[lookup]],'Pallet and shipping info'!$A$5:$H$33,8,FALSE)</f>
        <v>7</v>
      </c>
      <c r="AD182"/>
      <c r="AE182"/>
      <c r="AF182"/>
    </row>
    <row r="183" spans="1:32" x14ac:dyDescent="0.25">
      <c r="A183" s="1" t="s">
        <v>546</v>
      </c>
      <c r="B183" s="1" t="s">
        <v>547</v>
      </c>
      <c r="C183" s="1">
        <f t="shared" si="47"/>
        <v>37.674999999999997</v>
      </c>
      <c r="D183" s="1">
        <f t="shared" si="48"/>
        <v>74.051000000000002</v>
      </c>
      <c r="E183" s="1">
        <v>36</v>
      </c>
      <c r="F183" s="1">
        <v>60</v>
      </c>
      <c r="G183" s="1">
        <f t="shared" si="60"/>
        <v>56.24</v>
      </c>
      <c r="H183" s="1">
        <v>0</v>
      </c>
      <c r="I183" s="1" t="s">
        <v>186</v>
      </c>
      <c r="J183" s="1">
        <v>1</v>
      </c>
      <c r="K183" s="2">
        <f t="shared" si="49"/>
        <v>60</v>
      </c>
      <c r="L183" s="1">
        <f t="shared" si="50"/>
        <v>2</v>
      </c>
      <c r="M183" s="1">
        <f t="shared" si="61"/>
        <v>6</v>
      </c>
      <c r="N183" s="1">
        <f t="shared" si="62"/>
        <v>2</v>
      </c>
      <c r="O183" s="3">
        <f t="shared" si="63"/>
        <v>11</v>
      </c>
      <c r="P183" s="1">
        <f t="shared" si="51"/>
        <v>2</v>
      </c>
      <c r="Q183">
        <f t="shared" si="52"/>
        <v>6</v>
      </c>
      <c r="R183">
        <f>_xlfn.XLOOKUP(HFrame_List[[#This Row],[Cross piece style]],$AH$2:$AH$4,$AI$2:$AI$4,0,0)*(HFrame_List[[#This Row],[Width between brackets]]/12)</f>
        <v>139.19399999999999</v>
      </c>
      <c r="S183">
        <f>5.46*(HFrame_List[[#This Row],[cross piece quantity]]-1)*(HFrame_List[[#This Row],[Width between brackets]]/12)</f>
        <v>0</v>
      </c>
      <c r="T183" s="5">
        <f>HFrame_List[[#This Row],[Bottom cross piece cost]]+HFrame_List[[#This Row],[Top cross piece cost]]+HFrame_List[[#This Row],[Component costs]]+HFrame_List[[#This Row],[Vertical strut cost]]</f>
        <v>200.01199999999997</v>
      </c>
      <c r="U183" s="7">
        <f>_xlfn.XLOOKUP(HFrame_List[[#This Row],[Fabrication type]],Fabrication_costs[Fabrication type],Fabrication_costs[unit pricing],"no result",0)</f>
        <v>19.8</v>
      </c>
      <c r="V183" s="5">
        <f>SUM(T183:U183)/(1-HFrame_List[[#This Row],[Margin]])</f>
        <v>628.03428571428572</v>
      </c>
      <c r="W183" s="36">
        <f t="shared" si="53"/>
        <v>0.65</v>
      </c>
      <c r="X183" t="s">
        <v>177</v>
      </c>
      <c r="Y183">
        <f>_xlfn.XLOOKUP("A12",Strut_costs[size],Strut_costs[Strut cost])/12*HFrame_List[[#This Row],[Strut height (in)]]*(2+HFrame_List[[#This Row],[Extra supports]])</f>
        <v>32.76</v>
      </c>
      <c r="Z183">
        <f>(_xlfn.XLOOKUP("PHB",CADDY_costs[Component],CADDY_costs[Current cost])*HFrame_List[[#This Row],[Number of feet]])+(_xlfn.XLOOKUP("HFRMHDW",CADDY_costs[Component],CADDY_costs[Current cost])*(HFrame_List[[#This Row],[number of L-brackets]]/2))</f>
        <v>28.058</v>
      </c>
      <c r="AA183">
        <v>3660</v>
      </c>
      <c r="AB183" t="str">
        <f>VLOOKUP(HFrame_List[[#This Row],[lookup]],'Pallet and shipping info'!$A$5:$H$33,6,FALSE)</f>
        <v>x</v>
      </c>
      <c r="AC183">
        <f>VLOOKUP(HFrame_List[[#This Row],[lookup]],'Pallet and shipping info'!$A$5:$H$33,8,FALSE)</f>
        <v>7</v>
      </c>
      <c r="AD183"/>
      <c r="AE183"/>
      <c r="AF183"/>
    </row>
    <row r="184" spans="1:32" x14ac:dyDescent="0.25">
      <c r="A184" s="1" t="s">
        <v>548</v>
      </c>
      <c r="B184" s="1" t="s">
        <v>549</v>
      </c>
      <c r="C184" s="1">
        <f t="shared" si="47"/>
        <v>49.674999999999997</v>
      </c>
      <c r="D184" s="1">
        <f t="shared" si="48"/>
        <v>74.051000000000002</v>
      </c>
      <c r="E184" s="1">
        <v>48</v>
      </c>
      <c r="F184" s="1">
        <v>60</v>
      </c>
      <c r="G184" s="1">
        <f t="shared" si="60"/>
        <v>56.24</v>
      </c>
      <c r="H184" s="1">
        <v>0</v>
      </c>
      <c r="I184" s="1" t="s">
        <v>186</v>
      </c>
      <c r="J184" s="1">
        <v>1</v>
      </c>
      <c r="K184" s="2">
        <f t="shared" si="49"/>
        <v>60</v>
      </c>
      <c r="L184" s="1">
        <f t="shared" si="50"/>
        <v>2</v>
      </c>
      <c r="M184" s="1">
        <f t="shared" si="61"/>
        <v>6</v>
      </c>
      <c r="N184" s="1">
        <f t="shared" si="62"/>
        <v>2</v>
      </c>
      <c r="O184" s="3">
        <f t="shared" si="63"/>
        <v>13</v>
      </c>
      <c r="P184" s="1">
        <f t="shared" si="51"/>
        <v>2</v>
      </c>
      <c r="Q184">
        <f t="shared" si="52"/>
        <v>6</v>
      </c>
      <c r="R184">
        <f>_xlfn.XLOOKUP(HFrame_List[[#This Row],[Cross piece style]],$AH$2:$AH$4,$AI$2:$AI$4,0,0)*(HFrame_List[[#This Row],[Width between brackets]]/12)</f>
        <v>139.19399999999999</v>
      </c>
      <c r="S184">
        <f>5.46*(HFrame_List[[#This Row],[cross piece quantity]]-1)*(HFrame_List[[#This Row],[Width between brackets]]/12)</f>
        <v>0</v>
      </c>
      <c r="T184" s="5">
        <f>HFrame_List[[#This Row],[Bottom cross piece cost]]+HFrame_List[[#This Row],[Top cross piece cost]]+HFrame_List[[#This Row],[Component costs]]+HFrame_List[[#This Row],[Vertical strut cost]]</f>
        <v>210.93199999999999</v>
      </c>
      <c r="U184" s="7">
        <f>_xlfn.XLOOKUP(HFrame_List[[#This Row],[Fabrication type]],Fabrication_costs[Fabrication type],Fabrication_costs[unit pricing],"no result",0)</f>
        <v>19.8</v>
      </c>
      <c r="V184" s="5">
        <f>SUM(T184:U184)/(1-HFrame_List[[#This Row],[Margin]])</f>
        <v>659.23428571428576</v>
      </c>
      <c r="W184" s="36">
        <f t="shared" si="53"/>
        <v>0.65</v>
      </c>
      <c r="X184" t="s">
        <v>177</v>
      </c>
      <c r="Y184">
        <f>_xlfn.XLOOKUP("A12",Strut_costs[size],Strut_costs[Strut cost])/12*HFrame_List[[#This Row],[Strut height (in)]]*(2+HFrame_List[[#This Row],[Extra supports]])</f>
        <v>43.68</v>
      </c>
      <c r="Z184">
        <f>(_xlfn.XLOOKUP("PHB",CADDY_costs[Component],CADDY_costs[Current cost])*HFrame_List[[#This Row],[Number of feet]])+(_xlfn.XLOOKUP("HFRMHDW",CADDY_costs[Component],CADDY_costs[Current cost])*(HFrame_List[[#This Row],[number of L-brackets]]/2))</f>
        <v>28.058</v>
      </c>
      <c r="AA184">
        <v>4860</v>
      </c>
      <c r="AB184" t="str">
        <f>VLOOKUP(HFrame_List[[#This Row],[lookup]],'Pallet and shipping info'!$A$5:$H$33,6,FALSE)</f>
        <v>x</v>
      </c>
      <c r="AC184">
        <f>VLOOKUP(HFrame_List[[#This Row],[lookup]],'Pallet and shipping info'!$A$5:$H$33,8,FALSE)</f>
        <v>7</v>
      </c>
      <c r="AD184"/>
      <c r="AE184"/>
      <c r="AF184"/>
    </row>
    <row r="185" spans="1:32" x14ac:dyDescent="0.25">
      <c r="A185" s="1" t="s">
        <v>550</v>
      </c>
      <c r="B185" s="1" t="s">
        <v>551</v>
      </c>
      <c r="C185" s="1">
        <f t="shared" si="47"/>
        <v>73.674999999999997</v>
      </c>
      <c r="D185" s="1">
        <f t="shared" si="48"/>
        <v>74.051000000000002</v>
      </c>
      <c r="E185" s="1">
        <v>72</v>
      </c>
      <c r="F185" s="1">
        <v>60</v>
      </c>
      <c r="G185" s="1">
        <f t="shared" si="60"/>
        <v>56.24</v>
      </c>
      <c r="H185" s="1">
        <v>0</v>
      </c>
      <c r="I185" s="1" t="s">
        <v>186</v>
      </c>
      <c r="J185" s="1">
        <v>1</v>
      </c>
      <c r="K185" s="2">
        <f t="shared" si="49"/>
        <v>60</v>
      </c>
      <c r="L185" s="1">
        <f t="shared" si="50"/>
        <v>2</v>
      </c>
      <c r="M185" s="1">
        <f t="shared" si="61"/>
        <v>6</v>
      </c>
      <c r="N185" s="1">
        <f t="shared" si="62"/>
        <v>2</v>
      </c>
      <c r="O185" s="3">
        <f t="shared" si="63"/>
        <v>17</v>
      </c>
      <c r="P185" s="1">
        <f t="shared" si="51"/>
        <v>2</v>
      </c>
      <c r="Q185">
        <f t="shared" si="52"/>
        <v>6</v>
      </c>
      <c r="R185">
        <f>_xlfn.XLOOKUP(HFrame_List[[#This Row],[Cross piece style]],$AH$2:$AH$4,$AI$2:$AI$4,0,0)*(HFrame_List[[#This Row],[Width between brackets]]/12)</f>
        <v>139.19399999999999</v>
      </c>
      <c r="S185">
        <f>5.46*(HFrame_List[[#This Row],[cross piece quantity]]-1)*(HFrame_List[[#This Row],[Width between brackets]]/12)</f>
        <v>0</v>
      </c>
      <c r="T185" s="5">
        <f>HFrame_List[[#This Row],[Bottom cross piece cost]]+HFrame_List[[#This Row],[Top cross piece cost]]+HFrame_List[[#This Row],[Component costs]]+HFrame_List[[#This Row],[Vertical strut cost]]</f>
        <v>232.77199999999999</v>
      </c>
      <c r="U185" s="7">
        <f>_xlfn.XLOOKUP(HFrame_List[[#This Row],[Fabrication type]],Fabrication_costs[Fabrication type],Fabrication_costs[unit pricing],"no result",0)</f>
        <v>19.8</v>
      </c>
      <c r="V185" s="5">
        <f>SUM(T185:U185)/(1-HFrame_List[[#This Row],[Margin]])</f>
        <v>721.63428571428574</v>
      </c>
      <c r="W185" s="36">
        <f t="shared" si="53"/>
        <v>0.65</v>
      </c>
      <c r="X185" t="s">
        <v>177</v>
      </c>
      <c r="Y185">
        <f>_xlfn.XLOOKUP("A12",Strut_costs[size],Strut_costs[Strut cost])/12*HFrame_List[[#This Row],[Strut height (in)]]*(2+HFrame_List[[#This Row],[Extra supports]])</f>
        <v>65.52</v>
      </c>
      <c r="Z185">
        <f>(_xlfn.XLOOKUP("PHB",CADDY_costs[Component],CADDY_costs[Current cost])*HFrame_List[[#This Row],[Number of feet]])+(_xlfn.XLOOKUP("HFRMHDW",CADDY_costs[Component],CADDY_costs[Current cost])*(HFrame_List[[#This Row],[number of L-brackets]]/2))</f>
        <v>28.058</v>
      </c>
      <c r="AA185">
        <v>7260</v>
      </c>
      <c r="AB185" t="str">
        <f>VLOOKUP(HFrame_List[[#This Row],[lookup]],'Pallet and shipping info'!$A$5:$H$33,6,FALSE)</f>
        <v>x</v>
      </c>
      <c r="AC185">
        <f>VLOOKUP(HFrame_List[[#This Row],[lookup]],'Pallet and shipping info'!$A$5:$H$33,8,FALSE)</f>
        <v>7</v>
      </c>
      <c r="AD185"/>
      <c r="AE185"/>
      <c r="AF185"/>
    </row>
    <row r="186" spans="1:32" x14ac:dyDescent="0.25">
      <c r="A186" s="1" t="s">
        <v>552</v>
      </c>
      <c r="B186" s="1" t="s">
        <v>553</v>
      </c>
      <c r="C186" s="1">
        <f t="shared" si="47"/>
        <v>25.675000000000001</v>
      </c>
      <c r="D186" s="1">
        <f t="shared" si="48"/>
        <v>86.051000000000002</v>
      </c>
      <c r="E186" s="1">
        <v>24</v>
      </c>
      <c r="F186" s="1">
        <v>72</v>
      </c>
      <c r="G186" s="1">
        <f t="shared" si="60"/>
        <v>68.239999999999995</v>
      </c>
      <c r="H186" s="1">
        <v>0</v>
      </c>
      <c r="I186" s="1" t="s">
        <v>186</v>
      </c>
      <c r="J186" s="1">
        <v>1</v>
      </c>
      <c r="K186" s="2">
        <f t="shared" si="49"/>
        <v>72</v>
      </c>
      <c r="L186" s="1">
        <f t="shared" si="50"/>
        <v>2</v>
      </c>
      <c r="M186" s="1">
        <f t="shared" si="61"/>
        <v>6</v>
      </c>
      <c r="N186" s="1">
        <f t="shared" si="62"/>
        <v>2</v>
      </c>
      <c r="O186" s="3">
        <f t="shared" si="63"/>
        <v>10</v>
      </c>
      <c r="P186" s="1">
        <f t="shared" si="51"/>
        <v>1</v>
      </c>
      <c r="Q186">
        <f t="shared" si="52"/>
        <v>6</v>
      </c>
      <c r="R186">
        <f>_xlfn.XLOOKUP(HFrame_List[[#This Row],[Cross piece style]],$AH$2:$AH$4,$AI$2:$AI$4,0,0)*(HFrame_List[[#This Row],[Width between brackets]]/12)</f>
        <v>168.89400000000001</v>
      </c>
      <c r="S186">
        <f>5.46*(HFrame_List[[#This Row],[cross piece quantity]]-1)*(HFrame_List[[#This Row],[Width between brackets]]/12)</f>
        <v>0</v>
      </c>
      <c r="T186" s="5">
        <f>HFrame_List[[#This Row],[Bottom cross piece cost]]+HFrame_List[[#This Row],[Top cross piece cost]]+HFrame_List[[#This Row],[Component costs]]+HFrame_List[[#This Row],[Vertical strut cost]]</f>
        <v>218.792</v>
      </c>
      <c r="U186" s="7">
        <f>_xlfn.XLOOKUP(HFrame_List[[#This Row],[Fabrication type]],Fabrication_costs[Fabrication type],Fabrication_costs[unit pricing],"no result",0)</f>
        <v>19.8</v>
      </c>
      <c r="V186" s="5">
        <f>SUM(T186:U186)/(1-HFrame_List[[#This Row],[Margin]])</f>
        <v>681.69142857142867</v>
      </c>
      <c r="W186" s="36">
        <f t="shared" si="53"/>
        <v>0.65</v>
      </c>
      <c r="X186" t="s">
        <v>177</v>
      </c>
      <c r="Y186">
        <f>_xlfn.XLOOKUP("A12",Strut_costs[size],Strut_costs[Strut cost])/12*HFrame_List[[#This Row],[Strut height (in)]]*(2+HFrame_List[[#This Row],[Extra supports]])</f>
        <v>21.84</v>
      </c>
      <c r="Z186">
        <f>(_xlfn.XLOOKUP("PHB",CADDY_costs[Component],CADDY_costs[Current cost])*HFrame_List[[#This Row],[Number of feet]])+(_xlfn.XLOOKUP("HFRMHDW",CADDY_costs[Component],CADDY_costs[Current cost])*(HFrame_List[[#This Row],[number of L-brackets]]/2))</f>
        <v>28.058</v>
      </c>
      <c r="AA186">
        <v>2472</v>
      </c>
      <c r="AB186" t="str">
        <f>VLOOKUP(HFrame_List[[#This Row],[lookup]],'Pallet and shipping info'!$A$5:$H$33,6,FALSE)</f>
        <v>x</v>
      </c>
      <c r="AC186">
        <f>VLOOKUP(HFrame_List[[#This Row],[lookup]],'Pallet and shipping info'!$A$5:$H$33,8,FALSE)</f>
        <v>7</v>
      </c>
      <c r="AD186"/>
      <c r="AE186"/>
      <c r="AF186"/>
    </row>
    <row r="187" spans="1:32" x14ac:dyDescent="0.25">
      <c r="A187" s="1" t="s">
        <v>554</v>
      </c>
      <c r="B187" s="1" t="s">
        <v>555</v>
      </c>
      <c r="C187" s="1">
        <f t="shared" si="47"/>
        <v>37.674999999999997</v>
      </c>
      <c r="D187" s="1">
        <f t="shared" si="48"/>
        <v>86.051000000000002</v>
      </c>
      <c r="E187" s="1">
        <v>36</v>
      </c>
      <c r="F187" s="1">
        <v>72</v>
      </c>
      <c r="G187" s="1">
        <f t="shared" si="60"/>
        <v>68.239999999999995</v>
      </c>
      <c r="H187" s="1">
        <v>0</v>
      </c>
      <c r="I187" s="1" t="s">
        <v>186</v>
      </c>
      <c r="J187" s="1">
        <v>1</v>
      </c>
      <c r="K187" s="2">
        <f t="shared" si="49"/>
        <v>72</v>
      </c>
      <c r="L187" s="1">
        <f t="shared" si="50"/>
        <v>2</v>
      </c>
      <c r="M187" s="1">
        <f t="shared" si="61"/>
        <v>6</v>
      </c>
      <c r="N187" s="1">
        <f t="shared" si="62"/>
        <v>2</v>
      </c>
      <c r="O187" s="3">
        <f t="shared" si="63"/>
        <v>12</v>
      </c>
      <c r="P187" s="1">
        <f t="shared" si="51"/>
        <v>2</v>
      </c>
      <c r="Q187">
        <f t="shared" si="52"/>
        <v>6</v>
      </c>
      <c r="R187">
        <f>_xlfn.XLOOKUP(HFrame_List[[#This Row],[Cross piece style]],$AH$2:$AH$4,$AI$2:$AI$4,0,0)*(HFrame_List[[#This Row],[Width between brackets]]/12)</f>
        <v>168.89400000000001</v>
      </c>
      <c r="S187">
        <f>5.46*(HFrame_List[[#This Row],[cross piece quantity]]-1)*(HFrame_List[[#This Row],[Width between brackets]]/12)</f>
        <v>0</v>
      </c>
      <c r="T187" s="5">
        <f>HFrame_List[[#This Row],[Bottom cross piece cost]]+HFrame_List[[#This Row],[Top cross piece cost]]+HFrame_List[[#This Row],[Component costs]]+HFrame_List[[#This Row],[Vertical strut cost]]</f>
        <v>229.71199999999999</v>
      </c>
      <c r="U187" s="7">
        <f>_xlfn.XLOOKUP(HFrame_List[[#This Row],[Fabrication type]],Fabrication_costs[Fabrication type],Fabrication_costs[unit pricing],"no result",0)</f>
        <v>19.8</v>
      </c>
      <c r="V187" s="5">
        <f>SUM(T187:U187)/(1-HFrame_List[[#This Row],[Margin]])</f>
        <v>712.89142857142861</v>
      </c>
      <c r="W187" s="36">
        <f t="shared" si="53"/>
        <v>0.65</v>
      </c>
      <c r="X187" t="s">
        <v>177</v>
      </c>
      <c r="Y187">
        <f>_xlfn.XLOOKUP("A12",Strut_costs[size],Strut_costs[Strut cost])/12*HFrame_List[[#This Row],[Strut height (in)]]*(2+HFrame_List[[#This Row],[Extra supports]])</f>
        <v>32.76</v>
      </c>
      <c r="Z187">
        <f>(_xlfn.XLOOKUP("PHB",CADDY_costs[Component],CADDY_costs[Current cost])*HFrame_List[[#This Row],[Number of feet]])+(_xlfn.XLOOKUP("HFRMHDW",CADDY_costs[Component],CADDY_costs[Current cost])*(HFrame_List[[#This Row],[number of L-brackets]]/2))</f>
        <v>28.058</v>
      </c>
      <c r="AA187">
        <v>3672</v>
      </c>
      <c r="AB187" t="str">
        <f>VLOOKUP(HFrame_List[[#This Row],[lookup]],'Pallet and shipping info'!$A$5:$H$33,6,FALSE)</f>
        <v>x</v>
      </c>
      <c r="AC187">
        <f>VLOOKUP(HFrame_List[[#This Row],[lookup]],'Pallet and shipping info'!$A$5:$H$33,8,FALSE)</f>
        <v>7</v>
      </c>
      <c r="AD187"/>
      <c r="AE187"/>
      <c r="AF187"/>
    </row>
    <row r="188" spans="1:32" x14ac:dyDescent="0.25">
      <c r="A188" s="1" t="s">
        <v>556</v>
      </c>
      <c r="B188" s="1" t="s">
        <v>557</v>
      </c>
      <c r="C188" s="1">
        <f t="shared" si="47"/>
        <v>49.674999999999997</v>
      </c>
      <c r="D188" s="1">
        <f t="shared" si="48"/>
        <v>86.051000000000002</v>
      </c>
      <c r="E188" s="1">
        <v>48</v>
      </c>
      <c r="F188" s="1">
        <v>72</v>
      </c>
      <c r="G188" s="1">
        <f t="shared" si="60"/>
        <v>68.239999999999995</v>
      </c>
      <c r="H188" s="1">
        <v>0</v>
      </c>
      <c r="I188" s="1" t="s">
        <v>186</v>
      </c>
      <c r="J188" s="1">
        <v>1</v>
      </c>
      <c r="K188" s="2">
        <f t="shared" si="49"/>
        <v>72</v>
      </c>
      <c r="L188" s="1">
        <f t="shared" si="50"/>
        <v>2</v>
      </c>
      <c r="M188" s="1">
        <f t="shared" si="61"/>
        <v>6</v>
      </c>
      <c r="N188" s="1">
        <f t="shared" si="62"/>
        <v>2</v>
      </c>
      <c r="O188" s="3">
        <f t="shared" si="63"/>
        <v>14</v>
      </c>
      <c r="P188" s="1">
        <f t="shared" si="51"/>
        <v>2</v>
      </c>
      <c r="Q188">
        <f t="shared" si="52"/>
        <v>6</v>
      </c>
      <c r="R188">
        <f>_xlfn.XLOOKUP(HFrame_List[[#This Row],[Cross piece style]],$AH$2:$AH$4,$AI$2:$AI$4,0,0)*(HFrame_List[[#This Row],[Width between brackets]]/12)</f>
        <v>168.89400000000001</v>
      </c>
      <c r="S188">
        <f>5.46*(HFrame_List[[#This Row],[cross piece quantity]]-1)*(HFrame_List[[#This Row],[Width between brackets]]/12)</f>
        <v>0</v>
      </c>
      <c r="T188" s="5">
        <f>HFrame_List[[#This Row],[Bottom cross piece cost]]+HFrame_List[[#This Row],[Top cross piece cost]]+HFrame_List[[#This Row],[Component costs]]+HFrame_List[[#This Row],[Vertical strut cost]]</f>
        <v>240.63200000000001</v>
      </c>
      <c r="U188" s="7">
        <f>_xlfn.XLOOKUP(HFrame_List[[#This Row],[Fabrication type]],Fabrication_costs[Fabrication type],Fabrication_costs[unit pricing],"no result",0)</f>
        <v>19.8</v>
      </c>
      <c r="V188" s="5">
        <f>SUM(T188:U188)/(1-HFrame_List[[#This Row],[Margin]])</f>
        <v>744.09142857142865</v>
      </c>
      <c r="W188" s="36">
        <f t="shared" si="53"/>
        <v>0.65</v>
      </c>
      <c r="X188" t="s">
        <v>177</v>
      </c>
      <c r="Y188">
        <f>_xlfn.XLOOKUP("A12",Strut_costs[size],Strut_costs[Strut cost])/12*HFrame_List[[#This Row],[Strut height (in)]]*(2+HFrame_List[[#This Row],[Extra supports]])</f>
        <v>43.68</v>
      </c>
      <c r="Z188">
        <f>(_xlfn.XLOOKUP("PHB",CADDY_costs[Component],CADDY_costs[Current cost])*HFrame_List[[#This Row],[Number of feet]])+(_xlfn.XLOOKUP("HFRMHDW",CADDY_costs[Component],CADDY_costs[Current cost])*(HFrame_List[[#This Row],[number of L-brackets]]/2))</f>
        <v>28.058</v>
      </c>
      <c r="AA188">
        <v>4872</v>
      </c>
      <c r="AB188" t="str">
        <f>VLOOKUP(HFrame_List[[#This Row],[lookup]],'Pallet and shipping info'!$A$5:$H$33,6,FALSE)</f>
        <v>x</v>
      </c>
      <c r="AC188">
        <f>VLOOKUP(HFrame_List[[#This Row],[lookup]],'Pallet and shipping info'!$A$5:$H$33,8,FALSE)</f>
        <v>7</v>
      </c>
      <c r="AD188"/>
      <c r="AE188"/>
      <c r="AF188"/>
    </row>
    <row r="189" spans="1:32" x14ac:dyDescent="0.25">
      <c r="A189" s="1" t="s">
        <v>558</v>
      </c>
      <c r="B189" s="1" t="s">
        <v>559</v>
      </c>
      <c r="C189" s="1">
        <f t="shared" si="47"/>
        <v>73.674999999999997</v>
      </c>
      <c r="D189" s="1">
        <f t="shared" si="48"/>
        <v>86.051000000000002</v>
      </c>
      <c r="E189" s="1">
        <v>72</v>
      </c>
      <c r="F189" s="1">
        <v>72</v>
      </c>
      <c r="G189" s="1">
        <f t="shared" si="60"/>
        <v>68.239999999999995</v>
      </c>
      <c r="H189" s="1">
        <v>0</v>
      </c>
      <c r="I189" s="1" t="s">
        <v>186</v>
      </c>
      <c r="J189" s="1">
        <v>1</v>
      </c>
      <c r="K189" s="2">
        <f t="shared" si="49"/>
        <v>72</v>
      </c>
      <c r="L189" s="1">
        <f t="shared" si="50"/>
        <v>2</v>
      </c>
      <c r="M189" s="1">
        <f t="shared" si="61"/>
        <v>6</v>
      </c>
      <c r="N189" s="1">
        <f t="shared" si="62"/>
        <v>2</v>
      </c>
      <c r="O189" s="3">
        <f t="shared" si="63"/>
        <v>18</v>
      </c>
      <c r="P189" s="1">
        <f t="shared" si="51"/>
        <v>2</v>
      </c>
      <c r="Q189">
        <f t="shared" si="52"/>
        <v>6</v>
      </c>
      <c r="R189">
        <f>_xlfn.XLOOKUP(HFrame_List[[#This Row],[Cross piece style]],$AH$2:$AH$4,$AI$2:$AI$4,0,0)*(HFrame_List[[#This Row],[Width between brackets]]/12)</f>
        <v>168.89400000000001</v>
      </c>
      <c r="S189">
        <f>5.46*(HFrame_List[[#This Row],[cross piece quantity]]-1)*(HFrame_List[[#This Row],[Width between brackets]]/12)</f>
        <v>0</v>
      </c>
      <c r="T189" s="5">
        <f>HFrame_List[[#This Row],[Bottom cross piece cost]]+HFrame_List[[#This Row],[Top cross piece cost]]+HFrame_List[[#This Row],[Component costs]]+HFrame_List[[#This Row],[Vertical strut cost]]</f>
        <v>262.47199999999998</v>
      </c>
      <c r="U189" s="7">
        <f>_xlfn.XLOOKUP(HFrame_List[[#This Row],[Fabrication type]],Fabrication_costs[Fabrication type],Fabrication_costs[unit pricing],"no result",0)</f>
        <v>19.8</v>
      </c>
      <c r="V189" s="5">
        <f>SUM(T189:U189)/(1-HFrame_List[[#This Row],[Margin]])</f>
        <v>806.49142857142863</v>
      </c>
      <c r="W189" s="36">
        <f t="shared" si="53"/>
        <v>0.65</v>
      </c>
      <c r="X189" t="s">
        <v>177</v>
      </c>
      <c r="Y189">
        <f>_xlfn.XLOOKUP("A12",Strut_costs[size],Strut_costs[Strut cost])/12*HFrame_List[[#This Row],[Strut height (in)]]*(2+HFrame_List[[#This Row],[Extra supports]])</f>
        <v>65.52</v>
      </c>
      <c r="Z189">
        <f>(_xlfn.XLOOKUP("PHB",CADDY_costs[Component],CADDY_costs[Current cost])*HFrame_List[[#This Row],[Number of feet]])+(_xlfn.XLOOKUP("HFRMHDW",CADDY_costs[Component],CADDY_costs[Current cost])*(HFrame_List[[#This Row],[number of L-brackets]]/2))</f>
        <v>28.058</v>
      </c>
      <c r="AA189">
        <v>7272</v>
      </c>
      <c r="AB189" t="str">
        <f>VLOOKUP(HFrame_List[[#This Row],[lookup]],'Pallet and shipping info'!$A$5:$H$33,6,FALSE)</f>
        <v>x</v>
      </c>
      <c r="AC189">
        <f>VLOOKUP(HFrame_List[[#This Row],[lookup]],'Pallet and shipping info'!$A$5:$H$33,8,FALSE)</f>
        <v>7</v>
      </c>
      <c r="AD189"/>
      <c r="AE189"/>
      <c r="AF189"/>
    </row>
    <row r="190" spans="1:32" x14ac:dyDescent="0.25">
      <c r="A190" s="1" t="s">
        <v>560</v>
      </c>
      <c r="B190" s="1" t="s">
        <v>561</v>
      </c>
      <c r="C190" s="1">
        <f t="shared" si="47"/>
        <v>25.675000000000001</v>
      </c>
      <c r="D190" s="1">
        <f t="shared" si="48"/>
        <v>98.051000000000002</v>
      </c>
      <c r="E190" s="1">
        <v>24</v>
      </c>
      <c r="F190" s="1">
        <v>84</v>
      </c>
      <c r="G190" s="1">
        <f t="shared" si="60"/>
        <v>80.239999999999995</v>
      </c>
      <c r="H190" s="1">
        <v>0</v>
      </c>
      <c r="I190" s="1" t="s">
        <v>186</v>
      </c>
      <c r="J190" s="1">
        <v>1</v>
      </c>
      <c r="K190" s="2">
        <f t="shared" si="49"/>
        <v>84</v>
      </c>
      <c r="L190" s="1">
        <f t="shared" si="50"/>
        <v>2</v>
      </c>
      <c r="M190" s="1">
        <f t="shared" si="61"/>
        <v>6</v>
      </c>
      <c r="N190" s="1">
        <f t="shared" si="62"/>
        <v>2</v>
      </c>
      <c r="O190" s="3">
        <f t="shared" si="63"/>
        <v>11</v>
      </c>
      <c r="P190" s="1">
        <f t="shared" si="51"/>
        <v>2</v>
      </c>
      <c r="Q190">
        <f t="shared" si="52"/>
        <v>6</v>
      </c>
      <c r="R190">
        <f>_xlfn.XLOOKUP(HFrame_List[[#This Row],[Cross piece style]],$AH$2:$AH$4,$AI$2:$AI$4,0,0)*(HFrame_List[[#This Row],[Width between brackets]]/12)</f>
        <v>198.59399999999999</v>
      </c>
      <c r="S190">
        <f>5.46*(HFrame_List[[#This Row],[cross piece quantity]]-1)*(HFrame_List[[#This Row],[Width between brackets]]/12)</f>
        <v>0</v>
      </c>
      <c r="T190" s="5">
        <f>HFrame_List[[#This Row],[Bottom cross piece cost]]+HFrame_List[[#This Row],[Top cross piece cost]]+HFrame_List[[#This Row],[Component costs]]+HFrame_List[[#This Row],[Vertical strut cost]]</f>
        <v>248.49199999999999</v>
      </c>
      <c r="U190" s="7">
        <f>_xlfn.XLOOKUP(HFrame_List[[#This Row],[Fabrication type]],Fabrication_costs[Fabrication type],Fabrication_costs[unit pricing],"no result",0)</f>
        <v>19.8</v>
      </c>
      <c r="V190" s="5">
        <f>SUM(T190:U190)/(1-HFrame_List[[#This Row],[Margin]])</f>
        <v>766.54857142857145</v>
      </c>
      <c r="W190" s="36">
        <f t="shared" si="53"/>
        <v>0.65</v>
      </c>
      <c r="X190" t="s">
        <v>177</v>
      </c>
      <c r="Y190">
        <f>_xlfn.XLOOKUP("A12",Strut_costs[size],Strut_costs[Strut cost])/12*HFrame_List[[#This Row],[Strut height (in)]]*(2+HFrame_List[[#This Row],[Extra supports]])</f>
        <v>21.84</v>
      </c>
      <c r="Z190">
        <f>(_xlfn.XLOOKUP("PHB",CADDY_costs[Component],CADDY_costs[Current cost])*HFrame_List[[#This Row],[Number of feet]])+(_xlfn.XLOOKUP("HFRMHDW",CADDY_costs[Component],CADDY_costs[Current cost])*(HFrame_List[[#This Row],[number of L-brackets]]/2))</f>
        <v>28.058</v>
      </c>
      <c r="AA190">
        <v>2484</v>
      </c>
      <c r="AB190" t="str">
        <f>VLOOKUP(HFrame_List[[#This Row],[lookup]],'Pallet and shipping info'!$A$5:$H$33,6,FALSE)</f>
        <v>x</v>
      </c>
      <c r="AC190">
        <f>VLOOKUP(HFrame_List[[#This Row],[lookup]],'Pallet and shipping info'!$A$5:$H$33,8,FALSE)</f>
        <v>7</v>
      </c>
      <c r="AD190"/>
      <c r="AE190"/>
      <c r="AF190"/>
    </row>
    <row r="191" spans="1:32" x14ac:dyDescent="0.25">
      <c r="A191" s="1" t="s">
        <v>562</v>
      </c>
      <c r="B191" s="1" t="s">
        <v>563</v>
      </c>
      <c r="C191" s="1">
        <f t="shared" si="47"/>
        <v>37.674999999999997</v>
      </c>
      <c r="D191" s="1">
        <f t="shared" si="48"/>
        <v>98.051000000000002</v>
      </c>
      <c r="E191" s="1">
        <v>36</v>
      </c>
      <c r="F191" s="1">
        <v>84</v>
      </c>
      <c r="G191" s="1">
        <f t="shared" si="60"/>
        <v>80.239999999999995</v>
      </c>
      <c r="H191" s="1">
        <v>0</v>
      </c>
      <c r="I191" s="1" t="s">
        <v>186</v>
      </c>
      <c r="J191" s="1">
        <v>1</v>
      </c>
      <c r="K191" s="2">
        <f t="shared" si="49"/>
        <v>84</v>
      </c>
      <c r="L191" s="1">
        <f t="shared" si="50"/>
        <v>2</v>
      </c>
      <c r="M191" s="1">
        <f t="shared" si="61"/>
        <v>6</v>
      </c>
      <c r="N191" s="1">
        <f t="shared" si="62"/>
        <v>2</v>
      </c>
      <c r="O191" s="3">
        <f t="shared" si="63"/>
        <v>13</v>
      </c>
      <c r="P191" s="1">
        <f t="shared" si="51"/>
        <v>2</v>
      </c>
      <c r="Q191">
        <f t="shared" si="52"/>
        <v>6</v>
      </c>
      <c r="R191">
        <f>_xlfn.XLOOKUP(HFrame_List[[#This Row],[Cross piece style]],$AH$2:$AH$4,$AI$2:$AI$4,0,0)*(HFrame_List[[#This Row],[Width between brackets]]/12)</f>
        <v>198.59399999999999</v>
      </c>
      <c r="S191">
        <f>5.46*(HFrame_List[[#This Row],[cross piece quantity]]-1)*(HFrame_List[[#This Row],[Width between brackets]]/12)</f>
        <v>0</v>
      </c>
      <c r="T191" s="5">
        <f>HFrame_List[[#This Row],[Bottom cross piece cost]]+HFrame_List[[#This Row],[Top cross piece cost]]+HFrame_List[[#This Row],[Component costs]]+HFrame_List[[#This Row],[Vertical strut cost]]</f>
        <v>259.41199999999998</v>
      </c>
      <c r="U191" s="7">
        <f>_xlfn.XLOOKUP(HFrame_List[[#This Row],[Fabrication type]],Fabrication_costs[Fabrication type],Fabrication_costs[unit pricing],"no result",0)</f>
        <v>19.8</v>
      </c>
      <c r="V191" s="5">
        <f>SUM(T191:U191)/(1-HFrame_List[[#This Row],[Margin]])</f>
        <v>797.74857142857149</v>
      </c>
      <c r="W191" s="36">
        <f t="shared" si="53"/>
        <v>0.65</v>
      </c>
      <c r="X191" t="s">
        <v>177</v>
      </c>
      <c r="Y191">
        <f>_xlfn.XLOOKUP("A12",Strut_costs[size],Strut_costs[Strut cost])/12*HFrame_List[[#This Row],[Strut height (in)]]*(2+HFrame_List[[#This Row],[Extra supports]])</f>
        <v>32.76</v>
      </c>
      <c r="Z191">
        <f>(_xlfn.XLOOKUP("PHB",CADDY_costs[Component],CADDY_costs[Current cost])*HFrame_List[[#This Row],[Number of feet]])+(_xlfn.XLOOKUP("HFRMHDW",CADDY_costs[Component],CADDY_costs[Current cost])*(HFrame_List[[#This Row],[number of L-brackets]]/2))</f>
        <v>28.058</v>
      </c>
      <c r="AA191">
        <v>3684</v>
      </c>
      <c r="AB191" t="str">
        <f>VLOOKUP(HFrame_List[[#This Row],[lookup]],'Pallet and shipping info'!$A$5:$H$33,6,FALSE)</f>
        <v>x</v>
      </c>
      <c r="AC191">
        <f>VLOOKUP(HFrame_List[[#This Row],[lookup]],'Pallet and shipping info'!$A$5:$H$33,8,FALSE)</f>
        <v>7</v>
      </c>
      <c r="AD191"/>
      <c r="AE191"/>
      <c r="AF191"/>
    </row>
    <row r="192" spans="1:32" x14ac:dyDescent="0.25">
      <c r="A192" s="1" t="s">
        <v>564</v>
      </c>
      <c r="B192" s="1" t="s">
        <v>565</v>
      </c>
      <c r="C192" s="1">
        <f t="shared" si="47"/>
        <v>49.674999999999997</v>
      </c>
      <c r="D192" s="1">
        <f t="shared" si="48"/>
        <v>98.051000000000002</v>
      </c>
      <c r="E192" s="1">
        <v>48</v>
      </c>
      <c r="F192" s="1">
        <v>84</v>
      </c>
      <c r="G192" s="1">
        <f t="shared" si="60"/>
        <v>80.239999999999995</v>
      </c>
      <c r="H192" s="1">
        <v>0</v>
      </c>
      <c r="I192" s="1" t="s">
        <v>186</v>
      </c>
      <c r="J192" s="1">
        <v>1</v>
      </c>
      <c r="K192" s="2">
        <f t="shared" si="49"/>
        <v>84</v>
      </c>
      <c r="L192" s="1">
        <f t="shared" si="50"/>
        <v>2</v>
      </c>
      <c r="M192" s="1">
        <f t="shared" si="61"/>
        <v>6</v>
      </c>
      <c r="N192" s="1">
        <f t="shared" si="62"/>
        <v>2</v>
      </c>
      <c r="O192" s="3">
        <f t="shared" si="63"/>
        <v>15</v>
      </c>
      <c r="P192" s="1">
        <f t="shared" si="51"/>
        <v>2</v>
      </c>
      <c r="Q192">
        <f t="shared" si="52"/>
        <v>6</v>
      </c>
      <c r="R192">
        <f>_xlfn.XLOOKUP(HFrame_List[[#This Row],[Cross piece style]],$AH$2:$AH$4,$AI$2:$AI$4,0,0)*(HFrame_List[[#This Row],[Width between brackets]]/12)</f>
        <v>198.59399999999999</v>
      </c>
      <c r="S192">
        <f>5.46*(HFrame_List[[#This Row],[cross piece quantity]]-1)*(HFrame_List[[#This Row],[Width between brackets]]/12)</f>
        <v>0</v>
      </c>
      <c r="T192" s="5">
        <f>HFrame_List[[#This Row],[Bottom cross piece cost]]+HFrame_List[[#This Row],[Top cross piece cost]]+HFrame_List[[#This Row],[Component costs]]+HFrame_List[[#This Row],[Vertical strut cost]]</f>
        <v>270.33199999999999</v>
      </c>
      <c r="U192" s="7">
        <f>_xlfn.XLOOKUP(HFrame_List[[#This Row],[Fabrication type]],Fabrication_costs[Fabrication type],Fabrication_costs[unit pricing],"no result",0)</f>
        <v>19.8</v>
      </c>
      <c r="V192" s="5">
        <f>SUM(T192:U192)/(1-HFrame_List[[#This Row],[Margin]])</f>
        <v>828.94857142857154</v>
      </c>
      <c r="W192" s="36">
        <f t="shared" si="53"/>
        <v>0.65</v>
      </c>
      <c r="X192" t="s">
        <v>177</v>
      </c>
      <c r="Y192">
        <f>_xlfn.XLOOKUP("A12",Strut_costs[size],Strut_costs[Strut cost])/12*HFrame_List[[#This Row],[Strut height (in)]]*(2+HFrame_List[[#This Row],[Extra supports]])</f>
        <v>43.68</v>
      </c>
      <c r="Z192">
        <f>(_xlfn.XLOOKUP("PHB",CADDY_costs[Component],CADDY_costs[Current cost])*HFrame_List[[#This Row],[Number of feet]])+(_xlfn.XLOOKUP("HFRMHDW",CADDY_costs[Component],CADDY_costs[Current cost])*(HFrame_List[[#This Row],[number of L-brackets]]/2))</f>
        <v>28.058</v>
      </c>
      <c r="AA192">
        <v>4884</v>
      </c>
      <c r="AB192" t="str">
        <f>VLOOKUP(HFrame_List[[#This Row],[lookup]],'Pallet and shipping info'!$A$5:$H$33,6,FALSE)</f>
        <v>x</v>
      </c>
      <c r="AC192">
        <f>VLOOKUP(HFrame_List[[#This Row],[lookup]],'Pallet and shipping info'!$A$5:$H$33,8,FALSE)</f>
        <v>7</v>
      </c>
      <c r="AD192"/>
      <c r="AE192"/>
      <c r="AF192"/>
    </row>
    <row r="193" spans="1:32" x14ac:dyDescent="0.25">
      <c r="A193" s="1" t="s">
        <v>566</v>
      </c>
      <c r="B193" s="1" t="s">
        <v>567</v>
      </c>
      <c r="C193" s="1">
        <f t="shared" si="47"/>
        <v>73.674999999999997</v>
      </c>
      <c r="D193" s="1">
        <f t="shared" si="48"/>
        <v>98.051000000000002</v>
      </c>
      <c r="E193" s="1">
        <v>72</v>
      </c>
      <c r="F193" s="1">
        <v>84</v>
      </c>
      <c r="G193" s="1">
        <f t="shared" si="60"/>
        <v>80.239999999999995</v>
      </c>
      <c r="H193" s="1">
        <v>0</v>
      </c>
      <c r="I193" s="1" t="s">
        <v>186</v>
      </c>
      <c r="J193" s="1">
        <v>1</v>
      </c>
      <c r="K193" s="2">
        <f t="shared" si="49"/>
        <v>84</v>
      </c>
      <c r="L193" s="1">
        <f t="shared" si="50"/>
        <v>2</v>
      </c>
      <c r="M193" s="1">
        <f t="shared" si="61"/>
        <v>6</v>
      </c>
      <c r="N193" s="1">
        <f t="shared" si="62"/>
        <v>2</v>
      </c>
      <c r="O193" s="3">
        <f t="shared" si="63"/>
        <v>19</v>
      </c>
      <c r="P193" s="1">
        <f t="shared" si="51"/>
        <v>2</v>
      </c>
      <c r="Q193">
        <f t="shared" si="52"/>
        <v>6</v>
      </c>
      <c r="R193">
        <f>_xlfn.XLOOKUP(HFrame_List[[#This Row],[Cross piece style]],$AH$2:$AH$4,$AI$2:$AI$4,0,0)*(HFrame_List[[#This Row],[Width between brackets]]/12)</f>
        <v>198.59399999999999</v>
      </c>
      <c r="S193">
        <f>5.46*(HFrame_List[[#This Row],[cross piece quantity]]-1)*(HFrame_List[[#This Row],[Width between brackets]]/12)</f>
        <v>0</v>
      </c>
      <c r="T193" s="5">
        <f>HFrame_List[[#This Row],[Bottom cross piece cost]]+HFrame_List[[#This Row],[Top cross piece cost]]+HFrame_List[[#This Row],[Component costs]]+HFrame_List[[#This Row],[Vertical strut cost]]</f>
        <v>292.17199999999997</v>
      </c>
      <c r="U193" s="7">
        <f>_xlfn.XLOOKUP(HFrame_List[[#This Row],[Fabrication type]],Fabrication_costs[Fabrication type],Fabrication_costs[unit pricing],"no result",0)</f>
        <v>30</v>
      </c>
      <c r="V193" s="5">
        <f>SUM(T193:U193)/(1-HFrame_List[[#This Row],[Margin]])</f>
        <v>920.49142857142851</v>
      </c>
      <c r="W193" s="36">
        <f t="shared" si="53"/>
        <v>0.65</v>
      </c>
      <c r="X193" t="s">
        <v>193</v>
      </c>
      <c r="Y193">
        <f>_xlfn.XLOOKUP("A12",Strut_costs[size],Strut_costs[Strut cost])/12*HFrame_List[[#This Row],[Strut height (in)]]*(2+HFrame_List[[#This Row],[Extra supports]])</f>
        <v>65.52</v>
      </c>
      <c r="Z193">
        <f>(_xlfn.XLOOKUP("PHB",CADDY_costs[Component],CADDY_costs[Current cost])*HFrame_List[[#This Row],[Number of feet]])+(_xlfn.XLOOKUP("HFRMHDW",CADDY_costs[Component],CADDY_costs[Current cost])*(HFrame_List[[#This Row],[number of L-brackets]]/2))</f>
        <v>28.058</v>
      </c>
      <c r="AA193">
        <v>7284</v>
      </c>
      <c r="AB193" t="str">
        <f>VLOOKUP(HFrame_List[[#This Row],[lookup]],'Pallet and shipping info'!$A$5:$H$33,6,FALSE)</f>
        <v>x</v>
      </c>
      <c r="AC193">
        <f>VLOOKUP(HFrame_List[[#This Row],[lookup]],'Pallet and shipping info'!$A$5:$H$33,8,FALSE)</f>
        <v>7</v>
      </c>
      <c r="AD193"/>
      <c r="AE193"/>
      <c r="AF193"/>
    </row>
    <row r="194" spans="1:32" x14ac:dyDescent="0.25">
      <c r="A194" s="1" t="s">
        <v>568</v>
      </c>
      <c r="B194" s="1" t="s">
        <v>569</v>
      </c>
      <c r="C194" s="1">
        <f t="shared" ref="C194:C241" si="66">E194+1.675</f>
        <v>25.675000000000001</v>
      </c>
      <c r="D194" s="1">
        <f t="shared" ref="D194:D241" si="67">F194+1.675+12.376</f>
        <v>34.051000000000002</v>
      </c>
      <c r="E194" s="1">
        <v>24</v>
      </c>
      <c r="F194" s="1">
        <v>20</v>
      </c>
      <c r="G194" s="1">
        <f>F194-(1.88*2)</f>
        <v>16.240000000000002</v>
      </c>
      <c r="H194" s="1">
        <v>1</v>
      </c>
      <c r="I194" s="1" t="s">
        <v>186</v>
      </c>
      <c r="J194" s="1">
        <v>1</v>
      </c>
      <c r="K194" s="2">
        <f t="shared" ref="K194:K241" si="68">((F194)/(L194-1))-(H194*0.8125)</f>
        <v>9.1875</v>
      </c>
      <c r="L194" s="1">
        <f t="shared" ref="L194:L241" si="69">2+(H194)</f>
        <v>3</v>
      </c>
      <c r="M194" s="1">
        <f>3*N194</f>
        <v>12</v>
      </c>
      <c r="N194" s="1">
        <f>(2+(2*H194))*J194</f>
        <v>4</v>
      </c>
      <c r="O194" s="3">
        <f t="shared" si="63"/>
        <v>9.6666666666666661</v>
      </c>
      <c r="P194" s="1">
        <f t="shared" si="51"/>
        <v>1</v>
      </c>
      <c r="Q194">
        <f t="shared" si="52"/>
        <v>8</v>
      </c>
      <c r="R194">
        <f>_xlfn.XLOOKUP(HFrame_List[[#This Row],[Cross piece style]],$AH$2:$AH$4,$AI$2:$AI$4,0,0)*(HFrame_List[[#This Row],[Width between brackets]]/12)</f>
        <v>40.194000000000003</v>
      </c>
      <c r="S194">
        <f>5.46*(HFrame_List[[#This Row],[cross piece quantity]]-1)*(HFrame_List[[#This Row],[Width between brackets]]/12)</f>
        <v>0</v>
      </c>
      <c r="T194" s="5">
        <f>HFrame_List[[#This Row],[Bottom cross piece cost]]+HFrame_List[[#This Row],[Top cross piece cost]]+HFrame_List[[#This Row],[Component costs]]+HFrame_List[[#This Row],[Vertical strut cost]]</f>
        <v>119.774</v>
      </c>
      <c r="U194" s="7">
        <f>_xlfn.XLOOKUP(HFrame_List[[#This Row],[Fabrication type]],Fabrication_costs[Fabrication type],Fabrication_costs[unit pricing],"no result",0)</f>
        <v>30</v>
      </c>
      <c r="V194" s="5">
        <f>SUM(T194:U194)/(1-HFrame_List[[#This Row],[Margin]])</f>
        <v>427.92571428571432</v>
      </c>
      <c r="W194" s="36">
        <f t="shared" si="53"/>
        <v>0.65</v>
      </c>
      <c r="X194" t="s">
        <v>193</v>
      </c>
      <c r="Y194">
        <f>_xlfn.XLOOKUP("A12",Strut_costs[size],Strut_costs[Strut cost])/12*HFrame_List[[#This Row],[Strut height (in)]]*(2+HFrame_List[[#This Row],[Extra supports]])</f>
        <v>32.76</v>
      </c>
      <c r="Z194">
        <f>(_xlfn.XLOOKUP("PHB",CADDY_costs[Component],CADDY_costs[Current cost])*HFrame_List[[#This Row],[Number of feet]])+(_xlfn.XLOOKUP("HFRMHDW",CADDY_costs[Component],CADDY_costs[Current cost])*(HFrame_List[[#This Row],[number of L-brackets]]/2))</f>
        <v>46.819999999999993</v>
      </c>
      <c r="AA194">
        <v>2420</v>
      </c>
      <c r="AB194">
        <f>VLOOKUP(HFrame_List[[#This Row],[lookup]],'Pallet and shipping info'!$A$5:$H$33,6,FALSE)</f>
        <v>11</v>
      </c>
      <c r="AC194">
        <f>VLOOKUP(HFrame_List[[#This Row],[lookup]],'Pallet and shipping info'!$A$5:$H$33,8,FALSE)</f>
        <v>15</v>
      </c>
      <c r="AD194"/>
      <c r="AE194"/>
      <c r="AF194"/>
    </row>
    <row r="195" spans="1:32" x14ac:dyDescent="0.25">
      <c r="A195" s="1" t="s">
        <v>570</v>
      </c>
      <c r="B195" s="1" t="s">
        <v>571</v>
      </c>
      <c r="C195" s="1">
        <f t="shared" si="66"/>
        <v>37.674999999999997</v>
      </c>
      <c r="D195" s="1">
        <f t="shared" si="67"/>
        <v>34.051000000000002</v>
      </c>
      <c r="E195" s="1">
        <v>36</v>
      </c>
      <c r="F195" s="1">
        <f>F194</f>
        <v>20</v>
      </c>
      <c r="G195" s="1">
        <f t="shared" ref="G195:G217" si="70">F195-(1.88*2)</f>
        <v>16.240000000000002</v>
      </c>
      <c r="H195" s="1">
        <v>1</v>
      </c>
      <c r="I195" s="1" t="s">
        <v>186</v>
      </c>
      <c r="J195" s="1">
        <v>1</v>
      </c>
      <c r="K195" s="2">
        <f t="shared" si="68"/>
        <v>9.1875</v>
      </c>
      <c r="L195" s="1">
        <f t="shared" si="69"/>
        <v>3</v>
      </c>
      <c r="M195" s="1">
        <f t="shared" ref="M195:M217" si="71">3*N195</f>
        <v>12</v>
      </c>
      <c r="N195" s="1">
        <f t="shared" ref="N195:N217" si="72">(2+(2*H195))*J195</f>
        <v>4</v>
      </c>
      <c r="O195" s="3">
        <f t="shared" si="63"/>
        <v>13.666666666666666</v>
      </c>
      <c r="P195" s="1">
        <f t="shared" ref="P195:P241" si="73">ROUNDUP(O195/10,0)</f>
        <v>2</v>
      </c>
      <c r="Q195">
        <f t="shared" ref="Q195:Q241" si="74">2*(L195+J195)</f>
        <v>8</v>
      </c>
      <c r="R195">
        <f>_xlfn.XLOOKUP(HFrame_List[[#This Row],[Cross piece style]],$AH$2:$AH$4,$AI$2:$AI$4,0,0)*(HFrame_List[[#This Row],[Width between brackets]]/12)</f>
        <v>40.194000000000003</v>
      </c>
      <c r="S195">
        <f>5.46*(HFrame_List[[#This Row],[cross piece quantity]]-1)*(HFrame_List[[#This Row],[Width between brackets]]/12)</f>
        <v>0</v>
      </c>
      <c r="T195" s="5">
        <f>HFrame_List[[#This Row],[Bottom cross piece cost]]+HFrame_List[[#This Row],[Top cross piece cost]]+HFrame_List[[#This Row],[Component costs]]+HFrame_List[[#This Row],[Vertical strut cost]]</f>
        <v>136.154</v>
      </c>
      <c r="U195" s="7">
        <f>_xlfn.XLOOKUP(HFrame_List[[#This Row],[Fabrication type]],Fabrication_costs[Fabrication type],Fabrication_costs[unit pricing],"no result",0)</f>
        <v>30</v>
      </c>
      <c r="V195" s="5">
        <f>SUM(T195:U195)/(1-HFrame_List[[#This Row],[Margin]])</f>
        <v>474.72571428571433</v>
      </c>
      <c r="W195" s="36">
        <f t="shared" si="53"/>
        <v>0.65</v>
      </c>
      <c r="X195" t="s">
        <v>193</v>
      </c>
      <c r="Y195">
        <f>_xlfn.XLOOKUP("A12",Strut_costs[size],Strut_costs[Strut cost])/12*HFrame_List[[#This Row],[Strut height (in)]]*(2+HFrame_List[[#This Row],[Extra supports]])</f>
        <v>49.14</v>
      </c>
      <c r="Z195">
        <f>(_xlfn.XLOOKUP("PHB",CADDY_costs[Component],CADDY_costs[Current cost])*HFrame_List[[#This Row],[Number of feet]])+(_xlfn.XLOOKUP("HFRMHDW",CADDY_costs[Component],CADDY_costs[Current cost])*(HFrame_List[[#This Row],[number of L-brackets]]/2))</f>
        <v>46.819999999999993</v>
      </c>
      <c r="AA195">
        <v>3620</v>
      </c>
      <c r="AB195">
        <f>VLOOKUP(HFrame_List[[#This Row],[lookup]],'Pallet and shipping info'!$A$5:$H$33,6,FALSE)</f>
        <v>11</v>
      </c>
      <c r="AC195">
        <f>VLOOKUP(HFrame_List[[#This Row],[lookup]],'Pallet and shipping info'!$A$5:$H$33,8,FALSE)</f>
        <v>15</v>
      </c>
      <c r="AD195"/>
      <c r="AE195"/>
      <c r="AF195"/>
    </row>
    <row r="196" spans="1:32" x14ac:dyDescent="0.25">
      <c r="A196" s="1" t="s">
        <v>572</v>
      </c>
      <c r="B196" s="1" t="s">
        <v>573</v>
      </c>
      <c r="C196" s="1">
        <f t="shared" si="66"/>
        <v>49.674999999999997</v>
      </c>
      <c r="D196" s="1">
        <f t="shared" si="67"/>
        <v>34.051000000000002</v>
      </c>
      <c r="E196" s="1">
        <v>48</v>
      </c>
      <c r="F196" s="1">
        <f t="shared" ref="F196:F197" si="75">F195</f>
        <v>20</v>
      </c>
      <c r="G196" s="1">
        <f t="shared" si="70"/>
        <v>16.240000000000002</v>
      </c>
      <c r="H196" s="1">
        <v>1</v>
      </c>
      <c r="I196" s="1" t="s">
        <v>186</v>
      </c>
      <c r="J196" s="1">
        <v>1</v>
      </c>
      <c r="K196" s="2">
        <f t="shared" si="68"/>
        <v>9.1875</v>
      </c>
      <c r="L196" s="1">
        <f t="shared" si="69"/>
        <v>3</v>
      </c>
      <c r="M196" s="1">
        <f t="shared" si="71"/>
        <v>12</v>
      </c>
      <c r="N196" s="1">
        <f t="shared" si="72"/>
        <v>4</v>
      </c>
      <c r="O196" s="3">
        <f t="shared" si="63"/>
        <v>17.666666666666668</v>
      </c>
      <c r="P196" s="1">
        <f t="shared" si="73"/>
        <v>2</v>
      </c>
      <c r="Q196">
        <f t="shared" si="74"/>
        <v>8</v>
      </c>
      <c r="R196">
        <f>_xlfn.XLOOKUP(HFrame_List[[#This Row],[Cross piece style]],$AH$2:$AH$4,$AI$2:$AI$4,0,0)*(HFrame_List[[#This Row],[Width between brackets]]/12)</f>
        <v>40.194000000000003</v>
      </c>
      <c r="S196">
        <f>5.46*(HFrame_List[[#This Row],[cross piece quantity]]-1)*(HFrame_List[[#This Row],[Width between brackets]]/12)</f>
        <v>0</v>
      </c>
      <c r="T196" s="5">
        <f>HFrame_List[[#This Row],[Bottom cross piece cost]]+HFrame_List[[#This Row],[Top cross piece cost]]+HFrame_List[[#This Row],[Component costs]]+HFrame_List[[#This Row],[Vertical strut cost]]</f>
        <v>152.53399999999999</v>
      </c>
      <c r="U196" s="7">
        <f>_xlfn.XLOOKUP(HFrame_List[[#This Row],[Fabrication type]],Fabrication_costs[Fabrication type],Fabrication_costs[unit pricing],"no result",0)</f>
        <v>30</v>
      </c>
      <c r="V196" s="5">
        <f>SUM(T196:U196)/(1-HFrame_List[[#This Row],[Margin]])</f>
        <v>521.52571428571434</v>
      </c>
      <c r="W196" s="36">
        <f t="shared" ref="W196:W241" si="76">W195</f>
        <v>0.65</v>
      </c>
      <c r="X196" t="s">
        <v>193</v>
      </c>
      <c r="Y196">
        <f>_xlfn.XLOOKUP("A12",Strut_costs[size],Strut_costs[Strut cost])/12*HFrame_List[[#This Row],[Strut height (in)]]*(2+HFrame_List[[#This Row],[Extra supports]])</f>
        <v>65.52</v>
      </c>
      <c r="Z196">
        <f>(_xlfn.XLOOKUP("PHB",CADDY_costs[Component],CADDY_costs[Current cost])*HFrame_List[[#This Row],[Number of feet]])+(_xlfn.XLOOKUP("HFRMHDW",CADDY_costs[Component],CADDY_costs[Current cost])*(HFrame_List[[#This Row],[number of L-brackets]]/2))</f>
        <v>46.819999999999993</v>
      </c>
      <c r="AA196">
        <v>4820</v>
      </c>
      <c r="AB196">
        <f>VLOOKUP(HFrame_List[[#This Row],[lookup]],'Pallet and shipping info'!$A$5:$H$33,6,FALSE)</f>
        <v>11</v>
      </c>
      <c r="AC196">
        <f>VLOOKUP(HFrame_List[[#This Row],[lookup]],'Pallet and shipping info'!$A$5:$H$33,8,FALSE)</f>
        <v>15</v>
      </c>
      <c r="AD196"/>
      <c r="AE196"/>
      <c r="AF196"/>
    </row>
    <row r="197" spans="1:32" x14ac:dyDescent="0.25">
      <c r="A197" s="1" t="s">
        <v>574</v>
      </c>
      <c r="B197" s="1" t="s">
        <v>575</v>
      </c>
      <c r="C197" s="1">
        <f t="shared" si="66"/>
        <v>73.674999999999997</v>
      </c>
      <c r="D197" s="1">
        <f t="shared" si="67"/>
        <v>34.051000000000002</v>
      </c>
      <c r="E197" s="1">
        <v>72</v>
      </c>
      <c r="F197" s="1">
        <f t="shared" si="75"/>
        <v>20</v>
      </c>
      <c r="G197" s="1">
        <f t="shared" si="70"/>
        <v>16.240000000000002</v>
      </c>
      <c r="H197" s="1">
        <v>1</v>
      </c>
      <c r="I197" s="1" t="s">
        <v>186</v>
      </c>
      <c r="J197" s="1">
        <v>1</v>
      </c>
      <c r="K197" s="2">
        <f t="shared" si="68"/>
        <v>9.1875</v>
      </c>
      <c r="L197" s="1">
        <f t="shared" si="69"/>
        <v>3</v>
      </c>
      <c r="M197" s="1">
        <f t="shared" si="71"/>
        <v>12</v>
      </c>
      <c r="N197" s="1">
        <f t="shared" si="72"/>
        <v>4</v>
      </c>
      <c r="O197" s="3">
        <f t="shared" si="63"/>
        <v>25.666666666666668</v>
      </c>
      <c r="P197" s="1">
        <f t="shared" si="73"/>
        <v>3</v>
      </c>
      <c r="Q197">
        <f t="shared" si="74"/>
        <v>8</v>
      </c>
      <c r="R197">
        <f>_xlfn.XLOOKUP(HFrame_List[[#This Row],[Cross piece style]],$AH$2:$AH$4,$AI$2:$AI$4,0,0)*(HFrame_List[[#This Row],[Width between brackets]]/12)</f>
        <v>40.194000000000003</v>
      </c>
      <c r="S197">
        <f>5.46*(HFrame_List[[#This Row],[cross piece quantity]]-1)*(HFrame_List[[#This Row],[Width between brackets]]/12)</f>
        <v>0</v>
      </c>
      <c r="T197" s="5">
        <f>HFrame_List[[#This Row],[Bottom cross piece cost]]+HFrame_List[[#This Row],[Top cross piece cost]]+HFrame_List[[#This Row],[Component costs]]+HFrame_List[[#This Row],[Vertical strut cost]]</f>
        <v>185.29399999999998</v>
      </c>
      <c r="U197" s="7">
        <f>_xlfn.XLOOKUP(HFrame_List[[#This Row],[Fabrication type]],Fabrication_costs[Fabrication type],Fabrication_costs[unit pricing],"no result",0)</f>
        <v>30</v>
      </c>
      <c r="V197" s="5">
        <f>SUM(T197:U197)/(1-HFrame_List[[#This Row],[Margin]])</f>
        <v>615.12571428571425</v>
      </c>
      <c r="W197" s="36">
        <f t="shared" si="76"/>
        <v>0.65</v>
      </c>
      <c r="X197" t="s">
        <v>193</v>
      </c>
      <c r="Y197">
        <f>_xlfn.XLOOKUP("A12",Strut_costs[size],Strut_costs[Strut cost])/12*HFrame_List[[#This Row],[Strut height (in)]]*(2+HFrame_List[[#This Row],[Extra supports]])</f>
        <v>98.28</v>
      </c>
      <c r="Z197">
        <f>(_xlfn.XLOOKUP("PHB",CADDY_costs[Component],CADDY_costs[Current cost])*HFrame_List[[#This Row],[Number of feet]])+(_xlfn.XLOOKUP("HFRMHDW",CADDY_costs[Component],CADDY_costs[Current cost])*(HFrame_List[[#This Row],[number of L-brackets]]/2))</f>
        <v>46.819999999999993</v>
      </c>
      <c r="AA197">
        <v>7220</v>
      </c>
      <c r="AB197">
        <f>VLOOKUP(HFrame_List[[#This Row],[lookup]],'Pallet and shipping info'!$A$5:$H$33,6,FALSE)</f>
        <v>11</v>
      </c>
      <c r="AC197">
        <f>VLOOKUP(HFrame_List[[#This Row],[lookup]],'Pallet and shipping info'!$A$5:$H$33,8,FALSE)</f>
        <v>15</v>
      </c>
      <c r="AD197"/>
      <c r="AE197"/>
      <c r="AF197"/>
    </row>
    <row r="198" spans="1:32" x14ac:dyDescent="0.25">
      <c r="A198" s="1" t="s">
        <v>576</v>
      </c>
      <c r="B198" s="1" t="s">
        <v>577</v>
      </c>
      <c r="C198" s="1">
        <f t="shared" si="66"/>
        <v>25.675000000000001</v>
      </c>
      <c r="D198" s="1">
        <f t="shared" si="67"/>
        <v>50.050999999999995</v>
      </c>
      <c r="E198" s="1">
        <v>24</v>
      </c>
      <c r="F198" s="1">
        <v>36</v>
      </c>
      <c r="G198" s="1">
        <f t="shared" si="70"/>
        <v>32.24</v>
      </c>
      <c r="H198" s="1">
        <v>1</v>
      </c>
      <c r="I198" s="1" t="s">
        <v>186</v>
      </c>
      <c r="J198" s="1">
        <v>1</v>
      </c>
      <c r="K198" s="2">
        <f t="shared" si="68"/>
        <v>17.1875</v>
      </c>
      <c r="L198" s="1">
        <f t="shared" si="69"/>
        <v>3</v>
      </c>
      <c r="M198" s="1">
        <f t="shared" si="71"/>
        <v>12</v>
      </c>
      <c r="N198" s="1">
        <f t="shared" si="72"/>
        <v>4</v>
      </c>
      <c r="O198" s="3">
        <f t="shared" si="63"/>
        <v>11</v>
      </c>
      <c r="P198" s="1">
        <f t="shared" si="73"/>
        <v>2</v>
      </c>
      <c r="Q198">
        <f t="shared" si="74"/>
        <v>8</v>
      </c>
      <c r="R198">
        <f>_xlfn.XLOOKUP(HFrame_List[[#This Row],[Cross piece style]],$AH$2:$AH$4,$AI$2:$AI$4,0,0)*(HFrame_List[[#This Row],[Width between brackets]]/12)</f>
        <v>79.794000000000011</v>
      </c>
      <c r="S198">
        <f>5.46*(HFrame_List[[#This Row],[cross piece quantity]]-1)*(HFrame_List[[#This Row],[Width between brackets]]/12)</f>
        <v>0</v>
      </c>
      <c r="T198" s="5">
        <f>HFrame_List[[#This Row],[Bottom cross piece cost]]+HFrame_List[[#This Row],[Top cross piece cost]]+HFrame_List[[#This Row],[Component costs]]+HFrame_List[[#This Row],[Vertical strut cost]]</f>
        <v>159.374</v>
      </c>
      <c r="U198" s="7">
        <f>_xlfn.XLOOKUP(HFrame_List[[#This Row],[Fabrication type]],Fabrication_costs[Fabrication type],Fabrication_costs[unit pricing],"no result",0)</f>
        <v>30</v>
      </c>
      <c r="V198" s="5">
        <f>SUM(T198:U198)/(1-HFrame_List[[#This Row],[Margin]])</f>
        <v>541.06857142857143</v>
      </c>
      <c r="W198" s="36">
        <f t="shared" si="76"/>
        <v>0.65</v>
      </c>
      <c r="X198" t="s">
        <v>193</v>
      </c>
      <c r="Y198">
        <f>_xlfn.XLOOKUP("A12",Strut_costs[size],Strut_costs[Strut cost])/12*HFrame_List[[#This Row],[Strut height (in)]]*(2+HFrame_List[[#This Row],[Extra supports]])</f>
        <v>32.76</v>
      </c>
      <c r="Z198">
        <f>(_xlfn.XLOOKUP("PHB",CADDY_costs[Component],CADDY_costs[Current cost])*HFrame_List[[#This Row],[Number of feet]])+(_xlfn.XLOOKUP("HFRMHDW",CADDY_costs[Component],CADDY_costs[Current cost])*(HFrame_List[[#This Row],[number of L-brackets]]/2))</f>
        <v>46.819999999999993</v>
      </c>
      <c r="AA198">
        <v>2436</v>
      </c>
      <c r="AB198">
        <f>VLOOKUP(HFrame_List[[#This Row],[lookup]],'Pallet and shipping info'!$A$5:$H$33,6,FALSE)</f>
        <v>9</v>
      </c>
      <c r="AC198">
        <f>VLOOKUP(HFrame_List[[#This Row],[lookup]],'Pallet and shipping info'!$A$5:$H$33,8,FALSE)</f>
        <v>14</v>
      </c>
      <c r="AD198"/>
      <c r="AE198"/>
      <c r="AF198"/>
    </row>
    <row r="199" spans="1:32" x14ac:dyDescent="0.25">
      <c r="A199" s="1" t="s">
        <v>578</v>
      </c>
      <c r="B199" s="1" t="s">
        <v>579</v>
      </c>
      <c r="C199" s="1">
        <f t="shared" si="66"/>
        <v>37.674999999999997</v>
      </c>
      <c r="D199" s="1">
        <f t="shared" si="67"/>
        <v>50.050999999999995</v>
      </c>
      <c r="E199" s="1">
        <v>36</v>
      </c>
      <c r="F199" s="1">
        <f>F198</f>
        <v>36</v>
      </c>
      <c r="G199" s="1">
        <f t="shared" si="70"/>
        <v>32.24</v>
      </c>
      <c r="H199" s="1">
        <v>1</v>
      </c>
      <c r="I199" s="1" t="s">
        <v>186</v>
      </c>
      <c r="J199" s="1">
        <v>1</v>
      </c>
      <c r="K199" s="2">
        <f t="shared" si="68"/>
        <v>17.1875</v>
      </c>
      <c r="L199" s="1">
        <f t="shared" si="69"/>
        <v>3</v>
      </c>
      <c r="M199" s="1">
        <f t="shared" si="71"/>
        <v>12</v>
      </c>
      <c r="N199" s="1">
        <f t="shared" si="72"/>
        <v>4</v>
      </c>
      <c r="O199" s="3">
        <f t="shared" si="63"/>
        <v>15</v>
      </c>
      <c r="P199" s="1">
        <f t="shared" si="73"/>
        <v>2</v>
      </c>
      <c r="Q199">
        <f t="shared" si="74"/>
        <v>8</v>
      </c>
      <c r="R199">
        <f>_xlfn.XLOOKUP(HFrame_List[[#This Row],[Cross piece style]],$AH$2:$AH$4,$AI$2:$AI$4,0,0)*(HFrame_List[[#This Row],[Width between brackets]]/12)</f>
        <v>79.794000000000011</v>
      </c>
      <c r="S199">
        <f>5.46*(HFrame_List[[#This Row],[cross piece quantity]]-1)*(HFrame_List[[#This Row],[Width between brackets]]/12)</f>
        <v>0</v>
      </c>
      <c r="T199" s="5">
        <f>HFrame_List[[#This Row],[Bottom cross piece cost]]+HFrame_List[[#This Row],[Top cross piece cost]]+HFrame_List[[#This Row],[Component costs]]+HFrame_List[[#This Row],[Vertical strut cost]]</f>
        <v>175.75400000000002</v>
      </c>
      <c r="U199" s="7">
        <f>_xlfn.XLOOKUP(HFrame_List[[#This Row],[Fabrication type]],Fabrication_costs[Fabrication type],Fabrication_costs[unit pricing],"no result",0)</f>
        <v>30</v>
      </c>
      <c r="V199" s="5">
        <f>SUM(T199:U199)/(1-HFrame_List[[#This Row],[Margin]])</f>
        <v>587.8685714285715</v>
      </c>
      <c r="W199" s="36">
        <f t="shared" si="76"/>
        <v>0.65</v>
      </c>
      <c r="X199" t="s">
        <v>193</v>
      </c>
      <c r="Y199">
        <f>_xlfn.XLOOKUP("A12",Strut_costs[size],Strut_costs[Strut cost])/12*HFrame_List[[#This Row],[Strut height (in)]]*(2+HFrame_List[[#This Row],[Extra supports]])</f>
        <v>49.14</v>
      </c>
      <c r="Z199">
        <f>(_xlfn.XLOOKUP("PHB",CADDY_costs[Component],CADDY_costs[Current cost])*HFrame_List[[#This Row],[Number of feet]])+(_xlfn.XLOOKUP("HFRMHDW",CADDY_costs[Component],CADDY_costs[Current cost])*(HFrame_List[[#This Row],[number of L-brackets]]/2))</f>
        <v>46.819999999999993</v>
      </c>
      <c r="AA199">
        <v>3636</v>
      </c>
      <c r="AB199">
        <f>VLOOKUP(HFrame_List[[#This Row],[lookup]],'Pallet and shipping info'!$A$5:$H$33,6,FALSE)</f>
        <v>9</v>
      </c>
      <c r="AC199">
        <f>VLOOKUP(HFrame_List[[#This Row],[lookup]],'Pallet and shipping info'!$A$5:$H$33,8,FALSE)</f>
        <v>14</v>
      </c>
      <c r="AD199"/>
      <c r="AE199"/>
      <c r="AF199"/>
    </row>
    <row r="200" spans="1:32" x14ac:dyDescent="0.25">
      <c r="A200" s="1" t="s">
        <v>580</v>
      </c>
      <c r="B200" s="1" t="s">
        <v>581</v>
      </c>
      <c r="C200" s="1">
        <f t="shared" si="66"/>
        <v>49.674999999999997</v>
      </c>
      <c r="D200" s="1">
        <f t="shared" si="67"/>
        <v>50.050999999999995</v>
      </c>
      <c r="E200" s="1">
        <v>48</v>
      </c>
      <c r="F200" s="1">
        <f t="shared" ref="F200:F205" si="77">F199</f>
        <v>36</v>
      </c>
      <c r="G200" s="1">
        <f t="shared" si="70"/>
        <v>32.24</v>
      </c>
      <c r="H200" s="1">
        <v>1</v>
      </c>
      <c r="I200" s="1" t="s">
        <v>186</v>
      </c>
      <c r="J200" s="1">
        <v>1</v>
      </c>
      <c r="K200" s="2">
        <f t="shared" si="68"/>
        <v>17.1875</v>
      </c>
      <c r="L200" s="1">
        <f t="shared" si="69"/>
        <v>3</v>
      </c>
      <c r="M200" s="1">
        <f t="shared" si="71"/>
        <v>12</v>
      </c>
      <c r="N200" s="1">
        <f t="shared" si="72"/>
        <v>4</v>
      </c>
      <c r="O200" s="3">
        <f t="shared" si="63"/>
        <v>19</v>
      </c>
      <c r="P200" s="1">
        <f t="shared" si="73"/>
        <v>2</v>
      </c>
      <c r="Q200">
        <f t="shared" si="74"/>
        <v>8</v>
      </c>
      <c r="R200">
        <f>_xlfn.XLOOKUP(HFrame_List[[#This Row],[Cross piece style]],$AH$2:$AH$4,$AI$2:$AI$4,0,0)*(HFrame_List[[#This Row],[Width between brackets]]/12)</f>
        <v>79.794000000000011</v>
      </c>
      <c r="S200">
        <f>5.46*(HFrame_List[[#This Row],[cross piece quantity]]-1)*(HFrame_List[[#This Row],[Width between brackets]]/12)</f>
        <v>0</v>
      </c>
      <c r="T200" s="5">
        <f>HFrame_List[[#This Row],[Bottom cross piece cost]]+HFrame_List[[#This Row],[Top cross piece cost]]+HFrame_List[[#This Row],[Component costs]]+HFrame_List[[#This Row],[Vertical strut cost]]</f>
        <v>192.13400000000001</v>
      </c>
      <c r="U200" s="7">
        <f>_xlfn.XLOOKUP(HFrame_List[[#This Row],[Fabrication type]],Fabrication_costs[Fabrication type],Fabrication_costs[unit pricing],"no result",0)</f>
        <v>30</v>
      </c>
      <c r="V200" s="5">
        <f>SUM(T200:U200)/(1-HFrame_List[[#This Row],[Margin]])</f>
        <v>634.66857142857145</v>
      </c>
      <c r="W200" s="36">
        <f t="shared" si="76"/>
        <v>0.65</v>
      </c>
      <c r="X200" t="s">
        <v>193</v>
      </c>
      <c r="Y200">
        <f>_xlfn.XLOOKUP("A12",Strut_costs[size],Strut_costs[Strut cost])/12*HFrame_List[[#This Row],[Strut height (in)]]*(2+HFrame_List[[#This Row],[Extra supports]])</f>
        <v>65.52</v>
      </c>
      <c r="Z200">
        <f>(_xlfn.XLOOKUP("PHB",CADDY_costs[Component],CADDY_costs[Current cost])*HFrame_List[[#This Row],[Number of feet]])+(_xlfn.XLOOKUP("HFRMHDW",CADDY_costs[Component],CADDY_costs[Current cost])*(HFrame_List[[#This Row],[number of L-brackets]]/2))</f>
        <v>46.819999999999993</v>
      </c>
      <c r="AA200">
        <v>4836</v>
      </c>
      <c r="AB200">
        <f>VLOOKUP(HFrame_List[[#This Row],[lookup]],'Pallet and shipping info'!$A$5:$H$33,6,FALSE)</f>
        <v>9</v>
      </c>
      <c r="AC200">
        <f>VLOOKUP(HFrame_List[[#This Row],[lookup]],'Pallet and shipping info'!$A$5:$H$33,8,FALSE)</f>
        <v>14</v>
      </c>
      <c r="AD200"/>
      <c r="AE200"/>
      <c r="AF200"/>
    </row>
    <row r="201" spans="1:32" x14ac:dyDescent="0.25">
      <c r="A201" s="1" t="s">
        <v>582</v>
      </c>
      <c r="B201" s="1" t="s">
        <v>583</v>
      </c>
      <c r="C201" s="1">
        <f t="shared" si="66"/>
        <v>73.674999999999997</v>
      </c>
      <c r="D201" s="1">
        <f t="shared" si="67"/>
        <v>50.050999999999995</v>
      </c>
      <c r="E201" s="1">
        <v>72</v>
      </c>
      <c r="F201" s="1">
        <f t="shared" si="77"/>
        <v>36</v>
      </c>
      <c r="G201" s="1">
        <f t="shared" si="70"/>
        <v>32.24</v>
      </c>
      <c r="H201" s="1">
        <v>1</v>
      </c>
      <c r="I201" s="1" t="s">
        <v>186</v>
      </c>
      <c r="J201" s="1">
        <v>1</v>
      </c>
      <c r="K201" s="2">
        <f t="shared" si="68"/>
        <v>17.1875</v>
      </c>
      <c r="L201" s="1">
        <f t="shared" si="69"/>
        <v>3</v>
      </c>
      <c r="M201" s="1">
        <f t="shared" si="71"/>
        <v>12</v>
      </c>
      <c r="N201" s="1">
        <f t="shared" si="72"/>
        <v>4</v>
      </c>
      <c r="O201" s="3">
        <f t="shared" si="63"/>
        <v>27</v>
      </c>
      <c r="P201" s="1">
        <f t="shared" si="73"/>
        <v>3</v>
      </c>
      <c r="Q201">
        <f t="shared" si="74"/>
        <v>8</v>
      </c>
      <c r="R201">
        <f>_xlfn.XLOOKUP(HFrame_List[[#This Row],[Cross piece style]],$AH$2:$AH$4,$AI$2:$AI$4,0,0)*(HFrame_List[[#This Row],[Width between brackets]]/12)</f>
        <v>79.794000000000011</v>
      </c>
      <c r="S201">
        <f>5.46*(HFrame_List[[#This Row],[cross piece quantity]]-1)*(HFrame_List[[#This Row],[Width between brackets]]/12)</f>
        <v>0</v>
      </c>
      <c r="T201" s="5">
        <f>HFrame_List[[#This Row],[Bottom cross piece cost]]+HFrame_List[[#This Row],[Top cross piece cost]]+HFrame_List[[#This Row],[Component costs]]+HFrame_List[[#This Row],[Vertical strut cost]]</f>
        <v>224.89400000000001</v>
      </c>
      <c r="U201" s="7">
        <f>_xlfn.XLOOKUP(HFrame_List[[#This Row],[Fabrication type]],Fabrication_costs[Fabrication type],Fabrication_costs[unit pricing],"no result",0)</f>
        <v>30</v>
      </c>
      <c r="V201" s="5">
        <f>SUM(T201:U201)/(1-HFrame_List[[#This Row],[Margin]])</f>
        <v>728.26857142857148</v>
      </c>
      <c r="W201" s="36">
        <f t="shared" si="76"/>
        <v>0.65</v>
      </c>
      <c r="X201" t="s">
        <v>193</v>
      </c>
      <c r="Y201">
        <f>_xlfn.XLOOKUP("A12",Strut_costs[size],Strut_costs[Strut cost])/12*HFrame_List[[#This Row],[Strut height (in)]]*(2+HFrame_List[[#This Row],[Extra supports]])</f>
        <v>98.28</v>
      </c>
      <c r="Z201">
        <f>(_xlfn.XLOOKUP("PHB",CADDY_costs[Component],CADDY_costs[Current cost])*HFrame_List[[#This Row],[Number of feet]])+(_xlfn.XLOOKUP("HFRMHDW",CADDY_costs[Component],CADDY_costs[Current cost])*(HFrame_List[[#This Row],[number of L-brackets]]/2))</f>
        <v>46.819999999999993</v>
      </c>
      <c r="AA201">
        <v>7236</v>
      </c>
      <c r="AB201">
        <f>VLOOKUP(HFrame_List[[#This Row],[lookup]],'Pallet and shipping info'!$A$5:$H$33,6,FALSE)</f>
        <v>9</v>
      </c>
      <c r="AC201">
        <f>VLOOKUP(HFrame_List[[#This Row],[lookup]],'Pallet and shipping info'!$A$5:$H$33,8,FALSE)</f>
        <v>14</v>
      </c>
      <c r="AD201"/>
      <c r="AE201"/>
      <c r="AF201"/>
    </row>
    <row r="202" spans="1:32" x14ac:dyDescent="0.25">
      <c r="A202" s="1" t="s">
        <v>584</v>
      </c>
      <c r="B202" s="1" t="s">
        <v>585</v>
      </c>
      <c r="C202" s="1">
        <f t="shared" si="66"/>
        <v>25.675000000000001</v>
      </c>
      <c r="D202" s="1">
        <f t="shared" si="67"/>
        <v>62.050999999999995</v>
      </c>
      <c r="E202" s="1">
        <v>24</v>
      </c>
      <c r="F202" s="1">
        <v>48</v>
      </c>
      <c r="G202" s="1">
        <f t="shared" si="70"/>
        <v>44.24</v>
      </c>
      <c r="H202" s="1">
        <v>1</v>
      </c>
      <c r="I202" s="1" t="s">
        <v>186</v>
      </c>
      <c r="J202" s="1">
        <v>1</v>
      </c>
      <c r="K202" s="2">
        <f t="shared" si="68"/>
        <v>23.1875</v>
      </c>
      <c r="L202" s="1">
        <f t="shared" si="69"/>
        <v>3</v>
      </c>
      <c r="M202" s="1">
        <f t="shared" si="71"/>
        <v>12</v>
      </c>
      <c r="N202" s="1">
        <f t="shared" si="72"/>
        <v>4</v>
      </c>
      <c r="O202" s="3">
        <f t="shared" si="63"/>
        <v>12</v>
      </c>
      <c r="P202" s="1">
        <f t="shared" si="73"/>
        <v>2</v>
      </c>
      <c r="Q202">
        <f t="shared" si="74"/>
        <v>8</v>
      </c>
      <c r="R202">
        <f>_xlfn.XLOOKUP(HFrame_List[[#This Row],[Cross piece style]],$AH$2:$AH$4,$AI$2:$AI$4,0,0)*(HFrame_List[[#This Row],[Width between brackets]]/12)</f>
        <v>109.494</v>
      </c>
      <c r="S202">
        <f>5.46*(HFrame_List[[#This Row],[cross piece quantity]]-1)*(HFrame_List[[#This Row],[Width between brackets]]/12)</f>
        <v>0</v>
      </c>
      <c r="T202" s="5">
        <f>HFrame_List[[#This Row],[Bottom cross piece cost]]+HFrame_List[[#This Row],[Top cross piece cost]]+HFrame_List[[#This Row],[Component costs]]+HFrame_List[[#This Row],[Vertical strut cost]]</f>
        <v>189.07399999999998</v>
      </c>
      <c r="U202" s="7">
        <f>_xlfn.XLOOKUP(HFrame_List[[#This Row],[Fabrication type]],Fabrication_costs[Fabrication type],Fabrication_costs[unit pricing],"no result",0)</f>
        <v>30</v>
      </c>
      <c r="V202" s="5">
        <f>SUM(T202:U202)/(1-HFrame_List[[#This Row],[Margin]])</f>
        <v>625.92571428571432</v>
      </c>
      <c r="W202" s="36">
        <f t="shared" si="76"/>
        <v>0.65</v>
      </c>
      <c r="X202" t="s">
        <v>193</v>
      </c>
      <c r="Y202">
        <f>_xlfn.XLOOKUP("A12",Strut_costs[size],Strut_costs[Strut cost])/12*HFrame_List[[#This Row],[Strut height (in)]]*(2+HFrame_List[[#This Row],[Extra supports]])</f>
        <v>32.76</v>
      </c>
      <c r="Z202">
        <f>(_xlfn.XLOOKUP("PHB",CADDY_costs[Component],CADDY_costs[Current cost])*HFrame_List[[#This Row],[Number of feet]])+(_xlfn.XLOOKUP("HFRMHDW",CADDY_costs[Component],CADDY_costs[Current cost])*(HFrame_List[[#This Row],[number of L-brackets]]/2))</f>
        <v>46.819999999999993</v>
      </c>
      <c r="AA202">
        <v>2448</v>
      </c>
      <c r="AB202">
        <f>VLOOKUP(HFrame_List[[#This Row],[lookup]],'Pallet and shipping info'!$A$5:$H$33,6,FALSE)</f>
        <v>7</v>
      </c>
      <c r="AC202">
        <f>VLOOKUP(HFrame_List[[#This Row],[lookup]],'Pallet and shipping info'!$A$5:$H$33,8,FALSE)</f>
        <v>10</v>
      </c>
      <c r="AD202"/>
      <c r="AE202"/>
      <c r="AF202"/>
    </row>
    <row r="203" spans="1:32" x14ac:dyDescent="0.25">
      <c r="A203" s="1" t="s">
        <v>586</v>
      </c>
      <c r="B203" s="1" t="s">
        <v>587</v>
      </c>
      <c r="C203" s="1">
        <f t="shared" si="66"/>
        <v>37.674999999999997</v>
      </c>
      <c r="D203" s="1">
        <f t="shared" si="67"/>
        <v>62.050999999999995</v>
      </c>
      <c r="E203" s="1">
        <v>36</v>
      </c>
      <c r="F203" s="1">
        <f t="shared" si="77"/>
        <v>48</v>
      </c>
      <c r="G203" s="1">
        <f t="shared" si="70"/>
        <v>44.24</v>
      </c>
      <c r="H203" s="1">
        <v>1</v>
      </c>
      <c r="I203" s="1" t="s">
        <v>186</v>
      </c>
      <c r="J203" s="1">
        <v>1</v>
      </c>
      <c r="K203" s="2">
        <f t="shared" si="68"/>
        <v>23.1875</v>
      </c>
      <c r="L203" s="1">
        <f t="shared" si="69"/>
        <v>3</v>
      </c>
      <c r="M203" s="1">
        <f t="shared" si="71"/>
        <v>12</v>
      </c>
      <c r="N203" s="1">
        <f t="shared" si="72"/>
        <v>4</v>
      </c>
      <c r="O203" s="3">
        <f t="shared" si="63"/>
        <v>16</v>
      </c>
      <c r="P203" s="1">
        <f t="shared" si="73"/>
        <v>2</v>
      </c>
      <c r="Q203">
        <f t="shared" si="74"/>
        <v>8</v>
      </c>
      <c r="R203">
        <f>_xlfn.XLOOKUP(HFrame_List[[#This Row],[Cross piece style]],$AH$2:$AH$4,$AI$2:$AI$4,0,0)*(HFrame_List[[#This Row],[Width between brackets]]/12)</f>
        <v>109.494</v>
      </c>
      <c r="S203">
        <f>5.46*(HFrame_List[[#This Row],[cross piece quantity]]-1)*(HFrame_List[[#This Row],[Width between brackets]]/12)</f>
        <v>0</v>
      </c>
      <c r="T203" s="5">
        <f>HFrame_List[[#This Row],[Bottom cross piece cost]]+HFrame_List[[#This Row],[Top cross piece cost]]+HFrame_List[[#This Row],[Component costs]]+HFrame_List[[#This Row],[Vertical strut cost]]</f>
        <v>205.45400000000001</v>
      </c>
      <c r="U203" s="7">
        <f>_xlfn.XLOOKUP(HFrame_List[[#This Row],[Fabrication type]],Fabrication_costs[Fabrication type],Fabrication_costs[unit pricing],"no result",0)</f>
        <v>30</v>
      </c>
      <c r="V203" s="5">
        <f>SUM(T203:U203)/(1-HFrame_List[[#This Row],[Margin]])</f>
        <v>672.72571428571439</v>
      </c>
      <c r="W203" s="36">
        <f t="shared" si="76"/>
        <v>0.65</v>
      </c>
      <c r="X203" t="s">
        <v>193</v>
      </c>
      <c r="Y203">
        <f>_xlfn.XLOOKUP("A12",Strut_costs[size],Strut_costs[Strut cost])/12*HFrame_List[[#This Row],[Strut height (in)]]*(2+HFrame_List[[#This Row],[Extra supports]])</f>
        <v>49.14</v>
      </c>
      <c r="Z203">
        <f>(_xlfn.XLOOKUP("PHB",CADDY_costs[Component],CADDY_costs[Current cost])*HFrame_List[[#This Row],[Number of feet]])+(_xlfn.XLOOKUP("HFRMHDW",CADDY_costs[Component],CADDY_costs[Current cost])*(HFrame_List[[#This Row],[number of L-brackets]]/2))</f>
        <v>46.819999999999993</v>
      </c>
      <c r="AA203">
        <v>3648</v>
      </c>
      <c r="AB203">
        <f>VLOOKUP(HFrame_List[[#This Row],[lookup]],'Pallet and shipping info'!$A$5:$H$33,6,FALSE)</f>
        <v>7</v>
      </c>
      <c r="AC203">
        <f>VLOOKUP(HFrame_List[[#This Row],[lookup]],'Pallet and shipping info'!$A$5:$H$33,8,FALSE)</f>
        <v>10</v>
      </c>
      <c r="AD203"/>
      <c r="AE203"/>
      <c r="AF203"/>
    </row>
    <row r="204" spans="1:32" x14ac:dyDescent="0.25">
      <c r="A204" s="1" t="s">
        <v>588</v>
      </c>
      <c r="B204" s="1" t="s">
        <v>589</v>
      </c>
      <c r="C204" s="1">
        <f t="shared" si="66"/>
        <v>49.674999999999997</v>
      </c>
      <c r="D204" s="1">
        <f t="shared" si="67"/>
        <v>62.050999999999995</v>
      </c>
      <c r="E204" s="1">
        <v>48</v>
      </c>
      <c r="F204" s="1">
        <f t="shared" si="77"/>
        <v>48</v>
      </c>
      <c r="G204" s="1">
        <f t="shared" si="70"/>
        <v>44.24</v>
      </c>
      <c r="H204" s="1">
        <v>1</v>
      </c>
      <c r="I204" s="1" t="s">
        <v>186</v>
      </c>
      <c r="J204" s="1">
        <v>1</v>
      </c>
      <c r="K204" s="2">
        <f t="shared" si="68"/>
        <v>23.1875</v>
      </c>
      <c r="L204" s="1">
        <f t="shared" si="69"/>
        <v>3</v>
      </c>
      <c r="M204" s="1">
        <f t="shared" si="71"/>
        <v>12</v>
      </c>
      <c r="N204" s="1">
        <f t="shared" si="72"/>
        <v>4</v>
      </c>
      <c r="O204" s="3">
        <f t="shared" si="63"/>
        <v>20</v>
      </c>
      <c r="P204" s="1">
        <f t="shared" si="73"/>
        <v>2</v>
      </c>
      <c r="Q204">
        <f t="shared" si="74"/>
        <v>8</v>
      </c>
      <c r="R204">
        <f>_xlfn.XLOOKUP(HFrame_List[[#This Row],[Cross piece style]],$AH$2:$AH$4,$AI$2:$AI$4,0,0)*(HFrame_List[[#This Row],[Width between brackets]]/12)</f>
        <v>109.494</v>
      </c>
      <c r="S204">
        <f>5.46*(HFrame_List[[#This Row],[cross piece quantity]]-1)*(HFrame_List[[#This Row],[Width between brackets]]/12)</f>
        <v>0</v>
      </c>
      <c r="T204" s="5">
        <f>HFrame_List[[#This Row],[Bottom cross piece cost]]+HFrame_List[[#This Row],[Top cross piece cost]]+HFrame_List[[#This Row],[Component costs]]+HFrame_List[[#This Row],[Vertical strut cost]]</f>
        <v>221.834</v>
      </c>
      <c r="U204" s="7">
        <f>_xlfn.XLOOKUP(HFrame_List[[#This Row],[Fabrication type]],Fabrication_costs[Fabrication type],Fabrication_costs[unit pricing],"no result",0)</f>
        <v>30</v>
      </c>
      <c r="V204" s="5">
        <f>SUM(T204:U204)/(1-HFrame_List[[#This Row],[Margin]])</f>
        <v>719.52571428571434</v>
      </c>
      <c r="W204" s="36">
        <f t="shared" si="76"/>
        <v>0.65</v>
      </c>
      <c r="X204" t="s">
        <v>193</v>
      </c>
      <c r="Y204">
        <f>_xlfn.XLOOKUP("A12",Strut_costs[size],Strut_costs[Strut cost])/12*HFrame_List[[#This Row],[Strut height (in)]]*(2+HFrame_List[[#This Row],[Extra supports]])</f>
        <v>65.52</v>
      </c>
      <c r="Z204">
        <f>(_xlfn.XLOOKUP("PHB",CADDY_costs[Component],CADDY_costs[Current cost])*HFrame_List[[#This Row],[Number of feet]])+(_xlfn.XLOOKUP("HFRMHDW",CADDY_costs[Component],CADDY_costs[Current cost])*(HFrame_List[[#This Row],[number of L-brackets]]/2))</f>
        <v>46.819999999999993</v>
      </c>
      <c r="AA204">
        <v>4848</v>
      </c>
      <c r="AB204">
        <f>VLOOKUP(HFrame_List[[#This Row],[lookup]],'Pallet and shipping info'!$A$5:$H$33,6,FALSE)</f>
        <v>7</v>
      </c>
      <c r="AC204">
        <f>VLOOKUP(HFrame_List[[#This Row],[lookup]],'Pallet and shipping info'!$A$5:$H$33,8,FALSE)</f>
        <v>10</v>
      </c>
      <c r="AD204"/>
      <c r="AE204"/>
      <c r="AF204"/>
    </row>
    <row r="205" spans="1:32" x14ac:dyDescent="0.25">
      <c r="A205" s="1" t="s">
        <v>590</v>
      </c>
      <c r="B205" s="1" t="s">
        <v>591</v>
      </c>
      <c r="C205" s="1">
        <f t="shared" si="66"/>
        <v>73.674999999999997</v>
      </c>
      <c r="D205" s="1">
        <f t="shared" si="67"/>
        <v>62.050999999999995</v>
      </c>
      <c r="E205" s="1">
        <v>72</v>
      </c>
      <c r="F205" s="1">
        <f t="shared" si="77"/>
        <v>48</v>
      </c>
      <c r="G205" s="1">
        <f t="shared" si="70"/>
        <v>44.24</v>
      </c>
      <c r="H205" s="1">
        <v>1</v>
      </c>
      <c r="I205" s="1" t="s">
        <v>186</v>
      </c>
      <c r="J205" s="1">
        <v>1</v>
      </c>
      <c r="K205" s="2">
        <f t="shared" si="68"/>
        <v>23.1875</v>
      </c>
      <c r="L205" s="1">
        <f t="shared" si="69"/>
        <v>3</v>
      </c>
      <c r="M205" s="1">
        <f t="shared" si="71"/>
        <v>12</v>
      </c>
      <c r="N205" s="1">
        <f t="shared" si="72"/>
        <v>4</v>
      </c>
      <c r="O205" s="3">
        <f t="shared" si="63"/>
        <v>28</v>
      </c>
      <c r="P205" s="1">
        <f t="shared" si="73"/>
        <v>3</v>
      </c>
      <c r="Q205">
        <f t="shared" si="74"/>
        <v>8</v>
      </c>
      <c r="R205">
        <f>_xlfn.XLOOKUP(HFrame_List[[#This Row],[Cross piece style]],$AH$2:$AH$4,$AI$2:$AI$4,0,0)*(HFrame_List[[#This Row],[Width between brackets]]/12)</f>
        <v>109.494</v>
      </c>
      <c r="S205">
        <f>5.46*(HFrame_List[[#This Row],[cross piece quantity]]-1)*(HFrame_List[[#This Row],[Width between brackets]]/12)</f>
        <v>0</v>
      </c>
      <c r="T205" s="5">
        <f>HFrame_List[[#This Row],[Bottom cross piece cost]]+HFrame_List[[#This Row],[Top cross piece cost]]+HFrame_List[[#This Row],[Component costs]]+HFrame_List[[#This Row],[Vertical strut cost]]</f>
        <v>254.59399999999999</v>
      </c>
      <c r="U205" s="7">
        <f>_xlfn.XLOOKUP(HFrame_List[[#This Row],[Fabrication type]],Fabrication_costs[Fabrication type],Fabrication_costs[unit pricing],"no result",0)</f>
        <v>30</v>
      </c>
      <c r="V205" s="5">
        <f>SUM(T205:U205)/(1-HFrame_List[[#This Row],[Margin]])</f>
        <v>813.12571428571437</v>
      </c>
      <c r="W205" s="36">
        <f t="shared" si="76"/>
        <v>0.65</v>
      </c>
      <c r="X205" t="s">
        <v>193</v>
      </c>
      <c r="Y205">
        <f>_xlfn.XLOOKUP("A12",Strut_costs[size],Strut_costs[Strut cost])/12*HFrame_List[[#This Row],[Strut height (in)]]*(2+HFrame_List[[#This Row],[Extra supports]])</f>
        <v>98.28</v>
      </c>
      <c r="Z205">
        <f>(_xlfn.XLOOKUP("PHB",CADDY_costs[Component],CADDY_costs[Current cost])*HFrame_List[[#This Row],[Number of feet]])+(_xlfn.XLOOKUP("HFRMHDW",CADDY_costs[Component],CADDY_costs[Current cost])*(HFrame_List[[#This Row],[number of L-brackets]]/2))</f>
        <v>46.819999999999993</v>
      </c>
      <c r="AA205">
        <v>7248</v>
      </c>
      <c r="AB205">
        <f>VLOOKUP(HFrame_List[[#This Row],[lookup]],'Pallet and shipping info'!$A$5:$H$33,6,FALSE)</f>
        <v>7</v>
      </c>
      <c r="AC205">
        <f>VLOOKUP(HFrame_List[[#This Row],[lookup]],'Pallet and shipping info'!$A$5:$H$33,8,FALSE)</f>
        <v>10</v>
      </c>
      <c r="AD205"/>
      <c r="AE205"/>
      <c r="AF205"/>
    </row>
    <row r="206" spans="1:32" x14ac:dyDescent="0.25">
      <c r="A206" s="1" t="s">
        <v>592</v>
      </c>
      <c r="B206" s="1" t="s">
        <v>593</v>
      </c>
      <c r="C206" s="1">
        <f t="shared" si="66"/>
        <v>25.675000000000001</v>
      </c>
      <c r="D206" s="1">
        <f t="shared" si="67"/>
        <v>74.051000000000002</v>
      </c>
      <c r="E206" s="1">
        <v>24</v>
      </c>
      <c r="F206" s="1">
        <v>60</v>
      </c>
      <c r="G206" s="1">
        <f t="shared" si="70"/>
        <v>56.24</v>
      </c>
      <c r="H206" s="1">
        <v>1</v>
      </c>
      <c r="I206" s="1" t="s">
        <v>186</v>
      </c>
      <c r="J206" s="1">
        <v>1</v>
      </c>
      <c r="K206" s="2">
        <f t="shared" si="68"/>
        <v>29.1875</v>
      </c>
      <c r="L206" s="1">
        <f t="shared" si="69"/>
        <v>3</v>
      </c>
      <c r="M206" s="1">
        <f t="shared" si="71"/>
        <v>12</v>
      </c>
      <c r="N206" s="1">
        <f t="shared" si="72"/>
        <v>4</v>
      </c>
      <c r="O206" s="3">
        <f t="shared" si="63"/>
        <v>13</v>
      </c>
      <c r="P206" s="1">
        <f t="shared" si="73"/>
        <v>2</v>
      </c>
      <c r="Q206">
        <f t="shared" si="74"/>
        <v>8</v>
      </c>
      <c r="R206">
        <f>_xlfn.XLOOKUP(HFrame_List[[#This Row],[Cross piece style]],$AH$2:$AH$4,$AI$2:$AI$4,0,0)*(HFrame_List[[#This Row],[Width between brackets]]/12)</f>
        <v>139.19399999999999</v>
      </c>
      <c r="S206">
        <f>5.46*(HFrame_List[[#This Row],[cross piece quantity]]-1)*(HFrame_List[[#This Row],[Width between brackets]]/12)</f>
        <v>0</v>
      </c>
      <c r="T206" s="5">
        <f>HFrame_List[[#This Row],[Bottom cross piece cost]]+HFrame_List[[#This Row],[Top cross piece cost]]+HFrame_List[[#This Row],[Component costs]]+HFrame_List[[#This Row],[Vertical strut cost]]</f>
        <v>218.77399999999997</v>
      </c>
      <c r="U206" s="7">
        <f>_xlfn.XLOOKUP(HFrame_List[[#This Row],[Fabrication type]],Fabrication_costs[Fabrication type],Fabrication_costs[unit pricing],"no result",0)</f>
        <v>30</v>
      </c>
      <c r="V206" s="5">
        <f>SUM(T206:U206)/(1-HFrame_List[[#This Row],[Margin]])</f>
        <v>710.7828571428571</v>
      </c>
      <c r="W206" s="36">
        <f t="shared" si="76"/>
        <v>0.65</v>
      </c>
      <c r="X206" t="s">
        <v>193</v>
      </c>
      <c r="Y206">
        <f>_xlfn.XLOOKUP("A12",Strut_costs[size],Strut_costs[Strut cost])/12*HFrame_List[[#This Row],[Strut height (in)]]*(2+HFrame_List[[#This Row],[Extra supports]])</f>
        <v>32.76</v>
      </c>
      <c r="Z206">
        <f>(_xlfn.XLOOKUP("PHB",CADDY_costs[Component],CADDY_costs[Current cost])*HFrame_List[[#This Row],[Number of feet]])+(_xlfn.XLOOKUP("HFRMHDW",CADDY_costs[Component],CADDY_costs[Current cost])*(HFrame_List[[#This Row],[number of L-brackets]]/2))</f>
        <v>46.819999999999993</v>
      </c>
      <c r="AA206">
        <v>2460</v>
      </c>
      <c r="AB206" t="str">
        <f>VLOOKUP(HFrame_List[[#This Row],[lookup]],'Pallet and shipping info'!$A$5:$H$33,6,FALSE)</f>
        <v>x</v>
      </c>
      <c r="AC206">
        <f>VLOOKUP(HFrame_List[[#This Row],[lookup]],'Pallet and shipping info'!$A$5:$H$33,8,FALSE)</f>
        <v>7</v>
      </c>
      <c r="AD206"/>
      <c r="AE206"/>
      <c r="AF206"/>
    </row>
    <row r="207" spans="1:32" x14ac:dyDescent="0.25">
      <c r="A207" s="1" t="s">
        <v>594</v>
      </c>
      <c r="B207" s="1" t="s">
        <v>595</v>
      </c>
      <c r="C207" s="1">
        <f t="shared" si="66"/>
        <v>37.674999999999997</v>
      </c>
      <c r="D207" s="1">
        <f t="shared" si="67"/>
        <v>74.051000000000002</v>
      </c>
      <c r="E207" s="1">
        <v>36</v>
      </c>
      <c r="F207" s="1">
        <v>60</v>
      </c>
      <c r="G207" s="1">
        <f t="shared" si="70"/>
        <v>56.24</v>
      </c>
      <c r="H207" s="1">
        <v>1</v>
      </c>
      <c r="I207" s="1" t="s">
        <v>186</v>
      </c>
      <c r="J207" s="1">
        <v>1</v>
      </c>
      <c r="K207" s="2">
        <f t="shared" si="68"/>
        <v>29.1875</v>
      </c>
      <c r="L207" s="1">
        <f t="shared" si="69"/>
        <v>3</v>
      </c>
      <c r="M207" s="1">
        <f t="shared" si="71"/>
        <v>12</v>
      </c>
      <c r="N207" s="1">
        <f t="shared" si="72"/>
        <v>4</v>
      </c>
      <c r="O207" s="3">
        <f t="shared" si="63"/>
        <v>17</v>
      </c>
      <c r="P207" s="1">
        <f t="shared" si="73"/>
        <v>2</v>
      </c>
      <c r="Q207">
        <f t="shared" si="74"/>
        <v>8</v>
      </c>
      <c r="R207">
        <f>_xlfn.XLOOKUP(HFrame_List[[#This Row],[Cross piece style]],$AH$2:$AH$4,$AI$2:$AI$4,0,0)*(HFrame_List[[#This Row],[Width between brackets]]/12)</f>
        <v>139.19399999999999</v>
      </c>
      <c r="S207">
        <f>5.46*(HFrame_List[[#This Row],[cross piece quantity]]-1)*(HFrame_List[[#This Row],[Width between brackets]]/12)</f>
        <v>0</v>
      </c>
      <c r="T207" s="5">
        <f>HFrame_List[[#This Row],[Bottom cross piece cost]]+HFrame_List[[#This Row],[Top cross piece cost]]+HFrame_List[[#This Row],[Component costs]]+HFrame_List[[#This Row],[Vertical strut cost]]</f>
        <v>235.154</v>
      </c>
      <c r="U207" s="7">
        <f>_xlfn.XLOOKUP(HFrame_List[[#This Row],[Fabrication type]],Fabrication_costs[Fabrication type],Fabrication_costs[unit pricing],"no result",0)</f>
        <v>30</v>
      </c>
      <c r="V207" s="5">
        <f>SUM(T207:U207)/(1-HFrame_List[[#This Row],[Margin]])</f>
        <v>757.58285714285716</v>
      </c>
      <c r="W207" s="36">
        <f t="shared" si="76"/>
        <v>0.65</v>
      </c>
      <c r="X207" t="s">
        <v>193</v>
      </c>
      <c r="Y207">
        <f>_xlfn.XLOOKUP("A12",Strut_costs[size],Strut_costs[Strut cost])/12*HFrame_List[[#This Row],[Strut height (in)]]*(2+HFrame_List[[#This Row],[Extra supports]])</f>
        <v>49.14</v>
      </c>
      <c r="Z207">
        <f>(_xlfn.XLOOKUP("PHB",CADDY_costs[Component],CADDY_costs[Current cost])*HFrame_List[[#This Row],[Number of feet]])+(_xlfn.XLOOKUP("HFRMHDW",CADDY_costs[Component],CADDY_costs[Current cost])*(HFrame_List[[#This Row],[number of L-brackets]]/2))</f>
        <v>46.819999999999993</v>
      </c>
      <c r="AA207">
        <v>3660</v>
      </c>
      <c r="AB207" t="str">
        <f>VLOOKUP(HFrame_List[[#This Row],[lookup]],'Pallet and shipping info'!$A$5:$H$33,6,FALSE)</f>
        <v>x</v>
      </c>
      <c r="AC207">
        <f>VLOOKUP(HFrame_List[[#This Row],[lookup]],'Pallet and shipping info'!$A$5:$H$33,8,FALSE)</f>
        <v>7</v>
      </c>
      <c r="AD207"/>
      <c r="AE207"/>
      <c r="AF207"/>
    </row>
    <row r="208" spans="1:32" x14ac:dyDescent="0.25">
      <c r="A208" s="1" t="s">
        <v>596</v>
      </c>
      <c r="B208" s="1" t="s">
        <v>597</v>
      </c>
      <c r="C208" s="1">
        <f t="shared" si="66"/>
        <v>49.674999999999997</v>
      </c>
      <c r="D208" s="1">
        <f t="shared" si="67"/>
        <v>74.051000000000002</v>
      </c>
      <c r="E208" s="1">
        <v>48</v>
      </c>
      <c r="F208" s="1">
        <v>60</v>
      </c>
      <c r="G208" s="1">
        <f t="shared" si="70"/>
        <v>56.24</v>
      </c>
      <c r="H208" s="1">
        <v>1</v>
      </c>
      <c r="I208" s="1" t="s">
        <v>186</v>
      </c>
      <c r="J208" s="1">
        <v>1</v>
      </c>
      <c r="K208" s="2">
        <f t="shared" si="68"/>
        <v>29.1875</v>
      </c>
      <c r="L208" s="1">
        <f t="shared" si="69"/>
        <v>3</v>
      </c>
      <c r="M208" s="1">
        <f t="shared" si="71"/>
        <v>12</v>
      </c>
      <c r="N208" s="1">
        <f t="shared" si="72"/>
        <v>4</v>
      </c>
      <c r="O208" s="3">
        <f t="shared" si="63"/>
        <v>21</v>
      </c>
      <c r="P208" s="1">
        <f t="shared" si="73"/>
        <v>3</v>
      </c>
      <c r="Q208">
        <f t="shared" si="74"/>
        <v>8</v>
      </c>
      <c r="R208">
        <f>_xlfn.XLOOKUP(HFrame_List[[#This Row],[Cross piece style]],$AH$2:$AH$4,$AI$2:$AI$4,0,0)*(HFrame_List[[#This Row],[Width between brackets]]/12)</f>
        <v>139.19399999999999</v>
      </c>
      <c r="S208">
        <f>5.46*(HFrame_List[[#This Row],[cross piece quantity]]-1)*(HFrame_List[[#This Row],[Width between brackets]]/12)</f>
        <v>0</v>
      </c>
      <c r="T208" s="5">
        <f>HFrame_List[[#This Row],[Bottom cross piece cost]]+HFrame_List[[#This Row],[Top cross piece cost]]+HFrame_List[[#This Row],[Component costs]]+HFrame_List[[#This Row],[Vertical strut cost]]</f>
        <v>251.53399999999999</v>
      </c>
      <c r="U208" s="7">
        <f>_xlfn.XLOOKUP(HFrame_List[[#This Row],[Fabrication type]],Fabrication_costs[Fabrication type],Fabrication_costs[unit pricing],"no result",0)</f>
        <v>30</v>
      </c>
      <c r="V208" s="5">
        <f>SUM(T208:U208)/(1-HFrame_List[[#This Row],[Margin]])</f>
        <v>804.38285714285712</v>
      </c>
      <c r="W208" s="36">
        <f t="shared" si="76"/>
        <v>0.65</v>
      </c>
      <c r="X208" t="s">
        <v>193</v>
      </c>
      <c r="Y208">
        <f>_xlfn.XLOOKUP("A12",Strut_costs[size],Strut_costs[Strut cost])/12*HFrame_List[[#This Row],[Strut height (in)]]*(2+HFrame_List[[#This Row],[Extra supports]])</f>
        <v>65.52</v>
      </c>
      <c r="Z208">
        <f>(_xlfn.XLOOKUP("PHB",CADDY_costs[Component],CADDY_costs[Current cost])*HFrame_List[[#This Row],[Number of feet]])+(_xlfn.XLOOKUP("HFRMHDW",CADDY_costs[Component],CADDY_costs[Current cost])*(HFrame_List[[#This Row],[number of L-brackets]]/2))</f>
        <v>46.819999999999993</v>
      </c>
      <c r="AA208">
        <v>4860</v>
      </c>
      <c r="AB208" t="str">
        <f>VLOOKUP(HFrame_List[[#This Row],[lookup]],'Pallet and shipping info'!$A$5:$H$33,6,FALSE)</f>
        <v>x</v>
      </c>
      <c r="AC208">
        <f>VLOOKUP(HFrame_List[[#This Row],[lookup]],'Pallet and shipping info'!$A$5:$H$33,8,FALSE)</f>
        <v>7</v>
      </c>
      <c r="AD208"/>
      <c r="AE208"/>
      <c r="AF208"/>
    </row>
    <row r="209" spans="1:32" x14ac:dyDescent="0.25">
      <c r="A209" s="1" t="s">
        <v>598</v>
      </c>
      <c r="B209" s="1" t="s">
        <v>599</v>
      </c>
      <c r="C209" s="1">
        <f t="shared" si="66"/>
        <v>73.674999999999997</v>
      </c>
      <c r="D209" s="1">
        <f t="shared" si="67"/>
        <v>74.051000000000002</v>
      </c>
      <c r="E209" s="1">
        <v>72</v>
      </c>
      <c r="F209" s="1">
        <v>60</v>
      </c>
      <c r="G209" s="1">
        <f t="shared" si="70"/>
        <v>56.24</v>
      </c>
      <c r="H209" s="1">
        <v>1</v>
      </c>
      <c r="I209" s="1" t="s">
        <v>186</v>
      </c>
      <c r="J209" s="1">
        <v>1</v>
      </c>
      <c r="K209" s="2">
        <f t="shared" si="68"/>
        <v>29.1875</v>
      </c>
      <c r="L209" s="1">
        <f t="shared" si="69"/>
        <v>3</v>
      </c>
      <c r="M209" s="1">
        <f t="shared" si="71"/>
        <v>12</v>
      </c>
      <c r="N209" s="1">
        <f t="shared" si="72"/>
        <v>4</v>
      </c>
      <c r="O209" s="3">
        <f t="shared" si="63"/>
        <v>29</v>
      </c>
      <c r="P209" s="1">
        <f t="shared" si="73"/>
        <v>3</v>
      </c>
      <c r="Q209">
        <f t="shared" si="74"/>
        <v>8</v>
      </c>
      <c r="R209">
        <f>_xlfn.XLOOKUP(HFrame_List[[#This Row],[Cross piece style]],$AH$2:$AH$4,$AI$2:$AI$4,0,0)*(HFrame_List[[#This Row],[Width between brackets]]/12)</f>
        <v>139.19399999999999</v>
      </c>
      <c r="S209">
        <f>5.46*(HFrame_List[[#This Row],[cross piece quantity]]-1)*(HFrame_List[[#This Row],[Width between brackets]]/12)</f>
        <v>0</v>
      </c>
      <c r="T209" s="5">
        <f>HFrame_List[[#This Row],[Bottom cross piece cost]]+HFrame_List[[#This Row],[Top cross piece cost]]+HFrame_List[[#This Row],[Component costs]]+HFrame_List[[#This Row],[Vertical strut cost]]</f>
        <v>284.29399999999998</v>
      </c>
      <c r="U209" s="7">
        <f>_xlfn.XLOOKUP(HFrame_List[[#This Row],[Fabrication type]],Fabrication_costs[Fabrication type],Fabrication_costs[unit pricing],"no result",0)</f>
        <v>30</v>
      </c>
      <c r="V209" s="5">
        <f>SUM(T209:U209)/(1-HFrame_List[[#This Row],[Margin]])</f>
        <v>897.98285714285714</v>
      </c>
      <c r="W209" s="36">
        <f t="shared" si="76"/>
        <v>0.65</v>
      </c>
      <c r="X209" t="s">
        <v>193</v>
      </c>
      <c r="Y209">
        <f>_xlfn.XLOOKUP("A12",Strut_costs[size],Strut_costs[Strut cost])/12*HFrame_List[[#This Row],[Strut height (in)]]*(2+HFrame_List[[#This Row],[Extra supports]])</f>
        <v>98.28</v>
      </c>
      <c r="Z209">
        <f>(_xlfn.XLOOKUP("PHB",CADDY_costs[Component],CADDY_costs[Current cost])*HFrame_List[[#This Row],[Number of feet]])+(_xlfn.XLOOKUP("HFRMHDW",CADDY_costs[Component],CADDY_costs[Current cost])*(HFrame_List[[#This Row],[number of L-brackets]]/2))</f>
        <v>46.819999999999993</v>
      </c>
      <c r="AA209">
        <v>7260</v>
      </c>
      <c r="AB209" t="str">
        <f>VLOOKUP(HFrame_List[[#This Row],[lookup]],'Pallet and shipping info'!$A$5:$H$33,6,FALSE)</f>
        <v>x</v>
      </c>
      <c r="AC209">
        <f>VLOOKUP(HFrame_List[[#This Row],[lookup]],'Pallet and shipping info'!$A$5:$H$33,8,FALSE)</f>
        <v>7</v>
      </c>
      <c r="AD209"/>
      <c r="AE209"/>
      <c r="AF209"/>
    </row>
    <row r="210" spans="1:32" x14ac:dyDescent="0.25">
      <c r="A210" s="1" t="s">
        <v>600</v>
      </c>
      <c r="B210" s="1" t="s">
        <v>601</v>
      </c>
      <c r="C210" s="1">
        <f t="shared" si="66"/>
        <v>25.675000000000001</v>
      </c>
      <c r="D210" s="1">
        <f t="shared" si="67"/>
        <v>86.051000000000002</v>
      </c>
      <c r="E210" s="1">
        <v>24</v>
      </c>
      <c r="F210" s="1">
        <v>72</v>
      </c>
      <c r="G210" s="1">
        <f t="shared" si="70"/>
        <v>68.239999999999995</v>
      </c>
      <c r="H210" s="1">
        <v>1</v>
      </c>
      <c r="I210" s="1" t="s">
        <v>186</v>
      </c>
      <c r="J210" s="1">
        <v>1</v>
      </c>
      <c r="K210" s="2">
        <f t="shared" si="68"/>
        <v>35.1875</v>
      </c>
      <c r="L210" s="1">
        <f t="shared" si="69"/>
        <v>3</v>
      </c>
      <c r="M210" s="1">
        <f t="shared" si="71"/>
        <v>12</v>
      </c>
      <c r="N210" s="1">
        <f t="shared" si="72"/>
        <v>4</v>
      </c>
      <c r="O210" s="3">
        <f t="shared" si="63"/>
        <v>14</v>
      </c>
      <c r="P210" s="1">
        <f t="shared" si="73"/>
        <v>2</v>
      </c>
      <c r="Q210">
        <f t="shared" si="74"/>
        <v>8</v>
      </c>
      <c r="R210">
        <f>_xlfn.XLOOKUP(HFrame_List[[#This Row],[Cross piece style]],$AH$2:$AH$4,$AI$2:$AI$4,0,0)*(HFrame_List[[#This Row],[Width between brackets]]/12)</f>
        <v>168.89400000000001</v>
      </c>
      <c r="S210">
        <f>5.46*(HFrame_List[[#This Row],[cross piece quantity]]-1)*(HFrame_List[[#This Row],[Width between brackets]]/12)</f>
        <v>0</v>
      </c>
      <c r="T210" s="5">
        <f>HFrame_List[[#This Row],[Bottom cross piece cost]]+HFrame_List[[#This Row],[Top cross piece cost]]+HFrame_List[[#This Row],[Component costs]]+HFrame_List[[#This Row],[Vertical strut cost]]</f>
        <v>248.47399999999999</v>
      </c>
      <c r="U210" s="7">
        <f>_xlfn.XLOOKUP(HFrame_List[[#This Row],[Fabrication type]],Fabrication_costs[Fabrication type],Fabrication_costs[unit pricing],"no result",0)</f>
        <v>30</v>
      </c>
      <c r="V210" s="5">
        <f>SUM(T210:U210)/(1-HFrame_List[[#This Row],[Margin]])</f>
        <v>795.64</v>
      </c>
      <c r="W210" s="36">
        <f t="shared" si="76"/>
        <v>0.65</v>
      </c>
      <c r="X210" t="s">
        <v>193</v>
      </c>
      <c r="Y210">
        <f>_xlfn.XLOOKUP("A12",Strut_costs[size],Strut_costs[Strut cost])/12*HFrame_List[[#This Row],[Strut height (in)]]*(2+HFrame_List[[#This Row],[Extra supports]])</f>
        <v>32.76</v>
      </c>
      <c r="Z210">
        <f>(_xlfn.XLOOKUP("PHB",CADDY_costs[Component],CADDY_costs[Current cost])*HFrame_List[[#This Row],[Number of feet]])+(_xlfn.XLOOKUP("HFRMHDW",CADDY_costs[Component],CADDY_costs[Current cost])*(HFrame_List[[#This Row],[number of L-brackets]]/2))</f>
        <v>46.819999999999993</v>
      </c>
      <c r="AA210">
        <v>2472</v>
      </c>
      <c r="AB210" t="str">
        <f>VLOOKUP(HFrame_List[[#This Row],[lookup]],'Pallet and shipping info'!$A$5:$H$33,6,FALSE)</f>
        <v>x</v>
      </c>
      <c r="AC210">
        <f>VLOOKUP(HFrame_List[[#This Row],[lookup]],'Pallet and shipping info'!$A$5:$H$33,8,FALSE)</f>
        <v>7</v>
      </c>
      <c r="AD210"/>
      <c r="AE210"/>
      <c r="AF210"/>
    </row>
    <row r="211" spans="1:32" x14ac:dyDescent="0.25">
      <c r="A211" s="1" t="s">
        <v>602</v>
      </c>
      <c r="B211" s="1" t="s">
        <v>603</v>
      </c>
      <c r="C211" s="1">
        <f t="shared" si="66"/>
        <v>37.674999999999997</v>
      </c>
      <c r="D211" s="1">
        <f t="shared" si="67"/>
        <v>86.051000000000002</v>
      </c>
      <c r="E211" s="1">
        <v>36</v>
      </c>
      <c r="F211" s="1">
        <v>72</v>
      </c>
      <c r="G211" s="1">
        <f t="shared" si="70"/>
        <v>68.239999999999995</v>
      </c>
      <c r="H211" s="1">
        <v>1</v>
      </c>
      <c r="I211" s="1" t="s">
        <v>186</v>
      </c>
      <c r="J211" s="1">
        <v>1</v>
      </c>
      <c r="K211" s="2">
        <f t="shared" si="68"/>
        <v>35.1875</v>
      </c>
      <c r="L211" s="1">
        <f t="shared" si="69"/>
        <v>3</v>
      </c>
      <c r="M211" s="1">
        <f t="shared" si="71"/>
        <v>12</v>
      </c>
      <c r="N211" s="1">
        <f t="shared" si="72"/>
        <v>4</v>
      </c>
      <c r="O211" s="3">
        <f t="shared" si="63"/>
        <v>18</v>
      </c>
      <c r="P211" s="1">
        <f t="shared" si="73"/>
        <v>2</v>
      </c>
      <c r="Q211">
        <f t="shared" si="74"/>
        <v>8</v>
      </c>
      <c r="R211">
        <f>_xlfn.XLOOKUP(HFrame_List[[#This Row],[Cross piece style]],$AH$2:$AH$4,$AI$2:$AI$4,0,0)*(HFrame_List[[#This Row],[Width between brackets]]/12)</f>
        <v>168.89400000000001</v>
      </c>
      <c r="S211">
        <f>5.46*(HFrame_List[[#This Row],[cross piece quantity]]-1)*(HFrame_List[[#This Row],[Width between brackets]]/12)</f>
        <v>0</v>
      </c>
      <c r="T211" s="5">
        <f>HFrame_List[[#This Row],[Bottom cross piece cost]]+HFrame_List[[#This Row],[Top cross piece cost]]+HFrame_List[[#This Row],[Component costs]]+HFrame_List[[#This Row],[Vertical strut cost]]</f>
        <v>264.85399999999998</v>
      </c>
      <c r="U211" s="7">
        <f>_xlfn.XLOOKUP(HFrame_List[[#This Row],[Fabrication type]],Fabrication_costs[Fabrication type],Fabrication_costs[unit pricing],"no result",0)</f>
        <v>30</v>
      </c>
      <c r="V211" s="5">
        <f>SUM(T211:U211)/(1-HFrame_List[[#This Row],[Margin]])</f>
        <v>842.44</v>
      </c>
      <c r="W211" s="36">
        <f t="shared" si="76"/>
        <v>0.65</v>
      </c>
      <c r="X211" t="s">
        <v>193</v>
      </c>
      <c r="Y211">
        <f>_xlfn.XLOOKUP("A12",Strut_costs[size],Strut_costs[Strut cost])/12*HFrame_List[[#This Row],[Strut height (in)]]*(2+HFrame_List[[#This Row],[Extra supports]])</f>
        <v>49.14</v>
      </c>
      <c r="Z211">
        <f>(_xlfn.XLOOKUP("PHB",CADDY_costs[Component],CADDY_costs[Current cost])*HFrame_List[[#This Row],[Number of feet]])+(_xlfn.XLOOKUP("HFRMHDW",CADDY_costs[Component],CADDY_costs[Current cost])*(HFrame_List[[#This Row],[number of L-brackets]]/2))</f>
        <v>46.819999999999993</v>
      </c>
      <c r="AA211">
        <v>3672</v>
      </c>
      <c r="AB211" t="str">
        <f>VLOOKUP(HFrame_List[[#This Row],[lookup]],'Pallet and shipping info'!$A$5:$H$33,6,FALSE)</f>
        <v>x</v>
      </c>
      <c r="AC211">
        <f>VLOOKUP(HFrame_List[[#This Row],[lookup]],'Pallet and shipping info'!$A$5:$H$33,8,FALSE)</f>
        <v>7</v>
      </c>
      <c r="AD211"/>
      <c r="AE211"/>
      <c r="AF211"/>
    </row>
    <row r="212" spans="1:32" x14ac:dyDescent="0.25">
      <c r="A212" s="1" t="s">
        <v>604</v>
      </c>
      <c r="B212" s="1" t="s">
        <v>605</v>
      </c>
      <c r="C212" s="1">
        <f t="shared" si="66"/>
        <v>49.674999999999997</v>
      </c>
      <c r="D212" s="1">
        <f t="shared" si="67"/>
        <v>86.051000000000002</v>
      </c>
      <c r="E212" s="1">
        <v>48</v>
      </c>
      <c r="F212" s="1">
        <v>72</v>
      </c>
      <c r="G212" s="1">
        <f t="shared" si="70"/>
        <v>68.239999999999995</v>
      </c>
      <c r="H212" s="1">
        <v>1</v>
      </c>
      <c r="I212" s="1" t="s">
        <v>186</v>
      </c>
      <c r="J212" s="1">
        <v>1</v>
      </c>
      <c r="K212" s="2">
        <f t="shared" si="68"/>
        <v>35.1875</v>
      </c>
      <c r="L212" s="1">
        <f t="shared" si="69"/>
        <v>3</v>
      </c>
      <c r="M212" s="1">
        <f t="shared" si="71"/>
        <v>12</v>
      </c>
      <c r="N212" s="1">
        <f t="shared" si="72"/>
        <v>4</v>
      </c>
      <c r="O212" s="3">
        <f t="shared" si="63"/>
        <v>22</v>
      </c>
      <c r="P212" s="1">
        <f t="shared" si="73"/>
        <v>3</v>
      </c>
      <c r="Q212">
        <f t="shared" si="74"/>
        <v>8</v>
      </c>
      <c r="R212">
        <f>_xlfn.XLOOKUP(HFrame_List[[#This Row],[Cross piece style]],$AH$2:$AH$4,$AI$2:$AI$4,0,0)*(HFrame_List[[#This Row],[Width between brackets]]/12)</f>
        <v>168.89400000000001</v>
      </c>
      <c r="S212">
        <f>5.46*(HFrame_List[[#This Row],[cross piece quantity]]-1)*(HFrame_List[[#This Row],[Width between brackets]]/12)</f>
        <v>0</v>
      </c>
      <c r="T212" s="5">
        <f>HFrame_List[[#This Row],[Bottom cross piece cost]]+HFrame_List[[#This Row],[Top cross piece cost]]+HFrame_List[[#This Row],[Component costs]]+HFrame_List[[#This Row],[Vertical strut cost]]</f>
        <v>281.23399999999998</v>
      </c>
      <c r="U212" s="7">
        <f>_xlfn.XLOOKUP(HFrame_List[[#This Row],[Fabrication type]],Fabrication_costs[Fabrication type],Fabrication_costs[unit pricing],"no result",0)</f>
        <v>30</v>
      </c>
      <c r="V212" s="5">
        <f>SUM(T212:U212)/(1-HFrame_List[[#This Row],[Margin]])</f>
        <v>889.24</v>
      </c>
      <c r="W212" s="36">
        <f t="shared" si="76"/>
        <v>0.65</v>
      </c>
      <c r="X212" t="s">
        <v>193</v>
      </c>
      <c r="Y212">
        <f>_xlfn.XLOOKUP("A12",Strut_costs[size],Strut_costs[Strut cost])/12*HFrame_List[[#This Row],[Strut height (in)]]*(2+HFrame_List[[#This Row],[Extra supports]])</f>
        <v>65.52</v>
      </c>
      <c r="Z212">
        <f>(_xlfn.XLOOKUP("PHB",CADDY_costs[Component],CADDY_costs[Current cost])*HFrame_List[[#This Row],[Number of feet]])+(_xlfn.XLOOKUP("HFRMHDW",CADDY_costs[Component],CADDY_costs[Current cost])*(HFrame_List[[#This Row],[number of L-brackets]]/2))</f>
        <v>46.819999999999993</v>
      </c>
      <c r="AA212">
        <v>4872</v>
      </c>
      <c r="AB212" t="str">
        <f>VLOOKUP(HFrame_List[[#This Row],[lookup]],'Pallet and shipping info'!$A$5:$H$33,6,FALSE)</f>
        <v>x</v>
      </c>
      <c r="AC212">
        <f>VLOOKUP(HFrame_List[[#This Row],[lookup]],'Pallet and shipping info'!$A$5:$H$33,8,FALSE)</f>
        <v>7</v>
      </c>
      <c r="AD212"/>
      <c r="AE212"/>
      <c r="AF212"/>
    </row>
    <row r="213" spans="1:32" x14ac:dyDescent="0.25">
      <c r="A213" s="1" t="s">
        <v>606</v>
      </c>
      <c r="B213" s="1" t="s">
        <v>607</v>
      </c>
      <c r="C213" s="1">
        <f t="shared" si="66"/>
        <v>73.674999999999997</v>
      </c>
      <c r="D213" s="1">
        <f t="shared" si="67"/>
        <v>86.051000000000002</v>
      </c>
      <c r="E213" s="1">
        <v>72</v>
      </c>
      <c r="F213" s="1">
        <v>72</v>
      </c>
      <c r="G213" s="1">
        <f t="shared" si="70"/>
        <v>68.239999999999995</v>
      </c>
      <c r="H213" s="1">
        <v>1</v>
      </c>
      <c r="I213" s="1" t="s">
        <v>186</v>
      </c>
      <c r="J213" s="1">
        <v>1</v>
      </c>
      <c r="K213" s="2">
        <f t="shared" si="68"/>
        <v>35.1875</v>
      </c>
      <c r="L213" s="1">
        <f t="shared" si="69"/>
        <v>3</v>
      </c>
      <c r="M213" s="1">
        <f t="shared" si="71"/>
        <v>12</v>
      </c>
      <c r="N213" s="1">
        <f t="shared" si="72"/>
        <v>4</v>
      </c>
      <c r="O213" s="3">
        <f t="shared" si="63"/>
        <v>30</v>
      </c>
      <c r="P213" s="1">
        <f t="shared" si="73"/>
        <v>3</v>
      </c>
      <c r="Q213">
        <f t="shared" si="74"/>
        <v>8</v>
      </c>
      <c r="R213">
        <f>_xlfn.XLOOKUP(HFrame_List[[#This Row],[Cross piece style]],$AH$2:$AH$4,$AI$2:$AI$4,0,0)*(HFrame_List[[#This Row],[Width between brackets]]/12)</f>
        <v>168.89400000000001</v>
      </c>
      <c r="S213">
        <f>5.46*(HFrame_List[[#This Row],[cross piece quantity]]-1)*(HFrame_List[[#This Row],[Width between brackets]]/12)</f>
        <v>0</v>
      </c>
      <c r="T213" s="5">
        <f>HFrame_List[[#This Row],[Bottom cross piece cost]]+HFrame_List[[#This Row],[Top cross piece cost]]+HFrame_List[[#This Row],[Component costs]]+HFrame_List[[#This Row],[Vertical strut cost]]</f>
        <v>313.99400000000003</v>
      </c>
      <c r="U213" s="7">
        <f>_xlfn.XLOOKUP(HFrame_List[[#This Row],[Fabrication type]],Fabrication_costs[Fabrication type],Fabrication_costs[unit pricing],"no result",0)</f>
        <v>30</v>
      </c>
      <c r="V213" s="5">
        <f>SUM(T213:U213)/(1-HFrame_List[[#This Row],[Margin]])</f>
        <v>982.84000000000015</v>
      </c>
      <c r="W213" s="36">
        <f t="shared" si="76"/>
        <v>0.65</v>
      </c>
      <c r="X213" t="s">
        <v>193</v>
      </c>
      <c r="Y213">
        <f>_xlfn.XLOOKUP("A12",Strut_costs[size],Strut_costs[Strut cost])/12*HFrame_List[[#This Row],[Strut height (in)]]*(2+HFrame_List[[#This Row],[Extra supports]])</f>
        <v>98.28</v>
      </c>
      <c r="Z213">
        <f>(_xlfn.XLOOKUP("PHB",CADDY_costs[Component],CADDY_costs[Current cost])*HFrame_List[[#This Row],[Number of feet]])+(_xlfn.XLOOKUP("HFRMHDW",CADDY_costs[Component],CADDY_costs[Current cost])*(HFrame_List[[#This Row],[number of L-brackets]]/2))</f>
        <v>46.819999999999993</v>
      </c>
      <c r="AA213">
        <v>7272</v>
      </c>
      <c r="AB213" t="str">
        <f>VLOOKUP(HFrame_List[[#This Row],[lookup]],'Pallet and shipping info'!$A$5:$H$33,6,FALSE)</f>
        <v>x</v>
      </c>
      <c r="AC213">
        <f>VLOOKUP(HFrame_List[[#This Row],[lookup]],'Pallet and shipping info'!$A$5:$H$33,8,FALSE)</f>
        <v>7</v>
      </c>
      <c r="AD213"/>
      <c r="AE213"/>
      <c r="AF213"/>
    </row>
    <row r="214" spans="1:32" x14ac:dyDescent="0.25">
      <c r="A214" s="1" t="s">
        <v>608</v>
      </c>
      <c r="B214" s="1" t="s">
        <v>609</v>
      </c>
      <c r="C214" s="1">
        <f t="shared" si="66"/>
        <v>25.675000000000001</v>
      </c>
      <c r="D214" s="1">
        <f t="shared" si="67"/>
        <v>98.051000000000002</v>
      </c>
      <c r="E214" s="1">
        <v>24</v>
      </c>
      <c r="F214" s="1">
        <v>84</v>
      </c>
      <c r="G214" s="1">
        <f t="shared" si="70"/>
        <v>80.239999999999995</v>
      </c>
      <c r="H214" s="1">
        <v>1</v>
      </c>
      <c r="I214" s="1" t="s">
        <v>186</v>
      </c>
      <c r="J214" s="1">
        <v>1</v>
      </c>
      <c r="K214" s="2">
        <f t="shared" si="68"/>
        <v>41.1875</v>
      </c>
      <c r="L214" s="1">
        <f t="shared" si="69"/>
        <v>3</v>
      </c>
      <c r="M214" s="1">
        <f t="shared" si="71"/>
        <v>12</v>
      </c>
      <c r="N214" s="1">
        <f t="shared" si="72"/>
        <v>4</v>
      </c>
      <c r="O214" s="3">
        <f t="shared" si="63"/>
        <v>15</v>
      </c>
      <c r="P214" s="1">
        <f t="shared" si="73"/>
        <v>2</v>
      </c>
      <c r="Q214">
        <f t="shared" si="74"/>
        <v>8</v>
      </c>
      <c r="R214">
        <f>_xlfn.XLOOKUP(HFrame_List[[#This Row],[Cross piece style]],$AH$2:$AH$4,$AI$2:$AI$4,0,0)*(HFrame_List[[#This Row],[Width between brackets]]/12)</f>
        <v>198.59399999999999</v>
      </c>
      <c r="S214">
        <f>5.46*(HFrame_List[[#This Row],[cross piece quantity]]-1)*(HFrame_List[[#This Row],[Width between brackets]]/12)</f>
        <v>0</v>
      </c>
      <c r="T214" s="5">
        <f>HFrame_List[[#This Row],[Bottom cross piece cost]]+HFrame_List[[#This Row],[Top cross piece cost]]+HFrame_List[[#This Row],[Component costs]]+HFrame_List[[#This Row],[Vertical strut cost]]</f>
        <v>278.17399999999998</v>
      </c>
      <c r="U214" s="7">
        <f>_xlfn.XLOOKUP(HFrame_List[[#This Row],[Fabrication type]],Fabrication_costs[Fabrication type],Fabrication_costs[unit pricing],"no result",0)</f>
        <v>30</v>
      </c>
      <c r="V214" s="5">
        <f>SUM(T214:U214)/(1-HFrame_List[[#This Row],[Margin]])</f>
        <v>880.49714285714288</v>
      </c>
      <c r="W214" s="36">
        <f t="shared" si="76"/>
        <v>0.65</v>
      </c>
      <c r="X214" t="s">
        <v>193</v>
      </c>
      <c r="Y214">
        <f>_xlfn.XLOOKUP("A12",Strut_costs[size],Strut_costs[Strut cost])/12*HFrame_List[[#This Row],[Strut height (in)]]*(2+HFrame_List[[#This Row],[Extra supports]])</f>
        <v>32.76</v>
      </c>
      <c r="Z214">
        <f>(_xlfn.XLOOKUP("PHB",CADDY_costs[Component],CADDY_costs[Current cost])*HFrame_List[[#This Row],[Number of feet]])+(_xlfn.XLOOKUP("HFRMHDW",CADDY_costs[Component],CADDY_costs[Current cost])*(HFrame_List[[#This Row],[number of L-brackets]]/2))</f>
        <v>46.819999999999993</v>
      </c>
      <c r="AA214">
        <v>2484</v>
      </c>
      <c r="AB214" t="str">
        <f>VLOOKUP(HFrame_List[[#This Row],[lookup]],'Pallet and shipping info'!$A$5:$H$33,6,FALSE)</f>
        <v>x</v>
      </c>
      <c r="AC214">
        <f>VLOOKUP(HFrame_List[[#This Row],[lookup]],'Pallet and shipping info'!$A$5:$H$33,8,FALSE)</f>
        <v>7</v>
      </c>
      <c r="AD214"/>
      <c r="AE214"/>
      <c r="AF214"/>
    </row>
    <row r="215" spans="1:32" x14ac:dyDescent="0.25">
      <c r="A215" s="1" t="s">
        <v>610</v>
      </c>
      <c r="B215" s="1" t="s">
        <v>611</v>
      </c>
      <c r="C215" s="1">
        <f t="shared" si="66"/>
        <v>37.674999999999997</v>
      </c>
      <c r="D215" s="1">
        <f t="shared" si="67"/>
        <v>98.051000000000002</v>
      </c>
      <c r="E215" s="1">
        <v>36</v>
      </c>
      <c r="F215" s="1">
        <v>84</v>
      </c>
      <c r="G215" s="1">
        <f t="shared" si="70"/>
        <v>80.239999999999995</v>
      </c>
      <c r="H215" s="1">
        <v>1</v>
      </c>
      <c r="I215" s="1" t="s">
        <v>186</v>
      </c>
      <c r="J215" s="1">
        <v>1</v>
      </c>
      <c r="K215" s="2">
        <f t="shared" si="68"/>
        <v>41.1875</v>
      </c>
      <c r="L215" s="1">
        <f t="shared" si="69"/>
        <v>3</v>
      </c>
      <c r="M215" s="1">
        <f t="shared" si="71"/>
        <v>12</v>
      </c>
      <c r="N215" s="1">
        <f t="shared" si="72"/>
        <v>4</v>
      </c>
      <c r="O215" s="3">
        <f t="shared" si="63"/>
        <v>19</v>
      </c>
      <c r="P215" s="1">
        <f t="shared" si="73"/>
        <v>2</v>
      </c>
      <c r="Q215">
        <f t="shared" si="74"/>
        <v>8</v>
      </c>
      <c r="R215">
        <f>_xlfn.XLOOKUP(HFrame_List[[#This Row],[Cross piece style]],$AH$2:$AH$4,$AI$2:$AI$4,0,0)*(HFrame_List[[#This Row],[Width between brackets]]/12)</f>
        <v>198.59399999999999</v>
      </c>
      <c r="S215">
        <f>5.46*(HFrame_List[[#This Row],[cross piece quantity]]-1)*(HFrame_List[[#This Row],[Width between brackets]]/12)</f>
        <v>0</v>
      </c>
      <c r="T215" s="5">
        <f>HFrame_List[[#This Row],[Bottom cross piece cost]]+HFrame_List[[#This Row],[Top cross piece cost]]+HFrame_List[[#This Row],[Component costs]]+HFrame_List[[#This Row],[Vertical strut cost]]</f>
        <v>294.55399999999997</v>
      </c>
      <c r="U215" s="7">
        <f>_xlfn.XLOOKUP(HFrame_List[[#This Row],[Fabrication type]],Fabrication_costs[Fabrication type],Fabrication_costs[unit pricing],"no result",0)</f>
        <v>30</v>
      </c>
      <c r="V215" s="5">
        <f>SUM(T215:U215)/(1-HFrame_List[[#This Row],[Margin]])</f>
        <v>927.29714285714283</v>
      </c>
      <c r="W215" s="36">
        <f t="shared" si="76"/>
        <v>0.65</v>
      </c>
      <c r="X215" t="s">
        <v>193</v>
      </c>
      <c r="Y215">
        <f>_xlfn.XLOOKUP("A12",Strut_costs[size],Strut_costs[Strut cost])/12*HFrame_List[[#This Row],[Strut height (in)]]*(2+HFrame_List[[#This Row],[Extra supports]])</f>
        <v>49.14</v>
      </c>
      <c r="Z215">
        <f>(_xlfn.XLOOKUP("PHB",CADDY_costs[Component],CADDY_costs[Current cost])*HFrame_List[[#This Row],[Number of feet]])+(_xlfn.XLOOKUP("HFRMHDW",CADDY_costs[Component],CADDY_costs[Current cost])*(HFrame_List[[#This Row],[number of L-brackets]]/2))</f>
        <v>46.819999999999993</v>
      </c>
      <c r="AA215">
        <v>3684</v>
      </c>
      <c r="AB215" t="str">
        <f>VLOOKUP(HFrame_List[[#This Row],[lookup]],'Pallet and shipping info'!$A$5:$H$33,6,FALSE)</f>
        <v>x</v>
      </c>
      <c r="AC215">
        <f>VLOOKUP(HFrame_List[[#This Row],[lookup]],'Pallet and shipping info'!$A$5:$H$33,8,FALSE)</f>
        <v>7</v>
      </c>
      <c r="AD215"/>
      <c r="AE215"/>
      <c r="AF215"/>
    </row>
    <row r="216" spans="1:32" x14ac:dyDescent="0.25">
      <c r="A216" s="1" t="s">
        <v>612</v>
      </c>
      <c r="B216" s="1" t="s">
        <v>613</v>
      </c>
      <c r="C216" s="1">
        <f t="shared" si="66"/>
        <v>49.674999999999997</v>
      </c>
      <c r="D216" s="1">
        <f t="shared" si="67"/>
        <v>98.051000000000002</v>
      </c>
      <c r="E216" s="1">
        <v>48</v>
      </c>
      <c r="F216" s="1">
        <v>84</v>
      </c>
      <c r="G216" s="1">
        <f t="shared" si="70"/>
        <v>80.239999999999995</v>
      </c>
      <c r="H216" s="1">
        <v>1</v>
      </c>
      <c r="I216" s="1" t="s">
        <v>186</v>
      </c>
      <c r="J216" s="1">
        <v>1</v>
      </c>
      <c r="K216" s="2">
        <f t="shared" si="68"/>
        <v>41.1875</v>
      </c>
      <c r="L216" s="1">
        <f t="shared" si="69"/>
        <v>3</v>
      </c>
      <c r="M216" s="1">
        <f t="shared" si="71"/>
        <v>12</v>
      </c>
      <c r="N216" s="1">
        <f t="shared" si="72"/>
        <v>4</v>
      </c>
      <c r="O216" s="3">
        <f t="shared" si="63"/>
        <v>23</v>
      </c>
      <c r="P216" s="1">
        <f t="shared" si="73"/>
        <v>3</v>
      </c>
      <c r="Q216">
        <f t="shared" si="74"/>
        <v>8</v>
      </c>
      <c r="R216">
        <f>_xlfn.XLOOKUP(HFrame_List[[#This Row],[Cross piece style]],$AH$2:$AH$4,$AI$2:$AI$4,0,0)*(HFrame_List[[#This Row],[Width between brackets]]/12)</f>
        <v>198.59399999999999</v>
      </c>
      <c r="S216">
        <f>5.46*(HFrame_List[[#This Row],[cross piece quantity]]-1)*(HFrame_List[[#This Row],[Width between brackets]]/12)</f>
        <v>0</v>
      </c>
      <c r="T216" s="5">
        <f>HFrame_List[[#This Row],[Bottom cross piece cost]]+HFrame_List[[#This Row],[Top cross piece cost]]+HFrame_List[[#This Row],[Component costs]]+HFrame_List[[#This Row],[Vertical strut cost]]</f>
        <v>310.93399999999997</v>
      </c>
      <c r="U216" s="7">
        <f>_xlfn.XLOOKUP(HFrame_List[[#This Row],[Fabrication type]],Fabrication_costs[Fabrication type],Fabrication_costs[unit pricing],"no result",0)</f>
        <v>30</v>
      </c>
      <c r="V216" s="5">
        <f>SUM(T216:U216)/(1-HFrame_List[[#This Row],[Margin]])</f>
        <v>974.09714285714279</v>
      </c>
      <c r="W216" s="36">
        <f t="shared" si="76"/>
        <v>0.65</v>
      </c>
      <c r="X216" t="s">
        <v>193</v>
      </c>
      <c r="Y216">
        <f>_xlfn.XLOOKUP("A12",Strut_costs[size],Strut_costs[Strut cost])/12*HFrame_List[[#This Row],[Strut height (in)]]*(2+HFrame_List[[#This Row],[Extra supports]])</f>
        <v>65.52</v>
      </c>
      <c r="Z216">
        <f>(_xlfn.XLOOKUP("PHB",CADDY_costs[Component],CADDY_costs[Current cost])*HFrame_List[[#This Row],[Number of feet]])+(_xlfn.XLOOKUP("HFRMHDW",CADDY_costs[Component],CADDY_costs[Current cost])*(HFrame_List[[#This Row],[number of L-brackets]]/2))</f>
        <v>46.819999999999993</v>
      </c>
      <c r="AA216">
        <v>4884</v>
      </c>
      <c r="AB216" t="str">
        <f>VLOOKUP(HFrame_List[[#This Row],[lookup]],'Pallet and shipping info'!$A$5:$H$33,6,FALSE)</f>
        <v>x</v>
      </c>
      <c r="AC216">
        <f>VLOOKUP(HFrame_List[[#This Row],[lookup]],'Pallet and shipping info'!$A$5:$H$33,8,FALSE)</f>
        <v>7</v>
      </c>
      <c r="AD216"/>
      <c r="AE216"/>
      <c r="AF216"/>
    </row>
    <row r="217" spans="1:32" x14ac:dyDescent="0.25">
      <c r="A217" s="1" t="s">
        <v>614</v>
      </c>
      <c r="B217" s="1" t="s">
        <v>615</v>
      </c>
      <c r="C217" s="1">
        <f t="shared" si="66"/>
        <v>73.674999999999997</v>
      </c>
      <c r="D217" s="1">
        <f t="shared" si="67"/>
        <v>98.051000000000002</v>
      </c>
      <c r="E217" s="1">
        <v>72</v>
      </c>
      <c r="F217" s="1">
        <v>84</v>
      </c>
      <c r="G217" s="1">
        <f t="shared" si="70"/>
        <v>80.239999999999995</v>
      </c>
      <c r="H217" s="1">
        <v>1</v>
      </c>
      <c r="I217" s="1" t="s">
        <v>186</v>
      </c>
      <c r="J217" s="1">
        <v>1</v>
      </c>
      <c r="K217" s="2">
        <f t="shared" si="68"/>
        <v>41.1875</v>
      </c>
      <c r="L217" s="1">
        <f t="shared" si="69"/>
        <v>3</v>
      </c>
      <c r="M217" s="1">
        <f t="shared" si="71"/>
        <v>12</v>
      </c>
      <c r="N217" s="1">
        <f t="shared" si="72"/>
        <v>4</v>
      </c>
      <c r="O217" s="3">
        <f t="shared" si="63"/>
        <v>31</v>
      </c>
      <c r="P217" s="1">
        <f t="shared" si="73"/>
        <v>4</v>
      </c>
      <c r="Q217">
        <f t="shared" si="74"/>
        <v>8</v>
      </c>
      <c r="R217">
        <f>_xlfn.XLOOKUP(HFrame_List[[#This Row],[Cross piece style]],$AH$2:$AH$4,$AI$2:$AI$4,0,0)*(HFrame_List[[#This Row],[Width between brackets]]/12)</f>
        <v>198.59399999999999</v>
      </c>
      <c r="S217">
        <f>5.46*(HFrame_List[[#This Row],[cross piece quantity]]-1)*(HFrame_List[[#This Row],[Width between brackets]]/12)</f>
        <v>0</v>
      </c>
      <c r="T217" s="5">
        <f>HFrame_List[[#This Row],[Bottom cross piece cost]]+HFrame_List[[#This Row],[Top cross piece cost]]+HFrame_List[[#This Row],[Component costs]]+HFrame_List[[#This Row],[Vertical strut cost]]</f>
        <v>343.69399999999996</v>
      </c>
      <c r="U217" s="7">
        <f>_xlfn.XLOOKUP(HFrame_List[[#This Row],[Fabrication type]],Fabrication_costs[Fabrication type],Fabrication_costs[unit pricing],"no result",0)</f>
        <v>30</v>
      </c>
      <c r="V217" s="5">
        <f>SUM(T217:U217)/(1-HFrame_List[[#This Row],[Margin]])</f>
        <v>1067.6971428571428</v>
      </c>
      <c r="W217" s="36">
        <f t="shared" si="76"/>
        <v>0.65</v>
      </c>
      <c r="X217" t="s">
        <v>193</v>
      </c>
      <c r="Y217">
        <f>_xlfn.XLOOKUP("A12",Strut_costs[size],Strut_costs[Strut cost])/12*HFrame_List[[#This Row],[Strut height (in)]]*(2+HFrame_List[[#This Row],[Extra supports]])</f>
        <v>98.28</v>
      </c>
      <c r="Z217">
        <f>(_xlfn.XLOOKUP("PHB",CADDY_costs[Component],CADDY_costs[Current cost])*HFrame_List[[#This Row],[Number of feet]])+(_xlfn.XLOOKUP("HFRMHDW",CADDY_costs[Component],CADDY_costs[Current cost])*(HFrame_List[[#This Row],[number of L-brackets]]/2))</f>
        <v>46.819999999999993</v>
      </c>
      <c r="AA217">
        <v>7284</v>
      </c>
      <c r="AB217" t="str">
        <f>VLOOKUP(HFrame_List[[#This Row],[lookup]],'Pallet and shipping info'!$A$5:$H$33,6,FALSE)</f>
        <v>x</v>
      </c>
      <c r="AC217">
        <f>VLOOKUP(HFrame_List[[#This Row],[lookup]],'Pallet and shipping info'!$A$5:$H$33,8,FALSE)</f>
        <v>7</v>
      </c>
      <c r="AD217"/>
      <c r="AE217"/>
      <c r="AF217"/>
    </row>
    <row r="218" spans="1:32" x14ac:dyDescent="0.25">
      <c r="A218" s="1" t="s">
        <v>616</v>
      </c>
      <c r="B218" s="1" t="s">
        <v>617</v>
      </c>
      <c r="C218" s="1">
        <f t="shared" si="66"/>
        <v>25.675000000000001</v>
      </c>
      <c r="D218" s="1">
        <f t="shared" si="67"/>
        <v>34.051000000000002</v>
      </c>
      <c r="E218" s="1">
        <v>24</v>
      </c>
      <c r="F218" s="1">
        <v>20</v>
      </c>
      <c r="G218" s="1">
        <f>F218-(1.88*2)</f>
        <v>16.240000000000002</v>
      </c>
      <c r="H218" s="1">
        <v>2</v>
      </c>
      <c r="I218" s="1" t="s">
        <v>186</v>
      </c>
      <c r="J218" s="1">
        <v>1</v>
      </c>
      <c r="K218" s="2">
        <f t="shared" si="68"/>
        <v>5.041666666666667</v>
      </c>
      <c r="L218" s="1">
        <f t="shared" si="69"/>
        <v>4</v>
      </c>
      <c r="M218" s="1">
        <f>3*N218</f>
        <v>18</v>
      </c>
      <c r="N218" s="1">
        <f>(2+(2*H218))*J218</f>
        <v>6</v>
      </c>
      <c r="O218" s="3">
        <f t="shared" si="63"/>
        <v>13.666666666666666</v>
      </c>
      <c r="P218" s="1">
        <f t="shared" si="73"/>
        <v>2</v>
      </c>
      <c r="Q218">
        <f t="shared" si="74"/>
        <v>10</v>
      </c>
      <c r="R218">
        <f>_xlfn.XLOOKUP(HFrame_List[[#This Row],[Cross piece style]],$AH$2:$AH$4,$AI$2:$AI$4,0,0)*(HFrame_List[[#This Row],[Width between brackets]]/12)</f>
        <v>40.194000000000003</v>
      </c>
      <c r="S218">
        <f>5.46*(HFrame_List[[#This Row],[cross piece quantity]]-1)*(HFrame_List[[#This Row],[Width between brackets]]/12)</f>
        <v>0</v>
      </c>
      <c r="T218" s="5">
        <f>HFrame_List[[#This Row],[Bottom cross piece cost]]+HFrame_List[[#This Row],[Top cross piece cost]]+HFrame_List[[#This Row],[Component costs]]+HFrame_List[[#This Row],[Vertical strut cost]]</f>
        <v>149.45599999999999</v>
      </c>
      <c r="U218" s="7">
        <f>_xlfn.XLOOKUP(HFrame_List[[#This Row],[Fabrication type]],Fabrication_costs[Fabrication type],Fabrication_costs[unit pricing],"no result",0)</f>
        <v>40.200000000000003</v>
      </c>
      <c r="V218" s="5">
        <f>SUM(T218:U218)/(1-HFrame_List[[#This Row],[Margin]])</f>
        <v>541.87428571428575</v>
      </c>
      <c r="W218" s="36">
        <f t="shared" si="76"/>
        <v>0.65</v>
      </c>
      <c r="X218" t="s">
        <v>196</v>
      </c>
      <c r="Y218">
        <f>_xlfn.XLOOKUP("A12",Strut_costs[size],Strut_costs[Strut cost])/12*HFrame_List[[#This Row],[Strut height (in)]]*(2+HFrame_List[[#This Row],[Extra supports]])</f>
        <v>43.68</v>
      </c>
      <c r="Z218">
        <f>(_xlfn.XLOOKUP("PHB",CADDY_costs[Component],CADDY_costs[Current cost])*HFrame_List[[#This Row],[Number of feet]])+(_xlfn.XLOOKUP("HFRMHDW",CADDY_costs[Component],CADDY_costs[Current cost])*(HFrame_List[[#This Row],[number of L-brackets]]/2))</f>
        <v>65.581999999999994</v>
      </c>
      <c r="AA218">
        <v>2420</v>
      </c>
      <c r="AB218">
        <f>VLOOKUP(HFrame_List[[#This Row],[lookup]],'Pallet and shipping info'!$A$5:$H$33,6,FALSE)</f>
        <v>11</v>
      </c>
      <c r="AC218">
        <f>VLOOKUP(HFrame_List[[#This Row],[lookup]],'Pallet and shipping info'!$A$5:$H$33,8,FALSE)</f>
        <v>15</v>
      </c>
      <c r="AD218"/>
      <c r="AE218"/>
      <c r="AF218"/>
    </row>
    <row r="219" spans="1:32" x14ac:dyDescent="0.25">
      <c r="A219" s="1" t="s">
        <v>618</v>
      </c>
      <c r="B219" s="1" t="s">
        <v>619</v>
      </c>
      <c r="C219" s="1">
        <f t="shared" si="66"/>
        <v>37.674999999999997</v>
      </c>
      <c r="D219" s="1">
        <f t="shared" si="67"/>
        <v>34.051000000000002</v>
      </c>
      <c r="E219" s="1">
        <v>36</v>
      </c>
      <c r="F219" s="1">
        <f>F218</f>
        <v>20</v>
      </c>
      <c r="G219" s="1">
        <f t="shared" ref="G219:G241" si="78">F219-(1.88*2)</f>
        <v>16.240000000000002</v>
      </c>
      <c r="H219" s="1">
        <v>2</v>
      </c>
      <c r="I219" s="1" t="s">
        <v>186</v>
      </c>
      <c r="J219" s="1">
        <v>1</v>
      </c>
      <c r="K219" s="2">
        <f t="shared" si="68"/>
        <v>5.041666666666667</v>
      </c>
      <c r="L219" s="1">
        <f t="shared" si="69"/>
        <v>4</v>
      </c>
      <c r="M219" s="1">
        <f t="shared" ref="M219:M241" si="79">3*N219</f>
        <v>18</v>
      </c>
      <c r="N219" s="1">
        <f t="shared" ref="N219:N241" si="80">(2+(2*H219))*J219</f>
        <v>6</v>
      </c>
      <c r="O219" s="3">
        <f t="shared" si="63"/>
        <v>19.666666666666668</v>
      </c>
      <c r="P219" s="1">
        <f t="shared" si="73"/>
        <v>2</v>
      </c>
      <c r="Q219">
        <f t="shared" si="74"/>
        <v>10</v>
      </c>
      <c r="R219">
        <f>_xlfn.XLOOKUP(HFrame_List[[#This Row],[Cross piece style]],$AH$2:$AH$4,$AI$2:$AI$4,0,0)*(HFrame_List[[#This Row],[Width between brackets]]/12)</f>
        <v>40.194000000000003</v>
      </c>
      <c r="S219">
        <f>5.46*(HFrame_List[[#This Row],[cross piece quantity]]-1)*(HFrame_List[[#This Row],[Width between brackets]]/12)</f>
        <v>0</v>
      </c>
      <c r="T219" s="5">
        <f>HFrame_List[[#This Row],[Bottom cross piece cost]]+HFrame_List[[#This Row],[Top cross piece cost]]+HFrame_List[[#This Row],[Component costs]]+HFrame_List[[#This Row],[Vertical strut cost]]</f>
        <v>171.29599999999999</v>
      </c>
      <c r="U219" s="7">
        <f>_xlfn.XLOOKUP(HFrame_List[[#This Row],[Fabrication type]],Fabrication_costs[Fabrication type],Fabrication_costs[unit pricing],"no result",0)</f>
        <v>40.200000000000003</v>
      </c>
      <c r="V219" s="5">
        <f>SUM(T219:U219)/(1-HFrame_List[[#This Row],[Margin]])</f>
        <v>604.27428571428572</v>
      </c>
      <c r="W219" s="36">
        <f t="shared" si="76"/>
        <v>0.65</v>
      </c>
      <c r="X219" t="s">
        <v>196</v>
      </c>
      <c r="Y219">
        <f>_xlfn.XLOOKUP("A12",Strut_costs[size],Strut_costs[Strut cost])/12*HFrame_List[[#This Row],[Strut height (in)]]*(2+HFrame_List[[#This Row],[Extra supports]])</f>
        <v>65.52</v>
      </c>
      <c r="Z219">
        <f>(_xlfn.XLOOKUP("PHB",CADDY_costs[Component],CADDY_costs[Current cost])*HFrame_List[[#This Row],[Number of feet]])+(_xlfn.XLOOKUP("HFRMHDW",CADDY_costs[Component],CADDY_costs[Current cost])*(HFrame_List[[#This Row],[number of L-brackets]]/2))</f>
        <v>65.581999999999994</v>
      </c>
      <c r="AA219">
        <v>3620</v>
      </c>
      <c r="AB219">
        <f>VLOOKUP(HFrame_List[[#This Row],[lookup]],'Pallet and shipping info'!$A$5:$H$33,6,FALSE)</f>
        <v>11</v>
      </c>
      <c r="AC219">
        <f>VLOOKUP(HFrame_List[[#This Row],[lookup]],'Pallet and shipping info'!$A$5:$H$33,8,FALSE)</f>
        <v>15</v>
      </c>
      <c r="AD219"/>
      <c r="AE219"/>
      <c r="AF219"/>
    </row>
    <row r="220" spans="1:32" x14ac:dyDescent="0.25">
      <c r="A220" s="1" t="s">
        <v>620</v>
      </c>
      <c r="B220" s="1" t="s">
        <v>621</v>
      </c>
      <c r="C220" s="1">
        <f t="shared" si="66"/>
        <v>49.674999999999997</v>
      </c>
      <c r="D220" s="1">
        <f t="shared" si="67"/>
        <v>34.051000000000002</v>
      </c>
      <c r="E220" s="1">
        <v>48</v>
      </c>
      <c r="F220" s="1">
        <f t="shared" ref="F220:F221" si="81">F219</f>
        <v>20</v>
      </c>
      <c r="G220" s="1">
        <f t="shared" si="78"/>
        <v>16.240000000000002</v>
      </c>
      <c r="H220" s="1">
        <v>2</v>
      </c>
      <c r="I220" s="1" t="s">
        <v>186</v>
      </c>
      <c r="J220" s="1">
        <v>1</v>
      </c>
      <c r="K220" s="2">
        <f t="shared" si="68"/>
        <v>5.041666666666667</v>
      </c>
      <c r="L220" s="1">
        <f t="shared" si="69"/>
        <v>4</v>
      </c>
      <c r="M220" s="1">
        <f t="shared" si="79"/>
        <v>18</v>
      </c>
      <c r="N220" s="1">
        <f t="shared" si="80"/>
        <v>6</v>
      </c>
      <c r="O220" s="3">
        <f t="shared" si="63"/>
        <v>25.666666666666668</v>
      </c>
      <c r="P220" s="1">
        <f t="shared" si="73"/>
        <v>3</v>
      </c>
      <c r="Q220">
        <f t="shared" si="74"/>
        <v>10</v>
      </c>
      <c r="R220">
        <f>_xlfn.XLOOKUP(HFrame_List[[#This Row],[Cross piece style]],$AH$2:$AH$4,$AI$2:$AI$4,0,0)*(HFrame_List[[#This Row],[Width between brackets]]/12)</f>
        <v>40.194000000000003</v>
      </c>
      <c r="S220">
        <f>5.46*(HFrame_List[[#This Row],[cross piece quantity]]-1)*(HFrame_List[[#This Row],[Width between brackets]]/12)</f>
        <v>0</v>
      </c>
      <c r="T220" s="5">
        <f>HFrame_List[[#This Row],[Bottom cross piece cost]]+HFrame_List[[#This Row],[Top cross piece cost]]+HFrame_List[[#This Row],[Component costs]]+HFrame_List[[#This Row],[Vertical strut cost]]</f>
        <v>193.136</v>
      </c>
      <c r="U220" s="7">
        <f>_xlfn.XLOOKUP(HFrame_List[[#This Row],[Fabrication type]],Fabrication_costs[Fabrication type],Fabrication_costs[unit pricing],"no result",0)</f>
        <v>40.200000000000003</v>
      </c>
      <c r="V220" s="5">
        <f>SUM(T220:U220)/(1-HFrame_List[[#This Row],[Margin]])</f>
        <v>666.67428571428582</v>
      </c>
      <c r="W220" s="36">
        <f t="shared" si="76"/>
        <v>0.65</v>
      </c>
      <c r="X220" t="s">
        <v>196</v>
      </c>
      <c r="Y220">
        <f>_xlfn.XLOOKUP("A12",Strut_costs[size],Strut_costs[Strut cost])/12*HFrame_List[[#This Row],[Strut height (in)]]*(2+HFrame_List[[#This Row],[Extra supports]])</f>
        <v>87.36</v>
      </c>
      <c r="Z220">
        <f>(_xlfn.XLOOKUP("PHB",CADDY_costs[Component],CADDY_costs[Current cost])*HFrame_List[[#This Row],[Number of feet]])+(_xlfn.XLOOKUP("HFRMHDW",CADDY_costs[Component],CADDY_costs[Current cost])*(HFrame_List[[#This Row],[number of L-brackets]]/2))</f>
        <v>65.581999999999994</v>
      </c>
      <c r="AA220">
        <v>4820</v>
      </c>
      <c r="AB220">
        <f>VLOOKUP(HFrame_List[[#This Row],[lookup]],'Pallet and shipping info'!$A$5:$H$33,6,FALSE)</f>
        <v>11</v>
      </c>
      <c r="AC220">
        <f>VLOOKUP(HFrame_List[[#This Row],[lookup]],'Pallet and shipping info'!$A$5:$H$33,8,FALSE)</f>
        <v>15</v>
      </c>
      <c r="AD220"/>
      <c r="AE220"/>
      <c r="AF220"/>
    </row>
    <row r="221" spans="1:32" x14ac:dyDescent="0.25">
      <c r="A221" s="1" t="s">
        <v>622</v>
      </c>
      <c r="B221" s="1" t="s">
        <v>623</v>
      </c>
      <c r="C221" s="1">
        <f t="shared" si="66"/>
        <v>73.674999999999997</v>
      </c>
      <c r="D221" s="1">
        <f t="shared" si="67"/>
        <v>34.051000000000002</v>
      </c>
      <c r="E221" s="1">
        <v>72</v>
      </c>
      <c r="F221" s="1">
        <f t="shared" si="81"/>
        <v>20</v>
      </c>
      <c r="G221" s="1">
        <f t="shared" si="78"/>
        <v>16.240000000000002</v>
      </c>
      <c r="H221" s="1">
        <v>2</v>
      </c>
      <c r="I221" s="1" t="s">
        <v>186</v>
      </c>
      <c r="J221" s="1">
        <v>1</v>
      </c>
      <c r="K221" s="2">
        <f t="shared" si="68"/>
        <v>5.041666666666667</v>
      </c>
      <c r="L221" s="1">
        <f t="shared" si="69"/>
        <v>4</v>
      </c>
      <c r="M221" s="1">
        <f t="shared" si="79"/>
        <v>18</v>
      </c>
      <c r="N221" s="1">
        <f t="shared" si="80"/>
        <v>6</v>
      </c>
      <c r="O221" s="3">
        <f t="shared" si="63"/>
        <v>37.666666666666664</v>
      </c>
      <c r="P221" s="1">
        <f t="shared" si="73"/>
        <v>4</v>
      </c>
      <c r="Q221">
        <f t="shared" si="74"/>
        <v>10</v>
      </c>
      <c r="R221">
        <f>_xlfn.XLOOKUP(HFrame_List[[#This Row],[Cross piece style]],$AH$2:$AH$4,$AI$2:$AI$4,0,0)*(HFrame_List[[#This Row],[Width between brackets]]/12)</f>
        <v>40.194000000000003</v>
      </c>
      <c r="S221">
        <f>5.46*(HFrame_List[[#This Row],[cross piece quantity]]-1)*(HFrame_List[[#This Row],[Width between brackets]]/12)</f>
        <v>0</v>
      </c>
      <c r="T221" s="5">
        <f>HFrame_List[[#This Row],[Bottom cross piece cost]]+HFrame_List[[#This Row],[Top cross piece cost]]+HFrame_List[[#This Row],[Component costs]]+HFrame_List[[#This Row],[Vertical strut cost]]</f>
        <v>236.81599999999997</v>
      </c>
      <c r="U221" s="7">
        <f>_xlfn.XLOOKUP(HFrame_List[[#This Row],[Fabrication type]],Fabrication_costs[Fabrication type],Fabrication_costs[unit pricing],"no result",0)</f>
        <v>40.200000000000003</v>
      </c>
      <c r="V221" s="5">
        <f>SUM(T221:U221)/(1-HFrame_List[[#This Row],[Margin]])</f>
        <v>791.47428571428566</v>
      </c>
      <c r="W221" s="36">
        <f t="shared" si="76"/>
        <v>0.65</v>
      </c>
      <c r="X221" t="s">
        <v>196</v>
      </c>
      <c r="Y221">
        <f>_xlfn.XLOOKUP("A12",Strut_costs[size],Strut_costs[Strut cost])/12*HFrame_List[[#This Row],[Strut height (in)]]*(2+HFrame_List[[#This Row],[Extra supports]])</f>
        <v>131.04</v>
      </c>
      <c r="Z221">
        <f>(_xlfn.XLOOKUP("PHB",CADDY_costs[Component],CADDY_costs[Current cost])*HFrame_List[[#This Row],[Number of feet]])+(_xlfn.XLOOKUP("HFRMHDW",CADDY_costs[Component],CADDY_costs[Current cost])*(HFrame_List[[#This Row],[number of L-brackets]]/2))</f>
        <v>65.581999999999994</v>
      </c>
      <c r="AA221">
        <v>7220</v>
      </c>
      <c r="AB221">
        <f>VLOOKUP(HFrame_List[[#This Row],[lookup]],'Pallet and shipping info'!$A$5:$H$33,6,FALSE)</f>
        <v>11</v>
      </c>
      <c r="AC221">
        <f>VLOOKUP(HFrame_List[[#This Row],[lookup]],'Pallet and shipping info'!$A$5:$H$33,8,FALSE)</f>
        <v>15</v>
      </c>
      <c r="AD221"/>
      <c r="AE221"/>
      <c r="AF221"/>
    </row>
    <row r="222" spans="1:32" x14ac:dyDescent="0.25">
      <c r="A222" s="1" t="s">
        <v>624</v>
      </c>
      <c r="B222" s="1" t="s">
        <v>625</v>
      </c>
      <c r="C222" s="1">
        <f t="shared" si="66"/>
        <v>25.675000000000001</v>
      </c>
      <c r="D222" s="1">
        <f t="shared" si="67"/>
        <v>50.050999999999995</v>
      </c>
      <c r="E222" s="1">
        <v>24</v>
      </c>
      <c r="F222" s="1">
        <v>36</v>
      </c>
      <c r="G222" s="1">
        <f t="shared" si="78"/>
        <v>32.24</v>
      </c>
      <c r="H222" s="1">
        <v>2</v>
      </c>
      <c r="I222" s="1" t="s">
        <v>186</v>
      </c>
      <c r="J222" s="1">
        <v>1</v>
      </c>
      <c r="K222" s="2">
        <f t="shared" si="68"/>
        <v>10.375</v>
      </c>
      <c r="L222" s="1">
        <f t="shared" si="69"/>
        <v>4</v>
      </c>
      <c r="M222" s="1">
        <f t="shared" si="79"/>
        <v>18</v>
      </c>
      <c r="N222" s="1">
        <f t="shared" si="80"/>
        <v>6</v>
      </c>
      <c r="O222" s="3">
        <f t="shared" si="63"/>
        <v>15</v>
      </c>
      <c r="P222" s="1">
        <f t="shared" si="73"/>
        <v>2</v>
      </c>
      <c r="Q222">
        <f t="shared" si="74"/>
        <v>10</v>
      </c>
      <c r="R222">
        <f>_xlfn.XLOOKUP(HFrame_List[[#This Row],[Cross piece style]],$AH$2:$AH$4,$AI$2:$AI$4,0,0)*(HFrame_List[[#This Row],[Width between brackets]]/12)</f>
        <v>79.794000000000011</v>
      </c>
      <c r="S222">
        <f>5.46*(HFrame_List[[#This Row],[cross piece quantity]]-1)*(HFrame_List[[#This Row],[Width between brackets]]/12)</f>
        <v>0</v>
      </c>
      <c r="T222" s="5">
        <f>HFrame_List[[#This Row],[Bottom cross piece cost]]+HFrame_List[[#This Row],[Top cross piece cost]]+HFrame_List[[#This Row],[Component costs]]+HFrame_List[[#This Row],[Vertical strut cost]]</f>
        <v>189.05600000000001</v>
      </c>
      <c r="U222" s="7">
        <f>_xlfn.XLOOKUP(HFrame_List[[#This Row],[Fabrication type]],Fabrication_costs[Fabrication type],Fabrication_costs[unit pricing],"no result",0)</f>
        <v>40.200000000000003</v>
      </c>
      <c r="V222" s="5">
        <f>SUM(T222:U222)/(1-HFrame_List[[#This Row],[Margin]])</f>
        <v>655.01714285714297</v>
      </c>
      <c r="W222" s="36">
        <f t="shared" si="76"/>
        <v>0.65</v>
      </c>
      <c r="X222" t="s">
        <v>196</v>
      </c>
      <c r="Y222">
        <f>_xlfn.XLOOKUP("A12",Strut_costs[size],Strut_costs[Strut cost])/12*HFrame_List[[#This Row],[Strut height (in)]]*(2+HFrame_List[[#This Row],[Extra supports]])</f>
        <v>43.68</v>
      </c>
      <c r="Z222">
        <f>(_xlfn.XLOOKUP("PHB",CADDY_costs[Component],CADDY_costs[Current cost])*HFrame_List[[#This Row],[Number of feet]])+(_xlfn.XLOOKUP("HFRMHDW",CADDY_costs[Component],CADDY_costs[Current cost])*(HFrame_List[[#This Row],[number of L-brackets]]/2))</f>
        <v>65.581999999999994</v>
      </c>
      <c r="AA222">
        <v>2436</v>
      </c>
      <c r="AB222">
        <f>VLOOKUP(HFrame_List[[#This Row],[lookup]],'Pallet and shipping info'!$A$5:$H$33,6,FALSE)</f>
        <v>9</v>
      </c>
      <c r="AC222">
        <f>VLOOKUP(HFrame_List[[#This Row],[lookup]],'Pallet and shipping info'!$A$5:$H$33,8,FALSE)</f>
        <v>14</v>
      </c>
      <c r="AD222"/>
      <c r="AE222"/>
      <c r="AF222"/>
    </row>
    <row r="223" spans="1:32" x14ac:dyDescent="0.25">
      <c r="A223" s="1" t="s">
        <v>626</v>
      </c>
      <c r="B223" s="1" t="s">
        <v>627</v>
      </c>
      <c r="C223" s="1">
        <f t="shared" si="66"/>
        <v>37.674999999999997</v>
      </c>
      <c r="D223" s="1">
        <f t="shared" si="67"/>
        <v>50.050999999999995</v>
      </c>
      <c r="E223" s="1">
        <v>36</v>
      </c>
      <c r="F223" s="1">
        <f>F222</f>
        <v>36</v>
      </c>
      <c r="G223" s="1">
        <f t="shared" si="78"/>
        <v>32.24</v>
      </c>
      <c r="H223" s="1">
        <v>2</v>
      </c>
      <c r="I223" s="1" t="s">
        <v>186</v>
      </c>
      <c r="J223" s="1">
        <v>1</v>
      </c>
      <c r="K223" s="2">
        <f t="shared" si="68"/>
        <v>10.375</v>
      </c>
      <c r="L223" s="1">
        <f t="shared" si="69"/>
        <v>4</v>
      </c>
      <c r="M223" s="1">
        <f t="shared" si="79"/>
        <v>18</v>
      </c>
      <c r="N223" s="1">
        <f t="shared" si="80"/>
        <v>6</v>
      </c>
      <c r="O223" s="3">
        <f t="shared" si="63"/>
        <v>21</v>
      </c>
      <c r="P223" s="1">
        <f t="shared" si="73"/>
        <v>3</v>
      </c>
      <c r="Q223">
        <f t="shared" si="74"/>
        <v>10</v>
      </c>
      <c r="R223">
        <f>_xlfn.XLOOKUP(HFrame_List[[#This Row],[Cross piece style]],$AH$2:$AH$4,$AI$2:$AI$4,0,0)*(HFrame_List[[#This Row],[Width between brackets]]/12)</f>
        <v>79.794000000000011</v>
      </c>
      <c r="S223">
        <f>5.46*(HFrame_List[[#This Row],[cross piece quantity]]-1)*(HFrame_List[[#This Row],[Width between brackets]]/12)</f>
        <v>0</v>
      </c>
      <c r="T223" s="5">
        <f>HFrame_List[[#This Row],[Bottom cross piece cost]]+HFrame_List[[#This Row],[Top cross piece cost]]+HFrame_List[[#This Row],[Component costs]]+HFrame_List[[#This Row],[Vertical strut cost]]</f>
        <v>210.89600000000002</v>
      </c>
      <c r="U223" s="7">
        <f>_xlfn.XLOOKUP(HFrame_List[[#This Row],[Fabrication type]],Fabrication_costs[Fabrication type],Fabrication_costs[unit pricing],"no result",0)</f>
        <v>40.200000000000003</v>
      </c>
      <c r="V223" s="5">
        <f>SUM(T223:U223)/(1-HFrame_List[[#This Row],[Margin]])</f>
        <v>717.41714285714295</v>
      </c>
      <c r="W223" s="36">
        <f t="shared" si="76"/>
        <v>0.65</v>
      </c>
      <c r="X223" t="s">
        <v>196</v>
      </c>
      <c r="Y223">
        <f>_xlfn.XLOOKUP("A12",Strut_costs[size],Strut_costs[Strut cost])/12*HFrame_List[[#This Row],[Strut height (in)]]*(2+HFrame_List[[#This Row],[Extra supports]])</f>
        <v>65.52</v>
      </c>
      <c r="Z223">
        <f>(_xlfn.XLOOKUP("PHB",CADDY_costs[Component],CADDY_costs[Current cost])*HFrame_List[[#This Row],[Number of feet]])+(_xlfn.XLOOKUP("HFRMHDW",CADDY_costs[Component],CADDY_costs[Current cost])*(HFrame_List[[#This Row],[number of L-brackets]]/2))</f>
        <v>65.581999999999994</v>
      </c>
      <c r="AA223">
        <v>3636</v>
      </c>
      <c r="AB223">
        <f>VLOOKUP(HFrame_List[[#This Row],[lookup]],'Pallet and shipping info'!$A$5:$H$33,6,FALSE)</f>
        <v>9</v>
      </c>
      <c r="AC223">
        <f>VLOOKUP(HFrame_List[[#This Row],[lookup]],'Pallet and shipping info'!$A$5:$H$33,8,FALSE)</f>
        <v>14</v>
      </c>
      <c r="AD223"/>
      <c r="AE223"/>
      <c r="AF223"/>
    </row>
    <row r="224" spans="1:32" x14ac:dyDescent="0.25">
      <c r="A224" s="1" t="s">
        <v>628</v>
      </c>
      <c r="B224" s="1" t="s">
        <v>629</v>
      </c>
      <c r="C224" s="1">
        <f t="shared" si="66"/>
        <v>49.674999999999997</v>
      </c>
      <c r="D224" s="1">
        <f t="shared" si="67"/>
        <v>50.050999999999995</v>
      </c>
      <c r="E224" s="1">
        <v>48</v>
      </c>
      <c r="F224" s="1">
        <f t="shared" ref="F224:F229" si="82">F223</f>
        <v>36</v>
      </c>
      <c r="G224" s="1">
        <f t="shared" si="78"/>
        <v>32.24</v>
      </c>
      <c r="H224" s="1">
        <v>2</v>
      </c>
      <c r="I224" s="1" t="s">
        <v>186</v>
      </c>
      <c r="J224" s="1">
        <v>1</v>
      </c>
      <c r="K224" s="2">
        <f t="shared" si="68"/>
        <v>10.375</v>
      </c>
      <c r="L224" s="1">
        <f t="shared" si="69"/>
        <v>4</v>
      </c>
      <c r="M224" s="1">
        <f t="shared" si="79"/>
        <v>18</v>
      </c>
      <c r="N224" s="1">
        <f t="shared" si="80"/>
        <v>6</v>
      </c>
      <c r="O224" s="3">
        <f t="shared" si="63"/>
        <v>27</v>
      </c>
      <c r="P224" s="1">
        <f t="shared" si="73"/>
        <v>3</v>
      </c>
      <c r="Q224">
        <f t="shared" si="74"/>
        <v>10</v>
      </c>
      <c r="R224">
        <f>_xlfn.XLOOKUP(HFrame_List[[#This Row],[Cross piece style]],$AH$2:$AH$4,$AI$2:$AI$4,0,0)*(HFrame_List[[#This Row],[Width between brackets]]/12)</f>
        <v>79.794000000000011</v>
      </c>
      <c r="S224">
        <f>5.46*(HFrame_List[[#This Row],[cross piece quantity]]-1)*(HFrame_List[[#This Row],[Width between brackets]]/12)</f>
        <v>0</v>
      </c>
      <c r="T224" s="5">
        <f>HFrame_List[[#This Row],[Bottom cross piece cost]]+HFrame_List[[#This Row],[Top cross piece cost]]+HFrame_List[[#This Row],[Component costs]]+HFrame_List[[#This Row],[Vertical strut cost]]</f>
        <v>232.73599999999999</v>
      </c>
      <c r="U224" s="7">
        <f>_xlfn.XLOOKUP(HFrame_List[[#This Row],[Fabrication type]],Fabrication_costs[Fabrication type],Fabrication_costs[unit pricing],"no result",0)</f>
        <v>40.200000000000003</v>
      </c>
      <c r="V224" s="5">
        <f>SUM(T224:U224)/(1-HFrame_List[[#This Row],[Margin]])</f>
        <v>779.81714285714281</v>
      </c>
      <c r="W224" s="36">
        <f t="shared" si="76"/>
        <v>0.65</v>
      </c>
      <c r="X224" t="s">
        <v>196</v>
      </c>
      <c r="Y224">
        <f>_xlfn.XLOOKUP("A12",Strut_costs[size],Strut_costs[Strut cost])/12*HFrame_List[[#This Row],[Strut height (in)]]*(2+HFrame_List[[#This Row],[Extra supports]])</f>
        <v>87.36</v>
      </c>
      <c r="Z224">
        <f>(_xlfn.XLOOKUP("PHB",CADDY_costs[Component],CADDY_costs[Current cost])*HFrame_List[[#This Row],[Number of feet]])+(_xlfn.XLOOKUP("HFRMHDW",CADDY_costs[Component],CADDY_costs[Current cost])*(HFrame_List[[#This Row],[number of L-brackets]]/2))</f>
        <v>65.581999999999994</v>
      </c>
      <c r="AA224">
        <v>4836</v>
      </c>
      <c r="AB224">
        <f>VLOOKUP(HFrame_List[[#This Row],[lookup]],'Pallet and shipping info'!$A$5:$H$33,6,FALSE)</f>
        <v>9</v>
      </c>
      <c r="AC224">
        <f>VLOOKUP(HFrame_List[[#This Row],[lookup]],'Pallet and shipping info'!$A$5:$H$33,8,FALSE)</f>
        <v>14</v>
      </c>
      <c r="AD224"/>
      <c r="AE224"/>
      <c r="AF224"/>
    </row>
    <row r="225" spans="1:32" x14ac:dyDescent="0.25">
      <c r="A225" s="1" t="s">
        <v>630</v>
      </c>
      <c r="B225" s="1" t="s">
        <v>631</v>
      </c>
      <c r="C225" s="1">
        <f t="shared" si="66"/>
        <v>73.674999999999997</v>
      </c>
      <c r="D225" s="1">
        <f t="shared" si="67"/>
        <v>50.050999999999995</v>
      </c>
      <c r="E225" s="1">
        <v>72</v>
      </c>
      <c r="F225" s="1">
        <f t="shared" si="82"/>
        <v>36</v>
      </c>
      <c r="G225" s="1">
        <f t="shared" si="78"/>
        <v>32.24</v>
      </c>
      <c r="H225" s="1">
        <v>2</v>
      </c>
      <c r="I225" s="1" t="s">
        <v>186</v>
      </c>
      <c r="J225" s="1">
        <v>1</v>
      </c>
      <c r="K225" s="2">
        <f t="shared" si="68"/>
        <v>10.375</v>
      </c>
      <c r="L225" s="1">
        <f t="shared" si="69"/>
        <v>4</v>
      </c>
      <c r="M225" s="1">
        <f t="shared" si="79"/>
        <v>18</v>
      </c>
      <c r="N225" s="1">
        <f t="shared" si="80"/>
        <v>6</v>
      </c>
      <c r="O225" s="3">
        <f t="shared" si="63"/>
        <v>39</v>
      </c>
      <c r="P225" s="1">
        <f t="shared" si="73"/>
        <v>4</v>
      </c>
      <c r="Q225">
        <f t="shared" si="74"/>
        <v>10</v>
      </c>
      <c r="R225">
        <f>_xlfn.XLOOKUP(HFrame_List[[#This Row],[Cross piece style]],$AH$2:$AH$4,$AI$2:$AI$4,0,0)*(HFrame_List[[#This Row],[Width between brackets]]/12)</f>
        <v>79.794000000000011</v>
      </c>
      <c r="S225">
        <f>5.46*(HFrame_List[[#This Row],[cross piece quantity]]-1)*(HFrame_List[[#This Row],[Width between brackets]]/12)</f>
        <v>0</v>
      </c>
      <c r="T225" s="5">
        <f>HFrame_List[[#This Row],[Bottom cross piece cost]]+HFrame_List[[#This Row],[Top cross piece cost]]+HFrame_List[[#This Row],[Component costs]]+HFrame_List[[#This Row],[Vertical strut cost]]</f>
        <v>276.416</v>
      </c>
      <c r="U225" s="7">
        <f>_xlfn.XLOOKUP(HFrame_List[[#This Row],[Fabrication type]],Fabrication_costs[Fabrication type],Fabrication_costs[unit pricing],"no result",0)</f>
        <v>40.200000000000003</v>
      </c>
      <c r="V225" s="5">
        <f>SUM(T225:U225)/(1-HFrame_List[[#This Row],[Margin]])</f>
        <v>904.61714285714288</v>
      </c>
      <c r="W225" s="36">
        <f t="shared" si="76"/>
        <v>0.65</v>
      </c>
      <c r="X225" t="s">
        <v>196</v>
      </c>
      <c r="Y225">
        <f>_xlfn.XLOOKUP("A12",Strut_costs[size],Strut_costs[Strut cost])/12*HFrame_List[[#This Row],[Strut height (in)]]*(2+HFrame_List[[#This Row],[Extra supports]])</f>
        <v>131.04</v>
      </c>
      <c r="Z225">
        <f>(_xlfn.XLOOKUP("PHB",CADDY_costs[Component],CADDY_costs[Current cost])*HFrame_List[[#This Row],[Number of feet]])+(_xlfn.XLOOKUP("HFRMHDW",CADDY_costs[Component],CADDY_costs[Current cost])*(HFrame_List[[#This Row],[number of L-brackets]]/2))</f>
        <v>65.581999999999994</v>
      </c>
      <c r="AA225">
        <v>7236</v>
      </c>
      <c r="AB225">
        <f>VLOOKUP(HFrame_List[[#This Row],[lookup]],'Pallet and shipping info'!$A$5:$H$33,6,FALSE)</f>
        <v>9</v>
      </c>
      <c r="AC225">
        <f>VLOOKUP(HFrame_List[[#This Row],[lookup]],'Pallet and shipping info'!$A$5:$H$33,8,FALSE)</f>
        <v>14</v>
      </c>
      <c r="AD225"/>
      <c r="AE225"/>
      <c r="AF225"/>
    </row>
    <row r="226" spans="1:32" x14ac:dyDescent="0.25">
      <c r="A226" s="1" t="s">
        <v>632</v>
      </c>
      <c r="B226" s="1" t="s">
        <v>633</v>
      </c>
      <c r="C226" s="1">
        <f t="shared" si="66"/>
        <v>25.675000000000001</v>
      </c>
      <c r="D226" s="1">
        <f t="shared" si="67"/>
        <v>62.050999999999995</v>
      </c>
      <c r="E226" s="1">
        <v>24</v>
      </c>
      <c r="F226" s="1">
        <v>48</v>
      </c>
      <c r="G226" s="1">
        <f t="shared" si="78"/>
        <v>44.24</v>
      </c>
      <c r="H226" s="1">
        <v>2</v>
      </c>
      <c r="I226" s="1" t="s">
        <v>186</v>
      </c>
      <c r="J226" s="1">
        <v>1</v>
      </c>
      <c r="K226" s="2">
        <f t="shared" si="68"/>
        <v>14.375</v>
      </c>
      <c r="L226" s="1">
        <f t="shared" si="69"/>
        <v>4</v>
      </c>
      <c r="M226" s="1">
        <f t="shared" si="79"/>
        <v>18</v>
      </c>
      <c r="N226" s="1">
        <f t="shared" si="80"/>
        <v>6</v>
      </c>
      <c r="O226" s="3">
        <f t="shared" si="63"/>
        <v>16</v>
      </c>
      <c r="P226" s="1">
        <f t="shared" si="73"/>
        <v>2</v>
      </c>
      <c r="Q226">
        <f t="shared" si="74"/>
        <v>10</v>
      </c>
      <c r="R226">
        <f>_xlfn.XLOOKUP(HFrame_List[[#This Row],[Cross piece style]],$AH$2:$AH$4,$AI$2:$AI$4,0,0)*(HFrame_List[[#This Row],[Width between brackets]]/12)</f>
        <v>109.494</v>
      </c>
      <c r="S226">
        <f>5.46*(HFrame_List[[#This Row],[cross piece quantity]]-1)*(HFrame_List[[#This Row],[Width between brackets]]/12)</f>
        <v>0</v>
      </c>
      <c r="T226" s="5">
        <f>HFrame_List[[#This Row],[Bottom cross piece cost]]+HFrame_List[[#This Row],[Top cross piece cost]]+HFrame_List[[#This Row],[Component costs]]+HFrame_List[[#This Row],[Vertical strut cost]]</f>
        <v>218.756</v>
      </c>
      <c r="U226" s="7">
        <f>_xlfn.XLOOKUP(HFrame_List[[#This Row],[Fabrication type]],Fabrication_costs[Fabrication type],Fabrication_costs[unit pricing],"no result",0)</f>
        <v>40.200000000000003</v>
      </c>
      <c r="V226" s="5">
        <f>SUM(T226:U226)/(1-HFrame_List[[#This Row],[Margin]])</f>
        <v>739.87428571428586</v>
      </c>
      <c r="W226" s="36">
        <f t="shared" si="76"/>
        <v>0.65</v>
      </c>
      <c r="X226" t="s">
        <v>196</v>
      </c>
      <c r="Y226">
        <f>_xlfn.XLOOKUP("A12",Strut_costs[size],Strut_costs[Strut cost])/12*HFrame_List[[#This Row],[Strut height (in)]]*(2+HFrame_List[[#This Row],[Extra supports]])</f>
        <v>43.68</v>
      </c>
      <c r="Z226">
        <f>(_xlfn.XLOOKUP("PHB",CADDY_costs[Component],CADDY_costs[Current cost])*HFrame_List[[#This Row],[Number of feet]])+(_xlfn.XLOOKUP("HFRMHDW",CADDY_costs[Component],CADDY_costs[Current cost])*(HFrame_List[[#This Row],[number of L-brackets]]/2))</f>
        <v>65.581999999999994</v>
      </c>
      <c r="AA226">
        <v>2448</v>
      </c>
      <c r="AB226">
        <f>VLOOKUP(HFrame_List[[#This Row],[lookup]],'Pallet and shipping info'!$A$5:$H$33,6,FALSE)</f>
        <v>7</v>
      </c>
      <c r="AC226">
        <f>VLOOKUP(HFrame_List[[#This Row],[lookup]],'Pallet and shipping info'!$A$5:$H$33,8,FALSE)</f>
        <v>10</v>
      </c>
      <c r="AD226"/>
      <c r="AE226"/>
      <c r="AF226"/>
    </row>
    <row r="227" spans="1:32" x14ac:dyDescent="0.25">
      <c r="A227" s="1" t="s">
        <v>634</v>
      </c>
      <c r="B227" s="1" t="s">
        <v>635</v>
      </c>
      <c r="C227" s="1">
        <f t="shared" si="66"/>
        <v>37.674999999999997</v>
      </c>
      <c r="D227" s="1">
        <f t="shared" si="67"/>
        <v>62.050999999999995</v>
      </c>
      <c r="E227" s="1">
        <v>36</v>
      </c>
      <c r="F227" s="1">
        <f t="shared" si="82"/>
        <v>48</v>
      </c>
      <c r="G227" s="1">
        <f t="shared" si="78"/>
        <v>44.24</v>
      </c>
      <c r="H227" s="1">
        <v>2</v>
      </c>
      <c r="I227" s="1" t="s">
        <v>186</v>
      </c>
      <c r="J227" s="1">
        <v>1</v>
      </c>
      <c r="K227" s="2">
        <f t="shared" si="68"/>
        <v>14.375</v>
      </c>
      <c r="L227" s="1">
        <f t="shared" si="69"/>
        <v>4</v>
      </c>
      <c r="M227" s="1">
        <f t="shared" si="79"/>
        <v>18</v>
      </c>
      <c r="N227" s="1">
        <f t="shared" si="80"/>
        <v>6</v>
      </c>
      <c r="O227" s="3">
        <f t="shared" si="63"/>
        <v>22</v>
      </c>
      <c r="P227" s="1">
        <f t="shared" si="73"/>
        <v>3</v>
      </c>
      <c r="Q227">
        <f t="shared" si="74"/>
        <v>10</v>
      </c>
      <c r="R227">
        <f>_xlfn.XLOOKUP(HFrame_List[[#This Row],[Cross piece style]],$AH$2:$AH$4,$AI$2:$AI$4,0,0)*(HFrame_List[[#This Row],[Width between brackets]]/12)</f>
        <v>109.494</v>
      </c>
      <c r="S227">
        <f>5.46*(HFrame_List[[#This Row],[cross piece quantity]]-1)*(HFrame_List[[#This Row],[Width between brackets]]/12)</f>
        <v>0</v>
      </c>
      <c r="T227" s="5">
        <f>HFrame_List[[#This Row],[Bottom cross piece cost]]+HFrame_List[[#This Row],[Top cross piece cost]]+HFrame_List[[#This Row],[Component costs]]+HFrame_List[[#This Row],[Vertical strut cost]]</f>
        <v>240.596</v>
      </c>
      <c r="U227" s="7">
        <f>_xlfn.XLOOKUP(HFrame_List[[#This Row],[Fabrication type]],Fabrication_costs[Fabrication type],Fabrication_costs[unit pricing],"no result",0)</f>
        <v>40.200000000000003</v>
      </c>
      <c r="V227" s="5">
        <f>SUM(T227:U227)/(1-HFrame_List[[#This Row],[Margin]])</f>
        <v>802.27428571428572</v>
      </c>
      <c r="W227" s="36">
        <f t="shared" si="76"/>
        <v>0.65</v>
      </c>
      <c r="X227" t="s">
        <v>196</v>
      </c>
      <c r="Y227">
        <f>_xlfn.XLOOKUP("A12",Strut_costs[size],Strut_costs[Strut cost])/12*HFrame_List[[#This Row],[Strut height (in)]]*(2+HFrame_List[[#This Row],[Extra supports]])</f>
        <v>65.52</v>
      </c>
      <c r="Z227">
        <f>(_xlfn.XLOOKUP("PHB",CADDY_costs[Component],CADDY_costs[Current cost])*HFrame_List[[#This Row],[Number of feet]])+(_xlfn.XLOOKUP("HFRMHDW",CADDY_costs[Component],CADDY_costs[Current cost])*(HFrame_List[[#This Row],[number of L-brackets]]/2))</f>
        <v>65.581999999999994</v>
      </c>
      <c r="AA227">
        <v>3648</v>
      </c>
      <c r="AB227">
        <f>VLOOKUP(HFrame_List[[#This Row],[lookup]],'Pallet and shipping info'!$A$5:$H$33,6,FALSE)</f>
        <v>7</v>
      </c>
      <c r="AC227">
        <f>VLOOKUP(HFrame_List[[#This Row],[lookup]],'Pallet and shipping info'!$A$5:$H$33,8,FALSE)</f>
        <v>10</v>
      </c>
      <c r="AD227"/>
      <c r="AE227"/>
      <c r="AF227"/>
    </row>
    <row r="228" spans="1:32" x14ac:dyDescent="0.25">
      <c r="A228" s="1" t="s">
        <v>636</v>
      </c>
      <c r="B228" s="1" t="s">
        <v>637</v>
      </c>
      <c r="C228" s="1">
        <f t="shared" si="66"/>
        <v>49.674999999999997</v>
      </c>
      <c r="D228" s="1">
        <f t="shared" si="67"/>
        <v>62.050999999999995</v>
      </c>
      <c r="E228" s="1">
        <v>48</v>
      </c>
      <c r="F228" s="1">
        <f t="shared" si="82"/>
        <v>48</v>
      </c>
      <c r="G228" s="1">
        <f t="shared" si="78"/>
        <v>44.24</v>
      </c>
      <c r="H228" s="1">
        <v>2</v>
      </c>
      <c r="I228" s="1" t="s">
        <v>186</v>
      </c>
      <c r="J228" s="1">
        <v>1</v>
      </c>
      <c r="K228" s="2">
        <f t="shared" si="68"/>
        <v>14.375</v>
      </c>
      <c r="L228" s="1">
        <f t="shared" si="69"/>
        <v>4</v>
      </c>
      <c r="M228" s="1">
        <f t="shared" si="79"/>
        <v>18</v>
      </c>
      <c r="N228" s="1">
        <f t="shared" si="80"/>
        <v>6</v>
      </c>
      <c r="O228" s="3">
        <f t="shared" si="63"/>
        <v>28</v>
      </c>
      <c r="P228" s="1">
        <f t="shared" si="73"/>
        <v>3</v>
      </c>
      <c r="Q228">
        <f t="shared" si="74"/>
        <v>10</v>
      </c>
      <c r="R228">
        <f>_xlfn.XLOOKUP(HFrame_List[[#This Row],[Cross piece style]],$AH$2:$AH$4,$AI$2:$AI$4,0,0)*(HFrame_List[[#This Row],[Width between brackets]]/12)</f>
        <v>109.494</v>
      </c>
      <c r="S228">
        <f>5.46*(HFrame_List[[#This Row],[cross piece quantity]]-1)*(HFrame_List[[#This Row],[Width between brackets]]/12)</f>
        <v>0</v>
      </c>
      <c r="T228" s="5">
        <f>HFrame_List[[#This Row],[Bottom cross piece cost]]+HFrame_List[[#This Row],[Top cross piece cost]]+HFrame_List[[#This Row],[Component costs]]+HFrame_List[[#This Row],[Vertical strut cost]]</f>
        <v>262.43599999999998</v>
      </c>
      <c r="U228" s="7">
        <f>_xlfn.XLOOKUP(HFrame_List[[#This Row],[Fabrication type]],Fabrication_costs[Fabrication type],Fabrication_costs[unit pricing],"no result",0)</f>
        <v>40.200000000000003</v>
      </c>
      <c r="V228" s="5">
        <f>SUM(T228:U228)/(1-HFrame_List[[#This Row],[Margin]])</f>
        <v>864.6742857142857</v>
      </c>
      <c r="W228" s="36">
        <f t="shared" si="76"/>
        <v>0.65</v>
      </c>
      <c r="X228" t="s">
        <v>196</v>
      </c>
      <c r="Y228">
        <f>_xlfn.XLOOKUP("A12",Strut_costs[size],Strut_costs[Strut cost])/12*HFrame_List[[#This Row],[Strut height (in)]]*(2+HFrame_List[[#This Row],[Extra supports]])</f>
        <v>87.36</v>
      </c>
      <c r="Z228">
        <f>(_xlfn.XLOOKUP("PHB",CADDY_costs[Component],CADDY_costs[Current cost])*HFrame_List[[#This Row],[Number of feet]])+(_xlfn.XLOOKUP("HFRMHDW",CADDY_costs[Component],CADDY_costs[Current cost])*(HFrame_List[[#This Row],[number of L-brackets]]/2))</f>
        <v>65.581999999999994</v>
      </c>
      <c r="AA228">
        <v>4848</v>
      </c>
      <c r="AB228">
        <f>VLOOKUP(HFrame_List[[#This Row],[lookup]],'Pallet and shipping info'!$A$5:$H$33,6,FALSE)</f>
        <v>7</v>
      </c>
      <c r="AC228">
        <f>VLOOKUP(HFrame_List[[#This Row],[lookup]],'Pallet and shipping info'!$A$5:$H$33,8,FALSE)</f>
        <v>10</v>
      </c>
      <c r="AD228"/>
      <c r="AE228"/>
      <c r="AF228"/>
    </row>
    <row r="229" spans="1:32" x14ac:dyDescent="0.25">
      <c r="A229" s="1" t="s">
        <v>638</v>
      </c>
      <c r="B229" s="1" t="s">
        <v>639</v>
      </c>
      <c r="C229" s="1">
        <f t="shared" si="66"/>
        <v>73.674999999999997</v>
      </c>
      <c r="D229" s="1">
        <f t="shared" si="67"/>
        <v>62.050999999999995</v>
      </c>
      <c r="E229" s="1">
        <v>72</v>
      </c>
      <c r="F229" s="1">
        <f t="shared" si="82"/>
        <v>48</v>
      </c>
      <c r="G229" s="1">
        <f t="shared" si="78"/>
        <v>44.24</v>
      </c>
      <c r="H229" s="1">
        <v>2</v>
      </c>
      <c r="I229" s="1" t="s">
        <v>186</v>
      </c>
      <c r="J229" s="1">
        <v>1</v>
      </c>
      <c r="K229" s="2">
        <f t="shared" si="68"/>
        <v>14.375</v>
      </c>
      <c r="L229" s="1">
        <f t="shared" si="69"/>
        <v>4</v>
      </c>
      <c r="M229" s="1">
        <f t="shared" si="79"/>
        <v>18</v>
      </c>
      <c r="N229" s="1">
        <f t="shared" si="80"/>
        <v>6</v>
      </c>
      <c r="O229" s="3">
        <f t="shared" si="63"/>
        <v>40</v>
      </c>
      <c r="P229" s="1">
        <f t="shared" si="73"/>
        <v>4</v>
      </c>
      <c r="Q229">
        <f t="shared" si="74"/>
        <v>10</v>
      </c>
      <c r="R229">
        <f>_xlfn.XLOOKUP(HFrame_List[[#This Row],[Cross piece style]],$AH$2:$AH$4,$AI$2:$AI$4,0,0)*(HFrame_List[[#This Row],[Width between brackets]]/12)</f>
        <v>109.494</v>
      </c>
      <c r="S229">
        <f>5.46*(HFrame_List[[#This Row],[cross piece quantity]]-1)*(HFrame_List[[#This Row],[Width between brackets]]/12)</f>
        <v>0</v>
      </c>
      <c r="T229" s="5">
        <f>HFrame_List[[#This Row],[Bottom cross piece cost]]+HFrame_List[[#This Row],[Top cross piece cost]]+HFrame_List[[#This Row],[Component costs]]+HFrame_List[[#This Row],[Vertical strut cost]]</f>
        <v>306.11599999999999</v>
      </c>
      <c r="U229" s="7">
        <f>_xlfn.XLOOKUP(HFrame_List[[#This Row],[Fabrication type]],Fabrication_costs[Fabrication type],Fabrication_costs[unit pricing],"no result",0)</f>
        <v>40.200000000000003</v>
      </c>
      <c r="V229" s="5">
        <f>SUM(T229:U229)/(1-HFrame_List[[#This Row],[Margin]])</f>
        <v>989.47428571428566</v>
      </c>
      <c r="W229" s="36">
        <f t="shared" si="76"/>
        <v>0.65</v>
      </c>
      <c r="X229" t="s">
        <v>196</v>
      </c>
      <c r="Y229">
        <f>_xlfn.XLOOKUP("A12",Strut_costs[size],Strut_costs[Strut cost])/12*HFrame_List[[#This Row],[Strut height (in)]]*(2+HFrame_List[[#This Row],[Extra supports]])</f>
        <v>131.04</v>
      </c>
      <c r="Z229">
        <f>(_xlfn.XLOOKUP("PHB",CADDY_costs[Component],CADDY_costs[Current cost])*HFrame_List[[#This Row],[Number of feet]])+(_xlfn.XLOOKUP("HFRMHDW",CADDY_costs[Component],CADDY_costs[Current cost])*(HFrame_List[[#This Row],[number of L-brackets]]/2))</f>
        <v>65.581999999999994</v>
      </c>
      <c r="AA229">
        <v>7248</v>
      </c>
      <c r="AB229">
        <f>VLOOKUP(HFrame_List[[#This Row],[lookup]],'Pallet and shipping info'!$A$5:$H$33,6,FALSE)</f>
        <v>7</v>
      </c>
      <c r="AC229">
        <f>VLOOKUP(HFrame_List[[#This Row],[lookup]],'Pallet and shipping info'!$A$5:$H$33,8,FALSE)</f>
        <v>10</v>
      </c>
      <c r="AD229"/>
      <c r="AE229"/>
      <c r="AF229"/>
    </row>
    <row r="230" spans="1:32" x14ac:dyDescent="0.25">
      <c r="A230" s="1" t="s">
        <v>640</v>
      </c>
      <c r="B230" s="1" t="s">
        <v>641</v>
      </c>
      <c r="C230" s="1">
        <f t="shared" si="66"/>
        <v>25.675000000000001</v>
      </c>
      <c r="D230" s="1">
        <f t="shared" si="67"/>
        <v>74.051000000000002</v>
      </c>
      <c r="E230" s="1">
        <v>24</v>
      </c>
      <c r="F230" s="1">
        <v>60</v>
      </c>
      <c r="G230" s="1">
        <f t="shared" si="78"/>
        <v>56.24</v>
      </c>
      <c r="H230" s="1">
        <v>2</v>
      </c>
      <c r="I230" s="1" t="s">
        <v>186</v>
      </c>
      <c r="J230" s="1">
        <v>1</v>
      </c>
      <c r="K230" s="2">
        <f t="shared" si="68"/>
        <v>18.375</v>
      </c>
      <c r="L230" s="1">
        <f t="shared" si="69"/>
        <v>4</v>
      </c>
      <c r="M230" s="1">
        <f t="shared" si="79"/>
        <v>18</v>
      </c>
      <c r="N230" s="1">
        <f t="shared" si="80"/>
        <v>6</v>
      </c>
      <c r="O230" s="3">
        <f t="shared" si="63"/>
        <v>17</v>
      </c>
      <c r="P230" s="1">
        <f t="shared" si="73"/>
        <v>2</v>
      </c>
      <c r="Q230">
        <f t="shared" si="74"/>
        <v>10</v>
      </c>
      <c r="R230">
        <f>_xlfn.XLOOKUP(HFrame_List[[#This Row],[Cross piece style]],$AH$2:$AH$4,$AI$2:$AI$4,0,0)*(HFrame_List[[#This Row],[Width between brackets]]/12)</f>
        <v>139.19399999999999</v>
      </c>
      <c r="S230">
        <f>5.46*(HFrame_List[[#This Row],[cross piece quantity]]-1)*(HFrame_List[[#This Row],[Width between brackets]]/12)</f>
        <v>0</v>
      </c>
      <c r="T230" s="5">
        <f>HFrame_List[[#This Row],[Bottom cross piece cost]]+HFrame_List[[#This Row],[Top cross piece cost]]+HFrame_List[[#This Row],[Component costs]]+HFrame_List[[#This Row],[Vertical strut cost]]</f>
        <v>248.45599999999999</v>
      </c>
      <c r="U230" s="7">
        <f>_xlfn.XLOOKUP(HFrame_List[[#This Row],[Fabrication type]],Fabrication_costs[Fabrication type],Fabrication_costs[unit pricing],"no result",0)</f>
        <v>40.200000000000003</v>
      </c>
      <c r="V230" s="5">
        <f>SUM(T230:U230)/(1-HFrame_List[[#This Row],[Margin]])</f>
        <v>824.73142857142864</v>
      </c>
      <c r="W230" s="36">
        <f t="shared" si="76"/>
        <v>0.65</v>
      </c>
      <c r="X230" t="s">
        <v>196</v>
      </c>
      <c r="Y230">
        <f>_xlfn.XLOOKUP("A12",Strut_costs[size],Strut_costs[Strut cost])/12*HFrame_List[[#This Row],[Strut height (in)]]*(2+HFrame_List[[#This Row],[Extra supports]])</f>
        <v>43.68</v>
      </c>
      <c r="Z230">
        <f>(_xlfn.XLOOKUP("PHB",CADDY_costs[Component],CADDY_costs[Current cost])*HFrame_List[[#This Row],[Number of feet]])+(_xlfn.XLOOKUP("HFRMHDW",CADDY_costs[Component],CADDY_costs[Current cost])*(HFrame_List[[#This Row],[number of L-brackets]]/2))</f>
        <v>65.581999999999994</v>
      </c>
      <c r="AA230">
        <v>2460</v>
      </c>
      <c r="AB230" t="str">
        <f>VLOOKUP(HFrame_List[[#This Row],[lookup]],'Pallet and shipping info'!$A$5:$H$33,6,FALSE)</f>
        <v>x</v>
      </c>
      <c r="AC230">
        <f>VLOOKUP(HFrame_List[[#This Row],[lookup]],'Pallet and shipping info'!$A$5:$H$33,8,FALSE)</f>
        <v>7</v>
      </c>
      <c r="AD230"/>
      <c r="AE230"/>
      <c r="AF230"/>
    </row>
    <row r="231" spans="1:32" x14ac:dyDescent="0.25">
      <c r="A231" s="1" t="s">
        <v>642</v>
      </c>
      <c r="B231" s="1" t="s">
        <v>643</v>
      </c>
      <c r="C231" s="1">
        <f t="shared" si="66"/>
        <v>37.674999999999997</v>
      </c>
      <c r="D231" s="1">
        <f t="shared" si="67"/>
        <v>74.051000000000002</v>
      </c>
      <c r="E231" s="1">
        <v>36</v>
      </c>
      <c r="F231" s="1">
        <v>60</v>
      </c>
      <c r="G231" s="1">
        <f t="shared" si="78"/>
        <v>56.24</v>
      </c>
      <c r="H231" s="1">
        <v>2</v>
      </c>
      <c r="I231" s="1" t="s">
        <v>186</v>
      </c>
      <c r="J231" s="1">
        <v>1</v>
      </c>
      <c r="K231" s="2">
        <f t="shared" si="68"/>
        <v>18.375</v>
      </c>
      <c r="L231" s="1">
        <f t="shared" si="69"/>
        <v>4</v>
      </c>
      <c r="M231" s="1">
        <f t="shared" si="79"/>
        <v>18</v>
      </c>
      <c r="N231" s="1">
        <f t="shared" si="80"/>
        <v>6</v>
      </c>
      <c r="O231" s="3">
        <f t="shared" si="63"/>
        <v>23</v>
      </c>
      <c r="P231" s="1">
        <f t="shared" si="73"/>
        <v>3</v>
      </c>
      <c r="Q231">
        <f t="shared" si="74"/>
        <v>10</v>
      </c>
      <c r="R231">
        <f>_xlfn.XLOOKUP(HFrame_List[[#This Row],[Cross piece style]],$AH$2:$AH$4,$AI$2:$AI$4,0,0)*(HFrame_List[[#This Row],[Width between brackets]]/12)</f>
        <v>139.19399999999999</v>
      </c>
      <c r="S231">
        <f>5.46*(HFrame_List[[#This Row],[cross piece quantity]]-1)*(HFrame_List[[#This Row],[Width between brackets]]/12)</f>
        <v>0</v>
      </c>
      <c r="T231" s="5">
        <f>HFrame_List[[#This Row],[Bottom cross piece cost]]+HFrame_List[[#This Row],[Top cross piece cost]]+HFrame_List[[#This Row],[Component costs]]+HFrame_List[[#This Row],[Vertical strut cost]]</f>
        <v>270.29599999999999</v>
      </c>
      <c r="U231" s="7">
        <f>_xlfn.XLOOKUP(HFrame_List[[#This Row],[Fabrication type]],Fabrication_costs[Fabrication type],Fabrication_costs[unit pricing],"no result",0)</f>
        <v>40.200000000000003</v>
      </c>
      <c r="V231" s="5">
        <f>SUM(T231:U231)/(1-HFrame_List[[#This Row],[Margin]])</f>
        <v>887.13142857142861</v>
      </c>
      <c r="W231" s="36">
        <f t="shared" si="76"/>
        <v>0.65</v>
      </c>
      <c r="X231" t="s">
        <v>196</v>
      </c>
      <c r="Y231">
        <f>_xlfn.XLOOKUP("A12",Strut_costs[size],Strut_costs[Strut cost])/12*HFrame_List[[#This Row],[Strut height (in)]]*(2+HFrame_List[[#This Row],[Extra supports]])</f>
        <v>65.52</v>
      </c>
      <c r="Z231">
        <f>(_xlfn.XLOOKUP("PHB",CADDY_costs[Component],CADDY_costs[Current cost])*HFrame_List[[#This Row],[Number of feet]])+(_xlfn.XLOOKUP("HFRMHDW",CADDY_costs[Component],CADDY_costs[Current cost])*(HFrame_List[[#This Row],[number of L-brackets]]/2))</f>
        <v>65.581999999999994</v>
      </c>
      <c r="AA231">
        <v>3660</v>
      </c>
      <c r="AB231" t="str">
        <f>VLOOKUP(HFrame_List[[#This Row],[lookup]],'Pallet and shipping info'!$A$5:$H$33,6,FALSE)</f>
        <v>x</v>
      </c>
      <c r="AC231">
        <f>VLOOKUP(HFrame_List[[#This Row],[lookup]],'Pallet and shipping info'!$A$5:$H$33,8,FALSE)</f>
        <v>7</v>
      </c>
      <c r="AD231"/>
      <c r="AE231"/>
      <c r="AF231"/>
    </row>
    <row r="232" spans="1:32" x14ac:dyDescent="0.25">
      <c r="A232" s="1" t="s">
        <v>644</v>
      </c>
      <c r="B232" s="1" t="s">
        <v>645</v>
      </c>
      <c r="C232" s="1">
        <f t="shared" si="66"/>
        <v>49.674999999999997</v>
      </c>
      <c r="D232" s="1">
        <f t="shared" si="67"/>
        <v>74.051000000000002</v>
      </c>
      <c r="E232" s="1">
        <v>48</v>
      </c>
      <c r="F232" s="1">
        <v>60</v>
      </c>
      <c r="G232" s="1">
        <f t="shared" si="78"/>
        <v>56.24</v>
      </c>
      <c r="H232" s="1">
        <v>2</v>
      </c>
      <c r="I232" s="1" t="s">
        <v>186</v>
      </c>
      <c r="J232" s="1">
        <v>1</v>
      </c>
      <c r="K232" s="2">
        <f t="shared" si="68"/>
        <v>18.375</v>
      </c>
      <c r="L232" s="1">
        <f t="shared" si="69"/>
        <v>4</v>
      </c>
      <c r="M232" s="1">
        <f t="shared" si="79"/>
        <v>18</v>
      </c>
      <c r="N232" s="1">
        <f t="shared" si="80"/>
        <v>6</v>
      </c>
      <c r="O232" s="3">
        <f t="shared" si="63"/>
        <v>29</v>
      </c>
      <c r="P232" s="1">
        <f t="shared" si="73"/>
        <v>3</v>
      </c>
      <c r="Q232">
        <f t="shared" si="74"/>
        <v>10</v>
      </c>
      <c r="R232">
        <f>_xlfn.XLOOKUP(HFrame_List[[#This Row],[Cross piece style]],$AH$2:$AH$4,$AI$2:$AI$4,0,0)*(HFrame_List[[#This Row],[Width between brackets]]/12)</f>
        <v>139.19399999999999</v>
      </c>
      <c r="S232">
        <f>5.46*(HFrame_List[[#This Row],[cross piece quantity]]-1)*(HFrame_List[[#This Row],[Width between brackets]]/12)</f>
        <v>0</v>
      </c>
      <c r="T232" s="5">
        <f>HFrame_List[[#This Row],[Bottom cross piece cost]]+HFrame_List[[#This Row],[Top cross piece cost]]+HFrame_List[[#This Row],[Component costs]]+HFrame_List[[#This Row],[Vertical strut cost]]</f>
        <v>292.13599999999997</v>
      </c>
      <c r="U232" s="7">
        <f>_xlfn.XLOOKUP(HFrame_List[[#This Row],[Fabrication type]],Fabrication_costs[Fabrication type],Fabrication_costs[unit pricing],"no result",0)</f>
        <v>40.200000000000003</v>
      </c>
      <c r="V232" s="5">
        <f>SUM(T232:U232)/(1-HFrame_List[[#This Row],[Margin]])</f>
        <v>949.53142857142848</v>
      </c>
      <c r="W232" s="36">
        <f t="shared" si="76"/>
        <v>0.65</v>
      </c>
      <c r="X232" t="s">
        <v>196</v>
      </c>
      <c r="Y232">
        <f>_xlfn.XLOOKUP("A12",Strut_costs[size],Strut_costs[Strut cost])/12*HFrame_List[[#This Row],[Strut height (in)]]*(2+HFrame_List[[#This Row],[Extra supports]])</f>
        <v>87.36</v>
      </c>
      <c r="Z232">
        <f>(_xlfn.XLOOKUP("PHB",CADDY_costs[Component],CADDY_costs[Current cost])*HFrame_List[[#This Row],[Number of feet]])+(_xlfn.XLOOKUP("HFRMHDW",CADDY_costs[Component],CADDY_costs[Current cost])*(HFrame_List[[#This Row],[number of L-brackets]]/2))</f>
        <v>65.581999999999994</v>
      </c>
      <c r="AA232">
        <v>4860</v>
      </c>
      <c r="AB232" t="str">
        <f>VLOOKUP(HFrame_List[[#This Row],[lookup]],'Pallet and shipping info'!$A$5:$H$33,6,FALSE)</f>
        <v>x</v>
      </c>
      <c r="AC232">
        <f>VLOOKUP(HFrame_List[[#This Row],[lookup]],'Pallet and shipping info'!$A$5:$H$33,8,FALSE)</f>
        <v>7</v>
      </c>
      <c r="AD232"/>
      <c r="AE232"/>
      <c r="AF232"/>
    </row>
    <row r="233" spans="1:32" x14ac:dyDescent="0.25">
      <c r="A233" s="1" t="s">
        <v>646</v>
      </c>
      <c r="B233" s="1" t="s">
        <v>647</v>
      </c>
      <c r="C233" s="1">
        <f t="shared" si="66"/>
        <v>73.674999999999997</v>
      </c>
      <c r="D233" s="1">
        <f t="shared" si="67"/>
        <v>74.051000000000002</v>
      </c>
      <c r="E233" s="1">
        <v>72</v>
      </c>
      <c r="F233" s="1">
        <v>60</v>
      </c>
      <c r="G233" s="1">
        <f t="shared" si="78"/>
        <v>56.24</v>
      </c>
      <c r="H233" s="1">
        <v>2</v>
      </c>
      <c r="I233" s="1" t="s">
        <v>186</v>
      </c>
      <c r="J233" s="1">
        <v>1</v>
      </c>
      <c r="K233" s="2">
        <f t="shared" si="68"/>
        <v>18.375</v>
      </c>
      <c r="L233" s="1">
        <f t="shared" si="69"/>
        <v>4</v>
      </c>
      <c r="M233" s="1">
        <f t="shared" si="79"/>
        <v>18</v>
      </c>
      <c r="N233" s="1">
        <f t="shared" si="80"/>
        <v>6</v>
      </c>
      <c r="O233" s="3">
        <f t="shared" si="63"/>
        <v>41</v>
      </c>
      <c r="P233" s="1">
        <f t="shared" si="73"/>
        <v>5</v>
      </c>
      <c r="Q233">
        <f t="shared" si="74"/>
        <v>10</v>
      </c>
      <c r="R233">
        <f>_xlfn.XLOOKUP(HFrame_List[[#This Row],[Cross piece style]],$AH$2:$AH$4,$AI$2:$AI$4,0,0)*(HFrame_List[[#This Row],[Width between brackets]]/12)</f>
        <v>139.19399999999999</v>
      </c>
      <c r="S233">
        <f>5.46*(HFrame_List[[#This Row],[cross piece quantity]]-1)*(HFrame_List[[#This Row],[Width between brackets]]/12)</f>
        <v>0</v>
      </c>
      <c r="T233" s="5">
        <f>HFrame_List[[#This Row],[Bottom cross piece cost]]+HFrame_List[[#This Row],[Top cross piece cost]]+HFrame_List[[#This Row],[Component costs]]+HFrame_List[[#This Row],[Vertical strut cost]]</f>
        <v>335.81599999999997</v>
      </c>
      <c r="U233" s="7">
        <f>_xlfn.XLOOKUP(HFrame_List[[#This Row],[Fabrication type]],Fabrication_costs[Fabrication type],Fabrication_costs[unit pricing],"no result",0)</f>
        <v>40.200000000000003</v>
      </c>
      <c r="V233" s="5">
        <f>SUM(T233:U233)/(1-HFrame_List[[#This Row],[Margin]])</f>
        <v>1074.3314285714284</v>
      </c>
      <c r="W233" s="36">
        <f t="shared" si="76"/>
        <v>0.65</v>
      </c>
      <c r="X233" t="s">
        <v>196</v>
      </c>
      <c r="Y233">
        <f>_xlfn.XLOOKUP("A12",Strut_costs[size],Strut_costs[Strut cost])/12*HFrame_List[[#This Row],[Strut height (in)]]*(2+HFrame_List[[#This Row],[Extra supports]])</f>
        <v>131.04</v>
      </c>
      <c r="Z233">
        <f>(_xlfn.XLOOKUP("PHB",CADDY_costs[Component],CADDY_costs[Current cost])*HFrame_List[[#This Row],[Number of feet]])+(_xlfn.XLOOKUP("HFRMHDW",CADDY_costs[Component],CADDY_costs[Current cost])*(HFrame_List[[#This Row],[number of L-brackets]]/2))</f>
        <v>65.581999999999994</v>
      </c>
      <c r="AA233">
        <v>7260</v>
      </c>
      <c r="AB233" t="str">
        <f>VLOOKUP(HFrame_List[[#This Row],[lookup]],'Pallet and shipping info'!$A$5:$H$33,6,FALSE)</f>
        <v>x</v>
      </c>
      <c r="AC233">
        <f>VLOOKUP(HFrame_List[[#This Row],[lookup]],'Pallet and shipping info'!$A$5:$H$33,8,FALSE)</f>
        <v>7</v>
      </c>
      <c r="AD233"/>
      <c r="AE233"/>
      <c r="AF233"/>
    </row>
    <row r="234" spans="1:32" x14ac:dyDescent="0.25">
      <c r="A234" s="1" t="s">
        <v>648</v>
      </c>
      <c r="B234" s="1" t="s">
        <v>649</v>
      </c>
      <c r="C234" s="1">
        <f t="shared" si="66"/>
        <v>25.675000000000001</v>
      </c>
      <c r="D234" s="1">
        <f t="shared" si="67"/>
        <v>86.051000000000002</v>
      </c>
      <c r="E234" s="1">
        <v>24</v>
      </c>
      <c r="F234" s="1">
        <v>72</v>
      </c>
      <c r="G234" s="1">
        <f t="shared" si="78"/>
        <v>68.239999999999995</v>
      </c>
      <c r="H234" s="1">
        <v>2</v>
      </c>
      <c r="I234" s="1" t="s">
        <v>186</v>
      </c>
      <c r="J234" s="1">
        <v>1</v>
      </c>
      <c r="K234" s="2">
        <f t="shared" si="68"/>
        <v>22.375</v>
      </c>
      <c r="L234" s="1">
        <f t="shared" si="69"/>
        <v>4</v>
      </c>
      <c r="M234" s="1">
        <f t="shared" si="79"/>
        <v>18</v>
      </c>
      <c r="N234" s="1">
        <f t="shared" si="80"/>
        <v>6</v>
      </c>
      <c r="O234" s="3">
        <f t="shared" si="63"/>
        <v>18</v>
      </c>
      <c r="P234" s="1">
        <f t="shared" si="73"/>
        <v>2</v>
      </c>
      <c r="Q234">
        <f t="shared" si="74"/>
        <v>10</v>
      </c>
      <c r="R234">
        <f>_xlfn.XLOOKUP(HFrame_List[[#This Row],[Cross piece style]],$AH$2:$AH$4,$AI$2:$AI$4,0,0)*(HFrame_List[[#This Row],[Width between brackets]]/12)</f>
        <v>168.89400000000001</v>
      </c>
      <c r="S234">
        <f>5.46*(HFrame_List[[#This Row],[cross piece quantity]]-1)*(HFrame_List[[#This Row],[Width between brackets]]/12)</f>
        <v>0</v>
      </c>
      <c r="T234" s="5">
        <f>HFrame_List[[#This Row],[Bottom cross piece cost]]+HFrame_List[[#This Row],[Top cross piece cost]]+HFrame_List[[#This Row],[Component costs]]+HFrame_List[[#This Row],[Vertical strut cost]]</f>
        <v>278.15600000000001</v>
      </c>
      <c r="U234" s="7">
        <f>_xlfn.XLOOKUP(HFrame_List[[#This Row],[Fabrication type]],Fabrication_costs[Fabrication type],Fabrication_costs[unit pricing],"no result",0)</f>
        <v>40.200000000000003</v>
      </c>
      <c r="V234" s="5">
        <f>SUM(T234:U234)/(1-HFrame_List[[#This Row],[Margin]])</f>
        <v>909.58857142857153</v>
      </c>
      <c r="W234" s="36">
        <f t="shared" si="76"/>
        <v>0.65</v>
      </c>
      <c r="X234" t="s">
        <v>196</v>
      </c>
      <c r="Y234">
        <f>_xlfn.XLOOKUP("A12",Strut_costs[size],Strut_costs[Strut cost])/12*HFrame_List[[#This Row],[Strut height (in)]]*(2+HFrame_List[[#This Row],[Extra supports]])</f>
        <v>43.68</v>
      </c>
      <c r="Z234">
        <f>(_xlfn.XLOOKUP("PHB",CADDY_costs[Component],CADDY_costs[Current cost])*HFrame_List[[#This Row],[Number of feet]])+(_xlfn.XLOOKUP("HFRMHDW",CADDY_costs[Component],CADDY_costs[Current cost])*(HFrame_List[[#This Row],[number of L-brackets]]/2))</f>
        <v>65.581999999999994</v>
      </c>
      <c r="AA234">
        <v>2472</v>
      </c>
      <c r="AB234" t="str">
        <f>VLOOKUP(HFrame_List[[#This Row],[lookup]],'Pallet and shipping info'!$A$5:$H$33,6,FALSE)</f>
        <v>x</v>
      </c>
      <c r="AC234">
        <f>VLOOKUP(HFrame_List[[#This Row],[lookup]],'Pallet and shipping info'!$A$5:$H$33,8,FALSE)</f>
        <v>7</v>
      </c>
      <c r="AD234"/>
      <c r="AE234"/>
      <c r="AF234"/>
    </row>
    <row r="235" spans="1:32" x14ac:dyDescent="0.25">
      <c r="A235" s="1" t="s">
        <v>650</v>
      </c>
      <c r="B235" s="1" t="s">
        <v>651</v>
      </c>
      <c r="C235" s="1">
        <f t="shared" si="66"/>
        <v>37.674999999999997</v>
      </c>
      <c r="D235" s="1">
        <f t="shared" si="67"/>
        <v>86.051000000000002</v>
      </c>
      <c r="E235" s="1">
        <v>36</v>
      </c>
      <c r="F235" s="1">
        <v>72</v>
      </c>
      <c r="G235" s="1">
        <f t="shared" si="78"/>
        <v>68.239999999999995</v>
      </c>
      <c r="H235" s="1">
        <v>2</v>
      </c>
      <c r="I235" s="1" t="s">
        <v>186</v>
      </c>
      <c r="J235" s="1">
        <v>1</v>
      </c>
      <c r="K235" s="2">
        <f t="shared" si="68"/>
        <v>22.375</v>
      </c>
      <c r="L235" s="1">
        <f t="shared" si="69"/>
        <v>4</v>
      </c>
      <c r="M235" s="1">
        <f t="shared" si="79"/>
        <v>18</v>
      </c>
      <c r="N235" s="1">
        <f t="shared" si="80"/>
        <v>6</v>
      </c>
      <c r="O235" s="3">
        <f t="shared" ref="O235:O241" si="83">((E235*(L235+H235))+(F235*J235))/12</f>
        <v>24</v>
      </c>
      <c r="P235" s="1">
        <f t="shared" si="73"/>
        <v>3</v>
      </c>
      <c r="Q235">
        <f t="shared" si="74"/>
        <v>10</v>
      </c>
      <c r="R235">
        <f>_xlfn.XLOOKUP(HFrame_List[[#This Row],[Cross piece style]],$AH$2:$AH$4,$AI$2:$AI$4,0,0)*(HFrame_List[[#This Row],[Width between brackets]]/12)</f>
        <v>168.89400000000001</v>
      </c>
      <c r="S235">
        <f>5.46*(HFrame_List[[#This Row],[cross piece quantity]]-1)*(HFrame_List[[#This Row],[Width between brackets]]/12)</f>
        <v>0</v>
      </c>
      <c r="T235" s="5">
        <f>HFrame_List[[#This Row],[Bottom cross piece cost]]+HFrame_List[[#This Row],[Top cross piece cost]]+HFrame_List[[#This Row],[Component costs]]+HFrame_List[[#This Row],[Vertical strut cost]]</f>
        <v>299.99599999999998</v>
      </c>
      <c r="U235" s="7">
        <f>_xlfn.XLOOKUP(HFrame_List[[#This Row],[Fabrication type]],Fabrication_costs[Fabrication type],Fabrication_costs[unit pricing],"no result",0)</f>
        <v>40.200000000000003</v>
      </c>
      <c r="V235" s="5">
        <f>SUM(T235:U235)/(1-HFrame_List[[#This Row],[Margin]])</f>
        <v>971.98857142857139</v>
      </c>
      <c r="W235" s="36">
        <f t="shared" si="76"/>
        <v>0.65</v>
      </c>
      <c r="X235" t="s">
        <v>196</v>
      </c>
      <c r="Y235">
        <f>_xlfn.XLOOKUP("A12",Strut_costs[size],Strut_costs[Strut cost])/12*HFrame_List[[#This Row],[Strut height (in)]]*(2+HFrame_List[[#This Row],[Extra supports]])</f>
        <v>65.52</v>
      </c>
      <c r="Z235">
        <f>(_xlfn.XLOOKUP("PHB",CADDY_costs[Component],CADDY_costs[Current cost])*HFrame_List[[#This Row],[Number of feet]])+(_xlfn.XLOOKUP("HFRMHDW",CADDY_costs[Component],CADDY_costs[Current cost])*(HFrame_List[[#This Row],[number of L-brackets]]/2))</f>
        <v>65.581999999999994</v>
      </c>
      <c r="AA235">
        <v>3672</v>
      </c>
      <c r="AB235" t="str">
        <f>VLOOKUP(HFrame_List[[#This Row],[lookup]],'Pallet and shipping info'!$A$5:$H$33,6,FALSE)</f>
        <v>x</v>
      </c>
      <c r="AC235">
        <f>VLOOKUP(HFrame_List[[#This Row],[lookup]],'Pallet and shipping info'!$A$5:$H$33,8,FALSE)</f>
        <v>7</v>
      </c>
      <c r="AD235"/>
      <c r="AE235"/>
      <c r="AF235"/>
    </row>
    <row r="236" spans="1:32" x14ac:dyDescent="0.25">
      <c r="A236" s="1" t="s">
        <v>652</v>
      </c>
      <c r="B236" s="1" t="s">
        <v>653</v>
      </c>
      <c r="C236" s="1">
        <f t="shared" si="66"/>
        <v>49.674999999999997</v>
      </c>
      <c r="D236" s="1">
        <f t="shared" si="67"/>
        <v>86.051000000000002</v>
      </c>
      <c r="E236" s="1">
        <v>48</v>
      </c>
      <c r="F236" s="1">
        <v>72</v>
      </c>
      <c r="G236" s="1">
        <f t="shared" si="78"/>
        <v>68.239999999999995</v>
      </c>
      <c r="H236" s="1">
        <v>2</v>
      </c>
      <c r="I236" s="1" t="s">
        <v>186</v>
      </c>
      <c r="J236" s="1">
        <v>1</v>
      </c>
      <c r="K236" s="2">
        <f t="shared" si="68"/>
        <v>22.375</v>
      </c>
      <c r="L236" s="1">
        <f t="shared" si="69"/>
        <v>4</v>
      </c>
      <c r="M236" s="1">
        <f t="shared" si="79"/>
        <v>18</v>
      </c>
      <c r="N236" s="1">
        <f t="shared" si="80"/>
        <v>6</v>
      </c>
      <c r="O236" s="3">
        <f t="shared" si="83"/>
        <v>30</v>
      </c>
      <c r="P236" s="1">
        <f t="shared" si="73"/>
        <v>3</v>
      </c>
      <c r="Q236">
        <f t="shared" si="74"/>
        <v>10</v>
      </c>
      <c r="R236">
        <f>_xlfn.XLOOKUP(HFrame_List[[#This Row],[Cross piece style]],$AH$2:$AH$4,$AI$2:$AI$4,0,0)*(HFrame_List[[#This Row],[Width between brackets]]/12)</f>
        <v>168.89400000000001</v>
      </c>
      <c r="S236">
        <f>5.46*(HFrame_List[[#This Row],[cross piece quantity]]-1)*(HFrame_List[[#This Row],[Width between brackets]]/12)</f>
        <v>0</v>
      </c>
      <c r="T236" s="5">
        <f>HFrame_List[[#This Row],[Bottom cross piece cost]]+HFrame_List[[#This Row],[Top cross piece cost]]+HFrame_List[[#This Row],[Component costs]]+HFrame_List[[#This Row],[Vertical strut cost]]</f>
        <v>321.83600000000001</v>
      </c>
      <c r="U236" s="7">
        <f>_xlfn.XLOOKUP(HFrame_List[[#This Row],[Fabrication type]],Fabrication_costs[Fabrication type],Fabrication_costs[unit pricing],"no result",0)</f>
        <v>40.200000000000003</v>
      </c>
      <c r="V236" s="5">
        <f>SUM(T236:U236)/(1-HFrame_List[[#This Row],[Margin]])</f>
        <v>1034.3885714285716</v>
      </c>
      <c r="W236" s="36">
        <f t="shared" si="76"/>
        <v>0.65</v>
      </c>
      <c r="X236" t="s">
        <v>196</v>
      </c>
      <c r="Y236">
        <f>_xlfn.XLOOKUP("A12",Strut_costs[size],Strut_costs[Strut cost])/12*HFrame_List[[#This Row],[Strut height (in)]]*(2+HFrame_List[[#This Row],[Extra supports]])</f>
        <v>87.36</v>
      </c>
      <c r="Z236">
        <f>(_xlfn.XLOOKUP("PHB",CADDY_costs[Component],CADDY_costs[Current cost])*HFrame_List[[#This Row],[Number of feet]])+(_xlfn.XLOOKUP("HFRMHDW",CADDY_costs[Component],CADDY_costs[Current cost])*(HFrame_List[[#This Row],[number of L-brackets]]/2))</f>
        <v>65.581999999999994</v>
      </c>
      <c r="AA236">
        <v>4872</v>
      </c>
      <c r="AB236" t="str">
        <f>VLOOKUP(HFrame_List[[#This Row],[lookup]],'Pallet and shipping info'!$A$5:$H$33,6,FALSE)</f>
        <v>x</v>
      </c>
      <c r="AC236">
        <f>VLOOKUP(HFrame_List[[#This Row],[lookup]],'Pallet and shipping info'!$A$5:$H$33,8,FALSE)</f>
        <v>7</v>
      </c>
      <c r="AD236"/>
      <c r="AE236"/>
      <c r="AF236"/>
    </row>
    <row r="237" spans="1:32" x14ac:dyDescent="0.25">
      <c r="A237" s="1" t="s">
        <v>654</v>
      </c>
      <c r="B237" s="1" t="s">
        <v>655</v>
      </c>
      <c r="C237" s="1">
        <f t="shared" si="66"/>
        <v>73.674999999999997</v>
      </c>
      <c r="D237" s="1">
        <f t="shared" si="67"/>
        <v>86.051000000000002</v>
      </c>
      <c r="E237" s="1">
        <v>72</v>
      </c>
      <c r="F237" s="1">
        <v>72</v>
      </c>
      <c r="G237" s="1">
        <f t="shared" si="78"/>
        <v>68.239999999999995</v>
      </c>
      <c r="H237" s="1">
        <v>2</v>
      </c>
      <c r="I237" s="1" t="s">
        <v>186</v>
      </c>
      <c r="J237" s="1">
        <v>1</v>
      </c>
      <c r="K237" s="2">
        <f t="shared" si="68"/>
        <v>22.375</v>
      </c>
      <c r="L237" s="1">
        <f t="shared" si="69"/>
        <v>4</v>
      </c>
      <c r="M237" s="1">
        <f t="shared" si="79"/>
        <v>18</v>
      </c>
      <c r="N237" s="1">
        <f t="shared" si="80"/>
        <v>6</v>
      </c>
      <c r="O237" s="3">
        <f t="shared" si="83"/>
        <v>42</v>
      </c>
      <c r="P237" s="1">
        <f t="shared" si="73"/>
        <v>5</v>
      </c>
      <c r="Q237">
        <f t="shared" si="74"/>
        <v>10</v>
      </c>
      <c r="R237">
        <f>_xlfn.XLOOKUP(HFrame_List[[#This Row],[Cross piece style]],$AH$2:$AH$4,$AI$2:$AI$4,0,0)*(HFrame_List[[#This Row],[Width between brackets]]/12)</f>
        <v>168.89400000000001</v>
      </c>
      <c r="S237">
        <f>5.46*(HFrame_List[[#This Row],[cross piece quantity]]-1)*(HFrame_List[[#This Row],[Width between brackets]]/12)</f>
        <v>0</v>
      </c>
      <c r="T237" s="5">
        <f>HFrame_List[[#This Row],[Bottom cross piece cost]]+HFrame_List[[#This Row],[Top cross piece cost]]+HFrame_List[[#This Row],[Component costs]]+HFrame_List[[#This Row],[Vertical strut cost]]</f>
        <v>365.51599999999996</v>
      </c>
      <c r="U237" s="7">
        <f>_xlfn.XLOOKUP(HFrame_List[[#This Row],[Fabrication type]],Fabrication_costs[Fabrication type],Fabrication_costs[unit pricing],"no result",0)</f>
        <v>40.200000000000003</v>
      </c>
      <c r="V237" s="5">
        <f>SUM(T237:U237)/(1-HFrame_List[[#This Row],[Margin]])</f>
        <v>1159.1885714285713</v>
      </c>
      <c r="W237" s="36">
        <f t="shared" si="76"/>
        <v>0.65</v>
      </c>
      <c r="X237" t="s">
        <v>196</v>
      </c>
      <c r="Y237">
        <f>_xlfn.XLOOKUP("A12",Strut_costs[size],Strut_costs[Strut cost])/12*HFrame_List[[#This Row],[Strut height (in)]]*(2+HFrame_List[[#This Row],[Extra supports]])</f>
        <v>131.04</v>
      </c>
      <c r="Z237">
        <f>(_xlfn.XLOOKUP("PHB",CADDY_costs[Component],CADDY_costs[Current cost])*HFrame_List[[#This Row],[Number of feet]])+(_xlfn.XLOOKUP("HFRMHDW",CADDY_costs[Component],CADDY_costs[Current cost])*(HFrame_List[[#This Row],[number of L-brackets]]/2))</f>
        <v>65.581999999999994</v>
      </c>
      <c r="AA237">
        <v>7272</v>
      </c>
      <c r="AB237" t="str">
        <f>VLOOKUP(HFrame_List[[#This Row],[lookup]],'Pallet and shipping info'!$A$5:$H$33,6,FALSE)</f>
        <v>x</v>
      </c>
      <c r="AC237">
        <f>VLOOKUP(HFrame_List[[#This Row],[lookup]],'Pallet and shipping info'!$A$5:$H$33,8,FALSE)</f>
        <v>7</v>
      </c>
      <c r="AD237"/>
      <c r="AE237"/>
      <c r="AF237"/>
    </row>
    <row r="238" spans="1:32" x14ac:dyDescent="0.25">
      <c r="A238" s="1" t="s">
        <v>656</v>
      </c>
      <c r="B238" s="1" t="s">
        <v>657</v>
      </c>
      <c r="C238" s="1">
        <f t="shared" si="66"/>
        <v>25.675000000000001</v>
      </c>
      <c r="D238" s="1">
        <f t="shared" si="67"/>
        <v>98.051000000000002</v>
      </c>
      <c r="E238" s="1">
        <v>24</v>
      </c>
      <c r="F238" s="1">
        <v>84</v>
      </c>
      <c r="G238" s="1">
        <f t="shared" si="78"/>
        <v>80.239999999999995</v>
      </c>
      <c r="H238" s="1">
        <v>2</v>
      </c>
      <c r="I238" s="1" t="s">
        <v>186</v>
      </c>
      <c r="J238" s="1">
        <v>1</v>
      </c>
      <c r="K238" s="2">
        <f t="shared" si="68"/>
        <v>26.375</v>
      </c>
      <c r="L238" s="1">
        <f t="shared" si="69"/>
        <v>4</v>
      </c>
      <c r="M238" s="1">
        <f t="shared" si="79"/>
        <v>18</v>
      </c>
      <c r="N238" s="1">
        <f t="shared" si="80"/>
        <v>6</v>
      </c>
      <c r="O238" s="3">
        <f t="shared" si="83"/>
        <v>19</v>
      </c>
      <c r="P238" s="1">
        <f t="shared" si="73"/>
        <v>2</v>
      </c>
      <c r="Q238">
        <f t="shared" si="74"/>
        <v>10</v>
      </c>
      <c r="R238">
        <f>_xlfn.XLOOKUP(HFrame_List[[#This Row],[Cross piece style]],$AH$2:$AH$4,$AI$2:$AI$4,0,0)*(HFrame_List[[#This Row],[Width between brackets]]/12)</f>
        <v>198.59399999999999</v>
      </c>
      <c r="S238">
        <f>5.46*(HFrame_List[[#This Row],[cross piece quantity]]-1)*(HFrame_List[[#This Row],[Width between brackets]]/12)</f>
        <v>0</v>
      </c>
      <c r="T238" s="5">
        <f>HFrame_List[[#This Row],[Bottom cross piece cost]]+HFrame_List[[#This Row],[Top cross piece cost]]+HFrame_List[[#This Row],[Component costs]]+HFrame_List[[#This Row],[Vertical strut cost]]</f>
        <v>307.85599999999999</v>
      </c>
      <c r="U238" s="7">
        <f>_xlfn.XLOOKUP(HFrame_List[[#This Row],[Fabrication type]],Fabrication_costs[Fabrication type],Fabrication_costs[unit pricing],"no result",0)</f>
        <v>40.200000000000003</v>
      </c>
      <c r="V238" s="5">
        <f>SUM(T238:U238)/(1-HFrame_List[[#This Row],[Margin]])</f>
        <v>994.4457142857143</v>
      </c>
      <c r="W238" s="36">
        <f t="shared" si="76"/>
        <v>0.65</v>
      </c>
      <c r="X238" t="s">
        <v>196</v>
      </c>
      <c r="Y238">
        <f>_xlfn.XLOOKUP("A12",Strut_costs[size],Strut_costs[Strut cost])/12*HFrame_List[[#This Row],[Strut height (in)]]*(2+HFrame_List[[#This Row],[Extra supports]])</f>
        <v>43.68</v>
      </c>
      <c r="Z238">
        <f>(_xlfn.XLOOKUP("PHB",CADDY_costs[Component],CADDY_costs[Current cost])*HFrame_List[[#This Row],[Number of feet]])+(_xlfn.XLOOKUP("HFRMHDW",CADDY_costs[Component],CADDY_costs[Current cost])*(HFrame_List[[#This Row],[number of L-brackets]]/2))</f>
        <v>65.581999999999994</v>
      </c>
      <c r="AA238">
        <v>2484</v>
      </c>
      <c r="AB238" t="str">
        <f>VLOOKUP(HFrame_List[[#This Row],[lookup]],'Pallet and shipping info'!$A$5:$H$33,6,FALSE)</f>
        <v>x</v>
      </c>
      <c r="AC238">
        <f>VLOOKUP(HFrame_List[[#This Row],[lookup]],'Pallet and shipping info'!$A$5:$H$33,8,FALSE)</f>
        <v>7</v>
      </c>
      <c r="AD238"/>
      <c r="AE238"/>
      <c r="AF238"/>
    </row>
    <row r="239" spans="1:32" x14ac:dyDescent="0.25">
      <c r="A239" s="1" t="s">
        <v>658</v>
      </c>
      <c r="B239" s="1" t="s">
        <v>659</v>
      </c>
      <c r="C239" s="1">
        <f t="shared" si="66"/>
        <v>37.674999999999997</v>
      </c>
      <c r="D239" s="1">
        <f t="shared" si="67"/>
        <v>98.051000000000002</v>
      </c>
      <c r="E239" s="1">
        <v>36</v>
      </c>
      <c r="F239" s="1">
        <v>84</v>
      </c>
      <c r="G239" s="1">
        <f t="shared" si="78"/>
        <v>80.239999999999995</v>
      </c>
      <c r="H239" s="1">
        <v>2</v>
      </c>
      <c r="I239" s="1" t="s">
        <v>186</v>
      </c>
      <c r="J239" s="1">
        <v>1</v>
      </c>
      <c r="K239" s="2">
        <f t="shared" si="68"/>
        <v>26.375</v>
      </c>
      <c r="L239" s="1">
        <f t="shared" si="69"/>
        <v>4</v>
      </c>
      <c r="M239" s="1">
        <f t="shared" si="79"/>
        <v>18</v>
      </c>
      <c r="N239" s="1">
        <f t="shared" si="80"/>
        <v>6</v>
      </c>
      <c r="O239" s="3">
        <f t="shared" si="83"/>
        <v>25</v>
      </c>
      <c r="P239" s="1">
        <f t="shared" si="73"/>
        <v>3</v>
      </c>
      <c r="Q239">
        <f t="shared" si="74"/>
        <v>10</v>
      </c>
      <c r="R239">
        <f>_xlfn.XLOOKUP(HFrame_List[[#This Row],[Cross piece style]],$AH$2:$AH$4,$AI$2:$AI$4,0,0)*(HFrame_List[[#This Row],[Width between brackets]]/12)</f>
        <v>198.59399999999999</v>
      </c>
      <c r="S239">
        <f>5.46*(HFrame_List[[#This Row],[cross piece quantity]]-1)*(HFrame_List[[#This Row],[Width between brackets]]/12)</f>
        <v>0</v>
      </c>
      <c r="T239" s="5">
        <f>HFrame_List[[#This Row],[Bottom cross piece cost]]+HFrame_List[[#This Row],[Top cross piece cost]]+HFrame_List[[#This Row],[Component costs]]+HFrame_List[[#This Row],[Vertical strut cost]]</f>
        <v>329.69599999999997</v>
      </c>
      <c r="U239" s="7">
        <f>_xlfn.XLOOKUP(HFrame_List[[#This Row],[Fabrication type]],Fabrication_costs[Fabrication type],Fabrication_costs[unit pricing],"no result",0)</f>
        <v>40.200000000000003</v>
      </c>
      <c r="V239" s="5">
        <f>SUM(T239:U239)/(1-HFrame_List[[#This Row],[Margin]])</f>
        <v>1056.8457142857142</v>
      </c>
      <c r="W239" s="36">
        <f t="shared" si="76"/>
        <v>0.65</v>
      </c>
      <c r="X239" t="s">
        <v>196</v>
      </c>
      <c r="Y239">
        <f>_xlfn.XLOOKUP("A12",Strut_costs[size],Strut_costs[Strut cost])/12*HFrame_List[[#This Row],[Strut height (in)]]*(2+HFrame_List[[#This Row],[Extra supports]])</f>
        <v>65.52</v>
      </c>
      <c r="Z239">
        <f>(_xlfn.XLOOKUP("PHB",CADDY_costs[Component],CADDY_costs[Current cost])*HFrame_List[[#This Row],[Number of feet]])+(_xlfn.XLOOKUP("HFRMHDW",CADDY_costs[Component],CADDY_costs[Current cost])*(HFrame_List[[#This Row],[number of L-brackets]]/2))</f>
        <v>65.581999999999994</v>
      </c>
      <c r="AA239">
        <v>3684</v>
      </c>
      <c r="AB239" t="str">
        <f>VLOOKUP(HFrame_List[[#This Row],[lookup]],'Pallet and shipping info'!$A$5:$H$33,6,FALSE)</f>
        <v>x</v>
      </c>
      <c r="AC239">
        <f>VLOOKUP(HFrame_List[[#This Row],[lookup]],'Pallet and shipping info'!$A$5:$H$33,8,FALSE)</f>
        <v>7</v>
      </c>
      <c r="AD239"/>
      <c r="AE239"/>
      <c r="AF239"/>
    </row>
    <row r="240" spans="1:32" x14ac:dyDescent="0.25">
      <c r="A240" s="1" t="s">
        <v>660</v>
      </c>
      <c r="B240" s="1" t="s">
        <v>661</v>
      </c>
      <c r="C240" s="1">
        <f t="shared" si="66"/>
        <v>49.674999999999997</v>
      </c>
      <c r="D240" s="1">
        <f t="shared" si="67"/>
        <v>98.051000000000002</v>
      </c>
      <c r="E240" s="1">
        <v>48</v>
      </c>
      <c r="F240" s="1">
        <v>84</v>
      </c>
      <c r="G240" s="1">
        <f t="shared" si="78"/>
        <v>80.239999999999995</v>
      </c>
      <c r="H240" s="1">
        <v>2</v>
      </c>
      <c r="I240" s="1" t="s">
        <v>186</v>
      </c>
      <c r="J240" s="1">
        <v>1</v>
      </c>
      <c r="K240" s="2">
        <f t="shared" si="68"/>
        <v>26.375</v>
      </c>
      <c r="L240" s="1">
        <f t="shared" si="69"/>
        <v>4</v>
      </c>
      <c r="M240" s="1">
        <f t="shared" si="79"/>
        <v>18</v>
      </c>
      <c r="N240" s="1">
        <f t="shared" si="80"/>
        <v>6</v>
      </c>
      <c r="O240" s="3">
        <f t="shared" si="83"/>
        <v>31</v>
      </c>
      <c r="P240" s="1">
        <f t="shared" si="73"/>
        <v>4</v>
      </c>
      <c r="Q240">
        <f t="shared" si="74"/>
        <v>10</v>
      </c>
      <c r="R240">
        <f>_xlfn.XLOOKUP(HFrame_List[[#This Row],[Cross piece style]],$AH$2:$AH$4,$AI$2:$AI$4,0,0)*(HFrame_List[[#This Row],[Width between brackets]]/12)</f>
        <v>198.59399999999999</v>
      </c>
      <c r="S240">
        <f>5.46*(HFrame_List[[#This Row],[cross piece quantity]]-1)*(HFrame_List[[#This Row],[Width between brackets]]/12)</f>
        <v>0</v>
      </c>
      <c r="T240" s="5">
        <f>HFrame_List[[#This Row],[Bottom cross piece cost]]+HFrame_List[[#This Row],[Top cross piece cost]]+HFrame_List[[#This Row],[Component costs]]+HFrame_List[[#This Row],[Vertical strut cost]]</f>
        <v>351.536</v>
      </c>
      <c r="U240" s="7">
        <f>_xlfn.XLOOKUP(HFrame_List[[#This Row],[Fabrication type]],Fabrication_costs[Fabrication type],Fabrication_costs[unit pricing],"no result",0)</f>
        <v>40.200000000000003</v>
      </c>
      <c r="V240" s="5">
        <f>SUM(T240:U240)/(1-HFrame_List[[#This Row],[Margin]])</f>
        <v>1119.2457142857143</v>
      </c>
      <c r="W240" s="36">
        <f t="shared" si="76"/>
        <v>0.65</v>
      </c>
      <c r="X240" t="s">
        <v>196</v>
      </c>
      <c r="Y240">
        <f>_xlfn.XLOOKUP("A12",Strut_costs[size],Strut_costs[Strut cost])/12*HFrame_List[[#This Row],[Strut height (in)]]*(2+HFrame_List[[#This Row],[Extra supports]])</f>
        <v>87.36</v>
      </c>
      <c r="Z240">
        <f>(_xlfn.XLOOKUP("PHB",CADDY_costs[Component],CADDY_costs[Current cost])*HFrame_List[[#This Row],[Number of feet]])+(_xlfn.XLOOKUP("HFRMHDW",CADDY_costs[Component],CADDY_costs[Current cost])*(HFrame_List[[#This Row],[number of L-brackets]]/2))</f>
        <v>65.581999999999994</v>
      </c>
      <c r="AA240">
        <v>4884</v>
      </c>
      <c r="AB240" t="str">
        <f>VLOOKUP(HFrame_List[[#This Row],[lookup]],'Pallet and shipping info'!$A$5:$H$33,6,FALSE)</f>
        <v>x</v>
      </c>
      <c r="AC240">
        <f>VLOOKUP(HFrame_List[[#This Row],[lookup]],'Pallet and shipping info'!$A$5:$H$33,8,FALSE)</f>
        <v>7</v>
      </c>
      <c r="AD240"/>
      <c r="AE240"/>
      <c r="AF240"/>
    </row>
    <row r="241" spans="1:32" x14ac:dyDescent="0.25">
      <c r="A241" s="1" t="s">
        <v>662</v>
      </c>
      <c r="B241" s="1" t="s">
        <v>663</v>
      </c>
      <c r="C241" s="1">
        <f t="shared" si="66"/>
        <v>73.674999999999997</v>
      </c>
      <c r="D241" s="1">
        <f t="shared" si="67"/>
        <v>98.051000000000002</v>
      </c>
      <c r="E241" s="1">
        <v>72</v>
      </c>
      <c r="F241" s="1">
        <v>84</v>
      </c>
      <c r="G241" s="1">
        <f t="shared" si="78"/>
        <v>80.239999999999995</v>
      </c>
      <c r="H241" s="1">
        <v>2</v>
      </c>
      <c r="I241" s="1" t="s">
        <v>186</v>
      </c>
      <c r="J241" s="1">
        <v>1</v>
      </c>
      <c r="K241" s="2">
        <f t="shared" si="68"/>
        <v>26.375</v>
      </c>
      <c r="L241" s="1">
        <f t="shared" si="69"/>
        <v>4</v>
      </c>
      <c r="M241" s="1">
        <f t="shared" si="79"/>
        <v>18</v>
      </c>
      <c r="N241" s="1">
        <f t="shared" si="80"/>
        <v>6</v>
      </c>
      <c r="O241" s="3">
        <f t="shared" si="83"/>
        <v>43</v>
      </c>
      <c r="P241" s="1">
        <f t="shared" si="73"/>
        <v>5</v>
      </c>
      <c r="Q241">
        <f t="shared" si="74"/>
        <v>10</v>
      </c>
      <c r="R241">
        <f>_xlfn.XLOOKUP(HFrame_List[[#This Row],[Cross piece style]],$AH$2:$AH$4,$AI$2:$AI$4,0,0)*(HFrame_List[[#This Row],[Width between brackets]]/12)</f>
        <v>198.59399999999999</v>
      </c>
      <c r="S241">
        <f>5.46*(HFrame_List[[#This Row],[cross piece quantity]]-1)*(HFrame_List[[#This Row],[Width between brackets]]/12)</f>
        <v>0</v>
      </c>
      <c r="T241" s="5">
        <f>HFrame_List[[#This Row],[Bottom cross piece cost]]+HFrame_List[[#This Row],[Top cross piece cost]]+HFrame_List[[#This Row],[Component costs]]+HFrame_List[[#This Row],[Vertical strut cost]]</f>
        <v>395.21600000000001</v>
      </c>
      <c r="U241" s="7">
        <f>_xlfn.XLOOKUP(HFrame_List[[#This Row],[Fabrication type]],Fabrication_costs[Fabrication type],Fabrication_costs[unit pricing],"no result",0)</f>
        <v>40.200000000000003</v>
      </c>
      <c r="V241" s="5">
        <f>SUM(T241:U241)/(1-HFrame_List[[#This Row],[Margin]])</f>
        <v>1244.0457142857144</v>
      </c>
      <c r="W241" s="36">
        <f t="shared" si="76"/>
        <v>0.65</v>
      </c>
      <c r="X241" t="s">
        <v>196</v>
      </c>
      <c r="Y241">
        <f>_xlfn.XLOOKUP("A12",Strut_costs[size],Strut_costs[Strut cost])/12*HFrame_List[[#This Row],[Strut height (in)]]*(2+HFrame_List[[#This Row],[Extra supports]])</f>
        <v>131.04</v>
      </c>
      <c r="Z241">
        <f>(_xlfn.XLOOKUP("PHB",CADDY_costs[Component],CADDY_costs[Current cost])*HFrame_List[[#This Row],[Number of feet]])+(_xlfn.XLOOKUP("HFRMHDW",CADDY_costs[Component],CADDY_costs[Current cost])*(HFrame_List[[#This Row],[number of L-brackets]]/2))</f>
        <v>65.581999999999994</v>
      </c>
      <c r="AA241">
        <v>7284</v>
      </c>
      <c r="AB241" t="str">
        <f>VLOOKUP(HFrame_List[[#This Row],[lookup]],'Pallet and shipping info'!$A$5:$H$33,6,FALSE)</f>
        <v>x</v>
      </c>
      <c r="AC241">
        <f>VLOOKUP(HFrame_List[[#This Row],[lookup]],'Pallet and shipping info'!$A$5:$H$33,8,FALSE)</f>
        <v>7</v>
      </c>
      <c r="AD241"/>
      <c r="AE241"/>
      <c r="AF241"/>
    </row>
    <row r="245" spans="1:32" x14ac:dyDescent="0.25">
      <c r="A245" t="e" cm="1">
        <f t="array" ref="A245">IF(Calculations!#REF!=0,"",_xlfn._xlws.FILTER(HFrame_List[],(HFrame_List[Height (in)]&gt;Calculations!#REF!)*(HFrame_List[Width between uprights (in)]&gt;Calculations!#REF!)*(HFrame_List[Extra supports]=Calculations!#REF!)*(HFrame_List[Cross piece style]=Calculations!#REF!)*(HFrame_List[cross piece quantity]=SUM(Calculations!#REF!,1)),"no results"))</f>
        <v>#REF!</v>
      </c>
      <c r="Y245" s="46"/>
      <c r="Z245" s="46"/>
      <c r="AA245" s="46"/>
      <c r="AB245" s="46"/>
      <c r="AC245" s="46"/>
      <c r="AD245" s="46"/>
      <c r="AE245" s="46"/>
      <c r="AF245" s="46"/>
    </row>
    <row r="246" spans="1:32" x14ac:dyDescent="0.25">
      <c r="Y246" s="46"/>
      <c r="Z246" s="46"/>
      <c r="AA246" s="46"/>
      <c r="AB246" s="46"/>
      <c r="AC246" s="46"/>
      <c r="AD246" s="46"/>
      <c r="AE246" s="46"/>
      <c r="AF246" s="46"/>
    </row>
    <row r="247" spans="1:32" x14ac:dyDescent="0.25">
      <c r="Y247" s="46"/>
      <c r="Z247" s="46"/>
      <c r="AA247" s="46"/>
      <c r="AB247" s="46"/>
      <c r="AC247" s="46"/>
      <c r="AD247" s="46"/>
      <c r="AE247" s="46"/>
      <c r="AF247" s="46"/>
    </row>
    <row r="248" spans="1:32" x14ac:dyDescent="0.25">
      <c r="Y248" s="46"/>
      <c r="Z248" s="46"/>
      <c r="AA248" s="46"/>
      <c r="AB248" s="46"/>
      <c r="AC248" s="46"/>
      <c r="AD248" s="46"/>
      <c r="AE248" s="46"/>
      <c r="AF248" s="46"/>
    </row>
    <row r="249" spans="1:32" x14ac:dyDescent="0.25">
      <c r="Y249" s="46"/>
      <c r="Z249" s="46"/>
      <c r="AA249" s="46"/>
      <c r="AB249" s="46"/>
      <c r="AC249" s="46"/>
      <c r="AD249" s="46"/>
      <c r="AE249" s="46"/>
      <c r="AF249" s="46"/>
    </row>
    <row r="250" spans="1:32" x14ac:dyDescent="0.25">
      <c r="Y250" s="46"/>
      <c r="Z250" s="46"/>
      <c r="AA250" s="46"/>
      <c r="AB250" s="46"/>
      <c r="AC250" s="46"/>
      <c r="AD250" s="46"/>
      <c r="AE250" s="46"/>
      <c r="AF250" s="46"/>
    </row>
  </sheetData>
  <phoneticPr fontId="2" type="noConversion"/>
  <pageMargins left="0.7" right="0.7" top="0.75" bottom="0.75" header="0.3" footer="0.3"/>
  <tableParts count="4">
    <tablePart r:id="rId1"/>
    <tablePart r:id="rId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cb3764de-d77e-46e9-b8ab-67618f655149" xsi:nil="true"/>
    <lcf76f155ced4ddcb4097134ff3c332f xmlns="21230d39-7673-4100-ac72-63fcb55cb7aa">
      <Terms xmlns="http://schemas.microsoft.com/office/infopath/2007/PartnerControls"/>
    </lcf76f155ced4ddcb4097134ff3c332f>
    <SharedWithUsers xmlns="cb3764de-d77e-46e9-b8ab-67618f655149">
      <UserInfo>
        <DisplayName>Terracina, Nicholas</DisplayName>
        <AccountId>47</AccountId>
        <AccountType/>
      </UserInfo>
      <UserInfo>
        <DisplayName>Flederbach, Calvin</DisplayName>
        <AccountId>155</AccountId>
        <AccountType/>
      </UserInfo>
      <UserInfo>
        <DisplayName>Taylor, Donna</DisplayName>
        <AccountId>50</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74E095F99A06AC48B658E610AADC5BA9" ma:contentTypeVersion="17" ma:contentTypeDescription="Create a new document." ma:contentTypeScope="" ma:versionID="c463aa7c80e9a5b8f976c2c7279c1c5a">
  <xsd:schema xmlns:xsd="http://www.w3.org/2001/XMLSchema" xmlns:xs="http://www.w3.org/2001/XMLSchema" xmlns:p="http://schemas.microsoft.com/office/2006/metadata/properties" xmlns:ns2="21230d39-7673-4100-ac72-63fcb55cb7aa" xmlns:ns3="cb3764de-d77e-46e9-b8ab-67618f655149" targetNamespace="http://schemas.microsoft.com/office/2006/metadata/properties" ma:root="true" ma:fieldsID="52019f7bc9ba3cb4ddc5dd3115b5b364" ns2:_="" ns3:_="">
    <xsd:import namespace="21230d39-7673-4100-ac72-63fcb55cb7aa"/>
    <xsd:import namespace="cb3764de-d77e-46e9-b8ab-67618f655149"/>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LengthInSeconds" minOccurs="0"/>
                <xsd:element ref="ns3:SharedWithUsers" minOccurs="0"/>
                <xsd:element ref="ns3:SharedWithDetails" minOccurs="0"/>
                <xsd:element ref="ns2:MediaServiceAutoTags" minOccurs="0"/>
                <xsd:element ref="ns2:MediaServiceGenerationTime" minOccurs="0"/>
                <xsd:element ref="ns2:MediaServiceEventHashCode" minOccurs="0"/>
                <xsd:element ref="ns2:MediaServiceOCR" minOccurs="0"/>
                <xsd:element ref="ns2:lcf76f155ced4ddcb4097134ff3c332f" minOccurs="0"/>
                <xsd:element ref="ns3:TaxCatchAll"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1230d39-7673-4100-ac72-63fcb55cb7a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LengthInSeconds" ma:index="13" nillable="true" ma:displayName="Length (seconds)" ma:internalName="MediaLengthInSeconds" ma:readOnly="true">
      <xsd:simpleType>
        <xsd:restriction base="dms:Unknown"/>
      </xsd:simpleType>
    </xsd:element>
    <xsd:element name="MediaServiceAutoTags" ma:index="16" nillable="true" ma:displayName="Tags" ma:internalName="MediaServiceAutoTags"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761afc70-17ef-48e8-9522-1fbc9f28ec54"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b3764de-d77e-46e9-b8ab-67618f655149"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deb54ec9-3ce9-4841-b437-458e1297d1e1}" ma:internalName="TaxCatchAll" ma:showField="CatchAllData" ma:web="cb3764de-d77e-46e9-b8ab-67618f65514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2E9666DA-2F63-415F-99F7-AD3B438B9FB2}">
  <ds:schemaRefs>
    <ds:schemaRef ds:uri="http://purl.org/dc/elements/1.1/"/>
    <ds:schemaRef ds:uri="21230d39-7673-4100-ac72-63fcb55cb7aa"/>
    <ds:schemaRef ds:uri="http://schemas.microsoft.com/office/2006/documentManagement/types"/>
    <ds:schemaRef ds:uri="cb3764de-d77e-46e9-b8ab-67618f655149"/>
    <ds:schemaRef ds:uri="http://schemas.microsoft.com/office/2006/metadata/properties"/>
    <ds:schemaRef ds:uri="http://www.w3.org/XML/1998/namespace"/>
    <ds:schemaRef ds:uri="http://schemas.microsoft.com/office/infopath/2007/PartnerControls"/>
    <ds:schemaRef ds:uri="http://schemas.openxmlformats.org/package/2006/metadata/core-properties"/>
    <ds:schemaRef ds:uri="http://purl.org/dc/dcmitype/"/>
    <ds:schemaRef ds:uri="http://purl.org/dc/terms/"/>
  </ds:schemaRefs>
</ds:datastoreItem>
</file>

<file path=customXml/itemProps2.xml><?xml version="1.0" encoding="utf-8"?>
<ds:datastoreItem xmlns:ds="http://schemas.openxmlformats.org/officeDocument/2006/customXml" ds:itemID="{196B6D97-2869-4D4A-939D-EFE6D8B97B62}">
  <ds:schemaRefs>
    <ds:schemaRef ds:uri="http://schemas.microsoft.com/sharepoint/v3/contenttype/forms"/>
  </ds:schemaRefs>
</ds:datastoreItem>
</file>

<file path=customXml/itemProps3.xml><?xml version="1.0" encoding="utf-8"?>
<ds:datastoreItem xmlns:ds="http://schemas.openxmlformats.org/officeDocument/2006/customXml" ds:itemID="{C5C201D9-9340-4EDA-8EC6-D558457F022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1230d39-7673-4100-ac72-63fcb55cb7aa"/>
    <ds:schemaRef ds:uri="cb3764de-d77e-46e9-b8ab-67618f65514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8BD2F508-54EC-44F1-B07A-2F463A62A57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vt:i4>
      </vt:variant>
    </vt:vector>
  </HeadingPairs>
  <TitlesOfParts>
    <vt:vector size="18" baseType="lpstr">
      <vt:lpstr>Inputs</vt:lpstr>
      <vt:lpstr>Website Tests</vt:lpstr>
      <vt:lpstr>Testing</vt:lpstr>
      <vt:lpstr>Excel Tests</vt:lpstr>
      <vt:lpstr>Calculations</vt:lpstr>
      <vt:lpstr>Pipe Calcs for Span</vt:lpstr>
      <vt:lpstr>Strut loads</vt:lpstr>
      <vt:lpstr>Pipe weight, hangers, spacing</vt:lpstr>
      <vt:lpstr>Pictures</vt:lpstr>
      <vt:lpstr>Strut loadsAltered</vt:lpstr>
      <vt:lpstr>Hanger_list</vt:lpstr>
      <vt:lpstr>Quoting tool</vt:lpstr>
      <vt:lpstr>Pallet and shipping info</vt:lpstr>
      <vt:lpstr>reference tables</vt:lpstr>
      <vt:lpstr>H-frame item list</vt:lpstr>
      <vt:lpstr>'Website Tests'!ExternalData_1</vt:lpstr>
      <vt:lpstr>'Website Tests'!ExternalData_2</vt:lpstr>
      <vt:lpstr>'Website Tests'!ExternalData_3</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McLean, Daniel</dc:creator>
  <cp:keywords/>
  <dc:description/>
  <cp:lastModifiedBy>Skocic, David</cp:lastModifiedBy>
  <cp:revision/>
  <dcterms:created xsi:type="dcterms:W3CDTF">2022-02-09T14:46:59Z</dcterms:created>
  <dcterms:modified xsi:type="dcterms:W3CDTF">2024-06-05T20:58:36Z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0x01010074E095F99A06AC48B658E610AADC5BA9</vt:lpwstr>
  </property>
  <property fmtid="{D5CDD505-2E9C-101B-9397-08002B2CF9AE}" pid="3" name="MediaServiceImageTags">
    <vt:lpwstr/>
  </property>
</Properties>
</file>