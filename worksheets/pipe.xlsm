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4.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defaultThemeVersion="166925"/>
  <mc:AlternateContent xmlns:mc="http://schemas.openxmlformats.org/markup-compatibility/2006">
    <mc:Choice Requires="x15">
      <x15ac:absPath xmlns:x15ac="http://schemas.microsoft.com/office/spreadsheetml/2010/11/ac" url="https://nventco-my.sharepoint.com/personal/e2023355_nventco_com/Documents/Documents/VSCode/Projects/CPQ/CPQ_Automation/worksheets/"/>
    </mc:Choice>
  </mc:AlternateContent>
  <xr:revisionPtr revIDLastSave="9126" documentId="10_ncr:20000_{5D7A2C5E-E404-4F6F-B464-E3CE6A863328}" xr6:coauthVersionLast="47" xr6:coauthVersionMax="47" xr10:uidLastSave="{B58D0DE4-647A-47C0-AC73-507CA3BA2CB3}"/>
  <bookViews>
    <workbookView xWindow="-23148" yWindow="6852" windowWidth="23256" windowHeight="12456" tabRatio="757" activeTab="4" xr2:uid="{5AE9A327-56C9-4D44-A1D7-B2A946B1E1BB}"/>
  </bookViews>
  <sheets>
    <sheet name="Inputs" sheetId="7" r:id="rId1"/>
    <sheet name="Testing" sheetId="25" r:id="rId2"/>
    <sheet name="Website Tests" sheetId="34" r:id="rId3"/>
    <sheet name="Excel Tests" sheetId="21" r:id="rId4"/>
    <sheet name="Calculations" sheetId="6" r:id="rId5"/>
    <sheet name="Pipe Calcs for Span" sheetId="14" r:id="rId6"/>
    <sheet name="Strut loads" sheetId="4" r:id="rId7"/>
    <sheet name="Pipe weight, hangers, spacing" sheetId="3" r:id="rId8"/>
    <sheet name="Pictures" sheetId="9" state="hidden" r:id="rId9"/>
    <sheet name="Strut loadsAltered" sheetId="13" state="hidden" r:id="rId10"/>
    <sheet name="Hanger_list" sheetId="2" state="hidden" r:id="rId11"/>
    <sheet name="Quoting tool" sheetId="11" state="hidden" r:id="rId12"/>
    <sheet name="Pallet and shipping info" sheetId="12" state="hidden" r:id="rId13"/>
    <sheet name="reference tables" sheetId="5" r:id="rId14"/>
    <sheet name="H-frame item list" sheetId="1" state="hidden" r:id="rId15"/>
  </sheets>
  <functionGroups builtInGroupCount="19"/>
  <definedNames>
    <definedName name="_xlnm._FilterDatabase" localSheetId="3" hidden="1">'Excel Tests'!$A$1:$O$101</definedName>
    <definedName name="_xlnm._FilterDatabase" localSheetId="2" hidden="1">'Website Tests'!$A$1:$O$101</definedName>
    <definedName name="city">Inputs!#REF!</definedName>
    <definedName name="DWGLookup">_xlfn.XLOOKUP(Pictures!$E$2,Pictures!$A$2:$A$6,Pictures!$B$2:$B$6)</definedName>
    <definedName name="ExternalData_1" localSheetId="2">'Website Tests'!$A$1:$P$27</definedName>
    <definedName name="ExternalData_2" localSheetId="2">'Website Tests'!$A$1:$O$6</definedName>
    <definedName name="ExternalData_3" localSheetId="2">'Website Tests'!$A$1:$O$16</definedName>
    <definedName name="ExternalData_4" localSheetId="2">'Website Tests'!$A$1:$O$101</definedName>
    <definedName name="ExternalData_5" localSheetId="2">'Website Tests'!$A$1:$O$102</definedName>
    <definedName name="ExternalData_6" localSheetId="2">'Website Tests'!$A$1:$O$107</definedName>
    <definedName name="state">Inputs!#REF!</definedName>
    <definedName name="street_address">Inputs!#REF!</definedName>
    <definedName name="zip">Inputs!#REF!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 i="6" l="1"/>
  <c r="A96" i="14" l="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47" i="14"/>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3" i="14"/>
  <c r="A4" i="14" s="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N84" i="3"/>
  <c r="N83" i="3"/>
  <c r="N78" i="3"/>
  <c r="N66" i="3"/>
  <c r="N60" i="3"/>
  <c r="N48" i="3"/>
  <c r="N43" i="3"/>
  <c r="N30" i="3"/>
  <c r="N26" i="3"/>
  <c r="N25" i="3"/>
  <c r="N12" i="3"/>
  <c r="N8" i="3"/>
  <c r="N6" i="3"/>
  <c r="N111" i="3"/>
  <c r="N122" i="3"/>
  <c r="N123" i="3"/>
  <c r="N130" i="3"/>
  <c r="N131" i="3"/>
  <c r="N141" i="3"/>
  <c r="N142" i="3"/>
  <c r="N143" i="3"/>
  <c r="N150" i="3"/>
  <c r="N151" i="3"/>
  <c r="N152" i="3"/>
  <c r="N163" i="3"/>
  <c r="N164" i="3"/>
  <c r="N172" i="3"/>
  <c r="N173" i="3"/>
  <c r="N185" i="3"/>
  <c r="N186" i="3"/>
  <c r="N194" i="3"/>
  <c r="N195" i="3"/>
  <c r="N206" i="3"/>
  <c r="N207" i="3"/>
  <c r="N214" i="3"/>
  <c r="N215" i="3"/>
  <c r="N220" i="3"/>
  <c r="N221" i="3"/>
  <c r="N225" i="3"/>
  <c r="N226" i="3"/>
  <c r="N232" i="3"/>
  <c r="N233" i="3"/>
  <c r="N236" i="3"/>
  <c r="N237" i="3"/>
  <c r="N238" i="3"/>
  <c r="N241" i="3"/>
  <c r="N242" i="3"/>
  <c r="N243" i="3"/>
  <c r="N103" i="3"/>
  <c r="N37" i="3"/>
  <c r="N55" i="3"/>
  <c r="N73" i="3"/>
  <c r="N90" i="3"/>
  <c r="N91" i="3"/>
  <c r="N101" i="3"/>
  <c r="N102" i="3"/>
  <c r="N109" i="3"/>
  <c r="N110" i="3"/>
  <c r="N120" i="3"/>
  <c r="N121" i="3"/>
  <c r="N128" i="3"/>
  <c r="N129" i="3"/>
  <c r="N139" i="3"/>
  <c r="N140" i="3"/>
  <c r="N148" i="3"/>
  <c r="N149" i="3"/>
  <c r="N161" i="3"/>
  <c r="N162" i="3"/>
  <c r="N170" i="3"/>
  <c r="N171" i="3"/>
  <c r="N178" i="3"/>
  <c r="N179" i="3"/>
  <c r="N183" i="3"/>
  <c r="N184" i="3"/>
  <c r="N192" i="3"/>
  <c r="N193" i="3"/>
  <c r="N200" i="3"/>
  <c r="N201" i="3"/>
  <c r="N203" i="3"/>
  <c r="N204" i="3"/>
  <c r="N205" i="3"/>
  <c r="N211" i="3"/>
  <c r="N212" i="3"/>
  <c r="N213" i="3"/>
  <c r="N218" i="3"/>
  <c r="N219" i="3"/>
  <c r="N222" i="3"/>
  <c r="N223" i="3"/>
  <c r="N224" i="3"/>
  <c r="N229" i="3"/>
  <c r="N230" i="3"/>
  <c r="N231" i="3"/>
  <c r="N19" i="3"/>
  <c r="N4" i="3"/>
  <c r="N22" i="3"/>
  <c r="N32" i="3"/>
  <c r="N33" i="3"/>
  <c r="N39" i="3"/>
  <c r="N50" i="3"/>
  <c r="N57" i="3"/>
  <c r="N67" i="3"/>
  <c r="N74" i="3"/>
  <c r="N85" i="3"/>
  <c r="N15" i="3"/>
  <c r="N13" i="3"/>
  <c r="D2" i="4"/>
  <c r="D3"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B37" i="6"/>
  <c r="E21" i="14" s="1"/>
  <c r="AC2" i="1"/>
  <c r="AC3" i="1"/>
  <c r="AC4" i="1"/>
  <c r="AC5" i="1"/>
  <c r="AC6" i="1"/>
  <c r="AC7" i="1"/>
  <c r="AC8" i="1"/>
  <c r="AC9" i="1"/>
  <c r="AC10" i="1"/>
  <c r="AC11" i="1"/>
  <c r="AC12" i="1"/>
  <c r="AC13" i="1"/>
  <c r="AC14" i="1"/>
  <c r="AC15" i="1"/>
  <c r="AC16" i="1"/>
  <c r="AC17" i="1"/>
  <c r="AC18" i="1"/>
  <c r="AC19" i="1"/>
  <c r="AC20" i="1"/>
  <c r="AC21" i="1"/>
  <c r="AC22" i="1"/>
  <c r="AC23" i="1"/>
  <c r="AC24" i="1"/>
  <c r="AC25" i="1"/>
  <c r="AC26" i="1"/>
  <c r="AC27" i="1"/>
  <c r="AC28" i="1"/>
  <c r="AC29" i="1"/>
  <c r="AC30" i="1"/>
  <c r="AC31" i="1"/>
  <c r="AC32" i="1"/>
  <c r="AC33" i="1"/>
  <c r="AC34" i="1"/>
  <c r="AC35" i="1"/>
  <c r="AC36" i="1"/>
  <c r="AC37" i="1"/>
  <c r="AC38" i="1"/>
  <c r="AC39" i="1"/>
  <c r="AC40" i="1"/>
  <c r="AC41" i="1"/>
  <c r="AC42" i="1"/>
  <c r="AC43" i="1"/>
  <c r="AC44" i="1"/>
  <c r="AC45" i="1"/>
  <c r="AC46" i="1"/>
  <c r="AC47" i="1"/>
  <c r="AC48" i="1"/>
  <c r="AC49" i="1"/>
  <c r="AC50" i="1"/>
  <c r="AC51" i="1"/>
  <c r="AC52" i="1"/>
  <c r="AC53" i="1"/>
  <c r="AC54" i="1"/>
  <c r="AC55" i="1"/>
  <c r="AC56" i="1"/>
  <c r="AC57" i="1"/>
  <c r="AC58" i="1"/>
  <c r="AC59" i="1"/>
  <c r="AC60" i="1"/>
  <c r="AC61" i="1"/>
  <c r="AC62" i="1"/>
  <c r="AC63" i="1"/>
  <c r="AC64" i="1"/>
  <c r="AC65" i="1"/>
  <c r="AC66" i="1"/>
  <c r="AC67" i="1"/>
  <c r="AC68" i="1"/>
  <c r="AC69" i="1"/>
  <c r="AC70" i="1"/>
  <c r="AC71" i="1"/>
  <c r="AC72" i="1"/>
  <c r="AC73" i="1"/>
  <c r="AC74" i="1"/>
  <c r="AC75" i="1"/>
  <c r="AC76" i="1"/>
  <c r="AC77" i="1"/>
  <c r="AC78" i="1"/>
  <c r="AC79" i="1"/>
  <c r="AC80" i="1"/>
  <c r="AC81" i="1"/>
  <c r="AC82" i="1"/>
  <c r="AC83" i="1"/>
  <c r="AC84" i="1"/>
  <c r="AC85" i="1"/>
  <c r="AC86" i="1"/>
  <c r="AC87" i="1"/>
  <c r="AC88" i="1"/>
  <c r="AC89" i="1"/>
  <c r="AC90" i="1"/>
  <c r="AC91" i="1"/>
  <c r="AC92" i="1"/>
  <c r="AC93" i="1"/>
  <c r="AC94" i="1"/>
  <c r="AC95" i="1"/>
  <c r="AC96" i="1"/>
  <c r="AC97" i="1"/>
  <c r="AC98" i="1"/>
  <c r="AC99" i="1"/>
  <c r="AC100" i="1"/>
  <c r="AC101" i="1"/>
  <c r="AC102" i="1"/>
  <c r="AC103" i="1"/>
  <c r="AC104" i="1"/>
  <c r="AC105" i="1"/>
  <c r="AC106" i="1"/>
  <c r="AC107" i="1"/>
  <c r="AC108" i="1"/>
  <c r="AC109" i="1"/>
  <c r="AC110" i="1"/>
  <c r="AC111" i="1"/>
  <c r="AC112" i="1"/>
  <c r="AC113" i="1"/>
  <c r="AC114" i="1"/>
  <c r="AC115" i="1"/>
  <c r="AC116" i="1"/>
  <c r="AC117" i="1"/>
  <c r="AC118" i="1"/>
  <c r="AC119" i="1"/>
  <c r="AC120" i="1"/>
  <c r="AC121" i="1"/>
  <c r="AC122" i="1"/>
  <c r="AC123" i="1"/>
  <c r="AC124" i="1"/>
  <c r="AC125" i="1"/>
  <c r="AC126" i="1"/>
  <c r="AC127" i="1"/>
  <c r="AC128" i="1"/>
  <c r="AC129" i="1"/>
  <c r="AC130" i="1"/>
  <c r="AC131" i="1"/>
  <c r="AC132" i="1"/>
  <c r="AC133" i="1"/>
  <c r="AC134" i="1"/>
  <c r="AC135" i="1"/>
  <c r="AC136" i="1"/>
  <c r="AC137" i="1"/>
  <c r="AC138" i="1"/>
  <c r="AC139" i="1"/>
  <c r="AC140" i="1"/>
  <c r="AC141" i="1"/>
  <c r="AC142" i="1"/>
  <c r="AC143" i="1"/>
  <c r="AC144" i="1"/>
  <c r="AC145" i="1"/>
  <c r="AC146" i="1"/>
  <c r="AC147" i="1"/>
  <c r="AC148" i="1"/>
  <c r="AC149" i="1"/>
  <c r="AC150" i="1"/>
  <c r="AC151" i="1"/>
  <c r="AC152" i="1"/>
  <c r="AC153" i="1"/>
  <c r="AC154" i="1"/>
  <c r="AC155" i="1"/>
  <c r="AC156" i="1"/>
  <c r="AC157" i="1"/>
  <c r="AC158" i="1"/>
  <c r="AC159" i="1"/>
  <c r="AC160" i="1"/>
  <c r="AC161" i="1"/>
  <c r="AC162" i="1"/>
  <c r="AC163" i="1"/>
  <c r="AC164" i="1"/>
  <c r="AC165" i="1"/>
  <c r="AC166" i="1"/>
  <c r="AC167" i="1"/>
  <c r="AC168" i="1"/>
  <c r="AC169" i="1"/>
  <c r="AC170" i="1"/>
  <c r="AC171" i="1"/>
  <c r="AC172" i="1"/>
  <c r="AC173" i="1"/>
  <c r="AC174" i="1"/>
  <c r="AC175" i="1"/>
  <c r="AC176" i="1"/>
  <c r="AC177" i="1"/>
  <c r="AC178" i="1"/>
  <c r="AC179" i="1"/>
  <c r="AC180" i="1"/>
  <c r="AC181" i="1"/>
  <c r="AC182" i="1"/>
  <c r="AC183" i="1"/>
  <c r="AC184" i="1"/>
  <c r="AC185" i="1"/>
  <c r="AC186" i="1"/>
  <c r="AC187" i="1"/>
  <c r="AC188" i="1"/>
  <c r="AC189" i="1"/>
  <c r="AC190" i="1"/>
  <c r="AC191" i="1"/>
  <c r="AC192" i="1"/>
  <c r="AC193" i="1"/>
  <c r="AC194" i="1"/>
  <c r="AC195" i="1"/>
  <c r="AC196" i="1"/>
  <c r="AC197" i="1"/>
  <c r="AC198" i="1"/>
  <c r="AC199" i="1"/>
  <c r="AC200" i="1"/>
  <c r="AC201" i="1"/>
  <c r="AC202" i="1"/>
  <c r="AC203" i="1"/>
  <c r="AC204" i="1"/>
  <c r="AC205" i="1"/>
  <c r="AC206" i="1"/>
  <c r="AC207" i="1"/>
  <c r="AC208" i="1"/>
  <c r="AC209" i="1"/>
  <c r="AC210" i="1"/>
  <c r="AC211" i="1"/>
  <c r="AC212" i="1"/>
  <c r="AC213" i="1"/>
  <c r="AC214" i="1"/>
  <c r="AC215" i="1"/>
  <c r="AC216" i="1"/>
  <c r="AC217" i="1"/>
  <c r="AC218" i="1"/>
  <c r="AC219" i="1"/>
  <c r="AC220" i="1"/>
  <c r="AC221" i="1"/>
  <c r="AC222" i="1"/>
  <c r="AC223" i="1"/>
  <c r="AC224" i="1"/>
  <c r="AC225" i="1"/>
  <c r="AC226" i="1"/>
  <c r="AC227" i="1"/>
  <c r="AC228" i="1"/>
  <c r="AC229" i="1"/>
  <c r="AC230" i="1"/>
  <c r="AC231" i="1"/>
  <c r="AC232" i="1"/>
  <c r="AC233" i="1"/>
  <c r="AC234" i="1"/>
  <c r="AC235" i="1"/>
  <c r="AC236" i="1"/>
  <c r="AC237" i="1"/>
  <c r="AC238" i="1"/>
  <c r="AC239" i="1"/>
  <c r="AC240" i="1"/>
  <c r="AC241" i="1"/>
  <c r="AB2" i="1"/>
  <c r="AB6" i="1"/>
  <c r="AB10" i="1"/>
  <c r="AB14" i="1"/>
  <c r="AB15" i="1"/>
  <c r="AB16" i="1"/>
  <c r="AB17" i="1"/>
  <c r="AB18" i="1"/>
  <c r="AB19" i="1"/>
  <c r="AB20" i="1"/>
  <c r="AB21" i="1"/>
  <c r="AB22" i="1"/>
  <c r="AB23" i="1"/>
  <c r="AB24" i="1"/>
  <c r="AB25" i="1"/>
  <c r="AB26" i="1"/>
  <c r="AB30" i="1"/>
  <c r="AB34" i="1"/>
  <c r="AB38" i="1"/>
  <c r="AB39" i="1"/>
  <c r="AB40" i="1"/>
  <c r="AB41" i="1"/>
  <c r="AB42" i="1"/>
  <c r="AB43" i="1"/>
  <c r="AB44" i="1"/>
  <c r="AB45" i="1"/>
  <c r="AB46" i="1"/>
  <c r="AB47" i="1"/>
  <c r="AB48" i="1"/>
  <c r="AB49" i="1"/>
  <c r="AB50" i="1"/>
  <c r="AB54" i="1"/>
  <c r="AB58" i="1"/>
  <c r="AB62" i="1"/>
  <c r="AB63" i="1"/>
  <c r="AB64" i="1"/>
  <c r="AB65" i="1"/>
  <c r="AB66" i="1"/>
  <c r="AB67" i="1"/>
  <c r="AB68" i="1"/>
  <c r="AB69" i="1"/>
  <c r="AB70" i="1"/>
  <c r="AB71" i="1"/>
  <c r="AB72" i="1"/>
  <c r="AB73" i="1"/>
  <c r="AB74" i="1"/>
  <c r="AB78" i="1"/>
  <c r="AB82" i="1"/>
  <c r="AB86" i="1"/>
  <c r="AB87" i="1"/>
  <c r="AB88" i="1"/>
  <c r="AB89" i="1"/>
  <c r="AB90" i="1"/>
  <c r="AB91" i="1"/>
  <c r="AB92" i="1"/>
  <c r="AB93" i="1"/>
  <c r="AB94" i="1"/>
  <c r="AB95" i="1"/>
  <c r="AB96" i="1"/>
  <c r="AB97" i="1"/>
  <c r="AB98" i="1"/>
  <c r="AB102" i="1"/>
  <c r="AB106" i="1"/>
  <c r="AB110" i="1"/>
  <c r="AB111" i="1"/>
  <c r="AB112" i="1"/>
  <c r="AB113" i="1"/>
  <c r="AB114" i="1"/>
  <c r="AB115" i="1"/>
  <c r="AB116" i="1"/>
  <c r="AB117" i="1"/>
  <c r="AB118" i="1"/>
  <c r="AB119" i="1"/>
  <c r="AB120" i="1"/>
  <c r="AB121" i="1"/>
  <c r="AB122" i="1"/>
  <c r="AB126" i="1"/>
  <c r="AB130" i="1"/>
  <c r="AB134" i="1"/>
  <c r="AB135" i="1"/>
  <c r="AB136" i="1"/>
  <c r="AB137" i="1"/>
  <c r="AB138" i="1"/>
  <c r="AB139" i="1"/>
  <c r="AB140" i="1"/>
  <c r="AB141" i="1"/>
  <c r="AB142" i="1"/>
  <c r="AB143" i="1"/>
  <c r="AB144" i="1"/>
  <c r="AB145" i="1"/>
  <c r="AB146" i="1"/>
  <c r="AB150" i="1"/>
  <c r="AB154" i="1"/>
  <c r="AB158" i="1"/>
  <c r="AB159" i="1"/>
  <c r="AB160" i="1"/>
  <c r="AB161" i="1"/>
  <c r="AB162" i="1"/>
  <c r="AB163" i="1"/>
  <c r="AB164" i="1"/>
  <c r="AB165" i="1"/>
  <c r="AB166" i="1"/>
  <c r="AB167" i="1"/>
  <c r="AB168" i="1"/>
  <c r="AB169" i="1"/>
  <c r="AB170" i="1"/>
  <c r="AB174" i="1"/>
  <c r="AB178" i="1"/>
  <c r="AB182" i="1"/>
  <c r="AB183" i="1"/>
  <c r="AB184" i="1"/>
  <c r="AB185" i="1"/>
  <c r="AB186" i="1"/>
  <c r="AB187" i="1"/>
  <c r="AB188" i="1"/>
  <c r="AB189" i="1"/>
  <c r="AB190" i="1"/>
  <c r="AB191" i="1"/>
  <c r="AB192" i="1"/>
  <c r="AB193" i="1"/>
  <c r="AB194" i="1"/>
  <c r="AB198" i="1"/>
  <c r="AB202" i="1"/>
  <c r="AB206" i="1"/>
  <c r="AB207" i="1"/>
  <c r="AB208" i="1"/>
  <c r="AB209" i="1"/>
  <c r="AB210" i="1"/>
  <c r="AB211" i="1"/>
  <c r="AB212" i="1"/>
  <c r="AB213" i="1"/>
  <c r="AB214" i="1"/>
  <c r="AB215" i="1"/>
  <c r="AB216" i="1"/>
  <c r="AB217" i="1"/>
  <c r="AB218" i="1"/>
  <c r="AB222" i="1"/>
  <c r="AB226" i="1"/>
  <c r="AB230" i="1"/>
  <c r="AB231" i="1"/>
  <c r="AB232" i="1"/>
  <c r="AB233" i="1"/>
  <c r="AB234" i="1"/>
  <c r="AB235" i="1"/>
  <c r="AB236" i="1"/>
  <c r="AB237" i="1"/>
  <c r="AB238" i="1"/>
  <c r="AB239" i="1"/>
  <c r="AB240" i="1"/>
  <c r="AB241" i="1"/>
  <c r="C11" i="7"/>
  <c r="Y2" i="1"/>
  <c r="Y3" i="1"/>
  <c r="Y4" i="1"/>
  <c r="Y5" i="1"/>
  <c r="Y6" i="1"/>
  <c r="Y7" i="1"/>
  <c r="Y8" i="1"/>
  <c r="Y9" i="1"/>
  <c r="Y10" i="1"/>
  <c r="Y11" i="1"/>
  <c r="Y12" i="1"/>
  <c r="Y13" i="1"/>
  <c r="Y14" i="1"/>
  <c r="Y15" i="1"/>
  <c r="Y16" i="1"/>
  <c r="Y17" i="1"/>
  <c r="Y18"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F3" i="2"/>
  <c r="F4" i="2"/>
  <c r="F5" i="2"/>
  <c r="I5" i="2" s="1"/>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2" i="2"/>
  <c r="B4" i="2"/>
  <c r="H4" i="2"/>
  <c r="I4" i="2"/>
  <c r="J4" i="2"/>
  <c r="B5" i="2"/>
  <c r="H5" i="2"/>
  <c r="J5" i="2"/>
  <c r="J6" i="2" s="1"/>
  <c r="J7" i="2" s="1"/>
  <c r="B6" i="2"/>
  <c r="I6" i="2"/>
  <c r="H6" i="2"/>
  <c r="B7" i="2"/>
  <c r="H7" i="2"/>
  <c r="B8" i="2"/>
  <c r="H8" i="2"/>
  <c r="B9" i="2"/>
  <c r="H9" i="2"/>
  <c r="B10" i="2"/>
  <c r="H10" i="2"/>
  <c r="B11" i="2"/>
  <c r="H11" i="2"/>
  <c r="J3" i="2"/>
  <c r="B2" i="2"/>
  <c r="B12" i="2"/>
  <c r="U3" i="1"/>
  <c r="U4" i="1"/>
  <c r="U5" i="1"/>
  <c r="U6" i="1"/>
  <c r="U7" i="1"/>
  <c r="U8" i="1"/>
  <c r="U9" i="1"/>
  <c r="U10" i="1"/>
  <c r="U11" i="1"/>
  <c r="U12" i="1"/>
  <c r="U13" i="1"/>
  <c r="U14" i="1"/>
  <c r="U15" i="1"/>
  <c r="U16" i="1"/>
  <c r="U17" i="1"/>
  <c r="U18" i="1"/>
  <c r="U19" i="1"/>
  <c r="U20" i="1"/>
  <c r="U21" i="1"/>
  <c r="U22" i="1"/>
  <c r="U23" i="1"/>
  <c r="U24" i="1"/>
  <c r="U25" i="1"/>
  <c r="U26" i="1"/>
  <c r="U27" i="1"/>
  <c r="U28" i="1"/>
  <c r="U29" i="1"/>
  <c r="U30" i="1"/>
  <c r="U31" i="1"/>
  <c r="U32" i="1"/>
  <c r="U33" i="1"/>
  <c r="U34" i="1"/>
  <c r="U35" i="1"/>
  <c r="U36" i="1"/>
  <c r="U37" i="1"/>
  <c r="U38" i="1"/>
  <c r="U39" i="1"/>
  <c r="U40" i="1"/>
  <c r="U41" i="1"/>
  <c r="U42" i="1"/>
  <c r="U43" i="1"/>
  <c r="U44" i="1"/>
  <c r="U45" i="1"/>
  <c r="U46" i="1"/>
  <c r="U47" i="1"/>
  <c r="U48" i="1"/>
  <c r="U49" i="1"/>
  <c r="U50" i="1"/>
  <c r="U51" i="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108" i="1"/>
  <c r="U109" i="1"/>
  <c r="U110" i="1"/>
  <c r="U111" i="1"/>
  <c r="U112" i="1"/>
  <c r="U113" i="1"/>
  <c r="U114" i="1"/>
  <c r="U115" i="1"/>
  <c r="U116" i="1"/>
  <c r="U117" i="1"/>
  <c r="U118" i="1"/>
  <c r="U119" i="1"/>
  <c r="U120" i="1"/>
  <c r="U121" i="1"/>
  <c r="U122" i="1"/>
  <c r="U123" i="1"/>
  <c r="U124" i="1"/>
  <c r="U125" i="1"/>
  <c r="U126" i="1"/>
  <c r="U127" i="1"/>
  <c r="U128" i="1"/>
  <c r="U129" i="1"/>
  <c r="U130" i="1"/>
  <c r="U131" i="1"/>
  <c r="U132" i="1"/>
  <c r="U133" i="1"/>
  <c r="U134" i="1"/>
  <c r="U135" i="1"/>
  <c r="U136" i="1"/>
  <c r="U137" i="1"/>
  <c r="U138" i="1"/>
  <c r="U139" i="1"/>
  <c r="U140" i="1"/>
  <c r="U141" i="1"/>
  <c r="U142" i="1"/>
  <c r="U143" i="1"/>
  <c r="U144" i="1"/>
  <c r="U145" i="1"/>
  <c r="U146" i="1"/>
  <c r="U147" i="1"/>
  <c r="U148" i="1"/>
  <c r="U149" i="1"/>
  <c r="U150" i="1"/>
  <c r="U151" i="1"/>
  <c r="U152" i="1"/>
  <c r="U153" i="1"/>
  <c r="U154" i="1"/>
  <c r="U155" i="1"/>
  <c r="U156" i="1"/>
  <c r="U157" i="1"/>
  <c r="U158" i="1"/>
  <c r="U159" i="1"/>
  <c r="U160" i="1"/>
  <c r="U161" i="1"/>
  <c r="U162" i="1"/>
  <c r="U163" i="1"/>
  <c r="U164" i="1"/>
  <c r="U165" i="1"/>
  <c r="U166" i="1"/>
  <c r="U167" i="1"/>
  <c r="U168" i="1"/>
  <c r="U169" i="1"/>
  <c r="U170" i="1"/>
  <c r="U171" i="1"/>
  <c r="U172" i="1"/>
  <c r="U173" i="1"/>
  <c r="U174" i="1"/>
  <c r="U175" i="1"/>
  <c r="U176" i="1"/>
  <c r="U177" i="1"/>
  <c r="U178" i="1"/>
  <c r="U179" i="1"/>
  <c r="U180" i="1"/>
  <c r="U181" i="1"/>
  <c r="U182" i="1"/>
  <c r="U183" i="1"/>
  <c r="U184" i="1"/>
  <c r="U185" i="1"/>
  <c r="U186" i="1"/>
  <c r="U187" i="1"/>
  <c r="U188" i="1"/>
  <c r="U189" i="1"/>
  <c r="U190" i="1"/>
  <c r="U191" i="1"/>
  <c r="U192" i="1"/>
  <c r="U193" i="1"/>
  <c r="U194" i="1"/>
  <c r="U195" i="1"/>
  <c r="U196" i="1"/>
  <c r="U197" i="1"/>
  <c r="U198" i="1"/>
  <c r="U199" i="1"/>
  <c r="U200" i="1"/>
  <c r="U201" i="1"/>
  <c r="U202" i="1"/>
  <c r="U203" i="1"/>
  <c r="U204" i="1"/>
  <c r="U205" i="1"/>
  <c r="U206" i="1"/>
  <c r="U207" i="1"/>
  <c r="U208" i="1"/>
  <c r="U209" i="1"/>
  <c r="U210" i="1"/>
  <c r="U211" i="1"/>
  <c r="U212" i="1"/>
  <c r="U213" i="1"/>
  <c r="U214" i="1"/>
  <c r="U215" i="1"/>
  <c r="U216" i="1"/>
  <c r="U217" i="1"/>
  <c r="U218" i="1"/>
  <c r="U219" i="1"/>
  <c r="U220" i="1"/>
  <c r="U221" i="1"/>
  <c r="U222" i="1"/>
  <c r="U223" i="1"/>
  <c r="U224" i="1"/>
  <c r="U225" i="1"/>
  <c r="U226" i="1"/>
  <c r="U227" i="1"/>
  <c r="U228" i="1"/>
  <c r="U229" i="1"/>
  <c r="U230" i="1"/>
  <c r="U231" i="1"/>
  <c r="U232" i="1"/>
  <c r="U233" i="1"/>
  <c r="U234" i="1"/>
  <c r="U235" i="1"/>
  <c r="U236" i="1"/>
  <c r="U237" i="1"/>
  <c r="U238" i="1"/>
  <c r="U239" i="1"/>
  <c r="U240" i="1"/>
  <c r="U241" i="1"/>
  <c r="U2" i="1"/>
  <c r="E2" i="9"/>
  <c r="W3" i="1"/>
  <c r="W4" i="1" s="1"/>
  <c r="F13" i="11"/>
  <c r="F14" i="11"/>
  <c r="F15" i="11"/>
  <c r="F16" i="11"/>
  <c r="C1" i="11"/>
  <c r="D11" i="7"/>
  <c r="B33" i="6"/>
  <c r="B19" i="7"/>
  <c r="B18" i="7"/>
  <c r="B15" i="7"/>
  <c r="K16" i="7"/>
  <c r="B7" i="6"/>
  <c r="B25" i="6"/>
  <c r="B14" i="6"/>
  <c r="B13" i="6"/>
  <c r="B10" i="6"/>
  <c r="B22" i="6"/>
  <c r="B24" i="6"/>
  <c r="L256" i="3" s="1"/>
  <c r="B21" i="6"/>
  <c r="J256" i="3" s="1"/>
  <c r="B11" i="6"/>
  <c r="C117" i="3" s="1"/>
  <c r="B12" i="6"/>
  <c r="L255" i="3" s="1"/>
  <c r="B9" i="6"/>
  <c r="B117" i="3" s="1"/>
  <c r="B3" i="6"/>
  <c r="B4" i="6"/>
  <c r="B5" i="6"/>
  <c r="B2" i="6"/>
  <c r="B8" i="6" s="1"/>
  <c r="A12" i="7"/>
  <c r="A22" i="7"/>
  <c r="B25" i="7"/>
  <c r="B23" i="7"/>
  <c r="B24" i="7"/>
  <c r="B22" i="7"/>
  <c r="B13" i="7"/>
  <c r="B14" i="7"/>
  <c r="B16" i="7"/>
  <c r="B17" i="7"/>
  <c r="B12" i="7"/>
  <c r="R239" i="3" l="1"/>
  <c r="R236" i="3"/>
  <c r="B15" i="6"/>
  <c r="E14" i="14"/>
  <c r="E35" i="14"/>
  <c r="E36" i="14"/>
  <c r="E34" i="14"/>
  <c r="E37" i="14"/>
  <c r="E38" i="14"/>
  <c r="E39" i="14"/>
  <c r="E3" i="14"/>
  <c r="E12" i="14"/>
  <c r="E13" i="14"/>
  <c r="E15" i="14"/>
  <c r="E16" i="14"/>
  <c r="E22" i="14"/>
  <c r="B36" i="6"/>
  <c r="G29" i="4" s="1"/>
  <c r="H29" i="4" s="1"/>
  <c r="E23" i="14"/>
  <c r="E24" i="14"/>
  <c r="E2" i="14"/>
  <c r="E26" i="14"/>
  <c r="E11" i="14"/>
  <c r="E25" i="14"/>
  <c r="E10" i="14"/>
  <c r="E27" i="14"/>
  <c r="E9" i="14"/>
  <c r="E28" i="14"/>
  <c r="E8" i="14"/>
  <c r="E29" i="14"/>
  <c r="E7" i="14"/>
  <c r="E30" i="14"/>
  <c r="E6" i="14"/>
  <c r="E31" i="14"/>
  <c r="E5" i="14"/>
  <c r="E32" i="14"/>
  <c r="E4" i="14"/>
  <c r="E33" i="14"/>
  <c r="E17" i="14"/>
  <c r="E18" i="14"/>
  <c r="E41" i="14"/>
  <c r="E19" i="14"/>
  <c r="E42" i="14"/>
  <c r="E40" i="14"/>
  <c r="E20" i="14"/>
  <c r="I8" i="2"/>
  <c r="I7" i="2"/>
  <c r="J8" i="2"/>
  <c r="J9" i="2" s="1"/>
  <c r="J10" i="2" s="1"/>
  <c r="W5" i="1"/>
  <c r="Q236" i="3"/>
  <c r="P236" i="3"/>
  <c r="Q239" i="3"/>
  <c r="F117" i="3"/>
  <c r="J255" i="3"/>
  <c r="K255" i="3"/>
  <c r="A119" i="3" a="1"/>
  <c r="S236" i="3" l="1" a="1"/>
  <c r="S236" i="3" s="1"/>
  <c r="M255" i="3" a="1"/>
  <c r="M255" i="3" s="1"/>
  <c r="A119" i="3"/>
  <c r="I9" i="2"/>
  <c r="J11" i="2"/>
  <c r="I10" i="2"/>
  <c r="W6" i="1"/>
  <c r="B41" i="2"/>
  <c r="B40" i="2"/>
  <c r="B39" i="2"/>
  <c r="B38" i="2"/>
  <c r="B37" i="2"/>
  <c r="B36" i="2"/>
  <c r="B35" i="2"/>
  <c r="B34" i="2"/>
  <c r="B33" i="2"/>
  <c r="B32" i="2"/>
  <c r="B31" i="2"/>
  <c r="B30" i="2"/>
  <c r="B29" i="2"/>
  <c r="B28" i="2"/>
  <c r="B27" i="2"/>
  <c r="B26" i="2"/>
  <c r="B25" i="2"/>
  <c r="B24" i="2"/>
  <c r="B23" i="2"/>
  <c r="B22" i="2"/>
  <c r="B21" i="2"/>
  <c r="B20" i="2"/>
  <c r="B19" i="2"/>
  <c r="B18" i="2"/>
  <c r="B17" i="2"/>
  <c r="B16" i="2"/>
  <c r="B15" i="2"/>
  <c r="B14" i="2"/>
  <c r="B13" i="2"/>
  <c r="B3" i="2"/>
  <c r="N241" i="1"/>
  <c r="M241" i="1" s="1"/>
  <c r="L241" i="1"/>
  <c r="G241" i="1"/>
  <c r="S241" i="1" s="1"/>
  <c r="D241" i="1"/>
  <c r="C241" i="1"/>
  <c r="N240" i="1"/>
  <c r="M240" i="1" s="1"/>
  <c r="L240" i="1"/>
  <c r="G240" i="1"/>
  <c r="S240" i="1" s="1"/>
  <c r="D240" i="1"/>
  <c r="C240" i="1"/>
  <c r="N239" i="1"/>
  <c r="M239" i="1" s="1"/>
  <c r="L239" i="1"/>
  <c r="Z239" i="1" s="1"/>
  <c r="G239" i="1"/>
  <c r="S239" i="1" s="1"/>
  <c r="D239" i="1"/>
  <c r="C239" i="1"/>
  <c r="N238" i="1"/>
  <c r="M238" i="1" s="1"/>
  <c r="L238" i="1"/>
  <c r="Z238" i="1" s="1"/>
  <c r="G238" i="1"/>
  <c r="S238" i="1" s="1"/>
  <c r="D238" i="1"/>
  <c r="C238" i="1"/>
  <c r="N237" i="1"/>
  <c r="M237" i="1" s="1"/>
  <c r="L237" i="1"/>
  <c r="G237" i="1"/>
  <c r="S237" i="1" s="1"/>
  <c r="D237" i="1"/>
  <c r="C237" i="1"/>
  <c r="N236" i="1"/>
  <c r="L236" i="1"/>
  <c r="G236" i="1"/>
  <c r="S236" i="1" s="1"/>
  <c r="D236" i="1"/>
  <c r="C236" i="1"/>
  <c r="N235" i="1"/>
  <c r="M235" i="1" s="1"/>
  <c r="L235" i="1"/>
  <c r="G235" i="1"/>
  <c r="S235" i="1" s="1"/>
  <c r="D235" i="1"/>
  <c r="C235" i="1"/>
  <c r="N234" i="1"/>
  <c r="M234" i="1" s="1"/>
  <c r="L234" i="1"/>
  <c r="G234" i="1"/>
  <c r="S234" i="1" s="1"/>
  <c r="D234" i="1"/>
  <c r="C234" i="1"/>
  <c r="N233" i="1"/>
  <c r="M233" i="1" s="1"/>
  <c r="L233" i="1"/>
  <c r="G233" i="1"/>
  <c r="S233" i="1" s="1"/>
  <c r="D233" i="1"/>
  <c r="C233" i="1"/>
  <c r="N232" i="1"/>
  <c r="L232" i="1"/>
  <c r="G232" i="1"/>
  <c r="S232" i="1" s="1"/>
  <c r="D232" i="1"/>
  <c r="C232" i="1"/>
  <c r="N231" i="1"/>
  <c r="M231" i="1" s="1"/>
  <c r="L231" i="1"/>
  <c r="G231" i="1"/>
  <c r="S231" i="1" s="1"/>
  <c r="D231" i="1"/>
  <c r="C231" i="1"/>
  <c r="N230" i="1"/>
  <c r="M230" i="1" s="1"/>
  <c r="L230" i="1"/>
  <c r="Z230" i="1" s="1"/>
  <c r="G230" i="1"/>
  <c r="S230" i="1" s="1"/>
  <c r="D230" i="1"/>
  <c r="C230" i="1"/>
  <c r="N229" i="1"/>
  <c r="M229" i="1" s="1"/>
  <c r="L229" i="1"/>
  <c r="C229" i="1"/>
  <c r="N228" i="1"/>
  <c r="M228" i="1" s="1"/>
  <c r="L228" i="1"/>
  <c r="C228" i="1"/>
  <c r="N227" i="1"/>
  <c r="M227" i="1" s="1"/>
  <c r="L227" i="1"/>
  <c r="F227" i="1"/>
  <c r="AB227" i="1" s="1"/>
  <c r="C227" i="1"/>
  <c r="N226" i="1"/>
  <c r="M226" i="1" s="1"/>
  <c r="L226" i="1"/>
  <c r="G226" i="1"/>
  <c r="S226" i="1" s="1"/>
  <c r="D226" i="1"/>
  <c r="C226" i="1"/>
  <c r="N225" i="1"/>
  <c r="M225" i="1" s="1"/>
  <c r="L225" i="1"/>
  <c r="C225" i="1"/>
  <c r="N224" i="1"/>
  <c r="M224" i="1" s="1"/>
  <c r="L224" i="1"/>
  <c r="C224" i="1"/>
  <c r="N223" i="1"/>
  <c r="M223" i="1" s="1"/>
  <c r="L223" i="1"/>
  <c r="F223" i="1"/>
  <c r="C223" i="1"/>
  <c r="N222" i="1"/>
  <c r="M222" i="1" s="1"/>
  <c r="L222" i="1"/>
  <c r="G222" i="1"/>
  <c r="S222" i="1" s="1"/>
  <c r="D222" i="1"/>
  <c r="C222" i="1"/>
  <c r="N221" i="1"/>
  <c r="M221" i="1" s="1"/>
  <c r="L221" i="1"/>
  <c r="C221" i="1"/>
  <c r="N220" i="1"/>
  <c r="M220" i="1" s="1"/>
  <c r="L220" i="1"/>
  <c r="C220" i="1"/>
  <c r="N219" i="1"/>
  <c r="M219" i="1" s="1"/>
  <c r="L219" i="1"/>
  <c r="F219" i="1"/>
  <c r="C219" i="1"/>
  <c r="N218" i="1"/>
  <c r="M218" i="1" s="1"/>
  <c r="L218" i="1"/>
  <c r="G218" i="1"/>
  <c r="S218" i="1" s="1"/>
  <c r="D218" i="1"/>
  <c r="C218" i="1"/>
  <c r="N217" i="1"/>
  <c r="L217" i="1"/>
  <c r="G217" i="1"/>
  <c r="S217" i="1" s="1"/>
  <c r="D217" i="1"/>
  <c r="C217" i="1"/>
  <c r="N216" i="1"/>
  <c r="M216" i="1" s="1"/>
  <c r="L216" i="1"/>
  <c r="G216" i="1"/>
  <c r="S216" i="1" s="1"/>
  <c r="D216" i="1"/>
  <c r="C216" i="1"/>
  <c r="N215" i="1"/>
  <c r="M215" i="1" s="1"/>
  <c r="L215" i="1"/>
  <c r="G215" i="1"/>
  <c r="S215" i="1" s="1"/>
  <c r="D215" i="1"/>
  <c r="C215" i="1"/>
  <c r="N214" i="1"/>
  <c r="M214" i="1" s="1"/>
  <c r="L214" i="1"/>
  <c r="G214" i="1"/>
  <c r="S214" i="1" s="1"/>
  <c r="D214" i="1"/>
  <c r="C214" i="1"/>
  <c r="N213" i="1"/>
  <c r="M213" i="1" s="1"/>
  <c r="L213" i="1"/>
  <c r="G213" i="1"/>
  <c r="S213" i="1" s="1"/>
  <c r="D213" i="1"/>
  <c r="C213" i="1"/>
  <c r="N212" i="1"/>
  <c r="M212" i="1" s="1"/>
  <c r="L212" i="1"/>
  <c r="G212" i="1"/>
  <c r="S212" i="1" s="1"/>
  <c r="D212" i="1"/>
  <c r="C212" i="1"/>
  <c r="N211" i="1"/>
  <c r="M211" i="1" s="1"/>
  <c r="L211" i="1"/>
  <c r="Z211" i="1" s="1"/>
  <c r="G211" i="1"/>
  <c r="S211" i="1" s="1"/>
  <c r="D211" i="1"/>
  <c r="C211" i="1"/>
  <c r="N210" i="1"/>
  <c r="M210" i="1" s="1"/>
  <c r="L210" i="1"/>
  <c r="Z210" i="1" s="1"/>
  <c r="G210" i="1"/>
  <c r="S210" i="1" s="1"/>
  <c r="D210" i="1"/>
  <c r="C210" i="1"/>
  <c r="N209" i="1"/>
  <c r="M209" i="1" s="1"/>
  <c r="L209" i="1"/>
  <c r="G209" i="1"/>
  <c r="S209" i="1" s="1"/>
  <c r="D209" i="1"/>
  <c r="C209" i="1"/>
  <c r="N208" i="1"/>
  <c r="M208" i="1" s="1"/>
  <c r="L208" i="1"/>
  <c r="G208" i="1"/>
  <c r="S208" i="1" s="1"/>
  <c r="D208" i="1"/>
  <c r="C208" i="1"/>
  <c r="N207" i="1"/>
  <c r="L207" i="1"/>
  <c r="G207" i="1"/>
  <c r="S207" i="1" s="1"/>
  <c r="D207" i="1"/>
  <c r="C207" i="1"/>
  <c r="N206" i="1"/>
  <c r="M206" i="1" s="1"/>
  <c r="L206" i="1"/>
  <c r="G206" i="1"/>
  <c r="S206" i="1" s="1"/>
  <c r="D206" i="1"/>
  <c r="C206" i="1"/>
  <c r="N205" i="1"/>
  <c r="M205" i="1" s="1"/>
  <c r="L205" i="1"/>
  <c r="C205" i="1"/>
  <c r="N204" i="1"/>
  <c r="M204" i="1" s="1"/>
  <c r="L204" i="1"/>
  <c r="C204" i="1"/>
  <c r="N203" i="1"/>
  <c r="L203" i="1"/>
  <c r="F203" i="1"/>
  <c r="AB203" i="1" s="1"/>
  <c r="C203" i="1"/>
  <c r="N202" i="1"/>
  <c r="M202" i="1" s="1"/>
  <c r="L202" i="1"/>
  <c r="G202" i="1"/>
  <c r="S202" i="1" s="1"/>
  <c r="D202" i="1"/>
  <c r="C202" i="1"/>
  <c r="N201" i="1"/>
  <c r="M201" i="1" s="1"/>
  <c r="L201" i="1"/>
  <c r="C201" i="1"/>
  <c r="N200" i="1"/>
  <c r="M200" i="1" s="1"/>
  <c r="L200" i="1"/>
  <c r="C200" i="1"/>
  <c r="N199" i="1"/>
  <c r="M199" i="1" s="1"/>
  <c r="L199" i="1"/>
  <c r="F199" i="1"/>
  <c r="C199" i="1"/>
  <c r="N198" i="1"/>
  <c r="L198" i="1"/>
  <c r="G198" i="1"/>
  <c r="S198" i="1" s="1"/>
  <c r="D198" i="1"/>
  <c r="C198" i="1"/>
  <c r="N197" i="1"/>
  <c r="M197" i="1" s="1"/>
  <c r="L197" i="1"/>
  <c r="C197" i="1"/>
  <c r="N196" i="1"/>
  <c r="M196" i="1" s="1"/>
  <c r="L196" i="1"/>
  <c r="C196" i="1"/>
  <c r="N195" i="1"/>
  <c r="M195" i="1" s="1"/>
  <c r="L195" i="1"/>
  <c r="Z195" i="1" s="1"/>
  <c r="F195" i="1"/>
  <c r="C195" i="1"/>
  <c r="N194" i="1"/>
  <c r="M194" i="1" s="1"/>
  <c r="L194" i="1"/>
  <c r="G194" i="1"/>
  <c r="S194" i="1" s="1"/>
  <c r="D194" i="1"/>
  <c r="C194" i="1"/>
  <c r="N193" i="1"/>
  <c r="M193" i="1" s="1"/>
  <c r="L193" i="1"/>
  <c r="G193" i="1"/>
  <c r="S193" i="1" s="1"/>
  <c r="D193" i="1"/>
  <c r="C193" i="1"/>
  <c r="N192" i="1"/>
  <c r="M192" i="1" s="1"/>
  <c r="L192" i="1"/>
  <c r="G192" i="1"/>
  <c r="S192" i="1" s="1"/>
  <c r="D192" i="1"/>
  <c r="C192" i="1"/>
  <c r="N191" i="1"/>
  <c r="L191" i="1"/>
  <c r="G191" i="1"/>
  <c r="S191" i="1" s="1"/>
  <c r="D191" i="1"/>
  <c r="C191" i="1"/>
  <c r="N190" i="1"/>
  <c r="L190" i="1"/>
  <c r="Z190" i="1" s="1"/>
  <c r="G190" i="1"/>
  <c r="S190" i="1" s="1"/>
  <c r="D190" i="1"/>
  <c r="C190" i="1"/>
  <c r="N189" i="1"/>
  <c r="M189" i="1" s="1"/>
  <c r="L189" i="1"/>
  <c r="G189" i="1"/>
  <c r="S189" i="1" s="1"/>
  <c r="D189" i="1"/>
  <c r="C189" i="1"/>
  <c r="N188" i="1"/>
  <c r="M188" i="1" s="1"/>
  <c r="L188" i="1"/>
  <c r="G188" i="1"/>
  <c r="S188" i="1" s="1"/>
  <c r="D188" i="1"/>
  <c r="C188" i="1"/>
  <c r="N187" i="1"/>
  <c r="M187" i="1" s="1"/>
  <c r="L187" i="1"/>
  <c r="G187" i="1"/>
  <c r="S187" i="1" s="1"/>
  <c r="D187" i="1"/>
  <c r="C187" i="1"/>
  <c r="N186" i="1"/>
  <c r="M186" i="1" s="1"/>
  <c r="L186" i="1"/>
  <c r="G186" i="1"/>
  <c r="S186" i="1" s="1"/>
  <c r="D186" i="1"/>
  <c r="C186" i="1"/>
  <c r="N185" i="1"/>
  <c r="L185" i="1"/>
  <c r="G185" i="1"/>
  <c r="S185" i="1" s="1"/>
  <c r="D185" i="1"/>
  <c r="C185" i="1"/>
  <c r="N184" i="1"/>
  <c r="M184" i="1" s="1"/>
  <c r="L184" i="1"/>
  <c r="G184" i="1"/>
  <c r="S184" i="1" s="1"/>
  <c r="D184" i="1"/>
  <c r="C184" i="1"/>
  <c r="N183" i="1"/>
  <c r="M183" i="1" s="1"/>
  <c r="L183" i="1"/>
  <c r="Z183" i="1" s="1"/>
  <c r="G183" i="1"/>
  <c r="S183" i="1" s="1"/>
  <c r="D183" i="1"/>
  <c r="C183" i="1"/>
  <c r="N182" i="1"/>
  <c r="M182" i="1" s="1"/>
  <c r="L182" i="1"/>
  <c r="Z182" i="1" s="1"/>
  <c r="G182" i="1"/>
  <c r="S182" i="1" s="1"/>
  <c r="D182" i="1"/>
  <c r="C182" i="1"/>
  <c r="N181" i="1"/>
  <c r="M181" i="1" s="1"/>
  <c r="L181" i="1"/>
  <c r="C181" i="1"/>
  <c r="N180" i="1"/>
  <c r="M180" i="1" s="1"/>
  <c r="L180" i="1"/>
  <c r="C180" i="1"/>
  <c r="N179" i="1"/>
  <c r="M179" i="1" s="1"/>
  <c r="L179" i="1"/>
  <c r="F179" i="1"/>
  <c r="C179" i="1"/>
  <c r="N178" i="1"/>
  <c r="M178" i="1" s="1"/>
  <c r="L178" i="1"/>
  <c r="G178" i="1"/>
  <c r="S178" i="1" s="1"/>
  <c r="D178" i="1"/>
  <c r="C178" i="1"/>
  <c r="N177" i="1"/>
  <c r="M177" i="1" s="1"/>
  <c r="L177" i="1"/>
  <c r="C177" i="1"/>
  <c r="N176" i="1"/>
  <c r="M176" i="1" s="1"/>
  <c r="L176" i="1"/>
  <c r="C176" i="1"/>
  <c r="N175" i="1"/>
  <c r="M175" i="1" s="1"/>
  <c r="L175" i="1"/>
  <c r="F175" i="1"/>
  <c r="C175" i="1"/>
  <c r="N174" i="1"/>
  <c r="M174" i="1" s="1"/>
  <c r="L174" i="1"/>
  <c r="G174" i="1"/>
  <c r="S174" i="1" s="1"/>
  <c r="D174" i="1"/>
  <c r="C174" i="1"/>
  <c r="N173" i="1"/>
  <c r="M173" i="1" s="1"/>
  <c r="L173" i="1"/>
  <c r="C173" i="1"/>
  <c r="N172" i="1"/>
  <c r="M172" i="1" s="1"/>
  <c r="L172" i="1"/>
  <c r="Z172" i="1" s="1"/>
  <c r="C172" i="1"/>
  <c r="N171" i="1"/>
  <c r="M171" i="1" s="1"/>
  <c r="L171" i="1"/>
  <c r="F171" i="1"/>
  <c r="C171" i="1"/>
  <c r="N170" i="1"/>
  <c r="M170" i="1" s="1"/>
  <c r="L170" i="1"/>
  <c r="G170" i="1"/>
  <c r="S170" i="1" s="1"/>
  <c r="D170" i="1"/>
  <c r="C170" i="1"/>
  <c r="N169" i="1"/>
  <c r="M169" i="1" s="1"/>
  <c r="L169" i="1"/>
  <c r="G169" i="1"/>
  <c r="S169" i="1" s="1"/>
  <c r="D169" i="1"/>
  <c r="C169" i="1"/>
  <c r="N168" i="1"/>
  <c r="M168" i="1" s="1"/>
  <c r="L168" i="1"/>
  <c r="G168" i="1"/>
  <c r="S168" i="1" s="1"/>
  <c r="D168" i="1"/>
  <c r="C168" i="1"/>
  <c r="N167" i="1"/>
  <c r="M167" i="1" s="1"/>
  <c r="L167" i="1"/>
  <c r="G167" i="1"/>
  <c r="S167" i="1" s="1"/>
  <c r="D167" i="1"/>
  <c r="C167" i="1"/>
  <c r="N166" i="1"/>
  <c r="M166" i="1" s="1"/>
  <c r="L166" i="1"/>
  <c r="G166" i="1"/>
  <c r="S166" i="1" s="1"/>
  <c r="D166" i="1"/>
  <c r="C166" i="1"/>
  <c r="N165" i="1"/>
  <c r="M165" i="1" s="1"/>
  <c r="L165" i="1"/>
  <c r="G165" i="1"/>
  <c r="S165" i="1" s="1"/>
  <c r="D165" i="1"/>
  <c r="C165" i="1"/>
  <c r="N164" i="1"/>
  <c r="M164" i="1" s="1"/>
  <c r="L164" i="1"/>
  <c r="G164" i="1"/>
  <c r="S164" i="1" s="1"/>
  <c r="D164" i="1"/>
  <c r="C164" i="1"/>
  <c r="N163" i="1"/>
  <c r="M163" i="1" s="1"/>
  <c r="L163" i="1"/>
  <c r="G163" i="1"/>
  <c r="S163" i="1" s="1"/>
  <c r="D163" i="1"/>
  <c r="C163" i="1"/>
  <c r="N162" i="1"/>
  <c r="M162" i="1" s="1"/>
  <c r="L162" i="1"/>
  <c r="G162" i="1"/>
  <c r="S162" i="1" s="1"/>
  <c r="D162" i="1"/>
  <c r="C162" i="1"/>
  <c r="N161" i="1"/>
  <c r="M161" i="1" s="1"/>
  <c r="L161" i="1"/>
  <c r="G161" i="1"/>
  <c r="S161" i="1" s="1"/>
  <c r="D161" i="1"/>
  <c r="C161" i="1"/>
  <c r="N160" i="1"/>
  <c r="M160" i="1" s="1"/>
  <c r="L160" i="1"/>
  <c r="G160" i="1"/>
  <c r="S160" i="1" s="1"/>
  <c r="D160" i="1"/>
  <c r="C160" i="1"/>
  <c r="N159" i="1"/>
  <c r="M159" i="1" s="1"/>
  <c r="L159" i="1"/>
  <c r="G159" i="1"/>
  <c r="S159" i="1" s="1"/>
  <c r="D159" i="1"/>
  <c r="C159" i="1"/>
  <c r="N158" i="1"/>
  <c r="M158" i="1" s="1"/>
  <c r="L158" i="1"/>
  <c r="G158" i="1"/>
  <c r="S158" i="1" s="1"/>
  <c r="D158" i="1"/>
  <c r="C158" i="1"/>
  <c r="N157" i="1"/>
  <c r="M157" i="1" s="1"/>
  <c r="L157" i="1"/>
  <c r="C157" i="1"/>
  <c r="N156" i="1"/>
  <c r="M156" i="1" s="1"/>
  <c r="L156" i="1"/>
  <c r="C156" i="1"/>
  <c r="N155" i="1"/>
  <c r="M155" i="1" s="1"/>
  <c r="L155" i="1"/>
  <c r="F155" i="1"/>
  <c r="AB155" i="1" s="1"/>
  <c r="C155" i="1"/>
  <c r="N154" i="1"/>
  <c r="M154" i="1" s="1"/>
  <c r="L154" i="1"/>
  <c r="G154" i="1"/>
  <c r="S154" i="1" s="1"/>
  <c r="D154" i="1"/>
  <c r="C154" i="1"/>
  <c r="N153" i="1"/>
  <c r="M153" i="1" s="1"/>
  <c r="L153" i="1"/>
  <c r="C153" i="1"/>
  <c r="N152" i="1"/>
  <c r="M152" i="1" s="1"/>
  <c r="L152" i="1"/>
  <c r="C152" i="1"/>
  <c r="N151" i="1"/>
  <c r="M151" i="1" s="1"/>
  <c r="L151" i="1"/>
  <c r="Z151" i="1" s="1"/>
  <c r="F151" i="1"/>
  <c r="C151" i="1"/>
  <c r="N150" i="1"/>
  <c r="M150" i="1" s="1"/>
  <c r="L150" i="1"/>
  <c r="G150" i="1"/>
  <c r="S150" i="1" s="1"/>
  <c r="D150" i="1"/>
  <c r="C150" i="1"/>
  <c r="N149" i="1"/>
  <c r="M149" i="1" s="1"/>
  <c r="L149" i="1"/>
  <c r="C149" i="1"/>
  <c r="N148" i="1"/>
  <c r="M148" i="1" s="1"/>
  <c r="L148" i="1"/>
  <c r="C148" i="1"/>
  <c r="N147" i="1"/>
  <c r="M147" i="1" s="1"/>
  <c r="L147" i="1"/>
  <c r="F147" i="1"/>
  <c r="C147" i="1"/>
  <c r="N146" i="1"/>
  <c r="M146" i="1" s="1"/>
  <c r="L146" i="1"/>
  <c r="G146" i="1"/>
  <c r="S146" i="1" s="1"/>
  <c r="D146" i="1"/>
  <c r="C146" i="1"/>
  <c r="N145" i="1"/>
  <c r="M145" i="1" s="1"/>
  <c r="L145" i="1"/>
  <c r="G145" i="1"/>
  <c r="S145" i="1" s="1"/>
  <c r="D145" i="1"/>
  <c r="C145" i="1"/>
  <c r="N144" i="1"/>
  <c r="M144" i="1" s="1"/>
  <c r="L144" i="1"/>
  <c r="G144" i="1"/>
  <c r="S144" i="1" s="1"/>
  <c r="D144" i="1"/>
  <c r="C144" i="1"/>
  <c r="N143" i="1"/>
  <c r="M143" i="1" s="1"/>
  <c r="L143" i="1"/>
  <c r="G143" i="1"/>
  <c r="S143" i="1" s="1"/>
  <c r="D143" i="1"/>
  <c r="C143" i="1"/>
  <c r="N142" i="1"/>
  <c r="M142" i="1" s="1"/>
  <c r="L142" i="1"/>
  <c r="G142" i="1"/>
  <c r="S142" i="1" s="1"/>
  <c r="D142" i="1"/>
  <c r="C142" i="1"/>
  <c r="N141" i="1"/>
  <c r="M141" i="1" s="1"/>
  <c r="L141" i="1"/>
  <c r="G141" i="1"/>
  <c r="S141" i="1" s="1"/>
  <c r="D141" i="1"/>
  <c r="C141" i="1"/>
  <c r="N140" i="1"/>
  <c r="M140" i="1" s="1"/>
  <c r="L140" i="1"/>
  <c r="G140" i="1"/>
  <c r="S140" i="1" s="1"/>
  <c r="D140" i="1"/>
  <c r="C140" i="1"/>
  <c r="N139" i="1"/>
  <c r="M139" i="1" s="1"/>
  <c r="L139" i="1"/>
  <c r="G139" i="1"/>
  <c r="S139" i="1" s="1"/>
  <c r="D139" i="1"/>
  <c r="C139" i="1"/>
  <c r="N138" i="1"/>
  <c r="M138" i="1" s="1"/>
  <c r="L138" i="1"/>
  <c r="Z138" i="1" s="1"/>
  <c r="G138" i="1"/>
  <c r="S138" i="1" s="1"/>
  <c r="D138" i="1"/>
  <c r="C138" i="1"/>
  <c r="N137" i="1"/>
  <c r="M137" i="1" s="1"/>
  <c r="L137" i="1"/>
  <c r="Z137" i="1" s="1"/>
  <c r="G137" i="1"/>
  <c r="S137" i="1" s="1"/>
  <c r="D137" i="1"/>
  <c r="C137" i="1"/>
  <c r="N136" i="1"/>
  <c r="M136" i="1" s="1"/>
  <c r="L136" i="1"/>
  <c r="G136" i="1"/>
  <c r="S136" i="1" s="1"/>
  <c r="D136" i="1"/>
  <c r="C136" i="1"/>
  <c r="N135" i="1"/>
  <c r="M135" i="1" s="1"/>
  <c r="L135" i="1"/>
  <c r="G135" i="1"/>
  <c r="S135" i="1" s="1"/>
  <c r="D135" i="1"/>
  <c r="C135" i="1"/>
  <c r="N134" i="1"/>
  <c r="M134" i="1" s="1"/>
  <c r="L134" i="1"/>
  <c r="G134" i="1"/>
  <c r="S134" i="1" s="1"/>
  <c r="D134" i="1"/>
  <c r="C134" i="1"/>
  <c r="N133" i="1"/>
  <c r="M133" i="1" s="1"/>
  <c r="L133" i="1"/>
  <c r="C133" i="1"/>
  <c r="N132" i="1"/>
  <c r="M132" i="1" s="1"/>
  <c r="L132" i="1"/>
  <c r="C132" i="1"/>
  <c r="N131" i="1"/>
  <c r="M131" i="1" s="1"/>
  <c r="L131" i="1"/>
  <c r="F131" i="1"/>
  <c r="C131" i="1"/>
  <c r="N130" i="1"/>
  <c r="M130" i="1" s="1"/>
  <c r="L130" i="1"/>
  <c r="G130" i="1"/>
  <c r="S130" i="1" s="1"/>
  <c r="D130" i="1"/>
  <c r="C130" i="1"/>
  <c r="N129" i="1"/>
  <c r="M129" i="1" s="1"/>
  <c r="L129" i="1"/>
  <c r="C129" i="1"/>
  <c r="N128" i="1"/>
  <c r="M128" i="1" s="1"/>
  <c r="L128" i="1"/>
  <c r="C128" i="1"/>
  <c r="N127" i="1"/>
  <c r="M127" i="1" s="1"/>
  <c r="L127" i="1"/>
  <c r="F127" i="1"/>
  <c r="AB127" i="1" s="1"/>
  <c r="C127" i="1"/>
  <c r="N126" i="1"/>
  <c r="M126" i="1" s="1"/>
  <c r="L126" i="1"/>
  <c r="G126" i="1"/>
  <c r="S126" i="1" s="1"/>
  <c r="D126" i="1"/>
  <c r="C126" i="1"/>
  <c r="N125" i="1"/>
  <c r="M125" i="1" s="1"/>
  <c r="L125" i="1"/>
  <c r="C125" i="1"/>
  <c r="N124" i="1"/>
  <c r="M124" i="1" s="1"/>
  <c r="L124" i="1"/>
  <c r="C124" i="1"/>
  <c r="N123" i="1"/>
  <c r="M123" i="1" s="1"/>
  <c r="L123" i="1"/>
  <c r="F123" i="1"/>
  <c r="AB123" i="1" s="1"/>
  <c r="C123" i="1"/>
  <c r="N122" i="1"/>
  <c r="M122" i="1" s="1"/>
  <c r="L122" i="1"/>
  <c r="G122" i="1"/>
  <c r="S122" i="1" s="1"/>
  <c r="D122" i="1"/>
  <c r="C122" i="1"/>
  <c r="N121" i="1"/>
  <c r="M121" i="1" s="1"/>
  <c r="L121" i="1"/>
  <c r="G121" i="1"/>
  <c r="S121" i="1" s="1"/>
  <c r="D121" i="1"/>
  <c r="C121" i="1"/>
  <c r="N120" i="1"/>
  <c r="M120" i="1" s="1"/>
  <c r="L120" i="1"/>
  <c r="G120" i="1"/>
  <c r="S120" i="1" s="1"/>
  <c r="D120" i="1"/>
  <c r="C120" i="1"/>
  <c r="N119" i="1"/>
  <c r="M119" i="1" s="1"/>
  <c r="L119" i="1"/>
  <c r="G119" i="1"/>
  <c r="S119" i="1" s="1"/>
  <c r="D119" i="1"/>
  <c r="C119" i="1"/>
  <c r="N118" i="1"/>
  <c r="M118" i="1" s="1"/>
  <c r="L118" i="1"/>
  <c r="G118" i="1"/>
  <c r="S118" i="1" s="1"/>
  <c r="D118" i="1"/>
  <c r="C118" i="1"/>
  <c r="N117" i="1"/>
  <c r="L117" i="1"/>
  <c r="G117" i="1"/>
  <c r="S117" i="1" s="1"/>
  <c r="D117" i="1"/>
  <c r="C117" i="1"/>
  <c r="N116" i="1"/>
  <c r="M116" i="1" s="1"/>
  <c r="L116" i="1"/>
  <c r="G116" i="1"/>
  <c r="S116" i="1" s="1"/>
  <c r="D116" i="1"/>
  <c r="C116" i="1"/>
  <c r="N115" i="1"/>
  <c r="M115" i="1" s="1"/>
  <c r="L115" i="1"/>
  <c r="G115" i="1"/>
  <c r="S115" i="1" s="1"/>
  <c r="D115" i="1"/>
  <c r="C115" i="1"/>
  <c r="N114" i="1"/>
  <c r="M114" i="1" s="1"/>
  <c r="L114" i="1"/>
  <c r="G114" i="1"/>
  <c r="S114" i="1" s="1"/>
  <c r="D114" i="1"/>
  <c r="C114" i="1"/>
  <c r="N113" i="1"/>
  <c r="M113" i="1" s="1"/>
  <c r="L113" i="1"/>
  <c r="G113" i="1"/>
  <c r="S113" i="1" s="1"/>
  <c r="D113" i="1"/>
  <c r="C113" i="1"/>
  <c r="N112" i="1"/>
  <c r="L112" i="1"/>
  <c r="G112" i="1"/>
  <c r="S112" i="1" s="1"/>
  <c r="D112" i="1"/>
  <c r="C112" i="1"/>
  <c r="N111" i="1"/>
  <c r="M111" i="1" s="1"/>
  <c r="L111" i="1"/>
  <c r="G111" i="1"/>
  <c r="S111" i="1" s="1"/>
  <c r="D111" i="1"/>
  <c r="C111" i="1"/>
  <c r="N110" i="1"/>
  <c r="L110" i="1"/>
  <c r="G110" i="1"/>
  <c r="S110" i="1" s="1"/>
  <c r="D110" i="1"/>
  <c r="C110" i="1"/>
  <c r="N109" i="1"/>
  <c r="M109" i="1" s="1"/>
  <c r="L109" i="1"/>
  <c r="C109" i="1"/>
  <c r="N108" i="1"/>
  <c r="M108" i="1" s="1"/>
  <c r="L108" i="1"/>
  <c r="C108" i="1"/>
  <c r="N107" i="1"/>
  <c r="M107" i="1" s="1"/>
  <c r="L107" i="1"/>
  <c r="Z107" i="1" s="1"/>
  <c r="F107" i="1"/>
  <c r="AB107" i="1" s="1"/>
  <c r="C107" i="1"/>
  <c r="N106" i="1"/>
  <c r="M106" i="1" s="1"/>
  <c r="L106" i="1"/>
  <c r="G106" i="1"/>
  <c r="S106" i="1" s="1"/>
  <c r="D106" i="1"/>
  <c r="C106" i="1"/>
  <c r="N105" i="1"/>
  <c r="M105" i="1" s="1"/>
  <c r="L105" i="1"/>
  <c r="C105" i="1"/>
  <c r="N104" i="1"/>
  <c r="M104" i="1" s="1"/>
  <c r="L104" i="1"/>
  <c r="C104" i="1"/>
  <c r="N103" i="1"/>
  <c r="M103" i="1" s="1"/>
  <c r="L103" i="1"/>
  <c r="F103" i="1"/>
  <c r="AB103" i="1" s="1"/>
  <c r="C103" i="1"/>
  <c r="N102" i="1"/>
  <c r="M102" i="1" s="1"/>
  <c r="L102" i="1"/>
  <c r="Z102" i="1" s="1"/>
  <c r="G102" i="1"/>
  <c r="S102" i="1" s="1"/>
  <c r="D102" i="1"/>
  <c r="C102" i="1"/>
  <c r="N101" i="1"/>
  <c r="M101" i="1" s="1"/>
  <c r="L101" i="1"/>
  <c r="C101" i="1"/>
  <c r="N100" i="1"/>
  <c r="M100" i="1" s="1"/>
  <c r="L100" i="1"/>
  <c r="C100" i="1"/>
  <c r="N99" i="1"/>
  <c r="M99" i="1" s="1"/>
  <c r="L99" i="1"/>
  <c r="F99" i="1"/>
  <c r="C99" i="1"/>
  <c r="N98" i="1"/>
  <c r="M98" i="1" s="1"/>
  <c r="L98" i="1"/>
  <c r="G98" i="1"/>
  <c r="S98" i="1" s="1"/>
  <c r="D98" i="1"/>
  <c r="C98" i="1"/>
  <c r="N97" i="1"/>
  <c r="M97" i="1" s="1"/>
  <c r="L97" i="1"/>
  <c r="G97" i="1"/>
  <c r="S97" i="1" s="1"/>
  <c r="D97" i="1"/>
  <c r="C97" i="1"/>
  <c r="N96" i="1"/>
  <c r="M96" i="1" s="1"/>
  <c r="L96" i="1"/>
  <c r="G96" i="1"/>
  <c r="S96" i="1" s="1"/>
  <c r="D96" i="1"/>
  <c r="C96" i="1"/>
  <c r="N95" i="1"/>
  <c r="M95" i="1" s="1"/>
  <c r="L95" i="1"/>
  <c r="G95" i="1"/>
  <c r="S95" i="1" s="1"/>
  <c r="D95" i="1"/>
  <c r="C95" i="1"/>
  <c r="N94" i="1"/>
  <c r="M94" i="1" s="1"/>
  <c r="L94" i="1"/>
  <c r="G94" i="1"/>
  <c r="S94" i="1" s="1"/>
  <c r="D94" i="1"/>
  <c r="C94" i="1"/>
  <c r="N93" i="1"/>
  <c r="M93" i="1" s="1"/>
  <c r="L93" i="1"/>
  <c r="G93" i="1"/>
  <c r="S93" i="1" s="1"/>
  <c r="D93" i="1"/>
  <c r="C93" i="1"/>
  <c r="N92" i="1"/>
  <c r="M92" i="1" s="1"/>
  <c r="L92" i="1"/>
  <c r="G92" i="1"/>
  <c r="S92" i="1" s="1"/>
  <c r="D92" i="1"/>
  <c r="C92" i="1"/>
  <c r="N91" i="1"/>
  <c r="M91" i="1" s="1"/>
  <c r="L91" i="1"/>
  <c r="Z91" i="1" s="1"/>
  <c r="G91" i="1"/>
  <c r="S91" i="1" s="1"/>
  <c r="D91" i="1"/>
  <c r="C91" i="1"/>
  <c r="N90" i="1"/>
  <c r="L90" i="1"/>
  <c r="G90" i="1"/>
  <c r="S90" i="1" s="1"/>
  <c r="D90" i="1"/>
  <c r="C90" i="1"/>
  <c r="N89" i="1"/>
  <c r="M89" i="1" s="1"/>
  <c r="L89" i="1"/>
  <c r="G89" i="1"/>
  <c r="S89" i="1" s="1"/>
  <c r="D89" i="1"/>
  <c r="C89" i="1"/>
  <c r="N88" i="1"/>
  <c r="M88" i="1" s="1"/>
  <c r="L88" i="1"/>
  <c r="G88" i="1"/>
  <c r="S88" i="1" s="1"/>
  <c r="D88" i="1"/>
  <c r="C88" i="1"/>
  <c r="N87" i="1"/>
  <c r="M87" i="1" s="1"/>
  <c r="L87" i="1"/>
  <c r="G87" i="1"/>
  <c r="S87" i="1" s="1"/>
  <c r="D87" i="1"/>
  <c r="C87" i="1"/>
  <c r="N86" i="1"/>
  <c r="M86" i="1" s="1"/>
  <c r="L86" i="1"/>
  <c r="G86" i="1"/>
  <c r="S86" i="1" s="1"/>
  <c r="D86" i="1"/>
  <c r="C86" i="1"/>
  <c r="N85" i="1"/>
  <c r="M85" i="1" s="1"/>
  <c r="L85" i="1"/>
  <c r="C85" i="1"/>
  <c r="N84" i="1"/>
  <c r="M84" i="1" s="1"/>
  <c r="L84" i="1"/>
  <c r="C84" i="1"/>
  <c r="N83" i="1"/>
  <c r="M83" i="1" s="1"/>
  <c r="L83" i="1"/>
  <c r="F83" i="1"/>
  <c r="C83" i="1"/>
  <c r="N82" i="1"/>
  <c r="M82" i="1" s="1"/>
  <c r="L82" i="1"/>
  <c r="G82" i="1"/>
  <c r="S82" i="1" s="1"/>
  <c r="D82" i="1"/>
  <c r="C82" i="1"/>
  <c r="N81" i="1"/>
  <c r="M81" i="1" s="1"/>
  <c r="L81" i="1"/>
  <c r="C81" i="1"/>
  <c r="N80" i="1"/>
  <c r="M80" i="1" s="1"/>
  <c r="L80" i="1"/>
  <c r="Z80" i="1" s="1"/>
  <c r="C80" i="1"/>
  <c r="N79" i="1"/>
  <c r="M79" i="1" s="1"/>
  <c r="L79" i="1"/>
  <c r="F79" i="1"/>
  <c r="C79" i="1"/>
  <c r="N78" i="1"/>
  <c r="L78" i="1"/>
  <c r="G78" i="1"/>
  <c r="S78" i="1" s="1"/>
  <c r="D78" i="1"/>
  <c r="C78" i="1"/>
  <c r="N77" i="1"/>
  <c r="M77" i="1" s="1"/>
  <c r="L77" i="1"/>
  <c r="C77" i="1"/>
  <c r="N76" i="1"/>
  <c r="M76" i="1" s="1"/>
  <c r="L76" i="1"/>
  <c r="C76" i="1"/>
  <c r="N75" i="1"/>
  <c r="M75" i="1" s="1"/>
  <c r="L75" i="1"/>
  <c r="F75" i="1"/>
  <c r="C75" i="1"/>
  <c r="N74" i="1"/>
  <c r="M74" i="1" s="1"/>
  <c r="L74" i="1"/>
  <c r="G74" i="1"/>
  <c r="S74" i="1" s="1"/>
  <c r="D74" i="1"/>
  <c r="C74" i="1"/>
  <c r="N73" i="1"/>
  <c r="M73" i="1" s="1"/>
  <c r="L73" i="1"/>
  <c r="G73" i="1"/>
  <c r="S73" i="1" s="1"/>
  <c r="D73" i="1"/>
  <c r="C73" i="1"/>
  <c r="N72" i="1"/>
  <c r="M72" i="1" s="1"/>
  <c r="L72" i="1"/>
  <c r="G72" i="1"/>
  <c r="S72" i="1" s="1"/>
  <c r="D72" i="1"/>
  <c r="C72" i="1"/>
  <c r="N71" i="1"/>
  <c r="M71" i="1" s="1"/>
  <c r="L71" i="1"/>
  <c r="G71" i="1"/>
  <c r="S71" i="1" s="1"/>
  <c r="D71" i="1"/>
  <c r="C71" i="1"/>
  <c r="N70" i="1"/>
  <c r="M70" i="1" s="1"/>
  <c r="L70" i="1"/>
  <c r="G70" i="1"/>
  <c r="S70" i="1" s="1"/>
  <c r="D70" i="1"/>
  <c r="C70" i="1"/>
  <c r="N69" i="1"/>
  <c r="L69" i="1"/>
  <c r="G69" i="1"/>
  <c r="S69" i="1" s="1"/>
  <c r="D69" i="1"/>
  <c r="C69" i="1"/>
  <c r="N68" i="1"/>
  <c r="M68" i="1" s="1"/>
  <c r="L68" i="1"/>
  <c r="G68" i="1"/>
  <c r="S68" i="1" s="1"/>
  <c r="D68" i="1"/>
  <c r="C68" i="1"/>
  <c r="N67" i="1"/>
  <c r="M67" i="1" s="1"/>
  <c r="L67" i="1"/>
  <c r="G67" i="1"/>
  <c r="S67" i="1" s="1"/>
  <c r="D67" i="1"/>
  <c r="C67" i="1"/>
  <c r="N66" i="1"/>
  <c r="M66" i="1" s="1"/>
  <c r="L66" i="1"/>
  <c r="G66" i="1"/>
  <c r="S66" i="1" s="1"/>
  <c r="D66" i="1"/>
  <c r="C66" i="1"/>
  <c r="N65" i="1"/>
  <c r="M65" i="1" s="1"/>
  <c r="L65" i="1"/>
  <c r="G65" i="1"/>
  <c r="S65" i="1" s="1"/>
  <c r="D65" i="1"/>
  <c r="C65" i="1"/>
  <c r="N64" i="1"/>
  <c r="M64" i="1" s="1"/>
  <c r="L64" i="1"/>
  <c r="G64" i="1"/>
  <c r="S64" i="1" s="1"/>
  <c r="D64" i="1"/>
  <c r="C64" i="1"/>
  <c r="N63" i="1"/>
  <c r="M63" i="1" s="1"/>
  <c r="L63" i="1"/>
  <c r="G63" i="1"/>
  <c r="S63" i="1" s="1"/>
  <c r="D63" i="1"/>
  <c r="C63" i="1"/>
  <c r="N62" i="1"/>
  <c r="M62" i="1" s="1"/>
  <c r="L62" i="1"/>
  <c r="G62" i="1"/>
  <c r="S62" i="1" s="1"/>
  <c r="D62" i="1"/>
  <c r="C62" i="1"/>
  <c r="N61" i="1"/>
  <c r="M61" i="1" s="1"/>
  <c r="L61" i="1"/>
  <c r="C61" i="1"/>
  <c r="N60" i="1"/>
  <c r="M60" i="1" s="1"/>
  <c r="L60" i="1"/>
  <c r="C60" i="1"/>
  <c r="N59" i="1"/>
  <c r="M59" i="1" s="1"/>
  <c r="L59" i="1"/>
  <c r="F59" i="1"/>
  <c r="C59" i="1"/>
  <c r="N58" i="1"/>
  <c r="M58" i="1" s="1"/>
  <c r="L58" i="1"/>
  <c r="G58" i="1"/>
  <c r="S58" i="1" s="1"/>
  <c r="D58" i="1"/>
  <c r="C58" i="1"/>
  <c r="N57" i="1"/>
  <c r="M57" i="1" s="1"/>
  <c r="L57" i="1"/>
  <c r="C57" i="1"/>
  <c r="N56" i="1"/>
  <c r="M56" i="1" s="1"/>
  <c r="L56" i="1"/>
  <c r="C56" i="1"/>
  <c r="N55" i="1"/>
  <c r="M55" i="1" s="1"/>
  <c r="L55" i="1"/>
  <c r="F55" i="1"/>
  <c r="AB55" i="1" s="1"/>
  <c r="C55" i="1"/>
  <c r="N54" i="1"/>
  <c r="M54" i="1" s="1"/>
  <c r="L54" i="1"/>
  <c r="G54" i="1"/>
  <c r="S54" i="1" s="1"/>
  <c r="D54" i="1"/>
  <c r="C54" i="1"/>
  <c r="N53" i="1"/>
  <c r="M53" i="1" s="1"/>
  <c r="L53" i="1"/>
  <c r="C53" i="1"/>
  <c r="N52" i="1"/>
  <c r="M52" i="1" s="1"/>
  <c r="L52" i="1"/>
  <c r="Z52" i="1" s="1"/>
  <c r="C52" i="1"/>
  <c r="N51" i="1"/>
  <c r="M51" i="1" s="1"/>
  <c r="L51" i="1"/>
  <c r="Z51" i="1" s="1"/>
  <c r="F51" i="1"/>
  <c r="C51" i="1"/>
  <c r="N50" i="1"/>
  <c r="L50" i="1"/>
  <c r="G50" i="1"/>
  <c r="S50" i="1" s="1"/>
  <c r="D50" i="1"/>
  <c r="C50" i="1"/>
  <c r="N49" i="1"/>
  <c r="M49" i="1" s="1"/>
  <c r="L49" i="1"/>
  <c r="G49" i="1"/>
  <c r="S49" i="1" s="1"/>
  <c r="D49" i="1"/>
  <c r="C49" i="1"/>
  <c r="N48" i="1"/>
  <c r="M48" i="1" s="1"/>
  <c r="L48" i="1"/>
  <c r="G48" i="1"/>
  <c r="S48" i="1" s="1"/>
  <c r="D48" i="1"/>
  <c r="C48" i="1"/>
  <c r="N47" i="1"/>
  <c r="M47" i="1" s="1"/>
  <c r="L47" i="1"/>
  <c r="Z47" i="1" s="1"/>
  <c r="G47" i="1"/>
  <c r="S47" i="1" s="1"/>
  <c r="D47" i="1"/>
  <c r="C47" i="1"/>
  <c r="N46" i="1"/>
  <c r="M46" i="1" s="1"/>
  <c r="L46" i="1"/>
  <c r="G46" i="1"/>
  <c r="S46" i="1" s="1"/>
  <c r="D46" i="1"/>
  <c r="C46" i="1"/>
  <c r="N45" i="1"/>
  <c r="M45" i="1" s="1"/>
  <c r="L45" i="1"/>
  <c r="G45" i="1"/>
  <c r="S45" i="1" s="1"/>
  <c r="D45" i="1"/>
  <c r="C45" i="1"/>
  <c r="N44" i="1"/>
  <c r="M44" i="1" s="1"/>
  <c r="L44" i="1"/>
  <c r="G44" i="1"/>
  <c r="S44" i="1" s="1"/>
  <c r="D44" i="1"/>
  <c r="C44" i="1"/>
  <c r="N43" i="1"/>
  <c r="M43" i="1" s="1"/>
  <c r="L43" i="1"/>
  <c r="G43" i="1"/>
  <c r="S43" i="1" s="1"/>
  <c r="D43" i="1"/>
  <c r="C43" i="1"/>
  <c r="N42" i="1"/>
  <c r="L42" i="1"/>
  <c r="G42" i="1"/>
  <c r="S42" i="1" s="1"/>
  <c r="D42" i="1"/>
  <c r="C42" i="1"/>
  <c r="N41" i="1"/>
  <c r="M41" i="1" s="1"/>
  <c r="L41" i="1"/>
  <c r="G41" i="1"/>
  <c r="S41" i="1" s="1"/>
  <c r="D41" i="1"/>
  <c r="C41" i="1"/>
  <c r="N40" i="1"/>
  <c r="M40" i="1" s="1"/>
  <c r="L40" i="1"/>
  <c r="G40" i="1"/>
  <c r="S40" i="1" s="1"/>
  <c r="D40" i="1"/>
  <c r="C40" i="1"/>
  <c r="N39" i="1"/>
  <c r="M39" i="1" s="1"/>
  <c r="L39" i="1"/>
  <c r="G39" i="1"/>
  <c r="S39" i="1" s="1"/>
  <c r="D39" i="1"/>
  <c r="C39" i="1"/>
  <c r="N38" i="1"/>
  <c r="M38" i="1" s="1"/>
  <c r="L38" i="1"/>
  <c r="Z38" i="1" s="1"/>
  <c r="G38" i="1"/>
  <c r="S38" i="1" s="1"/>
  <c r="D38" i="1"/>
  <c r="C38" i="1"/>
  <c r="N37" i="1"/>
  <c r="M37" i="1" s="1"/>
  <c r="L37" i="1"/>
  <c r="C37" i="1"/>
  <c r="N36" i="1"/>
  <c r="M36" i="1" s="1"/>
  <c r="L36" i="1"/>
  <c r="Z36" i="1" s="1"/>
  <c r="C36" i="1"/>
  <c r="N35" i="1"/>
  <c r="M35" i="1" s="1"/>
  <c r="L35" i="1"/>
  <c r="Z35" i="1" s="1"/>
  <c r="F35" i="1"/>
  <c r="C35" i="1"/>
  <c r="N34" i="1"/>
  <c r="M34" i="1" s="1"/>
  <c r="L34" i="1"/>
  <c r="G34" i="1"/>
  <c r="S34" i="1" s="1"/>
  <c r="D34" i="1"/>
  <c r="C34" i="1"/>
  <c r="N33" i="1"/>
  <c r="M33" i="1" s="1"/>
  <c r="L33" i="1"/>
  <c r="C33" i="1"/>
  <c r="N32" i="1"/>
  <c r="M32" i="1" s="1"/>
  <c r="L32" i="1"/>
  <c r="C32" i="1"/>
  <c r="N31" i="1"/>
  <c r="M31" i="1" s="1"/>
  <c r="L31" i="1"/>
  <c r="F31" i="1"/>
  <c r="C31" i="1"/>
  <c r="N30" i="1"/>
  <c r="M30" i="1" s="1"/>
  <c r="L30" i="1"/>
  <c r="G30" i="1"/>
  <c r="S30" i="1" s="1"/>
  <c r="D30" i="1"/>
  <c r="C30" i="1"/>
  <c r="N29" i="1"/>
  <c r="M29" i="1" s="1"/>
  <c r="L29" i="1"/>
  <c r="C29" i="1"/>
  <c r="N28" i="1"/>
  <c r="M28" i="1" s="1"/>
  <c r="L28" i="1"/>
  <c r="C28" i="1"/>
  <c r="N27" i="1"/>
  <c r="M27" i="1" s="1"/>
  <c r="L27" i="1"/>
  <c r="F27" i="1"/>
  <c r="AB27" i="1" s="1"/>
  <c r="C27" i="1"/>
  <c r="N26" i="1"/>
  <c r="M26" i="1" s="1"/>
  <c r="L26" i="1"/>
  <c r="G26" i="1"/>
  <c r="S26" i="1" s="1"/>
  <c r="D26" i="1"/>
  <c r="C26" i="1"/>
  <c r="N25" i="1"/>
  <c r="M25" i="1" s="1"/>
  <c r="L25" i="1"/>
  <c r="G25" i="1"/>
  <c r="S25" i="1" s="1"/>
  <c r="D25" i="1"/>
  <c r="C25" i="1"/>
  <c r="N24" i="1"/>
  <c r="M24" i="1" s="1"/>
  <c r="L24" i="1"/>
  <c r="G24" i="1"/>
  <c r="S24" i="1" s="1"/>
  <c r="D24" i="1"/>
  <c r="C24" i="1"/>
  <c r="N23" i="1"/>
  <c r="L23" i="1"/>
  <c r="G23" i="1"/>
  <c r="S23" i="1" s="1"/>
  <c r="D23" i="1"/>
  <c r="C23" i="1"/>
  <c r="N22" i="1"/>
  <c r="M22" i="1" s="1"/>
  <c r="L22" i="1"/>
  <c r="G22" i="1"/>
  <c r="S22" i="1" s="1"/>
  <c r="D22" i="1"/>
  <c r="C22" i="1"/>
  <c r="N21" i="1"/>
  <c r="M21" i="1" s="1"/>
  <c r="L21" i="1"/>
  <c r="G21" i="1"/>
  <c r="S21" i="1" s="1"/>
  <c r="D21" i="1"/>
  <c r="C21" i="1"/>
  <c r="N20" i="1"/>
  <c r="M20" i="1" s="1"/>
  <c r="L20" i="1"/>
  <c r="G20" i="1"/>
  <c r="S20" i="1" s="1"/>
  <c r="D20" i="1"/>
  <c r="C20" i="1"/>
  <c r="N19" i="1"/>
  <c r="M19" i="1" s="1"/>
  <c r="L19" i="1"/>
  <c r="G19" i="1"/>
  <c r="S19" i="1" s="1"/>
  <c r="D19" i="1"/>
  <c r="C19" i="1"/>
  <c r="N18" i="1"/>
  <c r="M18" i="1" s="1"/>
  <c r="L18" i="1"/>
  <c r="Z18" i="1" s="1"/>
  <c r="G18" i="1"/>
  <c r="S18" i="1" s="1"/>
  <c r="D18" i="1"/>
  <c r="C18" i="1"/>
  <c r="N17" i="1"/>
  <c r="M17" i="1" s="1"/>
  <c r="L17" i="1"/>
  <c r="G17" i="1"/>
  <c r="S17" i="1" s="1"/>
  <c r="D17" i="1"/>
  <c r="C17" i="1"/>
  <c r="N16" i="1"/>
  <c r="M16" i="1" s="1"/>
  <c r="L16" i="1"/>
  <c r="G16" i="1"/>
  <c r="S16" i="1" s="1"/>
  <c r="D16" i="1"/>
  <c r="C16" i="1"/>
  <c r="N15" i="1"/>
  <c r="M15" i="1" s="1"/>
  <c r="L15" i="1"/>
  <c r="G15" i="1"/>
  <c r="S15" i="1" s="1"/>
  <c r="D15" i="1"/>
  <c r="C15" i="1"/>
  <c r="N14" i="1"/>
  <c r="M14" i="1" s="1"/>
  <c r="L14" i="1"/>
  <c r="G14" i="1"/>
  <c r="S14" i="1" s="1"/>
  <c r="D14" i="1"/>
  <c r="C14" i="1"/>
  <c r="N13" i="1"/>
  <c r="M13" i="1" s="1"/>
  <c r="L13" i="1"/>
  <c r="C13" i="1"/>
  <c r="N12" i="1"/>
  <c r="M12" i="1" s="1"/>
  <c r="L12" i="1"/>
  <c r="C12" i="1"/>
  <c r="N11" i="1"/>
  <c r="M11" i="1" s="1"/>
  <c r="L11" i="1"/>
  <c r="F11" i="1"/>
  <c r="C11" i="1"/>
  <c r="N10" i="1"/>
  <c r="M10" i="1" s="1"/>
  <c r="L10" i="1"/>
  <c r="G10" i="1"/>
  <c r="S10" i="1" s="1"/>
  <c r="D10" i="1"/>
  <c r="C10" i="1"/>
  <c r="N9" i="1"/>
  <c r="M9" i="1" s="1"/>
  <c r="L9" i="1"/>
  <c r="C9" i="1"/>
  <c r="N8" i="1"/>
  <c r="M8" i="1" s="1"/>
  <c r="L8" i="1"/>
  <c r="C8" i="1"/>
  <c r="N7" i="1"/>
  <c r="M7" i="1" s="1"/>
  <c r="L7" i="1"/>
  <c r="Z7" i="1" s="1"/>
  <c r="F7" i="1"/>
  <c r="C7" i="1"/>
  <c r="N6" i="1"/>
  <c r="M6" i="1" s="1"/>
  <c r="L6" i="1"/>
  <c r="G6" i="1"/>
  <c r="S6" i="1" s="1"/>
  <c r="D6" i="1"/>
  <c r="C6" i="1"/>
  <c r="N5" i="1"/>
  <c r="M5" i="1" s="1"/>
  <c r="L5" i="1"/>
  <c r="C5" i="1"/>
  <c r="N4" i="1"/>
  <c r="M4" i="1" s="1"/>
  <c r="L4" i="1"/>
  <c r="C4" i="1"/>
  <c r="N3" i="1"/>
  <c r="M3" i="1" s="1"/>
  <c r="L3" i="1"/>
  <c r="F3" i="1"/>
  <c r="C3" i="1"/>
  <c r="N2" i="1"/>
  <c r="M2" i="1" s="1"/>
  <c r="L2" i="1"/>
  <c r="G2" i="1"/>
  <c r="S2" i="1" s="1"/>
  <c r="D2" i="1"/>
  <c r="C2" i="1"/>
  <c r="B16" i="6" l="1"/>
  <c r="B17" i="6"/>
  <c r="A44" i="2" a="1"/>
  <c r="A44" i="2" s="1"/>
  <c r="F176" i="1"/>
  <c r="AB175" i="1"/>
  <c r="F8" i="1"/>
  <c r="AB7" i="1"/>
  <c r="F36" i="1"/>
  <c r="AB36" i="1" s="1"/>
  <c r="AB35" i="1"/>
  <c r="F172" i="1"/>
  <c r="AB171" i="1"/>
  <c r="F200" i="1"/>
  <c r="AB200" i="1" s="1"/>
  <c r="AB199" i="1"/>
  <c r="G147" i="1"/>
  <c r="S147" i="1" s="1"/>
  <c r="AB147" i="1"/>
  <c r="D3" i="1"/>
  <c r="AB3" i="1"/>
  <c r="F196" i="1"/>
  <c r="AB196" i="1" s="1"/>
  <c r="AB195" i="1"/>
  <c r="D223" i="1"/>
  <c r="AB223" i="1"/>
  <c r="D31" i="1"/>
  <c r="AB31" i="1"/>
  <c r="D83" i="1"/>
  <c r="AB83" i="1"/>
  <c r="Z217" i="1"/>
  <c r="D219" i="1"/>
  <c r="AB219" i="1"/>
  <c r="Z223" i="1"/>
  <c r="F12" i="1"/>
  <c r="AB12" i="1" s="1"/>
  <c r="AB11" i="1"/>
  <c r="F52" i="1"/>
  <c r="AB52" i="1" s="1"/>
  <c r="AB51" i="1"/>
  <c r="G79" i="1"/>
  <c r="S79" i="1" s="1"/>
  <c r="AB79" i="1"/>
  <c r="D75" i="1"/>
  <c r="AB75" i="1"/>
  <c r="G131" i="1"/>
  <c r="S131" i="1" s="1"/>
  <c r="AB131" i="1"/>
  <c r="G59" i="1"/>
  <c r="S59" i="1" s="1"/>
  <c r="AB59" i="1"/>
  <c r="Z89" i="1"/>
  <c r="Z97" i="1"/>
  <c r="D99" i="1"/>
  <c r="AB99" i="1"/>
  <c r="F152" i="1"/>
  <c r="AB151" i="1"/>
  <c r="D179" i="1"/>
  <c r="AB179" i="1"/>
  <c r="Z130" i="1"/>
  <c r="Z27" i="1"/>
  <c r="Z55" i="1"/>
  <c r="Z68" i="1"/>
  <c r="Z77" i="1"/>
  <c r="Z83" i="1"/>
  <c r="Z103" i="1"/>
  <c r="Z116" i="1"/>
  <c r="Z125" i="1"/>
  <c r="Z135" i="1"/>
  <c r="Z143" i="1"/>
  <c r="Z208" i="1"/>
  <c r="Z216" i="1"/>
  <c r="Z235" i="1"/>
  <c r="Q37" i="1"/>
  <c r="Z37" i="1"/>
  <c r="Q64" i="1"/>
  <c r="Z64" i="1"/>
  <c r="Q108" i="1"/>
  <c r="Z108" i="1"/>
  <c r="Q173" i="1"/>
  <c r="Z173" i="1"/>
  <c r="Q179" i="1"/>
  <c r="Z179" i="1"/>
  <c r="K191" i="1"/>
  <c r="Z191" i="1"/>
  <c r="Q201" i="1"/>
  <c r="Z201" i="1"/>
  <c r="Q218" i="1"/>
  <c r="Z218" i="1"/>
  <c r="Q229" i="1"/>
  <c r="Z229" i="1"/>
  <c r="O237" i="1"/>
  <c r="P237" i="1" s="1"/>
  <c r="Z237" i="1"/>
  <c r="Q5" i="1"/>
  <c r="Z5" i="1"/>
  <c r="Z11" i="1"/>
  <c r="Q15" i="1"/>
  <c r="Z15" i="1"/>
  <c r="K23" i="1"/>
  <c r="Z23" i="1"/>
  <c r="Q33" i="1"/>
  <c r="Z33" i="1"/>
  <c r="O42" i="1"/>
  <c r="P42" i="1" s="1"/>
  <c r="Z42" i="1"/>
  <c r="Z50" i="1"/>
  <c r="Q61" i="1"/>
  <c r="Z61" i="1"/>
  <c r="Q69" i="1"/>
  <c r="Z69" i="1"/>
  <c r="Q76" i="1"/>
  <c r="Z76" i="1"/>
  <c r="K78" i="1"/>
  <c r="Z78" i="1"/>
  <c r="K88" i="1"/>
  <c r="Z88" i="1"/>
  <c r="Q96" i="1"/>
  <c r="Z96" i="1"/>
  <c r="Z104" i="1"/>
  <c r="K106" i="1"/>
  <c r="Z106" i="1"/>
  <c r="K115" i="1"/>
  <c r="Z115" i="1"/>
  <c r="Q132" i="1"/>
  <c r="Z132" i="1"/>
  <c r="O134" i="1"/>
  <c r="P134" i="1" s="1"/>
  <c r="Z134" i="1"/>
  <c r="Z142" i="1"/>
  <c r="Q147" i="1"/>
  <c r="Z147" i="1"/>
  <c r="Z161" i="1"/>
  <c r="K169" i="1"/>
  <c r="Z169" i="1"/>
  <c r="Z175" i="1"/>
  <c r="Z188" i="1"/>
  <c r="Q197" i="1"/>
  <c r="Z197" i="1"/>
  <c r="Q203" i="1"/>
  <c r="Z203" i="1"/>
  <c r="K207" i="1"/>
  <c r="Z207" i="1"/>
  <c r="K215" i="1"/>
  <c r="Z215" i="1"/>
  <c r="Q225" i="1"/>
  <c r="Z225" i="1"/>
  <c r="K234" i="1"/>
  <c r="Z234" i="1"/>
  <c r="Q9" i="1"/>
  <c r="Z9" i="1"/>
  <c r="O118" i="1"/>
  <c r="P118" i="1" s="1"/>
  <c r="Z118" i="1"/>
  <c r="O145" i="1"/>
  <c r="P145" i="1" s="1"/>
  <c r="Z145" i="1"/>
  <c r="Q57" i="1"/>
  <c r="Z57" i="1"/>
  <c r="K74" i="1"/>
  <c r="Z74" i="1"/>
  <c r="O139" i="1"/>
  <c r="P139" i="1" s="1"/>
  <c r="Z139" i="1"/>
  <c r="Q156" i="1"/>
  <c r="Z156" i="1"/>
  <c r="K158" i="1"/>
  <c r="Z158" i="1"/>
  <c r="K166" i="1"/>
  <c r="Z166" i="1"/>
  <c r="Q171" i="1"/>
  <c r="Z171" i="1"/>
  <c r="K185" i="1"/>
  <c r="Z185" i="1"/>
  <c r="Q193" i="1"/>
  <c r="Z193" i="1"/>
  <c r="Q199" i="1"/>
  <c r="Z199" i="1"/>
  <c r="O212" i="1"/>
  <c r="P212" i="1" s="1"/>
  <c r="Z212" i="1"/>
  <c r="Q221" i="1"/>
  <c r="Z221" i="1"/>
  <c r="Q227" i="1"/>
  <c r="Z227" i="1"/>
  <c r="K231" i="1"/>
  <c r="Z231" i="1"/>
  <c r="Q3" i="1"/>
  <c r="Z3" i="1"/>
  <c r="Z17" i="1"/>
  <c r="Z25" i="1"/>
  <c r="Z31" i="1"/>
  <c r="O44" i="1"/>
  <c r="P44" i="1" s="1"/>
  <c r="Z44" i="1"/>
  <c r="Q53" i="1"/>
  <c r="Z53" i="1"/>
  <c r="Z59" i="1"/>
  <c r="Z63" i="1"/>
  <c r="Z71" i="1"/>
  <c r="Q81" i="1"/>
  <c r="Z81" i="1"/>
  <c r="K90" i="1"/>
  <c r="Z90" i="1"/>
  <c r="K98" i="1"/>
  <c r="Z98" i="1"/>
  <c r="Q109" i="1"/>
  <c r="Z109" i="1"/>
  <c r="K117" i="1"/>
  <c r="Z117" i="1"/>
  <c r="Z124" i="1"/>
  <c r="K126" i="1"/>
  <c r="Z126" i="1"/>
  <c r="Z136" i="1"/>
  <c r="K144" i="1"/>
  <c r="Z144" i="1"/>
  <c r="Q152" i="1"/>
  <c r="Z152" i="1"/>
  <c r="Z154" i="1"/>
  <c r="Z163" i="1"/>
  <c r="Q180" i="1"/>
  <c r="Z180" i="1"/>
  <c r="K209" i="1"/>
  <c r="Z209" i="1"/>
  <c r="Q236" i="1"/>
  <c r="Z236" i="1"/>
  <c r="O26" i="1"/>
  <c r="P26" i="1" s="1"/>
  <c r="Z26" i="1"/>
  <c r="K45" i="1"/>
  <c r="Z45" i="1"/>
  <c r="K72" i="1"/>
  <c r="Z72" i="1"/>
  <c r="Q100" i="1"/>
  <c r="Z100" i="1"/>
  <c r="Q176" i="1"/>
  <c r="Z176" i="1"/>
  <c r="O178" i="1"/>
  <c r="P178" i="1" s="1"/>
  <c r="Z178" i="1"/>
  <c r="O187" i="1"/>
  <c r="P187" i="1" s="1"/>
  <c r="Z187" i="1"/>
  <c r="Q204" i="1"/>
  <c r="Z204" i="1"/>
  <c r="O206" i="1"/>
  <c r="P206" i="1" s="1"/>
  <c r="Z206" i="1"/>
  <c r="K214" i="1"/>
  <c r="Z214" i="1"/>
  <c r="Z219" i="1"/>
  <c r="K233" i="1"/>
  <c r="Z233" i="1"/>
  <c r="K241" i="1"/>
  <c r="Z241" i="1"/>
  <c r="Q123" i="1"/>
  <c r="Z123" i="1"/>
  <c r="K66" i="1"/>
  <c r="Z66" i="1"/>
  <c r="Q85" i="1"/>
  <c r="Z85" i="1"/>
  <c r="Q14" i="1"/>
  <c r="Z14" i="1"/>
  <c r="K41" i="1"/>
  <c r="Z41" i="1"/>
  <c r="K49" i="1"/>
  <c r="Z49" i="1"/>
  <c r="O95" i="1"/>
  <c r="P95" i="1" s="1"/>
  <c r="Z95" i="1"/>
  <c r="K122" i="1"/>
  <c r="Z122" i="1"/>
  <c r="O141" i="1"/>
  <c r="P141" i="1" s="1"/>
  <c r="Z141" i="1"/>
  <c r="Q148" i="1"/>
  <c r="Z148" i="1"/>
  <c r="K150" i="1"/>
  <c r="Z150" i="1"/>
  <c r="K19" i="1"/>
  <c r="Z19" i="1"/>
  <c r="K46" i="1"/>
  <c r="Z46" i="1"/>
  <c r="K65" i="1"/>
  <c r="Z65" i="1"/>
  <c r="K73" i="1"/>
  <c r="Z73" i="1"/>
  <c r="Q79" i="1"/>
  <c r="Z79" i="1"/>
  <c r="O92" i="1"/>
  <c r="P92" i="1" s="1"/>
  <c r="Z92" i="1"/>
  <c r="Q101" i="1"/>
  <c r="Z101" i="1"/>
  <c r="K111" i="1"/>
  <c r="Z111" i="1"/>
  <c r="O119" i="1"/>
  <c r="P119" i="1" s="1"/>
  <c r="Z119" i="1"/>
  <c r="Q129" i="1"/>
  <c r="Z129" i="1"/>
  <c r="K146" i="1"/>
  <c r="Z146" i="1"/>
  <c r="Q157" i="1"/>
  <c r="Z157" i="1"/>
  <c r="K165" i="1"/>
  <c r="Z165" i="1"/>
  <c r="K174" i="1"/>
  <c r="Z174" i="1"/>
  <c r="K184" i="1"/>
  <c r="Z184" i="1"/>
  <c r="K192" i="1"/>
  <c r="Z192" i="1"/>
  <c r="Q200" i="1"/>
  <c r="Z200" i="1"/>
  <c r="K202" i="1"/>
  <c r="Z202" i="1"/>
  <c r="Q228" i="1"/>
  <c r="Z228" i="1"/>
  <c r="O110" i="1"/>
  <c r="P110" i="1" s="1"/>
  <c r="Z110" i="1"/>
  <c r="O164" i="1"/>
  <c r="P164" i="1" s="1"/>
  <c r="Z164" i="1"/>
  <c r="K20" i="1"/>
  <c r="Z20" i="1"/>
  <c r="Q39" i="1"/>
  <c r="Z39" i="1"/>
  <c r="K112" i="1"/>
  <c r="Z112" i="1"/>
  <c r="Q12" i="1"/>
  <c r="Z12" i="1"/>
  <c r="K22" i="1"/>
  <c r="Z22" i="1"/>
  <c r="Q87" i="1"/>
  <c r="Z87" i="1"/>
  <c r="Q105" i="1"/>
  <c r="Z105" i="1"/>
  <c r="O114" i="1"/>
  <c r="P114" i="1" s="1"/>
  <c r="Z114" i="1"/>
  <c r="Q133" i="1"/>
  <c r="Z133" i="1"/>
  <c r="K160" i="1"/>
  <c r="Z160" i="1"/>
  <c r="K168" i="1"/>
  <c r="Z168" i="1"/>
  <c r="Q8" i="1"/>
  <c r="Z8" i="1"/>
  <c r="Q10" i="1"/>
  <c r="Z10" i="1"/>
  <c r="Q4" i="1"/>
  <c r="Z4" i="1"/>
  <c r="O6" i="1"/>
  <c r="P6" i="1" s="1"/>
  <c r="Z6" i="1"/>
  <c r="O16" i="1"/>
  <c r="P16" i="1" s="1"/>
  <c r="Z16" i="1"/>
  <c r="Z24" i="1"/>
  <c r="Q32" i="1"/>
  <c r="Z32" i="1"/>
  <c r="O34" i="1"/>
  <c r="P34" i="1" s="1"/>
  <c r="Z34" i="1"/>
  <c r="Z43" i="1"/>
  <c r="Q60" i="1"/>
  <c r="Z60" i="1"/>
  <c r="O62" i="1"/>
  <c r="P62" i="1" s="1"/>
  <c r="Z62" i="1"/>
  <c r="K70" i="1"/>
  <c r="Z70" i="1"/>
  <c r="Q75" i="1"/>
  <c r="Z75" i="1"/>
  <c r="Q131" i="1"/>
  <c r="Z131" i="1"/>
  <c r="Q153" i="1"/>
  <c r="Z153" i="1"/>
  <c r="K162" i="1"/>
  <c r="Z162" i="1"/>
  <c r="Q170" i="1"/>
  <c r="Z170" i="1"/>
  <c r="Q181" i="1"/>
  <c r="Z181" i="1"/>
  <c r="Q189" i="1"/>
  <c r="Z189" i="1"/>
  <c r="Q196" i="1"/>
  <c r="Z196" i="1"/>
  <c r="K198" i="1"/>
  <c r="Z198" i="1"/>
  <c r="Q224" i="1"/>
  <c r="Z224" i="1"/>
  <c r="K226" i="1"/>
  <c r="Z226" i="1"/>
  <c r="Q54" i="1"/>
  <c r="Z54" i="1"/>
  <c r="Q82" i="1"/>
  <c r="Z82" i="1"/>
  <c r="Q29" i="1"/>
  <c r="Z29" i="1"/>
  <c r="O93" i="1"/>
  <c r="P93" i="1" s="1"/>
  <c r="Z93" i="1"/>
  <c r="O120" i="1"/>
  <c r="P120" i="1" s="1"/>
  <c r="Z120" i="1"/>
  <c r="Q128" i="1"/>
  <c r="Z128" i="1"/>
  <c r="K2" i="1"/>
  <c r="Z2" i="1"/>
  <c r="Q13" i="1"/>
  <c r="Z13" i="1"/>
  <c r="O21" i="1"/>
  <c r="P21" i="1" s="1"/>
  <c r="Z21" i="1"/>
  <c r="Z28" i="1"/>
  <c r="K30" i="1"/>
  <c r="Z30" i="1"/>
  <c r="O40" i="1"/>
  <c r="P40" i="1" s="1"/>
  <c r="Z40" i="1"/>
  <c r="O48" i="1"/>
  <c r="P48" i="1" s="1"/>
  <c r="Z48" i="1"/>
  <c r="Z56" i="1"/>
  <c r="O58" i="1"/>
  <c r="P58" i="1" s="1"/>
  <c r="Z58" i="1"/>
  <c r="Q67" i="1"/>
  <c r="Z67" i="1"/>
  <c r="Z84" i="1"/>
  <c r="K86" i="1"/>
  <c r="Z86" i="1"/>
  <c r="Q94" i="1"/>
  <c r="Z94" i="1"/>
  <c r="Q99" i="1"/>
  <c r="Z99" i="1"/>
  <c r="K113" i="1"/>
  <c r="Z113" i="1"/>
  <c r="K121" i="1"/>
  <c r="Z121" i="1"/>
  <c r="Q127" i="1"/>
  <c r="Z127" i="1"/>
  <c r="K140" i="1"/>
  <c r="Z140" i="1"/>
  <c r="Q149" i="1"/>
  <c r="Z149" i="1"/>
  <c r="Q155" i="1"/>
  <c r="Z155" i="1"/>
  <c r="K159" i="1"/>
  <c r="Z159" i="1"/>
  <c r="O167" i="1"/>
  <c r="P167" i="1" s="1"/>
  <c r="Z167" i="1"/>
  <c r="Q177" i="1"/>
  <c r="Z177" i="1"/>
  <c r="O186" i="1"/>
  <c r="P186" i="1" s="1"/>
  <c r="Z186" i="1"/>
  <c r="Z194" i="1"/>
  <c r="Q205" i="1"/>
  <c r="Z205" i="1"/>
  <c r="K213" i="1"/>
  <c r="Z213" i="1"/>
  <c r="Q220" i="1"/>
  <c r="Z220" i="1"/>
  <c r="K222" i="1"/>
  <c r="Z222" i="1"/>
  <c r="K232" i="1"/>
  <c r="Z232" i="1"/>
  <c r="K240" i="1"/>
  <c r="Z240" i="1"/>
  <c r="K36" i="1"/>
  <c r="K48" i="1"/>
  <c r="Q78" i="1"/>
  <c r="O106" i="1"/>
  <c r="P106" i="1" s="1"/>
  <c r="K58" i="1"/>
  <c r="O90" i="1"/>
  <c r="P90" i="1" s="1"/>
  <c r="O207" i="1"/>
  <c r="P207" i="1" s="1"/>
  <c r="K203" i="1"/>
  <c r="I11" i="2"/>
  <c r="J12" i="2"/>
  <c r="Q106" i="1"/>
  <c r="O165" i="1"/>
  <c r="P165" i="1" s="1"/>
  <c r="G83" i="1"/>
  <c r="S83" i="1" s="1"/>
  <c r="O88" i="1"/>
  <c r="P88" i="1" s="1"/>
  <c r="Q117" i="1"/>
  <c r="O218" i="1"/>
  <c r="P218" i="1" s="1"/>
  <c r="K227" i="1"/>
  <c r="K99" i="1"/>
  <c r="Q234" i="1"/>
  <c r="K96" i="1"/>
  <c r="K6" i="1"/>
  <c r="O122" i="1"/>
  <c r="P122" i="1" s="1"/>
  <c r="G31" i="1"/>
  <c r="O126" i="1"/>
  <c r="P126" i="1" s="1"/>
  <c r="O171" i="1"/>
  <c r="P171" i="1" s="1"/>
  <c r="G175" i="1"/>
  <c r="S175" i="1" s="1"/>
  <c r="F180" i="1"/>
  <c r="D11" i="1"/>
  <c r="D151" i="1"/>
  <c r="K52" i="1"/>
  <c r="K62" i="1"/>
  <c r="O98" i="1"/>
  <c r="P98" i="1" s="1"/>
  <c r="O169" i="1"/>
  <c r="P169" i="1" s="1"/>
  <c r="O170" i="1"/>
  <c r="P170" i="1" s="1"/>
  <c r="K172" i="1"/>
  <c r="Q113" i="1"/>
  <c r="Q146" i="1"/>
  <c r="O159" i="1"/>
  <c r="P159" i="1" s="1"/>
  <c r="Q169" i="1"/>
  <c r="Q187" i="1"/>
  <c r="O193" i="1"/>
  <c r="P193" i="1" s="1"/>
  <c r="O227" i="1"/>
  <c r="P227" i="1" s="1"/>
  <c r="G203" i="1"/>
  <c r="S203" i="1" s="1"/>
  <c r="O78" i="1"/>
  <c r="P78" i="1" s="1"/>
  <c r="G99" i="1"/>
  <c r="Q112" i="1"/>
  <c r="F228" i="1"/>
  <c r="W7" i="1"/>
  <c r="R2" i="1"/>
  <c r="R16" i="1"/>
  <c r="R95" i="1"/>
  <c r="R130" i="1"/>
  <c r="T130" i="1" s="1"/>
  <c r="R143" i="1"/>
  <c r="T143" i="1" s="1"/>
  <c r="R147" i="1"/>
  <c r="T147" i="1" s="1"/>
  <c r="R165" i="1"/>
  <c r="R166" i="1"/>
  <c r="T166" i="1" s="1"/>
  <c r="R189" i="1"/>
  <c r="R207" i="1"/>
  <c r="T207" i="1" s="1"/>
  <c r="R218" i="1"/>
  <c r="T218" i="1" s="1"/>
  <c r="Q6" i="1"/>
  <c r="K10" i="1"/>
  <c r="K15" i="1"/>
  <c r="R20" i="1"/>
  <c r="R23" i="1"/>
  <c r="T23" i="1" s="1"/>
  <c r="K26" i="1"/>
  <c r="R44" i="1"/>
  <c r="R48" i="1"/>
  <c r="G51" i="1"/>
  <c r="S51" i="1" s="1"/>
  <c r="R63" i="1"/>
  <c r="R79" i="1"/>
  <c r="R87" i="1"/>
  <c r="Q90" i="1"/>
  <c r="K94" i="1"/>
  <c r="R102" i="1"/>
  <c r="T102" i="1" s="1"/>
  <c r="R106" i="1"/>
  <c r="T106" i="1" s="1"/>
  <c r="O111" i="1"/>
  <c r="P111" i="1" s="1"/>
  <c r="O117" i="1"/>
  <c r="P117" i="1" s="1"/>
  <c r="R139" i="1"/>
  <c r="T139" i="1" s="1"/>
  <c r="O144" i="1"/>
  <c r="P144" i="1" s="1"/>
  <c r="R161" i="1"/>
  <c r="T161" i="1" s="1"/>
  <c r="R185" i="1"/>
  <c r="T185" i="1" s="1"/>
  <c r="O191" i="1"/>
  <c r="P191" i="1" s="1"/>
  <c r="G195" i="1"/>
  <c r="S195" i="1" s="1"/>
  <c r="O209" i="1"/>
  <c r="P209" i="1" s="1"/>
  <c r="R211" i="1"/>
  <c r="T211" i="1" s="1"/>
  <c r="R214" i="1"/>
  <c r="T214" i="1" s="1"/>
  <c r="K218" i="1"/>
  <c r="G219" i="1"/>
  <c r="S219" i="1" s="1"/>
  <c r="R234" i="1"/>
  <c r="T234" i="1" s="1"/>
  <c r="R235" i="1"/>
  <c r="T235" i="1" s="1"/>
  <c r="R241" i="1"/>
  <c r="R15" i="1"/>
  <c r="T15" i="1" s="1"/>
  <c r="R67" i="1"/>
  <c r="R88" i="1"/>
  <c r="R41" i="1"/>
  <c r="R164" i="1"/>
  <c r="Q172" i="1"/>
  <c r="R182" i="1"/>
  <c r="T182" i="1" s="1"/>
  <c r="K195" i="1"/>
  <c r="Q215" i="1"/>
  <c r="R230" i="1"/>
  <c r="T230" i="1" s="1"/>
  <c r="O231" i="1"/>
  <c r="P231" i="1" s="1"/>
  <c r="R238" i="1"/>
  <c r="T238" i="1" s="1"/>
  <c r="R10" i="1"/>
  <c r="R26" i="1"/>
  <c r="T26" i="1" s="1"/>
  <c r="R19" i="1"/>
  <c r="R62" i="1"/>
  <c r="O64" i="1"/>
  <c r="P64" i="1" s="1"/>
  <c r="R73" i="1"/>
  <c r="T73" i="1" s="1"/>
  <c r="R98" i="1"/>
  <c r="T98" i="1" s="1"/>
  <c r="R114" i="1"/>
  <c r="Q134" i="1"/>
  <c r="R136" i="1"/>
  <c r="T136" i="1" s="1"/>
  <c r="R25" i="1"/>
  <c r="T25" i="1" s="1"/>
  <c r="R30" i="1"/>
  <c r="O55" i="1"/>
  <c r="P55" i="1" s="1"/>
  <c r="R66" i="1"/>
  <c r="R78" i="1"/>
  <c r="T78" i="1" s="1"/>
  <c r="F84" i="1"/>
  <c r="R86" i="1"/>
  <c r="T86" i="1" s="1"/>
  <c r="R92" i="1"/>
  <c r="R113" i="1"/>
  <c r="T113" i="1" s="1"/>
  <c r="O115" i="1"/>
  <c r="P115" i="1" s="1"/>
  <c r="R120" i="1"/>
  <c r="O131" i="1"/>
  <c r="P131" i="1" s="1"/>
  <c r="R141" i="1"/>
  <c r="R159" i="1"/>
  <c r="R160" i="1"/>
  <c r="R163" i="1"/>
  <c r="T163" i="1" s="1"/>
  <c r="R169" i="1"/>
  <c r="T169" i="1" s="1"/>
  <c r="R170" i="1"/>
  <c r="T170" i="1" s="1"/>
  <c r="R174" i="1"/>
  <c r="K179" i="1"/>
  <c r="R188" i="1"/>
  <c r="T188" i="1" s="1"/>
  <c r="Q191" i="1"/>
  <c r="R194" i="1"/>
  <c r="R202" i="1"/>
  <c r="R206" i="1"/>
  <c r="T206" i="1" s="1"/>
  <c r="R217" i="1"/>
  <c r="T217" i="1" s="1"/>
  <c r="R237" i="1"/>
  <c r="O51" i="1"/>
  <c r="P51" i="1" s="1"/>
  <c r="R70" i="1"/>
  <c r="O74" i="1"/>
  <c r="P74" i="1" s="1"/>
  <c r="R93" i="1"/>
  <c r="R142" i="1"/>
  <c r="T142" i="1" s="1"/>
  <c r="R146" i="1"/>
  <c r="R14" i="1"/>
  <c r="R40" i="1"/>
  <c r="T40" i="1" s="1"/>
  <c r="R6" i="1"/>
  <c r="R22" i="1"/>
  <c r="R39" i="1"/>
  <c r="K40" i="1"/>
  <c r="R43" i="1"/>
  <c r="T43" i="1" s="1"/>
  <c r="R47" i="1"/>
  <c r="T47" i="1" s="1"/>
  <c r="R50" i="1"/>
  <c r="T50" i="1" s="1"/>
  <c r="R69" i="1"/>
  <c r="O87" i="1"/>
  <c r="P87" i="1" s="1"/>
  <c r="Q88" i="1"/>
  <c r="R90" i="1"/>
  <c r="T90" i="1" s="1"/>
  <c r="R91" i="1"/>
  <c r="T91" i="1" s="1"/>
  <c r="R97" i="1"/>
  <c r="R112" i="1"/>
  <c r="T112" i="1" s="1"/>
  <c r="Q115" i="1"/>
  <c r="R119" i="1"/>
  <c r="R138" i="1"/>
  <c r="T138" i="1" s="1"/>
  <c r="K141" i="1"/>
  <c r="G151" i="1"/>
  <c r="S151" i="1" s="1"/>
  <c r="F173" i="1"/>
  <c r="O173" i="1" s="1"/>
  <c r="P173" i="1" s="1"/>
  <c r="O175" i="1"/>
  <c r="P175" i="1" s="1"/>
  <c r="R184" i="1"/>
  <c r="O185" i="1"/>
  <c r="P185" i="1" s="1"/>
  <c r="R187" i="1"/>
  <c r="T187" i="1" s="1"/>
  <c r="O189" i="1"/>
  <c r="P189" i="1" s="1"/>
  <c r="R191" i="1"/>
  <c r="R193" i="1"/>
  <c r="T193" i="1" s="1"/>
  <c r="Q207" i="1"/>
  <c r="R210" i="1"/>
  <c r="T210" i="1" s="1"/>
  <c r="R213" i="1"/>
  <c r="O214" i="1"/>
  <c r="P214" i="1" s="1"/>
  <c r="Q231" i="1"/>
  <c r="R233" i="1"/>
  <c r="T233" i="1" s="1"/>
  <c r="R240" i="1"/>
  <c r="R71" i="1"/>
  <c r="T71" i="1" s="1"/>
  <c r="R94" i="1"/>
  <c r="T94" i="1" s="1"/>
  <c r="R18" i="1"/>
  <c r="T18" i="1" s="1"/>
  <c r="R46" i="1"/>
  <c r="R72" i="1"/>
  <c r="T72" i="1" s="1"/>
  <c r="R96" i="1"/>
  <c r="R111" i="1"/>
  <c r="T111" i="1" s="1"/>
  <c r="R117" i="1"/>
  <c r="T117" i="1" s="1"/>
  <c r="R118" i="1"/>
  <c r="T118" i="1" s="1"/>
  <c r="R122" i="1"/>
  <c r="F132" i="1"/>
  <c r="R135" i="1"/>
  <c r="R144" i="1"/>
  <c r="T144" i="1" s="1"/>
  <c r="R145" i="1"/>
  <c r="T145" i="1" s="1"/>
  <c r="R150" i="1"/>
  <c r="T150" i="1" s="1"/>
  <c r="K193" i="1"/>
  <c r="R209" i="1"/>
  <c r="T209" i="1" s="1"/>
  <c r="F220" i="1"/>
  <c r="R222" i="1"/>
  <c r="T222" i="1" s="1"/>
  <c r="G3" i="1"/>
  <c r="S3" i="1" s="1"/>
  <c r="R21" i="1"/>
  <c r="R24" i="1"/>
  <c r="T24" i="1" s="1"/>
  <c r="R34" i="1"/>
  <c r="T34" i="1" s="1"/>
  <c r="R38" i="1"/>
  <c r="T38" i="1" s="1"/>
  <c r="R54" i="1"/>
  <c r="R59" i="1"/>
  <c r="T59" i="1" s="1"/>
  <c r="R64" i="1"/>
  <c r="R65" i="1"/>
  <c r="R68" i="1"/>
  <c r="T68" i="1" s="1"/>
  <c r="R82" i="1"/>
  <c r="T82" i="1" s="1"/>
  <c r="R110" i="1"/>
  <c r="T110" i="1" s="1"/>
  <c r="R126" i="1"/>
  <c r="R131" i="1"/>
  <c r="R140" i="1"/>
  <c r="T140" i="1" s="1"/>
  <c r="R158" i="1"/>
  <c r="T158" i="1" s="1"/>
  <c r="R162" i="1"/>
  <c r="R168" i="1"/>
  <c r="T168" i="1" s="1"/>
  <c r="R178" i="1"/>
  <c r="T178" i="1" s="1"/>
  <c r="R198" i="1"/>
  <c r="R212" i="1"/>
  <c r="T212" i="1" s="1"/>
  <c r="R216" i="1"/>
  <c r="T216" i="1" s="1"/>
  <c r="R226" i="1"/>
  <c r="R236" i="1"/>
  <c r="T236" i="1" s="1"/>
  <c r="R121" i="1"/>
  <c r="T121" i="1" s="1"/>
  <c r="K3" i="1"/>
  <c r="O11" i="1"/>
  <c r="P11" i="1" s="1"/>
  <c r="R17" i="1"/>
  <c r="K27" i="1"/>
  <c r="R42" i="1"/>
  <c r="T42" i="1" s="1"/>
  <c r="R45" i="1"/>
  <c r="T45" i="1" s="1"/>
  <c r="R49" i="1"/>
  <c r="R58" i="1"/>
  <c r="T58" i="1" s="1"/>
  <c r="K64" i="1"/>
  <c r="O69" i="1"/>
  <c r="P69" i="1" s="1"/>
  <c r="R74" i="1"/>
  <c r="T74" i="1" s="1"/>
  <c r="R89" i="1"/>
  <c r="T89" i="1" s="1"/>
  <c r="K110" i="1"/>
  <c r="O112" i="1"/>
  <c r="P112" i="1" s="1"/>
  <c r="R115" i="1"/>
  <c r="T115" i="1" s="1"/>
  <c r="R116" i="1"/>
  <c r="M117" i="1"/>
  <c r="K131" i="1"/>
  <c r="R134" i="1"/>
  <c r="T134" i="1" s="1"/>
  <c r="R137" i="1"/>
  <c r="T137" i="1" s="1"/>
  <c r="Q141" i="1"/>
  <c r="R154" i="1"/>
  <c r="R167" i="1"/>
  <c r="R183" i="1"/>
  <c r="T183" i="1" s="1"/>
  <c r="R186" i="1"/>
  <c r="T186" i="1" s="1"/>
  <c r="R190" i="1"/>
  <c r="T190" i="1" s="1"/>
  <c r="M191" i="1"/>
  <c r="R192" i="1"/>
  <c r="T192" i="1" s="1"/>
  <c r="D195" i="1"/>
  <c r="R208" i="1"/>
  <c r="T208" i="1" s="1"/>
  <c r="R215" i="1"/>
  <c r="T215" i="1" s="1"/>
  <c r="R231" i="1"/>
  <c r="T231" i="1" s="1"/>
  <c r="R232" i="1"/>
  <c r="T232" i="1" s="1"/>
  <c r="R239" i="1"/>
  <c r="T239" i="1" s="1"/>
  <c r="D7" i="1"/>
  <c r="K18" i="1"/>
  <c r="O23" i="1"/>
  <c r="P23" i="1" s="1"/>
  <c r="O30" i="1"/>
  <c r="P30" i="1" s="1"/>
  <c r="O36" i="1"/>
  <c r="P36" i="1" s="1"/>
  <c r="K50" i="1"/>
  <c r="Q50" i="1"/>
  <c r="F104" i="1"/>
  <c r="G103" i="1"/>
  <c r="S103" i="1" s="1"/>
  <c r="D103" i="1"/>
  <c r="K188" i="1"/>
  <c r="Q188" i="1"/>
  <c r="M232" i="1"/>
  <c r="M90" i="1"/>
  <c r="D35" i="1"/>
  <c r="K35" i="1"/>
  <c r="Q23" i="1"/>
  <c r="G35" i="1"/>
  <c r="S35" i="1" s="1"/>
  <c r="Q36" i="1"/>
  <c r="Q45" i="1"/>
  <c r="O50" i="1"/>
  <c r="P50" i="1" s="1"/>
  <c r="Q51" i="1"/>
  <c r="O66" i="1"/>
  <c r="P66" i="1" s="1"/>
  <c r="O67" i="1"/>
  <c r="P67" i="1" s="1"/>
  <c r="O188" i="1"/>
  <c r="P188" i="1" s="1"/>
  <c r="Q136" i="1"/>
  <c r="O136" i="1"/>
  <c r="P136" i="1" s="1"/>
  <c r="K136" i="1"/>
  <c r="O3" i="1"/>
  <c r="P3" i="1" s="1"/>
  <c r="K7" i="1"/>
  <c r="O15" i="1"/>
  <c r="P15" i="1" s="1"/>
  <c r="K39" i="1"/>
  <c r="O39" i="1"/>
  <c r="P39" i="1" s="1"/>
  <c r="O82" i="1"/>
  <c r="P82" i="1" s="1"/>
  <c r="K82" i="1"/>
  <c r="Q84" i="1"/>
  <c r="Q138" i="1"/>
  <c r="O138" i="1"/>
  <c r="P138" i="1" s="1"/>
  <c r="K138" i="1"/>
  <c r="Q183" i="1"/>
  <c r="O183" i="1"/>
  <c r="P183" i="1" s="1"/>
  <c r="K183" i="1"/>
  <c r="K217" i="1"/>
  <c r="O217" i="1"/>
  <c r="P217" i="1" s="1"/>
  <c r="M207" i="1"/>
  <c r="Q26" i="1"/>
  <c r="Q30" i="1"/>
  <c r="O45" i="1"/>
  <c r="P45" i="1" s="1"/>
  <c r="F56" i="1"/>
  <c r="K55" i="1"/>
  <c r="K210" i="1"/>
  <c r="Q210" i="1"/>
  <c r="O210" i="1"/>
  <c r="P210" i="1" s="1"/>
  <c r="O24" i="1"/>
  <c r="P24" i="1" s="1"/>
  <c r="Q24" i="1"/>
  <c r="K42" i="1"/>
  <c r="Q42" i="1"/>
  <c r="K47" i="1"/>
  <c r="Q47" i="1"/>
  <c r="O47" i="1"/>
  <c r="P47" i="1" s="1"/>
  <c r="O54" i="1"/>
  <c r="P54" i="1" s="1"/>
  <c r="D59" i="1"/>
  <c r="K59" i="1"/>
  <c r="Q72" i="1"/>
  <c r="O72" i="1"/>
  <c r="P72" i="1" s="1"/>
  <c r="O14" i="1"/>
  <c r="P14" i="1" s="1"/>
  <c r="O18" i="1"/>
  <c r="P18" i="1" s="1"/>
  <c r="Q11" i="1"/>
  <c r="O20" i="1"/>
  <c r="P20" i="1" s="1"/>
  <c r="F4" i="1"/>
  <c r="O7" i="1"/>
  <c r="P7" i="1" s="1"/>
  <c r="O10" i="1"/>
  <c r="P10" i="1" s="1"/>
  <c r="Q16" i="1"/>
  <c r="Q18" i="1"/>
  <c r="Q20" i="1"/>
  <c r="F37" i="1"/>
  <c r="K38" i="1"/>
  <c r="Q40" i="1"/>
  <c r="O43" i="1"/>
  <c r="P43" i="1" s="1"/>
  <c r="Q43" i="1"/>
  <c r="G55" i="1"/>
  <c r="S55" i="1" s="1"/>
  <c r="K69" i="1"/>
  <c r="O70" i="1"/>
  <c r="P70" i="1" s="1"/>
  <c r="Q70" i="1"/>
  <c r="Q102" i="1"/>
  <c r="O102" i="1"/>
  <c r="P102" i="1" s="1"/>
  <c r="K102" i="1"/>
  <c r="K190" i="1"/>
  <c r="O190" i="1"/>
  <c r="P190" i="1" s="1"/>
  <c r="O200" i="1"/>
  <c r="P200" i="1" s="1"/>
  <c r="D200" i="1"/>
  <c r="K24" i="1"/>
  <c r="D36" i="1"/>
  <c r="K51" i="1"/>
  <c r="K54" i="1"/>
  <c r="O63" i="1"/>
  <c r="P63" i="1" s="1"/>
  <c r="K67" i="1"/>
  <c r="O107" i="1"/>
  <c r="P107" i="1" s="1"/>
  <c r="Q107" i="1"/>
  <c r="K182" i="1"/>
  <c r="O182" i="1"/>
  <c r="P182" i="1" s="1"/>
  <c r="M190" i="1"/>
  <c r="M198" i="1"/>
  <c r="K212" i="1"/>
  <c r="Q212" i="1"/>
  <c r="Q93" i="1"/>
  <c r="O96" i="1"/>
  <c r="P96" i="1" s="1"/>
  <c r="Q98" i="1"/>
  <c r="Q120" i="1"/>
  <c r="Q144" i="1"/>
  <c r="O146" i="1"/>
  <c r="P146" i="1" s="1"/>
  <c r="O150" i="1"/>
  <c r="P150" i="1" s="1"/>
  <c r="K151" i="1"/>
  <c r="O152" i="1"/>
  <c r="P152" i="1" s="1"/>
  <c r="O160" i="1"/>
  <c r="P160" i="1" s="1"/>
  <c r="Q162" i="1"/>
  <c r="Q165" i="1"/>
  <c r="Q167" i="1"/>
  <c r="Q48" i="1"/>
  <c r="D51" i="1"/>
  <c r="Q126" i="1"/>
  <c r="D131" i="1"/>
  <c r="Q150" i="1"/>
  <c r="Q160" i="1"/>
  <c r="K186" i="1"/>
  <c r="O203" i="1"/>
  <c r="P203" i="1" s="1"/>
  <c r="K219" i="1"/>
  <c r="K236" i="1"/>
  <c r="K237" i="1"/>
  <c r="K239" i="1"/>
  <c r="O241" i="1"/>
  <c r="P241" i="1" s="1"/>
  <c r="Q58" i="1"/>
  <c r="K92" i="1"/>
  <c r="K93" i="1"/>
  <c r="F100" i="1"/>
  <c r="K103" i="1"/>
  <c r="M110" i="1"/>
  <c r="K118" i="1"/>
  <c r="K119" i="1"/>
  <c r="K120" i="1"/>
  <c r="K170" i="1"/>
  <c r="D175" i="1"/>
  <c r="K167" i="1"/>
  <c r="O215" i="1"/>
  <c r="P215" i="1" s="1"/>
  <c r="D203" i="1"/>
  <c r="F204" i="1"/>
  <c r="O234" i="1"/>
  <c r="P234" i="1" s="1"/>
  <c r="O236" i="1"/>
  <c r="P236" i="1" s="1"/>
  <c r="O239" i="1"/>
  <c r="P239" i="1" s="1"/>
  <c r="O162" i="1"/>
  <c r="P162" i="1" s="1"/>
  <c r="K175" i="1"/>
  <c r="Q185" i="1"/>
  <c r="O199" i="1"/>
  <c r="P199" i="1" s="1"/>
  <c r="O233" i="1"/>
  <c r="P233" i="1" s="1"/>
  <c r="Q237" i="1"/>
  <c r="Q239" i="1"/>
  <c r="F13" i="1"/>
  <c r="O12" i="1"/>
  <c r="P12" i="1" s="1"/>
  <c r="D12" i="1"/>
  <c r="K12" i="1"/>
  <c r="G12" i="1"/>
  <c r="S12" i="1" s="1"/>
  <c r="Q17" i="1"/>
  <c r="Q25" i="1"/>
  <c r="K25" i="1"/>
  <c r="Q56" i="1"/>
  <c r="G8" i="1"/>
  <c r="S8" i="1" s="1"/>
  <c r="G27" i="1"/>
  <c r="S27" i="1" s="1"/>
  <c r="Q7" i="1"/>
  <c r="K8" i="1"/>
  <c r="G11" i="1"/>
  <c r="S11" i="1" s="1"/>
  <c r="O46" i="1"/>
  <c r="P46" i="1" s="1"/>
  <c r="Q46" i="1"/>
  <c r="O52" i="1"/>
  <c r="P52" i="1" s="1"/>
  <c r="Q52" i="1"/>
  <c r="Q80" i="1"/>
  <c r="Q83" i="1"/>
  <c r="O83" i="1"/>
  <c r="P83" i="1" s="1"/>
  <c r="K83" i="1"/>
  <c r="K79" i="1"/>
  <c r="D79" i="1"/>
  <c r="F80" i="1"/>
  <c r="AB80" i="1" s="1"/>
  <c r="O79" i="1"/>
  <c r="P79" i="1" s="1"/>
  <c r="O2" i="1"/>
  <c r="P2" i="1" s="1"/>
  <c r="G7" i="1"/>
  <c r="S7" i="1" s="1"/>
  <c r="K11" i="1"/>
  <c r="K16" i="1"/>
  <c r="O17" i="1"/>
  <c r="P17" i="1" s="1"/>
  <c r="O25" i="1"/>
  <c r="P25" i="1" s="1"/>
  <c r="O27" i="1"/>
  <c r="P27" i="1" s="1"/>
  <c r="Q34" i="1"/>
  <c r="Q35" i="1"/>
  <c r="O35" i="1"/>
  <c r="P35" i="1" s="1"/>
  <c r="O65" i="1"/>
  <c r="P65" i="1" s="1"/>
  <c r="Q65" i="1"/>
  <c r="Q77" i="1"/>
  <c r="O121" i="1"/>
  <c r="P121" i="1" s="1"/>
  <c r="Q121" i="1"/>
  <c r="Q154" i="1"/>
  <c r="O154" i="1"/>
  <c r="P154" i="1" s="1"/>
  <c r="K154" i="1"/>
  <c r="Q208" i="1"/>
  <c r="O208" i="1"/>
  <c r="P208" i="1" s="1"/>
  <c r="K208" i="1"/>
  <c r="O31" i="1"/>
  <c r="P31" i="1" s="1"/>
  <c r="Q31" i="1"/>
  <c r="K14" i="1"/>
  <c r="Q21" i="1"/>
  <c r="Q22" i="1"/>
  <c r="O22" i="1"/>
  <c r="P22" i="1" s="1"/>
  <c r="Q28" i="1"/>
  <c r="Q41" i="1"/>
  <c r="O41" i="1"/>
  <c r="P41" i="1" s="1"/>
  <c r="K43" i="1"/>
  <c r="Q68" i="1"/>
  <c r="O68" i="1"/>
  <c r="P68" i="1" s="1"/>
  <c r="K68" i="1"/>
  <c r="K75" i="1"/>
  <c r="G75" i="1"/>
  <c r="S75" i="1" s="1"/>
  <c r="F76" i="1"/>
  <c r="O75" i="1"/>
  <c r="P75" i="1" s="1"/>
  <c r="F28" i="1"/>
  <c r="D27" i="1"/>
  <c r="O19" i="1"/>
  <c r="P19" i="1" s="1"/>
  <c r="Q19" i="1"/>
  <c r="M42" i="1"/>
  <c r="O59" i="1"/>
  <c r="P59" i="1" s="1"/>
  <c r="Q59" i="1"/>
  <c r="M50" i="1"/>
  <c r="Q104" i="1"/>
  <c r="O8" i="1"/>
  <c r="P8" i="1" s="1"/>
  <c r="F9" i="1"/>
  <c r="AB9" i="1" s="1"/>
  <c r="M23" i="1"/>
  <c r="Q27" i="1"/>
  <c r="D52" i="1"/>
  <c r="F53" i="1"/>
  <c r="AB53" i="1" s="1"/>
  <c r="G52" i="1"/>
  <c r="S52" i="1" s="1"/>
  <c r="Q2" i="1"/>
  <c r="K17" i="1"/>
  <c r="K21" i="1"/>
  <c r="K31" i="1"/>
  <c r="K34" i="1"/>
  <c r="O38" i="1"/>
  <c r="P38" i="1" s="1"/>
  <c r="Q38" i="1"/>
  <c r="Q44" i="1"/>
  <c r="K44" i="1"/>
  <c r="Q49" i="1"/>
  <c r="O49" i="1"/>
  <c r="P49" i="1" s="1"/>
  <c r="O73" i="1"/>
  <c r="P73" i="1" s="1"/>
  <c r="Q73" i="1"/>
  <c r="O86" i="1"/>
  <c r="P86" i="1" s="1"/>
  <c r="Q86" i="1"/>
  <c r="Q89" i="1"/>
  <c r="K89" i="1"/>
  <c r="O89" i="1"/>
  <c r="P89" i="1" s="1"/>
  <c r="O130" i="1"/>
  <c r="P130" i="1" s="1"/>
  <c r="Q130" i="1"/>
  <c r="K130" i="1"/>
  <c r="K143" i="1"/>
  <c r="Q143" i="1"/>
  <c r="O143" i="1"/>
  <c r="P143" i="1" s="1"/>
  <c r="D55" i="1"/>
  <c r="K63" i="1"/>
  <c r="M69" i="1"/>
  <c r="K71" i="1"/>
  <c r="M78" i="1"/>
  <c r="O91" i="1"/>
  <c r="P91" i="1" s="1"/>
  <c r="Q91" i="1"/>
  <c r="K107" i="1"/>
  <c r="K123" i="1"/>
  <c r="G123" i="1"/>
  <c r="S123" i="1" s="1"/>
  <c r="F124" i="1"/>
  <c r="O123" i="1"/>
  <c r="P123" i="1" s="1"/>
  <c r="Q55" i="1"/>
  <c r="Q62" i="1"/>
  <c r="Q97" i="1"/>
  <c r="O97" i="1"/>
  <c r="P97" i="1" s="1"/>
  <c r="K97" i="1"/>
  <c r="O103" i="1"/>
  <c r="P103" i="1" s="1"/>
  <c r="Q103" i="1"/>
  <c r="D147" i="1"/>
  <c r="F148" i="1"/>
  <c r="K147" i="1"/>
  <c r="O147" i="1"/>
  <c r="P147" i="1" s="1"/>
  <c r="O71" i="1"/>
  <c r="P71" i="1" s="1"/>
  <c r="F128" i="1"/>
  <c r="AB128" i="1" s="1"/>
  <c r="K127" i="1"/>
  <c r="D127" i="1"/>
  <c r="O127" i="1"/>
  <c r="P127" i="1" s="1"/>
  <c r="Q66" i="1"/>
  <c r="Q74" i="1"/>
  <c r="K87" i="1"/>
  <c r="M112" i="1"/>
  <c r="O113" i="1"/>
  <c r="P113" i="1" s="1"/>
  <c r="G127" i="1"/>
  <c r="S127" i="1" s="1"/>
  <c r="O142" i="1"/>
  <c r="P142" i="1" s="1"/>
  <c r="Q142" i="1"/>
  <c r="K142" i="1"/>
  <c r="O158" i="1"/>
  <c r="P158" i="1" s="1"/>
  <c r="Q158" i="1"/>
  <c r="F32" i="1"/>
  <c r="AB32" i="1" s="1"/>
  <c r="G36" i="1"/>
  <c r="S36" i="1" s="1"/>
  <c r="F60" i="1"/>
  <c r="AB60" i="1" s="1"/>
  <c r="Q63" i="1"/>
  <c r="Q71" i="1"/>
  <c r="O94" i="1"/>
  <c r="P94" i="1" s="1"/>
  <c r="O99" i="1"/>
  <c r="P99" i="1" s="1"/>
  <c r="K114" i="1"/>
  <c r="Q114" i="1"/>
  <c r="Q125" i="1"/>
  <c r="K135" i="1"/>
  <c r="Q135" i="1"/>
  <c r="O135" i="1"/>
  <c r="P135" i="1" s="1"/>
  <c r="Q137" i="1"/>
  <c r="O137" i="1"/>
  <c r="P137" i="1" s="1"/>
  <c r="K137" i="1"/>
  <c r="K91" i="1"/>
  <c r="K95" i="1"/>
  <c r="Q95" i="1"/>
  <c r="D107" i="1"/>
  <c r="F108" i="1"/>
  <c r="AB108" i="1" s="1"/>
  <c r="G107" i="1"/>
  <c r="S107" i="1" s="1"/>
  <c r="Q116" i="1"/>
  <c r="O116" i="1"/>
  <c r="P116" i="1" s="1"/>
  <c r="K116" i="1"/>
  <c r="D123" i="1"/>
  <c r="Q145" i="1"/>
  <c r="K145" i="1"/>
  <c r="Q161" i="1"/>
  <c r="O161" i="1"/>
  <c r="P161" i="1" s="1"/>
  <c r="K161" i="1"/>
  <c r="O163" i="1"/>
  <c r="P163" i="1" s="1"/>
  <c r="Q163" i="1"/>
  <c r="K196" i="1"/>
  <c r="G196" i="1"/>
  <c r="S196" i="1" s="1"/>
  <c r="O196" i="1"/>
  <c r="P196" i="1" s="1"/>
  <c r="M217" i="1"/>
  <c r="Q110" i="1"/>
  <c r="Q118" i="1"/>
  <c r="Q124" i="1"/>
  <c r="K176" i="1"/>
  <c r="O176" i="1"/>
  <c r="P176" i="1" s="1"/>
  <c r="F177" i="1"/>
  <c r="AB177" i="1" s="1"/>
  <c r="G176" i="1"/>
  <c r="S176" i="1" s="1"/>
  <c r="Q216" i="1"/>
  <c r="O216" i="1"/>
  <c r="P216" i="1" s="1"/>
  <c r="K216" i="1"/>
  <c r="M236" i="1"/>
  <c r="K238" i="1"/>
  <c r="Q238" i="1"/>
  <c r="O238" i="1"/>
  <c r="P238" i="1" s="1"/>
  <c r="Q139" i="1"/>
  <c r="Q140" i="1"/>
  <c r="D152" i="1"/>
  <c r="K152" i="1"/>
  <c r="D155" i="1"/>
  <c r="F156" i="1"/>
  <c r="AB156" i="1" s="1"/>
  <c r="G155" i="1"/>
  <c r="S155" i="1" s="1"/>
  <c r="O166" i="1"/>
  <c r="P166" i="1" s="1"/>
  <c r="Q166" i="1"/>
  <c r="O194" i="1"/>
  <c r="P194" i="1" s="1"/>
  <c r="Q194" i="1"/>
  <c r="K194" i="1"/>
  <c r="F197" i="1"/>
  <c r="AB197" i="1" s="1"/>
  <c r="Q122" i="1"/>
  <c r="K155" i="1"/>
  <c r="M185" i="1"/>
  <c r="Q92" i="1"/>
  <c r="Q111" i="1"/>
  <c r="Q119" i="1"/>
  <c r="O155" i="1"/>
  <c r="P155" i="1" s="1"/>
  <c r="Q168" i="1"/>
  <c r="O168" i="1"/>
  <c r="P168" i="1" s="1"/>
  <c r="D196" i="1"/>
  <c r="K134" i="1"/>
  <c r="K139" i="1"/>
  <c r="O140" i="1"/>
  <c r="P140" i="1" s="1"/>
  <c r="O151" i="1"/>
  <c r="P151" i="1" s="1"/>
  <c r="Q151" i="1"/>
  <c r="G152" i="1"/>
  <c r="S152" i="1" s="1"/>
  <c r="K163" i="1"/>
  <c r="K164" i="1"/>
  <c r="K171" i="1"/>
  <c r="G171" i="1"/>
  <c r="S171" i="1" s="1"/>
  <c r="D171" i="1"/>
  <c r="Q184" i="1"/>
  <c r="O184" i="1"/>
  <c r="P184" i="1" s="1"/>
  <c r="K189" i="1"/>
  <c r="Q192" i="1"/>
  <c r="O192" i="1"/>
  <c r="P192" i="1" s="1"/>
  <c r="K211" i="1"/>
  <c r="Q211" i="1"/>
  <c r="O211" i="1"/>
  <c r="P211" i="1" s="1"/>
  <c r="Q235" i="1"/>
  <c r="O235" i="1"/>
  <c r="P235" i="1" s="1"/>
  <c r="G172" i="1"/>
  <c r="S172" i="1" s="1"/>
  <c r="Q174" i="1"/>
  <c r="O174" i="1"/>
  <c r="P174" i="1" s="1"/>
  <c r="K178" i="1"/>
  <c r="G179" i="1"/>
  <c r="S179" i="1" s="1"/>
  <c r="K206" i="1"/>
  <c r="Q206" i="1"/>
  <c r="Q213" i="1"/>
  <c r="O213" i="1"/>
  <c r="P213" i="1" s="1"/>
  <c r="Q202" i="1"/>
  <c r="O202" i="1"/>
  <c r="P202" i="1" s="1"/>
  <c r="Q240" i="1"/>
  <c r="O240" i="1"/>
  <c r="P240" i="1" s="1"/>
  <c r="Q159" i="1"/>
  <c r="O172" i="1"/>
  <c r="P172" i="1" s="1"/>
  <c r="Q178" i="1"/>
  <c r="O179" i="1"/>
  <c r="P179" i="1" s="1"/>
  <c r="K187" i="1"/>
  <c r="Q195" i="1"/>
  <c r="O195" i="1"/>
  <c r="P195" i="1" s="1"/>
  <c r="Q222" i="1"/>
  <c r="O222" i="1"/>
  <c r="P222" i="1" s="1"/>
  <c r="K223" i="1"/>
  <c r="Q223" i="1"/>
  <c r="O223" i="1"/>
  <c r="P223" i="1" s="1"/>
  <c r="Q226" i="1"/>
  <c r="O226" i="1"/>
  <c r="P226" i="1" s="1"/>
  <c r="K230" i="1"/>
  <c r="Q230" i="1"/>
  <c r="O230" i="1"/>
  <c r="P230" i="1" s="1"/>
  <c r="Q164" i="1"/>
  <c r="Q186" i="1"/>
  <c r="K199" i="1"/>
  <c r="K200" i="1"/>
  <c r="G200" i="1"/>
  <c r="S200" i="1" s="1"/>
  <c r="F201" i="1"/>
  <c r="AB201" i="1" s="1"/>
  <c r="M203" i="1"/>
  <c r="Q219" i="1"/>
  <c r="O219" i="1"/>
  <c r="P219" i="1" s="1"/>
  <c r="Q232" i="1"/>
  <c r="O232" i="1"/>
  <c r="P232" i="1" s="1"/>
  <c r="Q198" i="1"/>
  <c r="O198" i="1"/>
  <c r="P198" i="1" s="1"/>
  <c r="K235" i="1"/>
  <c r="Q175" i="1"/>
  <c r="Q182" i="1"/>
  <c r="Q190" i="1"/>
  <c r="D199" i="1"/>
  <c r="Q209" i="1"/>
  <c r="Q217" i="1"/>
  <c r="F224" i="1"/>
  <c r="AB224" i="1" s="1"/>
  <c r="D227" i="1"/>
  <c r="Q214" i="1"/>
  <c r="Q233" i="1"/>
  <c r="Q241" i="1"/>
  <c r="G199" i="1"/>
  <c r="S199" i="1" s="1"/>
  <c r="G227" i="1"/>
  <c r="S227" i="1" s="1"/>
  <c r="G223" i="1"/>
  <c r="S223" i="1" s="1"/>
  <c r="B19" i="6" l="1"/>
  <c r="B20" i="6" s="1"/>
  <c r="B26" i="6"/>
  <c r="B23" i="6"/>
  <c r="B18" i="6"/>
  <c r="G173" i="1"/>
  <c r="S173" i="1" s="1"/>
  <c r="T30" i="1"/>
  <c r="T226" i="1"/>
  <c r="T159" i="1"/>
  <c r="O28" i="1"/>
  <c r="P28" i="1" s="1"/>
  <c r="AB28" i="1"/>
  <c r="D84" i="1"/>
  <c r="AB84" i="1"/>
  <c r="T41" i="1"/>
  <c r="T20" i="1"/>
  <c r="D172" i="1"/>
  <c r="AB172" i="1"/>
  <c r="T191" i="1"/>
  <c r="T141" i="1"/>
  <c r="F229" i="1"/>
  <c r="G229" i="1" s="1"/>
  <c r="S229" i="1" s="1"/>
  <c r="AB228" i="1"/>
  <c r="O37" i="1"/>
  <c r="P37" i="1" s="1"/>
  <c r="AB37" i="1"/>
  <c r="O13" i="1"/>
  <c r="P13" i="1" s="1"/>
  <c r="AB13" i="1"/>
  <c r="O76" i="1"/>
  <c r="P76" i="1" s="1"/>
  <c r="AB76" i="1"/>
  <c r="O56" i="1"/>
  <c r="P56" i="1" s="1"/>
  <c r="AB56" i="1"/>
  <c r="T67" i="1"/>
  <c r="O204" i="1"/>
  <c r="P204" i="1" s="1"/>
  <c r="AB204" i="1"/>
  <c r="T126" i="1"/>
  <c r="G104" i="1"/>
  <c r="S104" i="1" s="1"/>
  <c r="AB104" i="1"/>
  <c r="T96" i="1"/>
  <c r="T69" i="1"/>
  <c r="T237" i="1"/>
  <c r="T174" i="1"/>
  <c r="D220" i="1"/>
  <c r="AB220" i="1"/>
  <c r="D173" i="1"/>
  <c r="AB173" i="1"/>
  <c r="O148" i="1"/>
  <c r="P148" i="1" s="1"/>
  <c r="AB148" i="1"/>
  <c r="K100" i="1"/>
  <c r="AB100" i="1"/>
  <c r="T48" i="1"/>
  <c r="F153" i="1"/>
  <c r="AB152" i="1"/>
  <c r="D8" i="1"/>
  <c r="AB8" i="1"/>
  <c r="T135" i="1"/>
  <c r="T46" i="1"/>
  <c r="D180" i="1"/>
  <c r="AB180" i="1"/>
  <c r="G4" i="1"/>
  <c r="S4" i="1" s="1"/>
  <c r="AB4" i="1"/>
  <c r="K173" i="1"/>
  <c r="O124" i="1"/>
  <c r="P124" i="1" s="1"/>
  <c r="AB124" i="1"/>
  <c r="K4" i="1"/>
  <c r="T64" i="1"/>
  <c r="F133" i="1"/>
  <c r="D133" i="1" s="1"/>
  <c r="AB132" i="1"/>
  <c r="T97" i="1"/>
  <c r="T202" i="1"/>
  <c r="R203" i="1"/>
  <c r="T203" i="1" s="1"/>
  <c r="D176" i="1"/>
  <c r="AB176" i="1"/>
  <c r="T119" i="1"/>
  <c r="O228" i="1"/>
  <c r="P228" i="1" s="1"/>
  <c r="T14" i="1"/>
  <c r="T241" i="1"/>
  <c r="T116" i="1"/>
  <c r="T213" i="1"/>
  <c r="T19" i="1"/>
  <c r="T44" i="1"/>
  <c r="T16" i="1"/>
  <c r="T154" i="1"/>
  <c r="T122" i="1"/>
  <c r="T164" i="1"/>
  <c r="T2" i="1"/>
  <c r="V2" i="1" s="1"/>
  <c r="T131" i="1"/>
  <c r="T114" i="1"/>
  <c r="T240" i="1"/>
  <c r="T88" i="1"/>
  <c r="T79" i="1"/>
  <c r="T165" i="1"/>
  <c r="T120" i="1"/>
  <c r="T162" i="1"/>
  <c r="T21" i="1"/>
  <c r="T62" i="1"/>
  <c r="T167" i="1"/>
  <c r="T49" i="1"/>
  <c r="T65" i="1"/>
  <c r="T184" i="1"/>
  <c r="T146" i="1"/>
  <c r="T95" i="1"/>
  <c r="G180" i="1"/>
  <c r="S180" i="1" s="1"/>
  <c r="T93" i="1"/>
  <c r="T194" i="1"/>
  <c r="T160" i="1"/>
  <c r="T10" i="1"/>
  <c r="T189" i="1"/>
  <c r="T92" i="1"/>
  <c r="T54" i="1"/>
  <c r="T39" i="1"/>
  <c r="T87" i="1"/>
  <c r="T17" i="1"/>
  <c r="T198" i="1"/>
  <c r="T22" i="1"/>
  <c r="T70" i="1"/>
  <c r="R83" i="1"/>
  <c r="T83" i="1" s="1"/>
  <c r="T6" i="1"/>
  <c r="V6" i="1" s="1"/>
  <c r="T66" i="1"/>
  <c r="T63" i="1"/>
  <c r="R175" i="1"/>
  <c r="T175" i="1" s="1"/>
  <c r="F205" i="1"/>
  <c r="G204" i="1"/>
  <c r="S204" i="1" s="1"/>
  <c r="S31" i="1"/>
  <c r="K228" i="1"/>
  <c r="R99" i="1"/>
  <c r="S99" i="1"/>
  <c r="F85" i="1"/>
  <c r="G84" i="1"/>
  <c r="S84" i="1" s="1"/>
  <c r="K84" i="1"/>
  <c r="D132" i="1"/>
  <c r="G228" i="1"/>
  <c r="S228" i="1" s="1"/>
  <c r="O132" i="1"/>
  <c r="P132" i="1" s="1"/>
  <c r="O133" i="1"/>
  <c r="P133" i="1" s="1"/>
  <c r="R31" i="1"/>
  <c r="G100" i="1"/>
  <c r="D228" i="1"/>
  <c r="G132" i="1"/>
  <c r="K132" i="1"/>
  <c r="K180" i="1"/>
  <c r="O180" i="1"/>
  <c r="P180" i="1" s="1"/>
  <c r="F181" i="1"/>
  <c r="F101" i="1"/>
  <c r="O220" i="1"/>
  <c r="P220" i="1" s="1"/>
  <c r="F221" i="1"/>
  <c r="O4" i="1"/>
  <c r="P4" i="1" s="1"/>
  <c r="K220" i="1"/>
  <c r="O84" i="1"/>
  <c r="P84" i="1" s="1"/>
  <c r="G220" i="1"/>
  <c r="R220" i="1" s="1"/>
  <c r="W8" i="1"/>
  <c r="R171" i="1"/>
  <c r="T171" i="1" s="1"/>
  <c r="R36" i="1"/>
  <c r="T36" i="1" s="1"/>
  <c r="R151" i="1"/>
  <c r="T151" i="1" s="1"/>
  <c r="R155" i="1"/>
  <c r="T155" i="1" s="1"/>
  <c r="K56" i="1"/>
  <c r="R11" i="1"/>
  <c r="T11" i="1" s="1"/>
  <c r="R103" i="1"/>
  <c r="T103" i="1" s="1"/>
  <c r="R195" i="1"/>
  <c r="T195" i="1" s="1"/>
  <c r="R152" i="1"/>
  <c r="T152" i="1" s="1"/>
  <c r="R176" i="1"/>
  <c r="T176" i="1" s="1"/>
  <c r="R196" i="1"/>
  <c r="T196" i="1" s="1"/>
  <c r="R107" i="1"/>
  <c r="T107" i="1" s="1"/>
  <c r="D100" i="1"/>
  <c r="R35" i="1"/>
  <c r="T35" i="1" s="1"/>
  <c r="R219" i="1"/>
  <c r="T219" i="1" s="1"/>
  <c r="R3" i="1"/>
  <c r="T3" i="1" s="1"/>
  <c r="V3" i="1" s="1"/>
  <c r="R51" i="1"/>
  <c r="T51" i="1" s="1"/>
  <c r="R55" i="1"/>
  <c r="T55" i="1" s="1"/>
  <c r="R104" i="1"/>
  <c r="T104" i="1" s="1"/>
  <c r="R27" i="1"/>
  <c r="T27" i="1" s="1"/>
  <c r="R8" i="1"/>
  <c r="T8" i="1" s="1"/>
  <c r="G133" i="1"/>
  <c r="S133" i="1" s="1"/>
  <c r="R223" i="1"/>
  <c r="T223" i="1" s="1"/>
  <c r="R199" i="1"/>
  <c r="T199" i="1" s="1"/>
  <c r="R75" i="1"/>
  <c r="T75" i="1" s="1"/>
  <c r="R12" i="1"/>
  <c r="T12" i="1" s="1"/>
  <c r="R123" i="1"/>
  <c r="T123" i="1" s="1"/>
  <c r="R52" i="1"/>
  <c r="T52" i="1" s="1"/>
  <c r="D104" i="1"/>
  <c r="R172" i="1"/>
  <c r="T172" i="1" s="1"/>
  <c r="R228" i="1"/>
  <c r="T228" i="1" s="1"/>
  <c r="R227" i="1"/>
  <c r="T227" i="1" s="1"/>
  <c r="R200" i="1"/>
  <c r="T200" i="1" s="1"/>
  <c r="R179" i="1"/>
  <c r="T179" i="1" s="1"/>
  <c r="R173" i="1"/>
  <c r="T173" i="1" s="1"/>
  <c r="R127" i="1"/>
  <c r="T127" i="1" s="1"/>
  <c r="O100" i="1"/>
  <c r="P100" i="1" s="1"/>
  <c r="R7" i="1"/>
  <c r="T7" i="1" s="1"/>
  <c r="V7" i="1" s="1"/>
  <c r="F57" i="1"/>
  <c r="K104" i="1"/>
  <c r="G56" i="1"/>
  <c r="S56" i="1" s="1"/>
  <c r="K204" i="1"/>
  <c r="D204" i="1"/>
  <c r="K37" i="1"/>
  <c r="G37" i="1"/>
  <c r="S37" i="1" s="1"/>
  <c r="D37" i="1"/>
  <c r="F105" i="1"/>
  <c r="O104" i="1"/>
  <c r="P104" i="1" s="1"/>
  <c r="D56" i="1"/>
  <c r="F5" i="1"/>
  <c r="AB5" i="1" s="1"/>
  <c r="D4" i="1"/>
  <c r="G128" i="1"/>
  <c r="S128" i="1" s="1"/>
  <c r="D128" i="1"/>
  <c r="O128" i="1"/>
  <c r="P128" i="1" s="1"/>
  <c r="K128" i="1"/>
  <c r="F129" i="1"/>
  <c r="AB129" i="1" s="1"/>
  <c r="D80" i="1"/>
  <c r="F81" i="1"/>
  <c r="AB81" i="1" s="1"/>
  <c r="G80" i="1"/>
  <c r="S80" i="1" s="1"/>
  <c r="K80" i="1"/>
  <c r="O80" i="1"/>
  <c r="P80" i="1" s="1"/>
  <c r="K224" i="1"/>
  <c r="G224" i="1"/>
  <c r="S224" i="1" s="1"/>
  <c r="O224" i="1"/>
  <c r="P224" i="1" s="1"/>
  <c r="F225" i="1"/>
  <c r="AB225" i="1" s="1"/>
  <c r="D224" i="1"/>
  <c r="G156" i="1"/>
  <c r="S156" i="1" s="1"/>
  <c r="F157" i="1"/>
  <c r="AB157" i="1" s="1"/>
  <c r="K156" i="1"/>
  <c r="D156" i="1"/>
  <c r="O156" i="1"/>
  <c r="P156" i="1" s="1"/>
  <c r="D148" i="1"/>
  <c r="F149" i="1"/>
  <c r="AB149" i="1" s="1"/>
  <c r="G148" i="1"/>
  <c r="S148" i="1" s="1"/>
  <c r="K148" i="1"/>
  <c r="G9" i="1"/>
  <c r="S9" i="1" s="1"/>
  <c r="D9" i="1"/>
  <c r="K9" i="1"/>
  <c r="O9" i="1"/>
  <c r="P9" i="1" s="1"/>
  <c r="F77" i="1"/>
  <c r="AB77" i="1" s="1"/>
  <c r="D76" i="1"/>
  <c r="K76" i="1"/>
  <c r="G76" i="1"/>
  <c r="S76" i="1" s="1"/>
  <c r="D177" i="1"/>
  <c r="K177" i="1"/>
  <c r="G177" i="1"/>
  <c r="S177" i="1" s="1"/>
  <c r="G60" i="1"/>
  <c r="S60" i="1" s="1"/>
  <c r="D60" i="1"/>
  <c r="F61" i="1"/>
  <c r="AB61" i="1" s="1"/>
  <c r="O60" i="1"/>
  <c r="P60" i="1" s="1"/>
  <c r="K60" i="1"/>
  <c r="O177" i="1"/>
  <c r="P177" i="1" s="1"/>
  <c r="D229" i="1"/>
  <c r="D28" i="1"/>
  <c r="F29" i="1"/>
  <c r="AB29" i="1" s="1"/>
  <c r="G28" i="1"/>
  <c r="S28" i="1" s="1"/>
  <c r="K28" i="1"/>
  <c r="G53" i="1"/>
  <c r="S53" i="1" s="1"/>
  <c r="D53" i="1"/>
  <c r="K53" i="1"/>
  <c r="O53" i="1"/>
  <c r="P53" i="1" s="1"/>
  <c r="D205" i="1"/>
  <c r="K205" i="1"/>
  <c r="G205" i="1"/>
  <c r="S205" i="1" s="1"/>
  <c r="K197" i="1"/>
  <c r="O197" i="1"/>
  <c r="P197" i="1" s="1"/>
  <c r="G197" i="1"/>
  <c r="S197" i="1" s="1"/>
  <c r="D197" i="1"/>
  <c r="G108" i="1"/>
  <c r="S108" i="1" s="1"/>
  <c r="D108" i="1"/>
  <c r="F109" i="1"/>
  <c r="AB109" i="1" s="1"/>
  <c r="O108" i="1"/>
  <c r="P108" i="1" s="1"/>
  <c r="K108" i="1"/>
  <c r="O201" i="1"/>
  <c r="P201" i="1" s="1"/>
  <c r="G201" i="1"/>
  <c r="S201" i="1" s="1"/>
  <c r="D201" i="1"/>
  <c r="K201" i="1"/>
  <c r="G32" i="1"/>
  <c r="S32" i="1" s="1"/>
  <c r="D32" i="1"/>
  <c r="K32" i="1"/>
  <c r="F33" i="1"/>
  <c r="AB33" i="1" s="1"/>
  <c r="O32" i="1"/>
  <c r="P32" i="1" s="1"/>
  <c r="F125" i="1"/>
  <c r="AB125" i="1" s="1"/>
  <c r="D124" i="1"/>
  <c r="K124" i="1"/>
  <c r="G124" i="1"/>
  <c r="S124" i="1" s="1"/>
  <c r="K13" i="1"/>
  <c r="G13" i="1"/>
  <c r="S13" i="1" s="1"/>
  <c r="D13" i="1"/>
  <c r="B27" i="6" l="1"/>
  <c r="P239" i="3"/>
  <c r="S239" i="3" s="1" a="1"/>
  <c r="S239" i="3" s="1"/>
  <c r="S241" i="3" s="1"/>
  <c r="G117" i="3"/>
  <c r="E119" i="3" s="1" a="1"/>
  <c r="E119" i="3" s="1"/>
  <c r="B29" i="6" s="1"/>
  <c r="K256" i="3"/>
  <c r="M256" i="3" s="1" a="1"/>
  <c r="M256" i="3" s="1"/>
  <c r="B28" i="6" s="1"/>
  <c r="B31" i="6" s="1"/>
  <c r="B32" i="6" s="1"/>
  <c r="R180" i="1"/>
  <c r="T180" i="1" s="1"/>
  <c r="K229" i="1"/>
  <c r="T31" i="1"/>
  <c r="R4" i="1"/>
  <c r="T4" i="1" s="1"/>
  <c r="V4" i="1" s="1"/>
  <c r="AB153" i="1"/>
  <c r="K153" i="1"/>
  <c r="O153" i="1"/>
  <c r="P153" i="1" s="1"/>
  <c r="G153" i="1"/>
  <c r="D153" i="1"/>
  <c r="K105" i="1"/>
  <c r="AB105" i="1"/>
  <c r="O205" i="1"/>
  <c r="P205" i="1" s="1"/>
  <c r="AB205" i="1"/>
  <c r="K133" i="1"/>
  <c r="AB133" i="1"/>
  <c r="D85" i="1"/>
  <c r="AB85" i="1"/>
  <c r="G101" i="1"/>
  <c r="S101" i="1" s="1"/>
  <c r="AB101" i="1"/>
  <c r="D57" i="1"/>
  <c r="AB57" i="1"/>
  <c r="D181" i="1"/>
  <c r="AB181" i="1"/>
  <c r="T99" i="1"/>
  <c r="O229" i="1"/>
  <c r="P229" i="1" s="1"/>
  <c r="AB229" i="1"/>
  <c r="D221" i="1"/>
  <c r="AB221" i="1"/>
  <c r="D105" i="1"/>
  <c r="R204" i="1"/>
  <c r="T204" i="1" s="1"/>
  <c r="G181" i="1"/>
  <c r="S181" i="1" s="1"/>
  <c r="O181" i="1"/>
  <c r="P181" i="1" s="1"/>
  <c r="K181" i="1"/>
  <c r="G85" i="1"/>
  <c r="S85" i="1" s="1"/>
  <c r="R84" i="1"/>
  <c r="T84" i="1" s="1"/>
  <c r="R132" i="1"/>
  <c r="T132" i="1" s="1"/>
  <c r="S132" i="1"/>
  <c r="K85" i="1"/>
  <c r="R100" i="1"/>
  <c r="S100" i="1"/>
  <c r="S220" i="1"/>
  <c r="T220" i="1" s="1"/>
  <c r="O85" i="1"/>
  <c r="P85" i="1" s="1"/>
  <c r="G105" i="1"/>
  <c r="S105" i="1" s="1"/>
  <c r="K221" i="1"/>
  <c r="G221" i="1"/>
  <c r="S221" i="1" s="1"/>
  <c r="O221" i="1"/>
  <c r="P221" i="1" s="1"/>
  <c r="O105" i="1"/>
  <c r="P105" i="1" s="1"/>
  <c r="O101" i="1"/>
  <c r="P101" i="1" s="1"/>
  <c r="K101" i="1"/>
  <c r="G57" i="1"/>
  <c r="S57" i="1" s="1"/>
  <c r="D101" i="1"/>
  <c r="K57" i="1"/>
  <c r="W9" i="1"/>
  <c r="V8" i="1"/>
  <c r="R205" i="1"/>
  <c r="T205" i="1" s="1"/>
  <c r="R9" i="1"/>
  <c r="T9" i="1" s="1"/>
  <c r="R60" i="1"/>
  <c r="T60" i="1" s="1"/>
  <c r="R76" i="1"/>
  <c r="T76" i="1" s="1"/>
  <c r="R80" i="1"/>
  <c r="T80" i="1" s="1"/>
  <c r="R128" i="1"/>
  <c r="T128" i="1" s="1"/>
  <c r="R201" i="1"/>
  <c r="T201" i="1" s="1"/>
  <c r="R37" i="1"/>
  <c r="T37" i="1" s="1"/>
  <c r="R28" i="1"/>
  <c r="T28" i="1" s="1"/>
  <c r="R108" i="1"/>
  <c r="T108" i="1" s="1"/>
  <c r="R56" i="1"/>
  <c r="T56" i="1" s="1"/>
  <c r="R156" i="1"/>
  <c r="T156" i="1" s="1"/>
  <c r="R197" i="1"/>
  <c r="T197" i="1" s="1"/>
  <c r="R177" i="1"/>
  <c r="T177" i="1" s="1"/>
  <c r="R32" i="1"/>
  <c r="T32" i="1" s="1"/>
  <c r="O57" i="1"/>
  <c r="P57" i="1" s="1"/>
  <c r="R148" i="1"/>
  <c r="T148" i="1" s="1"/>
  <c r="R224" i="1"/>
  <c r="T224" i="1" s="1"/>
  <c r="R124" i="1"/>
  <c r="T124" i="1" s="1"/>
  <c r="R13" i="1"/>
  <c r="T13" i="1" s="1"/>
  <c r="R53" i="1"/>
  <c r="T53" i="1" s="1"/>
  <c r="R229" i="1"/>
  <c r="T229" i="1" s="1"/>
  <c r="R133" i="1"/>
  <c r="T133" i="1" s="1"/>
  <c r="O5" i="1"/>
  <c r="P5" i="1" s="1"/>
  <c r="D5" i="1"/>
  <c r="K5" i="1"/>
  <c r="G5" i="1"/>
  <c r="S5" i="1" s="1"/>
  <c r="G81" i="1"/>
  <c r="S81" i="1" s="1"/>
  <c r="D81" i="1"/>
  <c r="K81" i="1"/>
  <c r="O81" i="1"/>
  <c r="P81" i="1" s="1"/>
  <c r="G149" i="1"/>
  <c r="S149" i="1" s="1"/>
  <c r="D149" i="1"/>
  <c r="O149" i="1"/>
  <c r="P149" i="1" s="1"/>
  <c r="K149" i="1"/>
  <c r="D125" i="1"/>
  <c r="K125" i="1"/>
  <c r="G125" i="1"/>
  <c r="S125" i="1" s="1"/>
  <c r="O125" i="1"/>
  <c r="P125" i="1" s="1"/>
  <c r="D77" i="1"/>
  <c r="K77" i="1"/>
  <c r="G77" i="1"/>
  <c r="S77" i="1" s="1"/>
  <c r="O77" i="1"/>
  <c r="P77" i="1" s="1"/>
  <c r="K109" i="1"/>
  <c r="G109" i="1"/>
  <c r="S109" i="1" s="1"/>
  <c r="D109" i="1"/>
  <c r="O109" i="1"/>
  <c r="P109" i="1" s="1"/>
  <c r="K61" i="1"/>
  <c r="G61" i="1"/>
  <c r="S61" i="1" s="1"/>
  <c r="D61" i="1"/>
  <c r="O61" i="1"/>
  <c r="P61" i="1" s="1"/>
  <c r="K129" i="1"/>
  <c r="G129" i="1"/>
  <c r="S129" i="1" s="1"/>
  <c r="O129" i="1"/>
  <c r="P129" i="1" s="1"/>
  <c r="D129" i="1"/>
  <c r="K33" i="1"/>
  <c r="G33" i="1"/>
  <c r="S33" i="1" s="1"/>
  <c r="D33" i="1"/>
  <c r="O33" i="1"/>
  <c r="P33" i="1" s="1"/>
  <c r="K29" i="1"/>
  <c r="G29" i="1"/>
  <c r="S29" i="1" s="1"/>
  <c r="O29" i="1"/>
  <c r="P29" i="1" s="1"/>
  <c r="D29" i="1"/>
  <c r="K157" i="1"/>
  <c r="G157" i="1"/>
  <c r="S157" i="1" s="1"/>
  <c r="D157" i="1"/>
  <c r="O157" i="1"/>
  <c r="P157" i="1" s="1"/>
  <c r="O225" i="1"/>
  <c r="P225" i="1" s="1"/>
  <c r="K225" i="1"/>
  <c r="D225" i="1"/>
  <c r="G225" i="1"/>
  <c r="S225" i="1" s="1"/>
  <c r="A42" i="6" l="1"/>
  <c r="B35" i="6" s="1"/>
  <c r="B30" i="6"/>
  <c r="B34" i="6" s="1"/>
  <c r="L44" i="2" a="1"/>
  <c r="L44" i="2" s="1"/>
  <c r="B146" i="14"/>
  <c r="B95" i="14"/>
  <c r="B96" i="14" s="1"/>
  <c r="B97" i="14" s="1"/>
  <c r="B98" i="14" s="1"/>
  <c r="B99" i="14" s="1"/>
  <c r="B100" i="14" s="1"/>
  <c r="B101" i="14" s="1"/>
  <c r="B102" i="14" s="1"/>
  <c r="B103" i="14" s="1"/>
  <c r="B104" i="14" s="1"/>
  <c r="B105" i="14" s="1"/>
  <c r="B106" i="14" s="1"/>
  <c r="B107" i="14" s="1"/>
  <c r="B108" i="14" s="1"/>
  <c r="B109" i="14" s="1"/>
  <c r="B110" i="14" s="1"/>
  <c r="B111" i="14" s="1"/>
  <c r="B112" i="14" s="1"/>
  <c r="B113" i="14" s="1"/>
  <c r="B114" i="14" s="1"/>
  <c r="B115" i="14" s="1"/>
  <c r="B116" i="14" s="1"/>
  <c r="B117" i="14" s="1"/>
  <c r="B118" i="14" s="1"/>
  <c r="B119" i="14" s="1"/>
  <c r="B120" i="14" s="1"/>
  <c r="B121" i="14" s="1"/>
  <c r="B122" i="14" s="1"/>
  <c r="B123" i="14" s="1"/>
  <c r="B124" i="14" s="1"/>
  <c r="B125" i="14" s="1"/>
  <c r="B126" i="14" s="1"/>
  <c r="B127" i="14" s="1"/>
  <c r="B128" i="14" s="1"/>
  <c r="B129" i="14" s="1"/>
  <c r="B130" i="14" s="1"/>
  <c r="B131" i="14" s="1"/>
  <c r="B132" i="14" s="1"/>
  <c r="B133" i="14" s="1"/>
  <c r="B134" i="14" s="1"/>
  <c r="B135" i="14" s="1"/>
  <c r="B136" i="14" s="1"/>
  <c r="B137" i="14" s="1"/>
  <c r="B138" i="14" s="1"/>
  <c r="B139" i="14" s="1"/>
  <c r="B140" i="14" s="1"/>
  <c r="B141" i="14" s="1"/>
  <c r="B142" i="14" s="1"/>
  <c r="B46" i="14"/>
  <c r="B2" i="14"/>
  <c r="B3" i="14" s="1"/>
  <c r="B4" i="14" s="1"/>
  <c r="B5" i="14" s="1"/>
  <c r="B6" i="14" s="1"/>
  <c r="B7" i="14" s="1"/>
  <c r="B8" i="14" s="1"/>
  <c r="B9" i="14" s="1"/>
  <c r="B10" i="14" s="1"/>
  <c r="B11" i="14" s="1"/>
  <c r="B12" i="14" s="1"/>
  <c r="L14" i="4"/>
  <c r="L11" i="4" s="1" a="1"/>
  <c r="L11" i="4" s="1"/>
  <c r="I29" i="4"/>
  <c r="T100" i="1"/>
  <c r="R101" i="1"/>
  <c r="T101" i="1" s="1"/>
  <c r="R85" i="1"/>
  <c r="T85" i="1" s="1"/>
  <c r="S153" i="1"/>
  <c r="R153" i="1"/>
  <c r="T153" i="1" s="1"/>
  <c r="R181" i="1"/>
  <c r="T181" i="1" s="1"/>
  <c r="R105" i="1"/>
  <c r="T105" i="1" s="1"/>
  <c r="R221" i="1"/>
  <c r="T221" i="1" s="1"/>
  <c r="R57" i="1"/>
  <c r="T57" i="1" s="1"/>
  <c r="W10" i="1"/>
  <c r="V9" i="1"/>
  <c r="R129" i="1"/>
  <c r="T129" i="1" s="1"/>
  <c r="R225" i="1"/>
  <c r="T225" i="1" s="1"/>
  <c r="R157" i="1"/>
  <c r="T157" i="1" s="1"/>
  <c r="R109" i="1"/>
  <c r="T109" i="1" s="1"/>
  <c r="R149" i="1"/>
  <c r="T149" i="1" s="1"/>
  <c r="R33" i="1"/>
  <c r="T33" i="1" s="1"/>
  <c r="R125" i="1"/>
  <c r="T125" i="1" s="1"/>
  <c r="R5" i="1"/>
  <c r="T5" i="1" s="1"/>
  <c r="V5" i="1" s="1"/>
  <c r="R61" i="1"/>
  <c r="T61" i="1" s="1"/>
  <c r="R29" i="1"/>
  <c r="T29" i="1" s="1"/>
  <c r="R77" i="1"/>
  <c r="T77" i="1" s="1"/>
  <c r="R81" i="1"/>
  <c r="T81" i="1" s="1"/>
  <c r="J13" i="2"/>
  <c r="C16" i="14" l="1"/>
  <c r="C134" i="14"/>
  <c r="C53" i="14"/>
  <c r="C46" i="14"/>
  <c r="D46" i="14" s="1"/>
  <c r="C50" i="14"/>
  <c r="C19" i="14"/>
  <c r="C133" i="14"/>
  <c r="C82" i="14"/>
  <c r="C41" i="14"/>
  <c r="C90" i="14"/>
  <c r="C135" i="14"/>
  <c r="C97" i="14"/>
  <c r="D97" i="14" s="1"/>
  <c r="C132" i="14"/>
  <c r="C48" i="14"/>
  <c r="C89" i="14"/>
  <c r="C120" i="14"/>
  <c r="C20" i="14"/>
  <c r="C59" i="14"/>
  <c r="C123" i="14"/>
  <c r="C32" i="14"/>
  <c r="C66" i="14"/>
  <c r="C91" i="14"/>
  <c r="C23" i="14"/>
  <c r="C64" i="14"/>
  <c r="C13" i="14"/>
  <c r="C70" i="14"/>
  <c r="C30" i="14"/>
  <c r="C99" i="14"/>
  <c r="D99" i="14" s="1"/>
  <c r="C122" i="14"/>
  <c r="C110" i="14"/>
  <c r="C79" i="14"/>
  <c r="C130" i="14"/>
  <c r="C29" i="14"/>
  <c r="C68" i="14"/>
  <c r="C56" i="14"/>
  <c r="C39" i="14"/>
  <c r="C88" i="14"/>
  <c r="C25" i="14"/>
  <c r="C137" i="14"/>
  <c r="C51" i="14"/>
  <c r="C77" i="14"/>
  <c r="C111" i="14"/>
  <c r="C116" i="14"/>
  <c r="C107" i="14"/>
  <c r="D107" i="14" s="1"/>
  <c r="C136" i="14"/>
  <c r="C113" i="14"/>
  <c r="C73" i="14"/>
  <c r="C129" i="14"/>
  <c r="C33" i="14"/>
  <c r="C128" i="14"/>
  <c r="C36" i="14"/>
  <c r="C121" i="14"/>
  <c r="C61" i="14"/>
  <c r="C125" i="14"/>
  <c r="C100" i="14"/>
  <c r="D100" i="14" s="1"/>
  <c r="C114" i="14"/>
  <c r="C112" i="14"/>
  <c r="C57" i="14"/>
  <c r="C37" i="14"/>
  <c r="C47" i="14"/>
  <c r="C105" i="14"/>
  <c r="D105" i="14" s="1"/>
  <c r="C80" i="14"/>
  <c r="C27" i="14"/>
  <c r="C65" i="14"/>
  <c r="C142" i="14"/>
  <c r="C131" i="14"/>
  <c r="C71" i="14"/>
  <c r="C76" i="14"/>
  <c r="C149" i="14"/>
  <c r="C7" i="14"/>
  <c r="D7" i="14" s="1"/>
  <c r="F7" i="14" s="1"/>
  <c r="C42" i="14"/>
  <c r="C141" i="14"/>
  <c r="C63" i="14"/>
  <c r="C15" i="14"/>
  <c r="C117" i="14"/>
  <c r="C2" i="14"/>
  <c r="D2" i="14" s="1"/>
  <c r="F2" i="14" s="1"/>
  <c r="C5" i="14"/>
  <c r="D5" i="14" s="1"/>
  <c r="F5" i="14" s="1"/>
  <c r="C140" i="14"/>
  <c r="C28" i="14"/>
  <c r="C21" i="14"/>
  <c r="C87" i="14"/>
  <c r="C96" i="14"/>
  <c r="D96" i="14" s="1"/>
  <c r="C69" i="14"/>
  <c r="C52" i="14"/>
  <c r="C109" i="14"/>
  <c r="C119" i="14"/>
  <c r="C86" i="14"/>
  <c r="C95" i="14"/>
  <c r="D95" i="14" s="1"/>
  <c r="C118" i="14"/>
  <c r="C12" i="14"/>
  <c r="D12" i="14" s="1"/>
  <c r="F12" i="14" s="1"/>
  <c r="C10" i="14"/>
  <c r="D10" i="14" s="1"/>
  <c r="F10" i="14" s="1"/>
  <c r="C40" i="14"/>
  <c r="C83" i="14"/>
  <c r="C85" i="14"/>
  <c r="C62" i="14"/>
  <c r="C18" i="14"/>
  <c r="C55" i="14"/>
  <c r="C84" i="14"/>
  <c r="C126" i="14"/>
  <c r="C74" i="14"/>
  <c r="C104" i="14"/>
  <c r="D104" i="14" s="1"/>
  <c r="C115" i="14"/>
  <c r="C102" i="14"/>
  <c r="D102" i="14" s="1"/>
  <c r="C49" i="14"/>
  <c r="C139" i="14"/>
  <c r="C72" i="14"/>
  <c r="C138" i="14"/>
  <c r="C124" i="14"/>
  <c r="C101" i="14"/>
  <c r="D101" i="14" s="1"/>
  <c r="C26" i="14"/>
  <c r="C11" i="14"/>
  <c r="D11" i="14" s="1"/>
  <c r="F11" i="14" s="1"/>
  <c r="C17" i="14"/>
  <c r="C108" i="14"/>
  <c r="C98" i="14"/>
  <c r="D98" i="14" s="1"/>
  <c r="C60" i="14"/>
  <c r="C81" i="14"/>
  <c r="C67" i="14"/>
  <c r="C8" i="14"/>
  <c r="D8" i="14" s="1"/>
  <c r="F8" i="14" s="1"/>
  <c r="C78" i="14"/>
  <c r="C103" i="14"/>
  <c r="D103" i="14" s="1"/>
  <c r="C127" i="14"/>
  <c r="C9" i="14"/>
  <c r="D9" i="14" s="1"/>
  <c r="F9" i="14" s="1"/>
  <c r="C22" i="14"/>
  <c r="C38" i="14"/>
  <c r="C24" i="14"/>
  <c r="C34" i="14"/>
  <c r="C3" i="14"/>
  <c r="D3" i="14" s="1"/>
  <c r="F3" i="14" s="1"/>
  <c r="C31" i="14"/>
  <c r="C75" i="14"/>
  <c r="C54" i="14"/>
  <c r="C58" i="14"/>
  <c r="C6" i="14"/>
  <c r="D6" i="14" s="1"/>
  <c r="F6" i="14" s="1"/>
  <c r="C14" i="14"/>
  <c r="C4" i="14"/>
  <c r="D4" i="14" s="1"/>
  <c r="F4" i="14" s="1"/>
  <c r="C35" i="14"/>
  <c r="C106" i="14"/>
  <c r="D106" i="14" s="1"/>
  <c r="B47" i="14"/>
  <c r="B48" i="14" s="1"/>
  <c r="A41" i="4"/>
  <c r="B41" i="4" s="1"/>
  <c r="D41" i="4" s="1"/>
  <c r="R44" i="13" a="1"/>
  <c r="R44" i="13" s="1"/>
  <c r="N44" i="13" a="1"/>
  <c r="N44" i="13" s="1"/>
  <c r="V44" i="13" a="1"/>
  <c r="V44" i="13" s="1"/>
  <c r="E44" i="13" a="1"/>
  <c r="E44" i="13" s="1"/>
  <c r="J44" i="13" a="1"/>
  <c r="J44" i="13" s="1"/>
  <c r="B13" i="14"/>
  <c r="E46" i="14"/>
  <c r="E79" i="14"/>
  <c r="E78" i="14"/>
  <c r="E77" i="14"/>
  <c r="E76" i="14"/>
  <c r="E75" i="14"/>
  <c r="E74" i="14"/>
  <c r="E73" i="14"/>
  <c r="E72" i="14"/>
  <c r="E71" i="14"/>
  <c r="E70" i="14"/>
  <c r="E69" i="14"/>
  <c r="E68" i="14"/>
  <c r="E91" i="14"/>
  <c r="E67" i="14"/>
  <c r="E66" i="14"/>
  <c r="E65" i="14"/>
  <c r="E90" i="14"/>
  <c r="E89" i="14"/>
  <c r="E88" i="14"/>
  <c r="E64" i="14"/>
  <c r="E87" i="14"/>
  <c r="E63" i="14"/>
  <c r="E86" i="14"/>
  <c r="E62" i="14"/>
  <c r="E61" i="14"/>
  <c r="E85" i="14"/>
  <c r="E84" i="14"/>
  <c r="E60" i="14"/>
  <c r="E59" i="14"/>
  <c r="E83" i="14"/>
  <c r="E82" i="14"/>
  <c r="E58" i="14"/>
  <c r="E56" i="14"/>
  <c r="E81" i="14"/>
  <c r="E57" i="14"/>
  <c r="E80" i="14"/>
  <c r="E50" i="14"/>
  <c r="E48" i="14"/>
  <c r="E47" i="14"/>
  <c r="E53" i="14"/>
  <c r="E49" i="14"/>
  <c r="E51" i="14"/>
  <c r="E55" i="14"/>
  <c r="E52" i="14"/>
  <c r="E54" i="14"/>
  <c r="W11" i="1"/>
  <c r="V10" i="1"/>
  <c r="J14" i="2"/>
  <c r="D47" i="14" l="1"/>
  <c r="F47" i="14" s="1"/>
  <c r="F29" i="13"/>
  <c r="H29" i="13"/>
  <c r="G29" i="13"/>
  <c r="J29" i="13" s="1"/>
  <c r="B49" i="14"/>
  <c r="B50" i="14" s="1"/>
  <c r="B51" i="14" s="1"/>
  <c r="B52" i="14" s="1"/>
  <c r="B53" i="14" s="1"/>
  <c r="B54" i="14" s="1"/>
  <c r="B55" i="14" s="1"/>
  <c r="B56" i="14" s="1"/>
  <c r="B57" i="14" s="1"/>
  <c r="D48" i="14"/>
  <c r="F48" i="14" s="1"/>
  <c r="E134" i="14"/>
  <c r="E121" i="14"/>
  <c r="E107" i="14"/>
  <c r="E114" i="14"/>
  <c r="E108" i="14"/>
  <c r="E138" i="14"/>
  <c r="E109" i="14"/>
  <c r="E112" i="14"/>
  <c r="E135" i="14"/>
  <c r="E101" i="14"/>
  <c r="E111" i="14"/>
  <c r="E99" i="14"/>
  <c r="E117" i="14"/>
  <c r="E123" i="14"/>
  <c r="E118" i="14"/>
  <c r="E139" i="14"/>
  <c r="E136" i="14"/>
  <c r="E110" i="14"/>
  <c r="E102" i="14"/>
  <c r="E104" i="14"/>
  <c r="E131" i="14"/>
  <c r="E129" i="14"/>
  <c r="E128" i="14"/>
  <c r="E103" i="14"/>
  <c r="E119" i="14"/>
  <c r="E95" i="14"/>
  <c r="E133" i="14"/>
  <c r="E132" i="14"/>
  <c r="E96" i="14"/>
  <c r="E130" i="14"/>
  <c r="E120" i="14"/>
  <c r="E127" i="14"/>
  <c r="E141" i="14"/>
  <c r="E125" i="14"/>
  <c r="E124" i="14"/>
  <c r="E106" i="14"/>
  <c r="E105" i="14"/>
  <c r="E97" i="14"/>
  <c r="E98" i="14"/>
  <c r="E100" i="14"/>
  <c r="E142" i="14"/>
  <c r="E116" i="14"/>
  <c r="E126" i="14"/>
  <c r="E115" i="14"/>
  <c r="E137" i="14"/>
  <c r="E113" i="14"/>
  <c r="E122" i="14"/>
  <c r="E140" i="14"/>
  <c r="F46" i="14"/>
  <c r="B14" i="14"/>
  <c r="D13" i="14"/>
  <c r="F13" i="14" s="1"/>
  <c r="D108" i="14"/>
  <c r="W12" i="1"/>
  <c r="V11" i="1"/>
  <c r="J15" i="2"/>
  <c r="D53" i="14" l="1"/>
  <c r="F53" i="14" s="1"/>
  <c r="D49" i="14"/>
  <c r="F49" i="14" s="1"/>
  <c r="D56" i="14"/>
  <c r="F56" i="14" s="1"/>
  <c r="D50" i="14"/>
  <c r="F50" i="14" s="1"/>
  <c r="D54" i="14"/>
  <c r="F54" i="14" s="1"/>
  <c r="D52" i="14"/>
  <c r="F52" i="14" s="1"/>
  <c r="B58" i="14"/>
  <c r="D57" i="14"/>
  <c r="F57" i="14" s="1"/>
  <c r="D55" i="14"/>
  <c r="F55" i="14" s="1"/>
  <c r="D51" i="14"/>
  <c r="F51" i="14" s="1"/>
  <c r="B15" i="14"/>
  <c r="D14" i="14"/>
  <c r="F14" i="14" s="1"/>
  <c r="D109" i="14"/>
  <c r="W13" i="1"/>
  <c r="V12" i="1"/>
  <c r="J16" i="2"/>
  <c r="B16" i="14" l="1"/>
  <c r="D15" i="14"/>
  <c r="F15" i="14" s="1"/>
  <c r="B59" i="14"/>
  <c r="D58" i="14"/>
  <c r="F58" i="14" s="1"/>
  <c r="D110" i="14"/>
  <c r="F110" i="14" s="1"/>
  <c r="W14" i="1"/>
  <c r="V13" i="1"/>
  <c r="J17" i="2"/>
  <c r="B60" i="14" l="1"/>
  <c r="D59" i="14"/>
  <c r="F59" i="14" s="1"/>
  <c r="B17" i="14"/>
  <c r="D16" i="14"/>
  <c r="F16" i="14" s="1"/>
  <c r="D111" i="14"/>
  <c r="F111" i="14" s="1"/>
  <c r="W15" i="1"/>
  <c r="V14" i="1"/>
  <c r="J18" i="2"/>
  <c r="B18" i="14" l="1"/>
  <c r="D17" i="14"/>
  <c r="F17" i="14" s="1"/>
  <c r="B61" i="14"/>
  <c r="D60" i="14"/>
  <c r="F60" i="14" s="1"/>
  <c r="D112" i="14"/>
  <c r="F112" i="14" s="1"/>
  <c r="W16" i="1"/>
  <c r="V15" i="1"/>
  <c r="J19" i="2"/>
  <c r="B62" i="14" l="1"/>
  <c r="D61" i="14"/>
  <c r="F61" i="14" s="1"/>
  <c r="B19" i="14"/>
  <c r="D18" i="14"/>
  <c r="F18" i="14" s="1"/>
  <c r="D113" i="14"/>
  <c r="F113" i="14" s="1"/>
  <c r="W17" i="1"/>
  <c r="V16" i="1"/>
  <c r="J20" i="2"/>
  <c r="B20" i="14" l="1"/>
  <c r="D19" i="14"/>
  <c r="F19" i="14" s="1"/>
  <c r="B63" i="14"/>
  <c r="D62" i="14"/>
  <c r="F62" i="14" s="1"/>
  <c r="D114" i="14"/>
  <c r="F114" i="14" s="1"/>
  <c r="W18" i="1"/>
  <c r="V17" i="1"/>
  <c r="J21" i="2"/>
  <c r="B64" i="14" l="1"/>
  <c r="D63" i="14"/>
  <c r="F63" i="14" s="1"/>
  <c r="B21" i="14"/>
  <c r="D20" i="14"/>
  <c r="F20" i="14" s="1"/>
  <c r="D115" i="14"/>
  <c r="F115" i="14" s="1"/>
  <c r="W19" i="1"/>
  <c r="V18" i="1"/>
  <c r="J22" i="2"/>
  <c r="B22" i="14" l="1"/>
  <c r="D21" i="14"/>
  <c r="F21" i="14" s="1"/>
  <c r="B65" i="14"/>
  <c r="D64" i="14"/>
  <c r="F64" i="14" s="1"/>
  <c r="D116" i="14"/>
  <c r="F116" i="14" s="1"/>
  <c r="W20" i="1"/>
  <c r="V19" i="1"/>
  <c r="J23" i="2"/>
  <c r="B66" i="14" l="1"/>
  <c r="D65" i="14"/>
  <c r="F65" i="14" s="1"/>
  <c r="B23" i="14"/>
  <c r="D22" i="14"/>
  <c r="F22" i="14" s="1"/>
  <c r="D117" i="14"/>
  <c r="F117" i="14" s="1"/>
  <c r="W21" i="1"/>
  <c r="V20" i="1"/>
  <c r="J24" i="2"/>
  <c r="B24" i="14" l="1"/>
  <c r="D23" i="14"/>
  <c r="F23" i="14" s="1"/>
  <c r="B67" i="14"/>
  <c r="D66" i="14"/>
  <c r="F66" i="14" s="1"/>
  <c r="D118" i="14"/>
  <c r="F118" i="14" s="1"/>
  <c r="W22" i="1"/>
  <c r="V21" i="1"/>
  <c r="J25" i="2"/>
  <c r="B68" i="14" l="1"/>
  <c r="D67" i="14"/>
  <c r="F67" i="14" s="1"/>
  <c r="B25" i="14"/>
  <c r="D24" i="14"/>
  <c r="F24" i="14" s="1"/>
  <c r="D119" i="14"/>
  <c r="F119" i="14" s="1"/>
  <c r="W23" i="1"/>
  <c r="V22" i="1"/>
  <c r="J26" i="2"/>
  <c r="B26" i="14" l="1"/>
  <c r="D25" i="14"/>
  <c r="F25" i="14" s="1"/>
  <c r="B69" i="14"/>
  <c r="D68" i="14"/>
  <c r="F68" i="14" s="1"/>
  <c r="D120" i="14"/>
  <c r="F120" i="14" s="1"/>
  <c r="W24" i="1"/>
  <c r="V23" i="1"/>
  <c r="J27" i="2"/>
  <c r="B70" i="14" l="1"/>
  <c r="D69" i="14"/>
  <c r="F69" i="14" s="1"/>
  <c r="B27" i="14"/>
  <c r="D26" i="14"/>
  <c r="F26" i="14" s="1"/>
  <c r="D121" i="14"/>
  <c r="F121" i="14" s="1"/>
  <c r="W25" i="1"/>
  <c r="V24" i="1"/>
  <c r="J28" i="2"/>
  <c r="B28" i="14" l="1"/>
  <c r="D27" i="14"/>
  <c r="F27" i="14" s="1"/>
  <c r="B71" i="14"/>
  <c r="D70" i="14"/>
  <c r="F70" i="14" s="1"/>
  <c r="D122" i="14"/>
  <c r="F122" i="14" s="1"/>
  <c r="W26" i="1"/>
  <c r="V25" i="1"/>
  <c r="J29" i="2"/>
  <c r="B72" i="14" l="1"/>
  <c r="D71" i="14"/>
  <c r="F71" i="14" s="1"/>
  <c r="B29" i="14"/>
  <c r="D28" i="14"/>
  <c r="F28" i="14" s="1"/>
  <c r="D123" i="14"/>
  <c r="F123" i="14" s="1"/>
  <c r="W27" i="1"/>
  <c r="V26" i="1"/>
  <c r="J30" i="2"/>
  <c r="B30" i="14" l="1"/>
  <c r="D29" i="14"/>
  <c r="F29" i="14" s="1"/>
  <c r="B73" i="14"/>
  <c r="D72" i="14"/>
  <c r="F72" i="14" s="1"/>
  <c r="D124" i="14"/>
  <c r="F124" i="14" s="1"/>
  <c r="W28" i="1"/>
  <c r="V27" i="1"/>
  <c r="J31" i="2"/>
  <c r="B74" i="14" l="1"/>
  <c r="D73" i="14"/>
  <c r="F73" i="14" s="1"/>
  <c r="B31" i="14"/>
  <c r="D30" i="14"/>
  <c r="F30" i="14" s="1"/>
  <c r="D125" i="14"/>
  <c r="F125" i="14" s="1"/>
  <c r="W29" i="1"/>
  <c r="V28" i="1"/>
  <c r="J32" i="2"/>
  <c r="B32" i="14" l="1"/>
  <c r="D31" i="14"/>
  <c r="F31" i="14" s="1"/>
  <c r="B75" i="14"/>
  <c r="D74" i="14"/>
  <c r="F74" i="14" s="1"/>
  <c r="D126" i="14"/>
  <c r="F126" i="14" s="1"/>
  <c r="W30" i="1"/>
  <c r="V29" i="1"/>
  <c r="J33" i="2"/>
  <c r="B76" i="14" l="1"/>
  <c r="D75" i="14"/>
  <c r="F75" i="14" s="1"/>
  <c r="B33" i="14"/>
  <c r="D32" i="14"/>
  <c r="F32" i="14" s="1"/>
  <c r="D127" i="14"/>
  <c r="F127" i="14" s="1"/>
  <c r="W31" i="1"/>
  <c r="V30" i="1"/>
  <c r="J34" i="2"/>
  <c r="B34" i="14" l="1"/>
  <c r="D33" i="14"/>
  <c r="F33" i="14" s="1"/>
  <c r="B77" i="14"/>
  <c r="D76" i="14"/>
  <c r="F76" i="14" s="1"/>
  <c r="D128" i="14"/>
  <c r="F128" i="14" s="1"/>
  <c r="W32" i="1"/>
  <c r="V31" i="1"/>
  <c r="J35" i="2"/>
  <c r="B78" i="14" l="1"/>
  <c r="D77" i="14"/>
  <c r="F77" i="14" s="1"/>
  <c r="B35" i="14"/>
  <c r="D34" i="14"/>
  <c r="F34" i="14" s="1"/>
  <c r="D129" i="14"/>
  <c r="F129" i="14" s="1"/>
  <c r="W33" i="1"/>
  <c r="V32" i="1"/>
  <c r="J36" i="2"/>
  <c r="B36" i="14" l="1"/>
  <c r="D35" i="14"/>
  <c r="F35" i="14" s="1"/>
  <c r="B79" i="14"/>
  <c r="D78" i="14"/>
  <c r="F78" i="14" s="1"/>
  <c r="D130" i="14"/>
  <c r="F130" i="14" s="1"/>
  <c r="W34" i="1"/>
  <c r="V33" i="1"/>
  <c r="J37" i="2"/>
  <c r="B80" i="14" l="1"/>
  <c r="D79" i="14"/>
  <c r="F79" i="14" s="1"/>
  <c r="B37" i="14"/>
  <c r="D36" i="14"/>
  <c r="F36" i="14" s="1"/>
  <c r="D131" i="14"/>
  <c r="F131" i="14" s="1"/>
  <c r="W35" i="1"/>
  <c r="V34" i="1"/>
  <c r="J38" i="2"/>
  <c r="B38" i="14" l="1"/>
  <c r="D37" i="14"/>
  <c r="F37" i="14" s="1"/>
  <c r="B81" i="14"/>
  <c r="D80" i="14"/>
  <c r="F80" i="14" s="1"/>
  <c r="D132" i="14"/>
  <c r="F132" i="14" s="1"/>
  <c r="W36" i="1"/>
  <c r="V35" i="1"/>
  <c r="J39" i="2"/>
  <c r="B82" i="14" l="1"/>
  <c r="D81" i="14"/>
  <c r="F81" i="14" s="1"/>
  <c r="B39" i="14"/>
  <c r="D38" i="14"/>
  <c r="F38" i="14" s="1"/>
  <c r="D133" i="14"/>
  <c r="F133" i="14" s="1"/>
  <c r="W37" i="1"/>
  <c r="V36" i="1"/>
  <c r="J40" i="2"/>
  <c r="B40" i="14" l="1"/>
  <c r="D39" i="14"/>
  <c r="F39" i="14" s="1"/>
  <c r="B83" i="14"/>
  <c r="D82" i="14"/>
  <c r="F82" i="14" s="1"/>
  <c r="D134" i="14"/>
  <c r="F134" i="14" s="1"/>
  <c r="W38" i="1"/>
  <c r="V37" i="1"/>
  <c r="J41" i="2"/>
  <c r="B84" i="14" l="1"/>
  <c r="D83" i="14"/>
  <c r="F83" i="14" s="1"/>
  <c r="B41" i="14"/>
  <c r="D40" i="14"/>
  <c r="F40" i="14" s="1"/>
  <c r="D135" i="14"/>
  <c r="F135" i="14" s="1"/>
  <c r="W39" i="1"/>
  <c r="V38" i="1"/>
  <c r="B42" i="14" l="1"/>
  <c r="D42" i="14" s="1"/>
  <c r="F42" i="14" s="1"/>
  <c r="D41" i="14"/>
  <c r="F41" i="14" s="1"/>
  <c r="B85" i="14"/>
  <c r="D84" i="14"/>
  <c r="F84" i="14" s="1"/>
  <c r="D136" i="14"/>
  <c r="F136" i="14" s="1"/>
  <c r="W40" i="1"/>
  <c r="V39" i="1"/>
  <c r="B43" i="14" l="1"/>
  <c r="D43" i="14"/>
  <c r="B86" i="14"/>
  <c r="D85" i="14"/>
  <c r="F85" i="14" s="1"/>
  <c r="D137" i="14"/>
  <c r="F137" i="14" s="1"/>
  <c r="W41" i="1"/>
  <c r="V40" i="1"/>
  <c r="B87" i="14" l="1"/>
  <c r="D86" i="14"/>
  <c r="F86" i="14" s="1"/>
  <c r="D138" i="14"/>
  <c r="F138" i="14" s="1"/>
  <c r="W42" i="1"/>
  <c r="V41" i="1"/>
  <c r="B88" i="14" l="1"/>
  <c r="D87" i="14"/>
  <c r="F87" i="14" s="1"/>
  <c r="D139" i="14"/>
  <c r="F139" i="14" s="1"/>
  <c r="W43" i="1"/>
  <c r="V42" i="1"/>
  <c r="B89" i="14" l="1"/>
  <c r="D88" i="14"/>
  <c r="F88" i="14" s="1"/>
  <c r="D140" i="14"/>
  <c r="F140" i="14" s="1"/>
  <c r="W44" i="1"/>
  <c r="V43" i="1"/>
  <c r="B90" i="14" l="1"/>
  <c r="D89" i="14"/>
  <c r="F89" i="14" s="1"/>
  <c r="D142" i="14"/>
  <c r="F142" i="14" s="1"/>
  <c r="D141" i="14"/>
  <c r="F141" i="14" s="1"/>
  <c r="W45" i="1"/>
  <c r="V44" i="1"/>
  <c r="B91" i="14" l="1"/>
  <c r="D91" i="14" s="1"/>
  <c r="F91" i="14" s="1"/>
  <c r="D90" i="14"/>
  <c r="F90" i="14" s="1"/>
  <c r="W46" i="1"/>
  <c r="V45" i="1"/>
  <c r="D92" i="14" l="1"/>
  <c r="B92" i="14"/>
  <c r="W47" i="1"/>
  <c r="V46" i="1"/>
  <c r="W48" i="1" l="1"/>
  <c r="V47" i="1"/>
  <c r="W49" i="1" l="1"/>
  <c r="V48" i="1"/>
  <c r="W50" i="1" l="1"/>
  <c r="V49" i="1"/>
  <c r="W51" i="1" l="1"/>
  <c r="V50" i="1"/>
  <c r="W52" i="1" l="1"/>
  <c r="V51" i="1"/>
  <c r="W53" i="1" l="1"/>
  <c r="V52" i="1"/>
  <c r="W54" i="1" l="1"/>
  <c r="V53" i="1"/>
  <c r="W55" i="1" l="1"/>
  <c r="V54" i="1"/>
  <c r="W56" i="1" l="1"/>
  <c r="V55" i="1"/>
  <c r="W57" i="1" l="1"/>
  <c r="V56" i="1"/>
  <c r="W58" i="1" l="1"/>
  <c r="V57" i="1"/>
  <c r="W59" i="1" l="1"/>
  <c r="V58" i="1"/>
  <c r="W60" i="1" l="1"/>
  <c r="V59" i="1"/>
  <c r="W61" i="1" l="1"/>
  <c r="V60" i="1"/>
  <c r="W62" i="1" l="1"/>
  <c r="V61" i="1"/>
  <c r="W63" i="1" l="1"/>
  <c r="V62" i="1"/>
  <c r="W64" i="1" l="1"/>
  <c r="V63" i="1"/>
  <c r="W65" i="1" l="1"/>
  <c r="V64" i="1"/>
  <c r="W66" i="1" l="1"/>
  <c r="V65" i="1"/>
  <c r="W67" i="1" l="1"/>
  <c r="V66" i="1"/>
  <c r="W68" i="1" l="1"/>
  <c r="V67" i="1"/>
  <c r="W69" i="1" l="1"/>
  <c r="V68" i="1"/>
  <c r="W70" i="1" l="1"/>
  <c r="V69" i="1"/>
  <c r="W71" i="1" l="1"/>
  <c r="V70" i="1"/>
  <c r="W72" i="1" l="1"/>
  <c r="V71" i="1"/>
  <c r="W73" i="1" l="1"/>
  <c r="V72" i="1"/>
  <c r="W74" i="1" l="1"/>
  <c r="V73" i="1"/>
  <c r="W75" i="1" l="1"/>
  <c r="V74" i="1"/>
  <c r="W76" i="1" l="1"/>
  <c r="V75" i="1"/>
  <c r="W77" i="1" l="1"/>
  <c r="V76" i="1"/>
  <c r="W78" i="1" l="1"/>
  <c r="V77" i="1"/>
  <c r="W79" i="1" l="1"/>
  <c r="V78" i="1"/>
  <c r="W80" i="1" l="1"/>
  <c r="V79" i="1"/>
  <c r="W81" i="1" l="1"/>
  <c r="V80" i="1"/>
  <c r="W82" i="1" l="1"/>
  <c r="V81" i="1"/>
  <c r="W83" i="1" l="1"/>
  <c r="V82" i="1"/>
  <c r="W84" i="1" l="1"/>
  <c r="V83" i="1"/>
  <c r="W85" i="1" l="1"/>
  <c r="V84" i="1"/>
  <c r="W86" i="1" l="1"/>
  <c r="V85" i="1"/>
  <c r="W87" i="1" l="1"/>
  <c r="V86" i="1"/>
  <c r="W88" i="1" l="1"/>
  <c r="V87" i="1"/>
  <c r="W89" i="1" l="1"/>
  <c r="V88" i="1"/>
  <c r="W90" i="1" l="1"/>
  <c r="V89" i="1"/>
  <c r="W91" i="1" l="1"/>
  <c r="V90" i="1"/>
  <c r="W92" i="1" l="1"/>
  <c r="V91" i="1"/>
  <c r="W93" i="1" l="1"/>
  <c r="V92" i="1"/>
  <c r="W94" i="1" l="1"/>
  <c r="V93" i="1"/>
  <c r="W95" i="1" l="1"/>
  <c r="V94" i="1"/>
  <c r="W96" i="1" l="1"/>
  <c r="V95" i="1"/>
  <c r="W97" i="1" l="1"/>
  <c r="V96" i="1"/>
  <c r="W98" i="1" l="1"/>
  <c r="V97" i="1"/>
  <c r="W99" i="1" l="1"/>
  <c r="V98" i="1"/>
  <c r="W100" i="1" l="1"/>
  <c r="V99" i="1"/>
  <c r="W101" i="1" l="1"/>
  <c r="V100" i="1"/>
  <c r="W102" i="1" l="1"/>
  <c r="V101" i="1"/>
  <c r="W103" i="1" l="1"/>
  <c r="V102" i="1"/>
  <c r="W104" i="1" l="1"/>
  <c r="V103" i="1"/>
  <c r="W105" i="1" l="1"/>
  <c r="V104" i="1"/>
  <c r="W106" i="1" l="1"/>
  <c r="V105" i="1"/>
  <c r="W107" i="1" l="1"/>
  <c r="V106" i="1"/>
  <c r="W108" i="1" l="1"/>
  <c r="V107" i="1"/>
  <c r="W109" i="1" l="1"/>
  <c r="V108" i="1"/>
  <c r="W110" i="1" l="1"/>
  <c r="V109" i="1"/>
  <c r="W111" i="1" l="1"/>
  <c r="V110" i="1"/>
  <c r="W112" i="1" l="1"/>
  <c r="V111" i="1"/>
  <c r="W113" i="1" l="1"/>
  <c r="V112" i="1"/>
  <c r="W114" i="1" l="1"/>
  <c r="V113" i="1"/>
  <c r="W115" i="1" l="1"/>
  <c r="V114" i="1"/>
  <c r="W116" i="1" l="1"/>
  <c r="V115" i="1"/>
  <c r="W117" i="1" l="1"/>
  <c r="V116" i="1"/>
  <c r="W118" i="1" l="1"/>
  <c r="V117" i="1"/>
  <c r="W119" i="1" l="1"/>
  <c r="V118" i="1"/>
  <c r="W120" i="1" l="1"/>
  <c r="V119" i="1"/>
  <c r="W121" i="1" l="1"/>
  <c r="V120" i="1"/>
  <c r="W122" i="1" l="1"/>
  <c r="V121" i="1"/>
  <c r="W123" i="1" l="1"/>
  <c r="V122" i="1"/>
  <c r="W124" i="1" l="1"/>
  <c r="V123" i="1"/>
  <c r="W125" i="1" l="1"/>
  <c r="V124" i="1"/>
  <c r="W126" i="1" l="1"/>
  <c r="V125" i="1"/>
  <c r="W127" i="1" l="1"/>
  <c r="V126" i="1"/>
  <c r="W128" i="1" l="1"/>
  <c r="V127" i="1"/>
  <c r="W129" i="1" l="1"/>
  <c r="V128" i="1"/>
  <c r="W130" i="1" l="1"/>
  <c r="V129" i="1"/>
  <c r="W131" i="1" l="1"/>
  <c r="V130" i="1"/>
  <c r="W132" i="1" l="1"/>
  <c r="V131" i="1"/>
  <c r="W133" i="1" l="1"/>
  <c r="V132" i="1"/>
  <c r="W134" i="1" l="1"/>
  <c r="V133" i="1"/>
  <c r="W135" i="1" l="1"/>
  <c r="V134" i="1"/>
  <c r="W136" i="1" l="1"/>
  <c r="V135" i="1"/>
  <c r="W137" i="1" l="1"/>
  <c r="V136" i="1"/>
  <c r="W138" i="1" l="1"/>
  <c r="V137" i="1"/>
  <c r="W139" i="1" l="1"/>
  <c r="V138" i="1"/>
  <c r="W140" i="1" l="1"/>
  <c r="V139" i="1"/>
  <c r="W141" i="1" l="1"/>
  <c r="V140" i="1"/>
  <c r="W142" i="1" l="1"/>
  <c r="V141" i="1"/>
  <c r="W143" i="1" l="1"/>
  <c r="V142" i="1"/>
  <c r="W144" i="1" l="1"/>
  <c r="V143" i="1"/>
  <c r="W145" i="1" l="1"/>
  <c r="V144" i="1"/>
  <c r="W146" i="1" l="1"/>
  <c r="V145" i="1"/>
  <c r="W147" i="1" l="1"/>
  <c r="V146" i="1"/>
  <c r="W148" i="1" l="1"/>
  <c r="V147" i="1"/>
  <c r="W149" i="1" l="1"/>
  <c r="V148" i="1"/>
  <c r="W150" i="1" l="1"/>
  <c r="V149" i="1"/>
  <c r="W151" i="1" l="1"/>
  <c r="V150" i="1"/>
  <c r="W152" i="1" l="1"/>
  <c r="V151" i="1"/>
  <c r="W153" i="1" l="1"/>
  <c r="V152" i="1"/>
  <c r="W154" i="1" l="1"/>
  <c r="V153" i="1"/>
  <c r="W155" i="1" l="1"/>
  <c r="V154" i="1"/>
  <c r="W156" i="1" l="1"/>
  <c r="V155" i="1"/>
  <c r="W157" i="1" l="1"/>
  <c r="V156" i="1"/>
  <c r="W158" i="1" l="1"/>
  <c r="V157" i="1"/>
  <c r="W159" i="1" l="1"/>
  <c r="V158" i="1"/>
  <c r="W160" i="1" l="1"/>
  <c r="V159" i="1"/>
  <c r="W161" i="1" l="1"/>
  <c r="V160" i="1"/>
  <c r="W162" i="1" l="1"/>
  <c r="V161" i="1"/>
  <c r="W163" i="1" l="1"/>
  <c r="V162" i="1"/>
  <c r="W164" i="1" l="1"/>
  <c r="V163" i="1"/>
  <c r="W165" i="1" l="1"/>
  <c r="V164" i="1"/>
  <c r="W166" i="1" l="1"/>
  <c r="V165" i="1"/>
  <c r="W167" i="1" l="1"/>
  <c r="V166" i="1"/>
  <c r="W168" i="1" l="1"/>
  <c r="V167" i="1"/>
  <c r="W169" i="1" l="1"/>
  <c r="V168" i="1"/>
  <c r="W170" i="1" l="1"/>
  <c r="V169" i="1"/>
  <c r="W171" i="1" l="1"/>
  <c r="V170" i="1"/>
  <c r="W172" i="1" l="1"/>
  <c r="V171" i="1"/>
  <c r="W173" i="1" l="1"/>
  <c r="V172" i="1"/>
  <c r="W174" i="1" l="1"/>
  <c r="V173" i="1"/>
  <c r="W175" i="1" l="1"/>
  <c r="V174" i="1"/>
  <c r="W176" i="1" l="1"/>
  <c r="V175" i="1"/>
  <c r="W177" i="1" l="1"/>
  <c r="V176" i="1"/>
  <c r="W178" i="1" l="1"/>
  <c r="V177" i="1"/>
  <c r="W179" i="1" l="1"/>
  <c r="V178" i="1"/>
  <c r="W180" i="1" l="1"/>
  <c r="V179" i="1"/>
  <c r="W181" i="1" l="1"/>
  <c r="V180" i="1"/>
  <c r="W182" i="1" l="1"/>
  <c r="V181" i="1"/>
  <c r="W183" i="1" l="1"/>
  <c r="V182" i="1"/>
  <c r="W184" i="1" l="1"/>
  <c r="V183" i="1"/>
  <c r="W185" i="1" l="1"/>
  <c r="V184" i="1"/>
  <c r="W186" i="1" l="1"/>
  <c r="V185" i="1"/>
  <c r="W187" i="1" l="1"/>
  <c r="V186" i="1"/>
  <c r="W188" i="1" l="1"/>
  <c r="V187" i="1"/>
  <c r="W189" i="1" l="1"/>
  <c r="V188" i="1"/>
  <c r="W190" i="1" l="1"/>
  <c r="V189" i="1"/>
  <c r="W191" i="1" l="1"/>
  <c r="V190" i="1"/>
  <c r="W192" i="1" l="1"/>
  <c r="V191" i="1"/>
  <c r="W193" i="1" l="1"/>
  <c r="V192" i="1"/>
  <c r="W194" i="1" l="1"/>
  <c r="V193" i="1"/>
  <c r="W195" i="1" l="1"/>
  <c r="V194" i="1"/>
  <c r="W196" i="1" l="1"/>
  <c r="V195" i="1"/>
  <c r="W197" i="1" l="1"/>
  <c r="V196" i="1"/>
  <c r="W198" i="1" l="1"/>
  <c r="V197" i="1"/>
  <c r="W199" i="1" l="1"/>
  <c r="V198" i="1"/>
  <c r="W200" i="1" l="1"/>
  <c r="V199" i="1"/>
  <c r="W201" i="1" l="1"/>
  <c r="V200" i="1"/>
  <c r="W202" i="1" l="1"/>
  <c r="V201" i="1"/>
  <c r="W203" i="1" l="1"/>
  <c r="V202" i="1"/>
  <c r="W204" i="1" l="1"/>
  <c r="V203" i="1"/>
  <c r="W205" i="1" l="1"/>
  <c r="V204" i="1"/>
  <c r="W206" i="1" l="1"/>
  <c r="V205" i="1"/>
  <c r="W207" i="1" l="1"/>
  <c r="V206" i="1"/>
  <c r="W208" i="1" l="1"/>
  <c r="V207" i="1"/>
  <c r="W209" i="1" l="1"/>
  <c r="V208" i="1"/>
  <c r="W210" i="1" l="1"/>
  <c r="V209" i="1"/>
  <c r="W211" i="1" l="1"/>
  <c r="V210" i="1"/>
  <c r="W212" i="1" l="1"/>
  <c r="V211" i="1"/>
  <c r="W213" i="1" l="1"/>
  <c r="V212" i="1"/>
  <c r="W214" i="1" l="1"/>
  <c r="V213" i="1"/>
  <c r="W215" i="1" l="1"/>
  <c r="V214" i="1"/>
  <c r="W216" i="1" l="1"/>
  <c r="V215" i="1"/>
  <c r="W217" i="1" l="1"/>
  <c r="V216" i="1"/>
  <c r="W218" i="1" l="1"/>
  <c r="V217" i="1"/>
  <c r="W219" i="1" l="1"/>
  <c r="V218" i="1"/>
  <c r="W220" i="1" l="1"/>
  <c r="V219" i="1"/>
  <c r="W221" i="1" l="1"/>
  <c r="V220" i="1"/>
  <c r="W222" i="1" l="1"/>
  <c r="V221" i="1"/>
  <c r="W223" i="1" l="1"/>
  <c r="V222" i="1"/>
  <c r="W224" i="1" l="1"/>
  <c r="V223" i="1"/>
  <c r="W225" i="1" l="1"/>
  <c r="V224" i="1"/>
  <c r="W226" i="1" l="1"/>
  <c r="V225" i="1"/>
  <c r="W227" i="1" l="1"/>
  <c r="V226" i="1"/>
  <c r="W228" i="1" l="1"/>
  <c r="V227" i="1"/>
  <c r="W229" i="1" l="1"/>
  <c r="V228" i="1"/>
  <c r="W230" i="1" l="1"/>
  <c r="V229" i="1"/>
  <c r="W231" i="1" l="1"/>
  <c r="V230" i="1"/>
  <c r="W232" i="1" l="1"/>
  <c r="V231" i="1"/>
  <c r="W233" i="1" l="1"/>
  <c r="V232" i="1"/>
  <c r="W234" i="1" l="1"/>
  <c r="V233" i="1"/>
  <c r="W235" i="1" l="1"/>
  <c r="V234" i="1"/>
  <c r="W236" i="1" l="1"/>
  <c r="V235" i="1"/>
  <c r="W237" i="1" l="1"/>
  <c r="V236" i="1"/>
  <c r="W238" i="1" l="1"/>
  <c r="V237" i="1"/>
  <c r="W239" i="1" l="1"/>
  <c r="V238" i="1"/>
  <c r="W240" i="1" l="1"/>
  <c r="V239" i="1"/>
  <c r="W241" i="1" l="1"/>
  <c r="V240" i="1"/>
  <c r="V241" i="1" l="1"/>
  <c r="H41" i="2" l="1"/>
  <c r="I41" i="2" s="1"/>
  <c r="H40" i="2"/>
  <c r="I40" i="2" s="1"/>
  <c r="H39" i="2"/>
  <c r="I39" i="2" s="1"/>
  <c r="E8" i="11"/>
  <c r="I38" i="2"/>
  <c r="H38" i="2"/>
  <c r="H37" i="2"/>
  <c r="I37" i="2" s="1"/>
  <c r="I36" i="2"/>
  <c r="H36" i="2"/>
  <c r="H35" i="2"/>
  <c r="I35" i="2" s="1"/>
  <c r="H34" i="2"/>
  <c r="I34" i="2" s="1"/>
  <c r="I33" i="2"/>
  <c r="H33" i="2"/>
  <c r="H32" i="2"/>
  <c r="I32" i="2" s="1"/>
  <c r="H31" i="2"/>
  <c r="I31" i="2" s="1"/>
  <c r="H30" i="2"/>
  <c r="I30" i="2" s="1"/>
  <c r="I29" i="2"/>
  <c r="H29" i="2"/>
  <c r="H28" i="2"/>
  <c r="I28" i="2" s="1"/>
  <c r="H27" i="2"/>
  <c r="I27" i="2" s="1"/>
  <c r="H26" i="2"/>
  <c r="I26" i="2" s="1"/>
  <c r="I25" i="2"/>
  <c r="H25" i="2"/>
  <c r="H24" i="2"/>
  <c r="I24" i="2" s="1"/>
  <c r="H23" i="2"/>
  <c r="I23" i="2" s="1"/>
  <c r="H22" i="2"/>
  <c r="I22" i="2" s="1"/>
  <c r="I21" i="2"/>
  <c r="H21" i="2"/>
  <c r="H20" i="2"/>
  <c r="I20" i="2" s="1"/>
  <c r="H19" i="2"/>
  <c r="I19" i="2" s="1"/>
  <c r="H18" i="2"/>
  <c r="I18" i="2" s="1"/>
  <c r="I17" i="2"/>
  <c r="H17" i="2"/>
  <c r="H16" i="2"/>
  <c r="I16" i="2" s="1"/>
  <c r="H15" i="2"/>
  <c r="I15" i="2"/>
  <c r="H14" i="2"/>
  <c r="I14" i="2" s="1"/>
  <c r="I13" i="2"/>
  <c r="H13" i="2"/>
  <c r="H12" i="2"/>
  <c r="I12" i="2" s="1"/>
  <c r="H3" i="2"/>
  <c r="I3" i="2" s="1"/>
  <c r="I2" i="2"/>
  <c r="E9" i="11" l="1"/>
  <c r="C8" i="11" l="1"/>
  <c r="B8" i="11"/>
  <c r="B9" i="11"/>
  <c r="C9" i="11"/>
  <c r="K17" i="7"/>
  <c r="Z44" i="13" l="1" a="1"/>
  <c r="Z44" i="13" s="1"/>
  <c r="AD44" i="13" a="1"/>
  <c r="AD44" i="13" s="1"/>
  <c r="AP44" i="13" a="1"/>
  <c r="AP44" i="13" s="1"/>
  <c r="AH44" i="13" a="1"/>
  <c r="AH44" i="13" s="1"/>
  <c r="AL44" i="13" a="1"/>
  <c r="AL44" i="13" s="1"/>
  <c r="G32" i="13" l="1"/>
  <c r="J32" i="13" s="1"/>
  <c r="H32" i="13"/>
  <c r="F32" i="13"/>
  <c r="K18" i="7"/>
  <c r="F108" i="14" l="1"/>
  <c r="F105" i="14"/>
  <c r="F107" i="14"/>
  <c r="F106" i="14"/>
  <c r="F109" i="14"/>
  <c r="F104" i="14"/>
  <c r="F100" i="14"/>
  <c r="F95" i="14"/>
  <c r="F97" i="14"/>
  <c r="F99" i="14"/>
  <c r="F102" i="14"/>
  <c r="F103" i="14"/>
  <c r="F96" i="14"/>
  <c r="F98" i="14"/>
  <c r="F101" i="14"/>
  <c r="K19" i="7"/>
  <c r="D143" i="14" l="1"/>
  <c r="B143" i="14"/>
  <c r="B149" i="14" s="1"/>
  <c r="B38" i="6" s="1"/>
  <c r="D149" i="14" l="1"/>
  <c r="K13" i="7"/>
  <c r="A245" i="1" a="1"/>
  <c r="G6" i="9" l="1"/>
  <c r="K14" i="7"/>
  <c r="G5" i="9"/>
  <c r="G3" i="9"/>
  <c r="A245" i="1"/>
  <c r="K15" i="7"/>
  <c r="G2" i="9"/>
  <c r="B7" i="11" l="1"/>
  <c r="E4" i="7"/>
  <c r="D7" i="11" l="1"/>
  <c r="E7" i="11"/>
  <c r="C7" i="11"/>
  <c r="D8" i="11" l="1"/>
  <c r="D9" i="11"/>
  <c r="F9" i="11" s="1"/>
  <c r="F7" i="11"/>
  <c r="F8" i="11" l="1"/>
  <c r="F17" i="11" s="1"/>
  <c r="D19"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McLean, Daniel</author>
  </authors>
  <commentList>
    <comment ref="B6" authorId="0" shapeId="0" xr:uid="{8C2E4279-6333-4082-AAF7-8F620AFF6065}">
      <text>
        <r>
          <rPr>
            <sz val="9"/>
            <color indexed="81"/>
            <rFont val="Tahoma"/>
            <family val="2"/>
          </rPr>
          <t>If nothing is entered here we will calculate spacing based on weights and max spacing per codes</t>
        </r>
      </text>
    </comment>
    <comment ref="T6" authorId="0" shapeId="0" xr:uid="{D690B1CD-6A83-47C7-B5D5-23002F7F79C7}">
      <text>
        <r>
          <rPr>
            <sz val="9"/>
            <color indexed="81"/>
            <rFont val="Tahoma"/>
            <family val="2"/>
          </rPr>
          <t>If nothing is entered here we will calculate spacing based on weights and max spacing per codes</t>
        </r>
      </text>
    </comment>
    <comment ref="B7" authorId="0" shapeId="0" xr:uid="{6A07C32D-79EF-48E2-8AE0-AD0083006A01}">
      <text>
        <r>
          <rPr>
            <sz val="9"/>
            <color indexed="81"/>
            <rFont val="Tahoma"/>
            <family val="2"/>
          </rPr>
          <t>This refers to the required height of the utility off of the deck</t>
        </r>
      </text>
    </comment>
    <comment ref="T7" authorId="0" shapeId="0" xr:uid="{4C05A8CF-66F5-49A8-8421-2D94C39523A6}">
      <text>
        <r>
          <rPr>
            <sz val="9"/>
            <color indexed="81"/>
            <rFont val="Tahoma"/>
            <family val="2"/>
          </rPr>
          <t>This refers to the required height of the utility off of the deck</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1E24884-3BE2-4448-BF94-A775CD68D7F5}" name="Connection" type="6" refreshedVersion="0" background="1">
    <textPr sourceFile="">
      <textFields>
        <textField/>
      </textFields>
    </textPr>
  </connection>
  <connection id="2" xr16:uid="{E53C9AAD-2BE9-4EC2-962C-1DD3FFBA36EC}" name="Connection1" type="6" refreshedVersion="0" background="1">
    <textPr sourceFile="">
      <textFields>
        <textField/>
      </textFields>
    </textPr>
  </connection>
  <connection id="3" xr16:uid="{9C213F65-2CED-4C76-BE55-F013AFBD6C8D}" name="Connection2" type="6" refreshedVersion="0" background="1">
    <textPr sourceFile="">
      <textFields>
        <textField/>
      </textFields>
    </textPr>
  </connection>
  <connection id="4" xr16:uid="{2C459734-9136-480E-AD2E-4629181BD758}" name="Connection3" type="6" refreshedVersion="0" background="1">
    <textPr sourceFile="">
      <textFields>
        <textField/>
      </textFields>
    </textPr>
  </connection>
  <connection id="5" xr16:uid="{A7657032-7C9A-4606-B617-B5A429E06085}" name="Connection4" type="6" refreshedVersion="0" background="1">
    <textPr sourceFile="">
      <textFields>
        <textField/>
      </textFields>
    </textPr>
  </connection>
  <connection id="6" xr16:uid="{949EE4FE-76FB-4CA6-B529-AF8AE24190DF}" name="Connection5" type="6" refreshedVersion="0" background="1">
    <textPr sourceFile="">
      <textFields>
        <textField/>
      </textFields>
    </textPr>
  </connection>
  <connection id="7" xr16:uid="{0DB533EC-4778-4042-8B03-75341DDFD8DF}" name="pipe" type="6" refreshedVersion="8" background="1" saveData="1">
    <textPr prompt="0" sourceFile="C:\Users\E2023355\OneDrive - nVent Management Company\Documents\VSCode\Projects\CPQ\CPQ_Automation\output\pipe.csv" tab="0" comma="1">
      <textFields>
        <textField/>
      </textFields>
    </textPr>
  </connection>
  <connection id="8" xr16:uid="{30D483ED-ED58-44D3-BAE1-0FBDBB9220DD}" name="pipe1" type="6" refreshedVersion="8" background="1" saveData="1">
    <textPr prompt="0" sourceFile="C:\Users\E2023355\OneDrive - nVent Management Company\Documents\VSCode\Projects\CPQ\CPQ_Automation\output\pipe.csv" tab="0" comma="1">
      <textFields>
        <textField/>
      </textFields>
    </textPr>
  </connection>
  <connection id="9" xr16:uid="{33FB16E6-4675-4C1A-B565-E0B7E6461861}" name="pipe2" type="6" refreshedVersion="8" background="1" saveData="1">
    <textPr prompt="0" sourceFile="C:\Users\E2023355\OneDrive - nVent Management Company\Documents\VSCode\Projects\CPQ\CPQ_Automation\output\pipe.csv" tab="0" comma="1">
      <textFields>
        <textField/>
      </textFields>
    </textPr>
  </connection>
  <connection id="10" xr16:uid="{2BD532D7-AA1B-4264-8A0A-1DB637AD9A1F}" name="pipe3" type="6" refreshedVersion="8" background="1" saveData="1">
    <textPr prompt="0" sourceFile="C:\Users\E2023355\OneDrive - nVent Management Company\Documents\VSCode\Projects\CPQ\CPQ_Automation\output\pipe.csv" tab="0" comma="1">
      <textFields>
        <textField/>
      </textFields>
    </textPr>
  </connection>
  <connection id="11" xr16:uid="{1A65F119-870C-4924-B8B0-E5D53F3AE508}" name="pipe4" type="6" refreshedVersion="8" background="1" saveData="1">
    <textPr prompt="0" sourceFile="C:\Users\E2023355\OneDrive - nVent Management Company\Documents\VSCode\Projects\CPQ\CPQ_Automation\output\pipe.csv" tab="0" comma="1">
      <textFields>
        <textField/>
      </textFields>
    </textPr>
  </connection>
  <connection id="12" xr16:uid="{5E599EFB-F819-46D2-AEFA-B3DE9AA2004A}" name="pipe5" type="6" refreshedVersion="8" background="1" saveData="1">
    <textPr prompt="0" sourceFile="C:\Users\E2023355\OneDrive - nVent Management Company\Documents\VSCode\Projects\CPQ\CPQ_Automation\output\pipe.csv" tab="0" comma="1">
      <textFields>
        <textField/>
      </textFields>
    </textPr>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<sst xmlns="http://schemas.openxmlformats.org/spreadsheetml/2006/main" count="3360" uniqueCount="827">
  <si>
    <t>Header</t>
  </si>
  <si>
    <t>Job name</t>
  </si>
  <si>
    <t>Unit ID</t>
  </si>
  <si>
    <t>Job address</t>
  </si>
  <si>
    <t>City</t>
  </si>
  <si>
    <t>State</t>
  </si>
  <si>
    <t>Zip code</t>
  </si>
  <si>
    <t>Packaging / shipment type</t>
  </si>
  <si>
    <t>Condensed</t>
  </si>
  <si>
    <t>What do you need to support?</t>
  </si>
  <si>
    <t>Pipe</t>
  </si>
  <si>
    <t>What is the total length you need to run? (in feet)</t>
  </si>
  <si>
    <t>What is the total length you need to run?</t>
  </si>
  <si>
    <t>If specific support spacing is required enter here in feet</t>
  </si>
  <si>
    <t>What height do you need this off of the roof deck? (inches)</t>
  </si>
  <si>
    <t>How many total elbows and branches (include horizontal and vertical)</t>
  </si>
  <si>
    <t>What is the expected snow load in lb/sq ft? (0 for no snow)</t>
  </si>
  <si>
    <t>Link for snow loads</t>
  </si>
  <si>
    <t>Pipe type 1</t>
  </si>
  <si>
    <t>Pipe type 2</t>
  </si>
  <si>
    <t>Iron - Schedule 80</t>
  </si>
  <si>
    <t>Summary</t>
  </si>
  <si>
    <t>What material is the pipe?</t>
  </si>
  <si>
    <t>Water</t>
  </si>
  <si>
    <t>Gas</t>
  </si>
  <si>
    <t>Frames required</t>
  </si>
  <si>
    <t>What are you running in the pipe?</t>
  </si>
  <si>
    <t>Height of the vertical pieces in inches (A in drawing)</t>
  </si>
  <si>
    <t>What size is the pipe?</t>
  </si>
  <si>
    <t>Width of the frame in inches (B in drawing)</t>
  </si>
  <si>
    <t>What is the pipe insulation wall thickness? (choose 0 for no insulation)</t>
  </si>
  <si>
    <t>yoke roller</t>
  </si>
  <si>
    <t>Distance from bottom of utility to the deck in inches (C in drawing)</t>
  </si>
  <si>
    <t>What type of hanger is required for this pipe?</t>
  </si>
  <si>
    <t>Standard spacing between frames (ft)</t>
  </si>
  <si>
    <t>How many of this pipe do you need supported side by side?</t>
  </si>
  <si>
    <t>Cross piece strut style</t>
  </si>
  <si>
    <t>Do you need to run other pipe configurations on the same frame? (2 max)</t>
  </si>
  <si>
    <t>Number of extra vertical supports</t>
  </si>
  <si>
    <t>What is the required spacing between pipes? (default is 6 inches)</t>
  </si>
  <si>
    <t>What is the height of the duct? (inches)</t>
  </si>
  <si>
    <t>What is the width of the duct? (inches)</t>
  </si>
  <si>
    <t>What shape is the duct?</t>
  </si>
  <si>
    <t>What is the gauge of the duct?</t>
  </si>
  <si>
    <t>What is the insulation density in lbs/cu ft? (leave blank for no insulation)</t>
  </si>
  <si>
    <t>What is the insulation thickness in inches? (leave blank for no insulation)</t>
  </si>
  <si>
    <t>Is a top piece required to prevent uplift of duct?</t>
  </si>
  <si>
    <t>What length are the duct segments?</t>
  </si>
  <si>
    <t>Enter lbs/ft here to override calculated weight per foot</t>
  </si>
  <si>
    <t>Calculated weight (lbs/ft)</t>
  </si>
  <si>
    <t>Add total weight</t>
  </si>
  <si>
    <t>What is the weight per foot of this?</t>
  </si>
  <si>
    <t>Utility</t>
  </si>
  <si>
    <t>What is the width? (inches)</t>
  </si>
  <si>
    <t>CADDY frames weight</t>
  </si>
  <si>
    <t>What is the height? (inches)</t>
  </si>
  <si>
    <t>Is a second cross-piece required to prevent uplift?</t>
  </si>
  <si>
    <t>Input</t>
  </si>
  <si>
    <t>notes</t>
  </si>
  <si>
    <t>input</t>
  </si>
  <si>
    <t>Total elbows and branches</t>
  </si>
  <si>
    <t>Snow load with shape factor (lb/sq ft)</t>
  </si>
  <si>
    <t>calc using shape factor of .55 if pipe or round duct</t>
  </si>
  <si>
    <t>Pipe type 1 material</t>
  </si>
  <si>
    <t>Pipe type 1 contents</t>
  </si>
  <si>
    <t>Pipe type 1 size</t>
  </si>
  <si>
    <t>Pipe type 1 insulation thickness</t>
  </si>
  <si>
    <t>Pipe type 1 hanger type</t>
  </si>
  <si>
    <t>Pipe type 1 quantity</t>
  </si>
  <si>
    <t>Pipe type 1 hanger quantity</t>
  </si>
  <si>
    <t>Pipe type 1 hanger size</t>
  </si>
  <si>
    <t>calc</t>
  </si>
  <si>
    <t>Pipe type 1 weight per foot</t>
  </si>
  <si>
    <t>Pipe type 1 weight at quantity</t>
  </si>
  <si>
    <t>Pipe type 1 effective snow load per foot</t>
  </si>
  <si>
    <t>Pipe type 2 material</t>
  </si>
  <si>
    <t>Pipe type 2 contents</t>
  </si>
  <si>
    <t>Pipe type 2 size</t>
  </si>
  <si>
    <t>Pipe type 2 insulation thickness</t>
  </si>
  <si>
    <t>Pipe type 2 hanger type</t>
  </si>
  <si>
    <t>Pipe type 2 quantity</t>
  </si>
  <si>
    <t>Pipe type 2 hanger quantity</t>
  </si>
  <si>
    <t>Pipe type 2 hanger size</t>
  </si>
  <si>
    <t>Pipe type 2 weight per foot</t>
  </si>
  <si>
    <t>Pipe type 2 weight at quantity</t>
  </si>
  <si>
    <t>Pipe spacing</t>
  </si>
  <si>
    <t>Total pipe weight to support incl snow load (lb/ft)</t>
  </si>
  <si>
    <t>width required to accommodate all pipes (inches)</t>
  </si>
  <si>
    <t>Height required</t>
  </si>
  <si>
    <t>Max weight capacity of post bases</t>
  </si>
  <si>
    <t>calc based on 750lb load capcity per base</t>
  </si>
  <si>
    <t>Quantity of frames required for pipes</t>
  </si>
  <si>
    <t>Spacing to use</t>
  </si>
  <si>
    <t>Iteration</t>
  </si>
  <si>
    <t>Spacing Along Length</t>
  </si>
  <si>
    <t>Weight Per Ft of Run</t>
  </si>
  <si>
    <t>Weight to Support</t>
  </si>
  <si>
    <t>Load Rating for Support (for base)</t>
  </si>
  <si>
    <t>Condition</t>
  </si>
  <si>
    <t>max span for support (bases)</t>
  </si>
  <si>
    <t>Load Rating for Column</t>
  </si>
  <si>
    <t>max span column</t>
  </si>
  <si>
    <t>Beam Span</t>
  </si>
  <si>
    <t>max span horizontal beam</t>
  </si>
  <si>
    <t xml:space="preserve"> </t>
  </si>
  <si>
    <t>min(compare 4 spacings)</t>
  </si>
  <si>
    <t>tell them what is the driver</t>
  </si>
  <si>
    <t>Quote for:</t>
  </si>
  <si>
    <t>Quote by:</t>
  </si>
  <si>
    <t>Quote date:</t>
  </si>
  <si>
    <t>Line</t>
  </si>
  <si>
    <t>Item number</t>
  </si>
  <si>
    <t>Description</t>
  </si>
  <si>
    <t>Quantity</t>
  </si>
  <si>
    <t>Price ea</t>
  </si>
  <si>
    <t>Extended price</t>
  </si>
  <si>
    <t xml:space="preserve">Subtotal = </t>
  </si>
  <si>
    <t>Freight</t>
  </si>
  <si>
    <t>Number of pallets</t>
  </si>
  <si>
    <t>Total weight</t>
  </si>
  <si>
    <t>Estimated charge</t>
  </si>
  <si>
    <t>Utility name</t>
  </si>
  <si>
    <t>Pipe material</t>
  </si>
  <si>
    <t>Hanger type</t>
  </si>
  <si>
    <t>Contents of pipe</t>
  </si>
  <si>
    <t>Pipe sizes</t>
  </si>
  <si>
    <t>Copper pipe insulation thickness</t>
  </si>
  <si>
    <t>Iron pipe insulation thickness</t>
  </si>
  <si>
    <t>Pipe quantity</t>
  </si>
  <si>
    <t>Snow loads</t>
  </si>
  <si>
    <t>Shipment method</t>
  </si>
  <si>
    <t>Duct</t>
  </si>
  <si>
    <t>Iron - Schedule 40</t>
  </si>
  <si>
    <t>No insulation</t>
  </si>
  <si>
    <t>clevis hanger</t>
  </si>
  <si>
    <t>Full prefab</t>
  </si>
  <si>
    <t>Other</t>
  </si>
  <si>
    <t>Copper - type K</t>
  </si>
  <si>
    <t>strut clamp</t>
  </si>
  <si>
    <t>Copper - type L</t>
  </si>
  <si>
    <t>CPVC - Schedule 40</t>
  </si>
  <si>
    <t>CPVC - Schedule 80</t>
  </si>
  <si>
    <t>Height (in)</t>
  </si>
  <si>
    <t>Width (in)</t>
  </si>
  <si>
    <t>Strut height (in)</t>
  </si>
  <si>
    <t>Width between uprights (in)</t>
  </si>
  <si>
    <t>Width between brackets</t>
  </si>
  <si>
    <t>Extra supports</t>
  </si>
  <si>
    <t>Cross piece style</t>
  </si>
  <si>
    <t>cross piece quantity</t>
  </si>
  <si>
    <t>Distance between strut</t>
  </si>
  <si>
    <t>Number of feet</t>
  </si>
  <si>
    <t>Number of bolts</t>
  </si>
  <si>
    <t>number of L-brackets</t>
  </si>
  <si>
    <t>Total feet of strut</t>
  </si>
  <si>
    <t>Sticks of strut required</t>
  </si>
  <si>
    <t>Number of cuts required</t>
  </si>
  <si>
    <t>Bottom cross piece cost</t>
  </si>
  <si>
    <t>Top cross piece cost</t>
  </si>
  <si>
    <t>Material Cost (est)</t>
  </si>
  <si>
    <t>Labor Cost</t>
  </si>
  <si>
    <t>Price (est)</t>
  </si>
  <si>
    <t>Margin</t>
  </si>
  <si>
    <t>Fabrication type</t>
  </si>
  <si>
    <t>Vertical strut cost</t>
  </si>
  <si>
    <t>Component costs</t>
  </si>
  <si>
    <t>lookup</t>
  </si>
  <si>
    <t>4x6 pallet</t>
  </si>
  <si>
    <t>4x8 pallet</t>
  </si>
  <si>
    <t>size</t>
  </si>
  <si>
    <t>Strut cost</t>
  </si>
  <si>
    <t>unit pricing</t>
  </si>
  <si>
    <t>Component</t>
  </si>
  <si>
    <t>Current cost</t>
  </si>
  <si>
    <t>A1</t>
  </si>
  <si>
    <t>Standard 24x20 H-frame</t>
  </si>
  <si>
    <t>A12</t>
  </si>
  <si>
    <t>H-frame for Duct</t>
  </si>
  <si>
    <t>PHB</t>
  </si>
  <si>
    <t>A2</t>
  </si>
  <si>
    <t>Standard 36x20 H-frame</t>
  </si>
  <si>
    <t>A12A</t>
  </si>
  <si>
    <t>H-Frame for Duct w/ Added Top</t>
  </si>
  <si>
    <t>HFRMHDW</t>
  </si>
  <si>
    <t>A3</t>
  </si>
  <si>
    <t>Standard 48x20 H-frame</t>
  </si>
  <si>
    <t>D12</t>
  </si>
  <si>
    <t>H-Frame w/ Clevis</t>
  </si>
  <si>
    <t>A4</t>
  </si>
  <si>
    <t>Standard 72x20 H-frame</t>
  </si>
  <si>
    <t>H-Frame w/ 3rd leg w/ Clevis</t>
  </si>
  <si>
    <t>A5</t>
  </si>
  <si>
    <t>Standard 24x36 H-frame</t>
  </si>
  <si>
    <t>H-Frame w/ 3rd leg</t>
  </si>
  <si>
    <t>A6</t>
  </si>
  <si>
    <t>Standard 36x36 H-frame</t>
  </si>
  <si>
    <t>H-Frame w/ 4th leg</t>
  </si>
  <si>
    <t>A7</t>
  </si>
  <si>
    <t>Standard 48x36 H-frame</t>
  </si>
  <si>
    <t>A8</t>
  </si>
  <si>
    <t>Standard 72x36 H-frame</t>
  </si>
  <si>
    <t>A9</t>
  </si>
  <si>
    <t>Standard 24x48 H-frame</t>
  </si>
  <si>
    <t>A10</t>
  </si>
  <si>
    <t>Standard 36x48 H-frame</t>
  </si>
  <si>
    <t>A11</t>
  </si>
  <si>
    <t>Standard 48x48 H-frame</t>
  </si>
  <si>
    <t>Standard 72x48 H-frame</t>
  </si>
  <si>
    <t>A13</t>
  </si>
  <si>
    <t>Standard 24x60 H-frame</t>
  </si>
  <si>
    <t>A14</t>
  </si>
  <si>
    <t>Standard 36x60 H-frame</t>
  </si>
  <si>
    <t>A15</t>
  </si>
  <si>
    <t>Standard 48x60 H-frame</t>
  </si>
  <si>
    <t>A16</t>
  </si>
  <si>
    <t>Standard 72x60 H-frame</t>
  </si>
  <si>
    <t>A17</t>
  </si>
  <si>
    <t>Standard 24x72 H-frame</t>
  </si>
  <si>
    <t>A18</t>
  </si>
  <si>
    <t>Standard 36x72 H-frame</t>
  </si>
  <si>
    <t>A19</t>
  </si>
  <si>
    <t>Standard 48x72 H-frame</t>
  </si>
  <si>
    <t>A20</t>
  </si>
  <si>
    <t>Standard 72x72 H-frame</t>
  </si>
  <si>
    <t>A21</t>
  </si>
  <si>
    <t>Standard 24x84 H-frame</t>
  </si>
  <si>
    <t>A22</t>
  </si>
  <si>
    <t>Standard 36x84 H-frame</t>
  </si>
  <si>
    <t>A23</t>
  </si>
  <si>
    <t>Standard 48x84 H-frame</t>
  </si>
  <si>
    <t>A24</t>
  </si>
  <si>
    <t>Standard 72x84 H-frame</t>
  </si>
  <si>
    <t>A25</t>
  </si>
  <si>
    <t>Enclosed duct 24x20 H-frame</t>
  </si>
  <si>
    <t>A26</t>
  </si>
  <si>
    <t>Enclosed duct 36x20 H-frame</t>
  </si>
  <si>
    <t>A27</t>
  </si>
  <si>
    <t>Enclosed duct 48x20 H-frame</t>
  </si>
  <si>
    <t>A28</t>
  </si>
  <si>
    <t>Enclosed duct 72x20 H-frame</t>
  </si>
  <si>
    <t>A29</t>
  </si>
  <si>
    <t>Enclosed duct 24x36 H-frame</t>
  </si>
  <si>
    <t>A30</t>
  </si>
  <si>
    <t>Enclosed duct 36x36 H-frame</t>
  </si>
  <si>
    <t>A31</t>
  </si>
  <si>
    <t>Enclosed duct 48x36 H-frame</t>
  </si>
  <si>
    <t>A32</t>
  </si>
  <si>
    <t>Enclosed duct 72x36 H-frame</t>
  </si>
  <si>
    <t>A33</t>
  </si>
  <si>
    <t>Enclosed duct 24x48 H-frame</t>
  </si>
  <si>
    <t>A34</t>
  </si>
  <si>
    <t>Enclosed duct 36x48 H-frame</t>
  </si>
  <si>
    <t>A35</t>
  </si>
  <si>
    <t>Enclosed duct 48x48 H-frame</t>
  </si>
  <si>
    <t>A36</t>
  </si>
  <si>
    <t>Enclosed duct 72x48 H-frame</t>
  </si>
  <si>
    <t>A37</t>
  </si>
  <si>
    <t>Enclosed duct 24x60 H-frame</t>
  </si>
  <si>
    <t>A38</t>
  </si>
  <si>
    <t>Enclosed duct 36x60 H-frame</t>
  </si>
  <si>
    <t>A39</t>
  </si>
  <si>
    <t>Enclosed duct 48x60 H-frame</t>
  </si>
  <si>
    <t>A40</t>
  </si>
  <si>
    <t>Enclosed duct 72x60 H-frame</t>
  </si>
  <si>
    <t>A41</t>
  </si>
  <si>
    <t>Enclosed duct 24x72 H-frame</t>
  </si>
  <si>
    <t>A42</t>
  </si>
  <si>
    <t>Enclosed duct 36x72 H-frame</t>
  </si>
  <si>
    <t>A43</t>
  </si>
  <si>
    <t>Enclosed duct 48x72 H-frame</t>
  </si>
  <si>
    <t>A44</t>
  </si>
  <si>
    <t>Enclosed duct 72x72 H-frame</t>
  </si>
  <si>
    <t>A45</t>
  </si>
  <si>
    <t>Enclosed duct 24x84 H-frame</t>
  </si>
  <si>
    <t>A46</t>
  </si>
  <si>
    <t>Enclosed duct 36x84 H-frame</t>
  </si>
  <si>
    <t>A47</t>
  </si>
  <si>
    <t>Enclosed duct 48x84 H-frame</t>
  </si>
  <si>
    <t>A48</t>
  </si>
  <si>
    <t>Enclosed duct 72x84 H-frame</t>
  </si>
  <si>
    <t>A49</t>
  </si>
  <si>
    <t>1 Addditional support 24x20 H-frame</t>
  </si>
  <si>
    <t>A50</t>
  </si>
  <si>
    <t>1 Addditional support 36x20 H-frame</t>
  </si>
  <si>
    <t>A51</t>
  </si>
  <si>
    <t>1 Addditional support 48x20 H-frame</t>
  </si>
  <si>
    <t>A52</t>
  </si>
  <si>
    <t>1 Addditional support 72x20 H-frame</t>
  </si>
  <si>
    <t>A53</t>
  </si>
  <si>
    <t>1 Addditional support 24x36 H-frame</t>
  </si>
  <si>
    <t>A54</t>
  </si>
  <si>
    <t>1 Addditional support 36x36 H-frame</t>
  </si>
  <si>
    <t>A55</t>
  </si>
  <si>
    <t>1 Addditional support 48x36 H-frame</t>
  </si>
  <si>
    <t>A56</t>
  </si>
  <si>
    <t>1 Addditional support 72x36 H-frame</t>
  </si>
  <si>
    <t>A57</t>
  </si>
  <si>
    <t>1 Addditional support 24x48 H-frame</t>
  </si>
  <si>
    <t>A58</t>
  </si>
  <si>
    <t>1 Addditional support 36x48 H-frame</t>
  </si>
  <si>
    <t>A59</t>
  </si>
  <si>
    <t>1 Addditional support 48x48 H-frame</t>
  </si>
  <si>
    <t>A60</t>
  </si>
  <si>
    <t>1 Addditional support 72x48 H-frame</t>
  </si>
  <si>
    <t>A61</t>
  </si>
  <si>
    <t>1 Addditional support 24x60 H-frame</t>
  </si>
  <si>
    <t>A62</t>
  </si>
  <si>
    <t>1 Addditional support 36x60 H-frame</t>
  </si>
  <si>
    <t>A63</t>
  </si>
  <si>
    <t>1 Addditional support 48x60 H-frame</t>
  </si>
  <si>
    <t>A64</t>
  </si>
  <si>
    <t>1 Addditional support 72x60 H-frame</t>
  </si>
  <si>
    <t>A65</t>
  </si>
  <si>
    <t>1 Addditional support 24x72 H-frame</t>
  </si>
  <si>
    <t>A66</t>
  </si>
  <si>
    <t>1 Addditional support 36x72 H-frame</t>
  </si>
  <si>
    <t>A67</t>
  </si>
  <si>
    <t>1 Addditional support 48x72 H-frame</t>
  </si>
  <si>
    <t>A68</t>
  </si>
  <si>
    <t>1 Addditional support 72x72 H-frame</t>
  </si>
  <si>
    <t>A69</t>
  </si>
  <si>
    <t>1 Addditional support 24x84 H-frame</t>
  </si>
  <si>
    <t>A70</t>
  </si>
  <si>
    <t>1 Addditional support 36x84 H-frame</t>
  </si>
  <si>
    <t>A71</t>
  </si>
  <si>
    <t>1 Addditional support 48x84 H-frame</t>
  </si>
  <si>
    <t>A72</t>
  </si>
  <si>
    <t>1 Addditional support 72x84 H-frame</t>
  </si>
  <si>
    <t>A73</t>
  </si>
  <si>
    <t>2 Addditional support 24x20 H-frame</t>
  </si>
  <si>
    <t>A74</t>
  </si>
  <si>
    <t>2 Addditional support 36x20 H-frame</t>
  </si>
  <si>
    <t>A75</t>
  </si>
  <si>
    <t>2 Addditional support 48x20 H-frame</t>
  </si>
  <si>
    <t>A76</t>
  </si>
  <si>
    <t>2 Addditional support 72x20 H-frame</t>
  </si>
  <si>
    <t>A77</t>
  </si>
  <si>
    <t>2 Addditional support 24x36 H-frame</t>
  </si>
  <si>
    <t>A78</t>
  </si>
  <si>
    <t>2 Addditional support 36x36 H-frame</t>
  </si>
  <si>
    <t>A79</t>
  </si>
  <si>
    <t>2 Addditional support 48x36 H-frame</t>
  </si>
  <si>
    <t>A80</t>
  </si>
  <si>
    <t>2 Addditional support 72x36 H-frame</t>
  </si>
  <si>
    <t>A81</t>
  </si>
  <si>
    <t>2 Addditional support 24x48 H-frame</t>
  </si>
  <si>
    <t>A82</t>
  </si>
  <si>
    <t>2 Addditional support 36x48 H-frame</t>
  </si>
  <si>
    <t>A83</t>
  </si>
  <si>
    <t>2 Addditional support 48x48 H-frame</t>
  </si>
  <si>
    <t>A84</t>
  </si>
  <si>
    <t>2 Addditional support 72x48 H-frame</t>
  </si>
  <si>
    <t>A85</t>
  </si>
  <si>
    <t>2 Addditional support 24x60 H-frame</t>
  </si>
  <si>
    <t>A86</t>
  </si>
  <si>
    <t>2 Addditional support 36x60 H-frame</t>
  </si>
  <si>
    <t>A87</t>
  </si>
  <si>
    <t>2 Addditional support 48x60 H-frame</t>
  </si>
  <si>
    <t>A88</t>
  </si>
  <si>
    <t>2 Addditional support 72x60 H-frame</t>
  </si>
  <si>
    <t>A89</t>
  </si>
  <si>
    <t>2 Addditional support 24x72 H-frame</t>
  </si>
  <si>
    <t>A90</t>
  </si>
  <si>
    <t>2 Addditional support 36x72 H-frame</t>
  </si>
  <si>
    <t>A91</t>
  </si>
  <si>
    <t>2 Addditional support 48x72 H-frame</t>
  </si>
  <si>
    <t>A92</t>
  </si>
  <si>
    <t>2 Addditional support 72x72 H-frame</t>
  </si>
  <si>
    <t>A93</t>
  </si>
  <si>
    <t>2 Addditional support 24x84 H-frame</t>
  </si>
  <si>
    <t>A94</t>
  </si>
  <si>
    <t>2 Addditional support 36x84 H-frame</t>
  </si>
  <si>
    <t>A95</t>
  </si>
  <si>
    <t>2 Addditional support 48x84 H-frame</t>
  </si>
  <si>
    <t>A96</t>
  </si>
  <si>
    <t>2 Addditional support 72x84 H-frame</t>
  </si>
  <si>
    <t>A97</t>
  </si>
  <si>
    <t>Standard 24x20 H-frame with heavy duty horizontal</t>
  </si>
  <si>
    <t>A98</t>
  </si>
  <si>
    <t>Standard 36x20 H-frame with heavy duty horizontal</t>
  </si>
  <si>
    <t>A99</t>
  </si>
  <si>
    <t>Standard 48x20 H-frame with heavy duty horizontal</t>
  </si>
  <si>
    <t>A100</t>
  </si>
  <si>
    <t>Standard 72x20 H-frame with heavy duty horizontal</t>
  </si>
  <si>
    <t>A101</t>
  </si>
  <si>
    <t>Standard 24x36 H-frame with heavy duty horizontal</t>
  </si>
  <si>
    <t>A102</t>
  </si>
  <si>
    <t>Standard 36x36 H-frame with heavy duty horizontal</t>
  </si>
  <si>
    <t>A103</t>
  </si>
  <si>
    <t>Standard 48x36 H-frame with heavy duty horizontal</t>
  </si>
  <si>
    <t>A104</t>
  </si>
  <si>
    <t>Standard 72x36 H-frame with heavy duty horizontal</t>
  </si>
  <si>
    <t>A105</t>
  </si>
  <si>
    <t>Standard 24x48 H-frame with heavy duty horizontal</t>
  </si>
  <si>
    <t>A106</t>
  </si>
  <si>
    <t>Standard 36x48 H-frame with heavy duty horizontal</t>
  </si>
  <si>
    <t>A107</t>
  </si>
  <si>
    <t>Standard 48x48 H-frame with heavy duty horizontal</t>
  </si>
  <si>
    <t>A108</t>
  </si>
  <si>
    <t>Standard 72x48 H-frame with heavy duty horizontal</t>
  </si>
  <si>
    <t>A109</t>
  </si>
  <si>
    <t>Standard 24x60 H-frame with heavy duty horizontal</t>
  </si>
  <si>
    <t>A110</t>
  </si>
  <si>
    <t>Standard 36x60 H-frame with heavy duty horizontal</t>
  </si>
  <si>
    <t>A111</t>
  </si>
  <si>
    <t>Standard 48x60 H-frame with heavy duty horizontal</t>
  </si>
  <si>
    <t>A112</t>
  </si>
  <si>
    <t>Standard 72x60 H-frame with heavy duty horizontal</t>
  </si>
  <si>
    <t>A113</t>
  </si>
  <si>
    <t>Standard 24x72 H-frame with heavy duty horizontal</t>
  </si>
  <si>
    <t>A114</t>
  </si>
  <si>
    <t>Standard 36x72 H-frame with heavy duty horizontal</t>
  </si>
  <si>
    <t>A115</t>
  </si>
  <si>
    <t>Standard 48x72 H-frame with heavy duty horizontal</t>
  </si>
  <si>
    <t>A116</t>
  </si>
  <si>
    <t>Standard 72x72 H-frame with heavy duty horizontal</t>
  </si>
  <si>
    <t>A117</t>
  </si>
  <si>
    <t>Standard 24x84 H-frame with heavy duty horizontal</t>
  </si>
  <si>
    <t>A118</t>
  </si>
  <si>
    <t>Standard 36x84 H-frame with heavy duty horizontal</t>
  </si>
  <si>
    <t>A119</t>
  </si>
  <si>
    <t>Standard 48x84 H-frame with heavy duty horizontal</t>
  </si>
  <si>
    <t>A120</t>
  </si>
  <si>
    <t>Standard 72x84 H-frame with heavy duty horizontal</t>
  </si>
  <si>
    <t>A121</t>
  </si>
  <si>
    <t>1 extra support 24x20 H-frame with heavy duty horizontal</t>
  </si>
  <si>
    <t>A122</t>
  </si>
  <si>
    <t>1 extra support 36x20 H-frame with heavy duty horizontal</t>
  </si>
  <si>
    <t>A123</t>
  </si>
  <si>
    <t>1 extra support 48x20 H-frame with heavy duty horizontal</t>
  </si>
  <si>
    <t>A124</t>
  </si>
  <si>
    <t>1 extra support 72x20 H-frame with heavy duty horizontal</t>
  </si>
  <si>
    <t>A125</t>
  </si>
  <si>
    <t>1 extra support 24x36 H-frame with heavy duty horizontal</t>
  </si>
  <si>
    <t>A126</t>
  </si>
  <si>
    <t>1 extra support 36x36 H-frame with heavy duty horizontal</t>
  </si>
  <si>
    <t>A127</t>
  </si>
  <si>
    <t>1 extra support 48x36 H-frame with heavy duty horizontal</t>
  </si>
  <si>
    <t>A128</t>
  </si>
  <si>
    <t>1 extra support 72x36 H-frame with heavy duty horizontal</t>
  </si>
  <si>
    <t>A129</t>
  </si>
  <si>
    <t>1 extra support 24x48 H-frame with heavy duty horizontal</t>
  </si>
  <si>
    <t>A130</t>
  </si>
  <si>
    <t>1 extra support 36x48 H-frame with heavy duty horizontal</t>
  </si>
  <si>
    <t>A131</t>
  </si>
  <si>
    <t>1 extra support 48x48 H-frame with heavy duty horizontal</t>
  </si>
  <si>
    <t>A132</t>
  </si>
  <si>
    <t>1 extra support 72x48 H-frame with heavy duty horizontal</t>
  </si>
  <si>
    <t>A133</t>
  </si>
  <si>
    <t>1 extra support 24x60 H-frame with heavy duty horizontal</t>
  </si>
  <si>
    <t>A134</t>
  </si>
  <si>
    <t>1 extra support 36x60 H-frame with heavy duty horizontal</t>
  </si>
  <si>
    <t>A135</t>
  </si>
  <si>
    <t>1 extra support 48x60 H-frame with heavy duty horizontal</t>
  </si>
  <si>
    <t>A136</t>
  </si>
  <si>
    <t>1 extra support 72x60 H-frame with heavy duty horizontal</t>
  </si>
  <si>
    <t>A137</t>
  </si>
  <si>
    <t>1 extra support 24x72 H-frame with heavy duty horizontal</t>
  </si>
  <si>
    <t>A138</t>
  </si>
  <si>
    <t>1 extra support 36x72 H-frame with heavy duty horizontal</t>
  </si>
  <si>
    <t>A139</t>
  </si>
  <si>
    <t>1 extra support 48x72 H-frame with heavy duty horizontal</t>
  </si>
  <si>
    <t>A140</t>
  </si>
  <si>
    <t>1 extra support 72x72 H-frame with heavy duty horizontal</t>
  </si>
  <si>
    <t>A141</t>
  </si>
  <si>
    <t>1 extra support 24x84 H-frame with heavy duty horizontal</t>
  </si>
  <si>
    <t>A142</t>
  </si>
  <si>
    <t>1 extra support 36x84 H-frame with heavy duty horizontal</t>
  </si>
  <si>
    <t>A143</t>
  </si>
  <si>
    <t>1 extra support 48x84 H-frame with heavy duty horizontal</t>
  </si>
  <si>
    <t>A144</t>
  </si>
  <si>
    <t>1 extra support 72x84 H-frame with heavy duty horizontal</t>
  </si>
  <si>
    <t>A145</t>
  </si>
  <si>
    <t>2 extra support 24x20 H-frame with heavy duty horizontal</t>
  </si>
  <si>
    <t>A146</t>
  </si>
  <si>
    <t>2 extra support 36x20 H-frame with heavy duty horizontal</t>
  </si>
  <si>
    <t>A147</t>
  </si>
  <si>
    <t>2 extra support 48x20 H-frame with heavy duty horizontal</t>
  </si>
  <si>
    <t>A148</t>
  </si>
  <si>
    <t>2 extra support 72x20 H-frame with heavy duty horizontal</t>
  </si>
  <si>
    <t>A149</t>
  </si>
  <si>
    <t>2 extra support 24x36 H-frame with heavy duty horizontal</t>
  </si>
  <si>
    <t>A150</t>
  </si>
  <si>
    <t>2 extra support 36x36 H-frame with heavy duty horizontal</t>
  </si>
  <si>
    <t>A151</t>
  </si>
  <si>
    <t>2 extra support 48x36 H-frame with heavy duty horizontal</t>
  </si>
  <si>
    <t>A152</t>
  </si>
  <si>
    <t>2 extra support 72x36 H-frame with heavy duty horizontal</t>
  </si>
  <si>
    <t>A153</t>
  </si>
  <si>
    <t>2 extra support 24x48 H-frame with heavy duty horizontal</t>
  </si>
  <si>
    <t>A154</t>
  </si>
  <si>
    <t>2 extra support 36x48 H-frame with heavy duty horizontal</t>
  </si>
  <si>
    <t>A155</t>
  </si>
  <si>
    <t>2 extra support 48x48 H-frame with heavy duty horizontal</t>
  </si>
  <si>
    <t>A156</t>
  </si>
  <si>
    <t>2 extra support 72x48 H-frame with heavy duty horizontal</t>
  </si>
  <si>
    <t>A157</t>
  </si>
  <si>
    <t>2 extra support 24x60 H-frame with heavy duty horizontal</t>
  </si>
  <si>
    <t>A158</t>
  </si>
  <si>
    <t>2 extra support 36x60 H-frame with heavy duty horizontal</t>
  </si>
  <si>
    <t>A159</t>
  </si>
  <si>
    <t>2 extra support 48x60 H-frame with heavy duty horizontal</t>
  </si>
  <si>
    <t>A160</t>
  </si>
  <si>
    <t>2 extra support 72x60 H-frame with heavy duty horizontal</t>
  </si>
  <si>
    <t>A161</t>
  </si>
  <si>
    <t>2 extra support 24x72 H-frame with heavy duty horizontal</t>
  </si>
  <si>
    <t>A162</t>
  </si>
  <si>
    <t>2 extra support 36x72 H-frame with heavy duty horizontal</t>
  </si>
  <si>
    <t>A163</t>
  </si>
  <si>
    <t>2 extra support 48x72 H-frame with heavy duty horizontal</t>
  </si>
  <si>
    <t>A164</t>
  </si>
  <si>
    <t>2 extra support 72x72 H-frame with heavy duty horizontal</t>
  </si>
  <si>
    <t>A165</t>
  </si>
  <si>
    <t>2 extra support 24x84 H-frame with heavy duty horizontal</t>
  </si>
  <si>
    <t>A166</t>
  </si>
  <si>
    <t>2 extra support 36x84 H-frame with heavy duty horizontal</t>
  </si>
  <si>
    <t>A167</t>
  </si>
  <si>
    <t>2 extra support 48x84 H-frame with heavy duty horizontal</t>
  </si>
  <si>
    <t>A168</t>
  </si>
  <si>
    <t>2 extra support 72x84 H-frame with heavy duty horizontal</t>
  </si>
  <si>
    <t>A169</t>
  </si>
  <si>
    <t>Standard 24x20 H-frame with medium duty horizontal</t>
  </si>
  <si>
    <t>A170</t>
  </si>
  <si>
    <t>Standard 36x20 H-frame with medium duty horizontal</t>
  </si>
  <si>
    <t>A171</t>
  </si>
  <si>
    <t>Standard 48x20 H-frame with medium duty horizontal</t>
  </si>
  <si>
    <t>A172</t>
  </si>
  <si>
    <t>Standard 72x20 H-frame with medium duty horizontal</t>
  </si>
  <si>
    <t>A173</t>
  </si>
  <si>
    <t>Standard 24x36 H-frame with medium duty horizontal</t>
  </si>
  <si>
    <t>A174</t>
  </si>
  <si>
    <t>Standard 36x36 H-frame with medium duty horizontal</t>
  </si>
  <si>
    <t>A175</t>
  </si>
  <si>
    <t>Standard 48x36 H-frame with medium duty horizontal</t>
  </si>
  <si>
    <t>A176</t>
  </si>
  <si>
    <t>Standard 72x36 H-frame with medium duty horizontal</t>
  </si>
  <si>
    <t>A177</t>
  </si>
  <si>
    <t>Standard 24x48 H-frame with medium duty horizontal</t>
  </si>
  <si>
    <t>A178</t>
  </si>
  <si>
    <t>Standard 36x48 H-frame with medium duty horizontal</t>
  </si>
  <si>
    <t>A179</t>
  </si>
  <si>
    <t>Standard 48x48 H-frame with medium duty horizontal</t>
  </si>
  <si>
    <t>A180</t>
  </si>
  <si>
    <t>Standard 72x48 H-frame with medium duty horizontal</t>
  </si>
  <si>
    <t>A181</t>
  </si>
  <si>
    <t>Standard 24x60 H-frame with medium duty horizontal</t>
  </si>
  <si>
    <t>A182</t>
  </si>
  <si>
    <t>Standard 36x60 H-frame with medium duty horizontal</t>
  </si>
  <si>
    <t>A183</t>
  </si>
  <si>
    <t>Standard 48x60 H-frame with medium duty horizontal</t>
  </si>
  <si>
    <t>A184</t>
  </si>
  <si>
    <t>Standard 72x60 H-frame with medium duty horizontal</t>
  </si>
  <si>
    <t>A185</t>
  </si>
  <si>
    <t>Standard 24x72 H-frame with medium duty horizontal</t>
  </si>
  <si>
    <t>A186</t>
  </si>
  <si>
    <t>Standard 36x72 H-frame with medium duty horizontal</t>
  </si>
  <si>
    <t>A187</t>
  </si>
  <si>
    <t>Standard 48x72 H-frame with medium duty horizontal</t>
  </si>
  <si>
    <t>A188</t>
  </si>
  <si>
    <t>Standard 72x72 H-frame with medium duty horizontal</t>
  </si>
  <si>
    <t>A189</t>
  </si>
  <si>
    <t>Standard 24x84 H-frame with medium duty horizontal</t>
  </si>
  <si>
    <t>A190</t>
  </si>
  <si>
    <t>Standard 36x84 H-frame with medium duty horizontal</t>
  </si>
  <si>
    <t>A191</t>
  </si>
  <si>
    <t>Standard 48x84 H-frame with medium duty horizontal</t>
  </si>
  <si>
    <t>A192</t>
  </si>
  <si>
    <t>Standard 72x84 H-frame with medium duty horizontal</t>
  </si>
  <si>
    <t>A193</t>
  </si>
  <si>
    <t>1 extra support 24x20 H-frame with medium duty horizontal</t>
  </si>
  <si>
    <t>A194</t>
  </si>
  <si>
    <t>1 extra support 36x20 H-frame with medium duty horizontal</t>
  </si>
  <si>
    <t>A195</t>
  </si>
  <si>
    <t>1 extra support 48x20 H-frame with medium duty horizontal</t>
  </si>
  <si>
    <t>A196</t>
  </si>
  <si>
    <t>1 extra support 72x20 H-frame with medium duty horizontal</t>
  </si>
  <si>
    <t>A197</t>
  </si>
  <si>
    <t>1 extra support 24x36 H-frame with medium duty horizontal</t>
  </si>
  <si>
    <t>A198</t>
  </si>
  <si>
    <t>1 extra support 36x36 H-frame with medium duty horizontal</t>
  </si>
  <si>
    <t>A199</t>
  </si>
  <si>
    <t>1 extra support 48x36 H-frame with medium duty horizontal</t>
  </si>
  <si>
    <t>A200</t>
  </si>
  <si>
    <t>1 extra support 72x36 H-frame with medium duty horizontal</t>
  </si>
  <si>
    <t>A201</t>
  </si>
  <si>
    <t>1 extra support 24x48 H-frame with medium duty horizontal</t>
  </si>
  <si>
    <t>A202</t>
  </si>
  <si>
    <t>1 extra support 36x48 H-frame with medium duty horizontal</t>
  </si>
  <si>
    <t>A203</t>
  </si>
  <si>
    <t>1 extra support 48x48 H-frame with medium duty horizontal</t>
  </si>
  <si>
    <t>A204</t>
  </si>
  <si>
    <t>1 extra support 72x48 H-frame with medium duty horizontal</t>
  </si>
  <si>
    <t>A205</t>
  </si>
  <si>
    <t>1 extra support 24x60 H-frame with medium duty horizontal</t>
  </si>
  <si>
    <t>A206</t>
  </si>
  <si>
    <t>1 extra support 36x60 H-frame with medium duty horizontal</t>
  </si>
  <si>
    <t>A207</t>
  </si>
  <si>
    <t>1 extra support 48x60 H-frame with medium duty horizontal</t>
  </si>
  <si>
    <t>A208</t>
  </si>
  <si>
    <t>1 extra support 72x60 H-frame with medium duty horizontal</t>
  </si>
  <si>
    <t>A209</t>
  </si>
  <si>
    <t>1 extra support 24x72 H-frame with medium duty horizontal</t>
  </si>
  <si>
    <t>A210</t>
  </si>
  <si>
    <t>1 extra support 36x72 H-frame with medium duty horizontal</t>
  </si>
  <si>
    <t>A211</t>
  </si>
  <si>
    <t>1 extra support 48x72 H-frame with medium duty horizontal</t>
  </si>
  <si>
    <t>A212</t>
  </si>
  <si>
    <t>1 extra support 72x72 H-frame with medium duty horizontal</t>
  </si>
  <si>
    <t>A213</t>
  </si>
  <si>
    <t>1 extra support 24x84 H-frame with medium duty horizontal</t>
  </si>
  <si>
    <t>A214</t>
  </si>
  <si>
    <t>1 extra support 36x84 H-frame with medium duty horizontal</t>
  </si>
  <si>
    <t>A215</t>
  </si>
  <si>
    <t>1 extra support 48x84 H-frame with medium duty horizontal</t>
  </si>
  <si>
    <t>A216</t>
  </si>
  <si>
    <t>1 extra support 72x84 H-frame with medium duty horizontal</t>
  </si>
  <si>
    <t>A217</t>
  </si>
  <si>
    <t>2 extra support 24x20 H-frame with medium duty horizontal</t>
  </si>
  <si>
    <t>A218</t>
  </si>
  <si>
    <t>2 extra support 36x20 H-frame with medium duty horizontal</t>
  </si>
  <si>
    <t>A219</t>
  </si>
  <si>
    <t>2 extra support 48x20 H-frame with medium duty horizontal</t>
  </si>
  <si>
    <t>A220</t>
  </si>
  <si>
    <t>2 extra support 72x20 H-frame with medium duty horizontal</t>
  </si>
  <si>
    <t>A221</t>
  </si>
  <si>
    <t>2 extra support 24x36 H-frame with medium duty horizontal</t>
  </si>
  <si>
    <t>A222</t>
  </si>
  <si>
    <t>2 extra support 36x36 H-frame with medium duty horizontal</t>
  </si>
  <si>
    <t>A223</t>
  </si>
  <si>
    <t>2 extra support 48x36 H-frame with medium duty horizontal</t>
  </si>
  <si>
    <t>A224</t>
  </si>
  <si>
    <t>2 extra support 72x36 H-frame with medium duty horizontal</t>
  </si>
  <si>
    <t>A225</t>
  </si>
  <si>
    <t>2 extra support 24x48 H-frame with medium duty horizontal</t>
  </si>
  <si>
    <t>A226</t>
  </si>
  <si>
    <t>2 extra support 36x48 H-frame with medium duty horizontal</t>
  </si>
  <si>
    <t>A227</t>
  </si>
  <si>
    <t>2 extra support 48x48 H-frame with medium duty horizontal</t>
  </si>
  <si>
    <t>A228</t>
  </si>
  <si>
    <t>2 extra support 72x48 H-frame with medium duty horizontal</t>
  </si>
  <si>
    <t>A229</t>
  </si>
  <si>
    <t>2 extra support 24x60 H-frame with medium duty horizontal</t>
  </si>
  <si>
    <t>A230</t>
  </si>
  <si>
    <t>2 extra support 36x60 H-frame with medium duty horizontal</t>
  </si>
  <si>
    <t>A231</t>
  </si>
  <si>
    <t>2 extra support 48x60 H-frame with medium duty horizontal</t>
  </si>
  <si>
    <t>A232</t>
  </si>
  <si>
    <t>2 extra support 72x60 H-frame with medium duty horizontal</t>
  </si>
  <si>
    <t>A233</t>
  </si>
  <si>
    <t>2 extra support 24x72 H-frame with medium duty horizontal</t>
  </si>
  <si>
    <t>A234</t>
  </si>
  <si>
    <t>2 extra support 36x72 H-frame with medium duty horizontal</t>
  </si>
  <si>
    <t>A235</t>
  </si>
  <si>
    <t>2 extra support 48x72 H-frame with medium duty horizontal</t>
  </si>
  <si>
    <t>A236</t>
  </si>
  <si>
    <t>2 extra support 72x72 H-frame with medium duty horizontal</t>
  </si>
  <si>
    <t>A237</t>
  </si>
  <si>
    <t>2 extra support 24x84 H-frame with medium duty horizontal</t>
  </si>
  <si>
    <t>A238</t>
  </si>
  <si>
    <t>2 extra support 36x84 H-frame with medium duty horizontal</t>
  </si>
  <si>
    <t>A239</t>
  </si>
  <si>
    <t>2 extra support 48x84 H-frame with medium duty horizontal</t>
  </si>
  <si>
    <t>A240</t>
  </si>
  <si>
    <t>2 extra support 72x84 H-frame with medium duty horizontal</t>
  </si>
  <si>
    <t>Fully Assembled Units</t>
  </si>
  <si>
    <t xml:space="preserve">Weight of Assembled Unit </t>
  </si>
  <si>
    <t>Height</t>
  </si>
  <si>
    <t>Width</t>
  </si>
  <si>
    <t>4’ x 6’ Pallet</t>
  </si>
  <si>
    <t>4’ x 8’ Pallet</t>
  </si>
  <si>
    <t>Standard H-frame</t>
  </si>
  <si>
    <t>Enclosed duct H-frame</t>
  </si>
  <si>
    <t>1 Additional support H-frame</t>
  </si>
  <si>
    <t>2 Additional support H-frame</t>
  </si>
  <si>
    <t>Standard H-frame with heavy duty horizontal</t>
  </si>
  <si>
    <t>1 extra support H-frame with heavy duty horizontal</t>
  </si>
  <si>
    <t>2 extra support H-frame with heavy duty horizontal</t>
  </si>
  <si>
    <t>Standard H-frame with medium duty horizontal</t>
  </si>
  <si>
    <t>1 extra support H-frame with medium duty horizontal</t>
  </si>
  <si>
    <t>2 extra support H-frame with medium duty horizontal</t>
  </si>
  <si>
    <t xml:space="preserve">4'x 6' </t>
  </si>
  <si>
    <t xml:space="preserve">4'x8' </t>
  </si>
  <si>
    <t>24”</t>
  </si>
  <si>
    <t>x</t>
  </si>
  <si>
    <t>20”</t>
  </si>
  <si>
    <t>36”</t>
  </si>
  <si>
    <t>48”</t>
  </si>
  <si>
    <t>72”</t>
  </si>
  <si>
    <t>60”</t>
  </si>
  <si>
    <t>x]</t>
  </si>
  <si>
    <t>84”</t>
  </si>
  <si>
    <t>* Based on AS 200 Unistrut Wt./Ft. 1.94 lb</t>
  </si>
  <si>
    <t xml:space="preserve">*** weights are in pounds (lbs) </t>
  </si>
  <si>
    <t>** Weight includes Caddy 2 legged base unit weight 11 lbs.</t>
  </si>
  <si>
    <t>****Total weight with fully assembled parts and crate</t>
  </si>
  <si>
    <t>*** 4’ x 6’ pallet weight is 100 lbs. / 4’ x 8’ pallet is 110 lbs.</t>
  </si>
  <si>
    <t xml:space="preserve">***** Weight does NOT include accessories ie clevis hangers or supports </t>
  </si>
  <si>
    <t>Hanger size (in)</t>
  </si>
  <si>
    <t>Rod diameter (3/8 =1, 1/2" =2)</t>
  </si>
  <si>
    <t>Rod &amp; hardware cost</t>
  </si>
  <si>
    <t>Clevis cost</t>
  </si>
  <si>
    <t>Labor cost</t>
  </si>
  <si>
    <t>Price</t>
  </si>
  <si>
    <t>margin</t>
  </si>
  <si>
    <t>Rod size</t>
  </si>
  <si>
    <t>Unit price</t>
  </si>
  <si>
    <t>Nut/washer size</t>
  </si>
  <si>
    <t>H1</t>
  </si>
  <si>
    <t>H2</t>
  </si>
  <si>
    <t>H3</t>
  </si>
  <si>
    <t>H4</t>
  </si>
  <si>
    <t>H5</t>
  </si>
  <si>
    <t>H6</t>
  </si>
  <si>
    <t>H7</t>
  </si>
  <si>
    <t>H8</t>
  </si>
  <si>
    <t>H9</t>
  </si>
  <si>
    <t>in table means correctly matched with rod type</t>
  </si>
  <si>
    <t>H10</t>
  </si>
  <si>
    <t>H11</t>
  </si>
  <si>
    <t>H12</t>
  </si>
  <si>
    <t>H13</t>
  </si>
  <si>
    <t>H14</t>
  </si>
  <si>
    <t>H15</t>
  </si>
  <si>
    <t>H16</t>
  </si>
  <si>
    <t>H17</t>
  </si>
  <si>
    <t>H18</t>
  </si>
  <si>
    <t>H19</t>
  </si>
  <si>
    <t>H20</t>
  </si>
  <si>
    <t>H21</t>
  </si>
  <si>
    <t>H22</t>
  </si>
  <si>
    <t>H23</t>
  </si>
  <si>
    <t>H24</t>
  </si>
  <si>
    <t>H25</t>
  </si>
  <si>
    <t>H26</t>
  </si>
  <si>
    <t>H27</t>
  </si>
  <si>
    <t>H28</t>
  </si>
  <si>
    <t>H29</t>
  </si>
  <si>
    <t>H30</t>
  </si>
  <si>
    <t>H31</t>
  </si>
  <si>
    <t>H32</t>
  </si>
  <si>
    <t>H33</t>
  </si>
  <si>
    <t>H34</t>
  </si>
  <si>
    <t>H35</t>
  </si>
  <si>
    <t>H36</t>
  </si>
  <si>
    <t>H37</t>
  </si>
  <si>
    <t>H38</t>
  </si>
  <si>
    <t>H39</t>
  </si>
  <si>
    <t>H40</t>
  </si>
  <si>
    <t>Pipe 1</t>
  </si>
  <si>
    <t>Pipe 2</t>
  </si>
  <si>
    <t>Pipe size</t>
  </si>
  <si>
    <t>Schedule/type</t>
  </si>
  <si>
    <t>Input name</t>
  </si>
  <si>
    <t>Pipe OD</t>
  </si>
  <si>
    <t>Empty weight (lb/ft)</t>
  </si>
  <si>
    <t>Water filled weight (lb/ft)</t>
  </si>
  <si>
    <t>Insulation thickness</t>
  </si>
  <si>
    <t>Shield or hanger size</t>
  </si>
  <si>
    <t>Hanger Height</t>
  </si>
  <si>
    <t>Material</t>
  </si>
  <si>
    <t>contents</t>
  </si>
  <si>
    <t>Max spacing</t>
  </si>
  <si>
    <t>Iron</t>
  </si>
  <si>
    <t>Copper</t>
  </si>
  <si>
    <t>K</t>
  </si>
  <si>
    <t>CPVC</t>
  </si>
  <si>
    <t>L</t>
  </si>
  <si>
    <t>Type</t>
  </si>
  <si>
    <t>pipe type 1</t>
  </si>
  <si>
    <t>pipe type 2</t>
  </si>
  <si>
    <t>empty</t>
  </si>
  <si>
    <t>water filled</t>
  </si>
  <si>
    <t>CCPVC - Schedule 40</t>
  </si>
  <si>
    <t>material</t>
  </si>
  <si>
    <t>insulation thickness</t>
  </si>
  <si>
    <t>hanger size</t>
  </si>
  <si>
    <t>Strut type</t>
  </si>
  <si>
    <t>Beam span</t>
  </si>
  <si>
    <t>Max Beam Load</t>
  </si>
  <si>
    <t>Max Beam Load (Mult by 0.85)</t>
  </si>
  <si>
    <t>OldMax beam load</t>
  </si>
  <si>
    <t>Column Height (inches)</t>
  </si>
  <si>
    <t>Max column load</t>
  </si>
  <si>
    <t>Old Max Column Load</t>
  </si>
  <si>
    <t>E12</t>
  </si>
  <si>
    <t>Max pipe spacing best method</t>
  </si>
  <si>
    <t>Strut</t>
  </si>
  <si>
    <t>Weight capacity</t>
  </si>
  <si>
    <t>extra supports required</t>
  </si>
  <si>
    <t>Actual pipe spacing best method</t>
  </si>
  <si>
    <t>Use T series</t>
  </si>
  <si>
    <t>Max spacing for pipe</t>
  </si>
  <si>
    <t>no extra legs</t>
  </si>
  <si>
    <t>2 extra legs</t>
  </si>
  <si>
    <t>3 extra legs</t>
  </si>
  <si>
    <t>4 extra legs</t>
  </si>
  <si>
    <t>1 extra leg</t>
  </si>
  <si>
    <t>pipe_to_strut</t>
  </si>
  <si>
    <t>Max beam load</t>
  </si>
  <si>
    <t>Extra Legs</t>
  </si>
  <si>
    <t>What is the clearance between hanger and bottom of strut</t>
  </si>
  <si>
    <t>None</t>
  </si>
  <si>
    <t>Pipe Calculations</t>
  </si>
  <si>
    <t>Pipe 2 effective snow load per foot at qty</t>
  </si>
  <si>
    <t>Pipe type 1 effective snow load per foot at qty</t>
  </si>
  <si>
    <t>6 &lt;= x &lt;= 15</t>
  </si>
  <si>
    <t>&lt;&lt; same if hanger</t>
  </si>
  <si>
    <t>to 36</t>
  </si>
  <si>
    <t>Hanger</t>
  </si>
  <si>
    <t>No</t>
  </si>
  <si>
    <t>snow load</t>
  </si>
  <si>
    <t>holder</t>
  </si>
  <si>
    <t>clearance</t>
  </si>
  <si>
    <t>spacing</t>
  </si>
  <si>
    <t>pipe type</t>
  </si>
  <si>
    <t>diameter</t>
  </si>
  <si>
    <t>insulation</t>
  </si>
  <si>
    <t>pipe count</t>
  </si>
  <si>
    <t>section length</t>
  </si>
  <si>
    <t>overall weight</t>
  </si>
  <si>
    <t>cross member width</t>
  </si>
  <si>
    <t>frame spacing</t>
  </si>
  <si>
    <t>total frames</t>
  </si>
  <si>
    <t>Roller</t>
  </si>
  <si>
    <t>Clamp</t>
  </si>
  <si>
    <t>Row start</t>
  </si>
  <si>
    <t>Number of Tests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</si>
</sst>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8" formatCode="&quot;$&quot;#,##0.00_);[Red]\(&quot;$&quot;#,##0.00\)"/>
    <numFmt numFmtId="164" formatCode="0.000"/>
    <numFmt numFmtId="165" formatCode="&quot;$&quot;#,##0.00"/>
    <numFmt numFmtId="166" formatCode="0.0"/>
  </numFmts>
  <fonts count="17" x14ac:knownFonts="1">
    <font>
      <sz val="11"/>
      <color theme="1"/>
      <name val="Calibri"/>
      <family val="2"/>
      <scheme val="minor"/>
    </font>
    <font>
      <b/>
      <sz val="11"/>
      <color theme="1"/>
      <name val="Calibri"/>
      <family val="2"/>
      <scheme val="minor"/>
    </font>
    <font>
      <sz val="8"/>
      <name val="Calibri"/>
      <family val="2"/>
      <scheme val="minor"/>
    </font>
    <font>
      <sz val="11"/>
      <color theme="1"/>
      <name val="Arial"/>
      <family val="2"/>
    </font>
    <font>
      <sz val="9"/>
      <color indexed="81"/>
      <name val="Tahoma"/>
      <family val="2"/>
    </font>
    <font>
      <u/>
      <sz val="11"/>
      <color theme="10"/>
      <name val="Calibri"/>
      <family val="2"/>
      <scheme val="minor"/>
    </font>
    <font>
      <b/>
      <sz val="11"/>
      <color theme="1"/>
      <name val="Arial"/>
      <family val="2"/>
    </font>
    <font>
      <u/>
      <sz val="11"/>
      <color theme="10"/>
      <name val="Arial"/>
      <family val="2"/>
    </font>
    <font>
      <sz val="10"/>
      <color theme="1"/>
      <name val="Arial"/>
      <family val="2"/>
    </font>
    <font>
      <b/>
      <sz val="14"/>
      <color theme="1"/>
      <name val="Arial"/>
      <family val="2"/>
    </font>
    <font>
      <sz val="14"/>
      <color theme="1"/>
      <name val="Arial"/>
      <family val="2"/>
    </font>
    <font>
      <sz val="11"/>
      <color theme="1"/>
      <name val="Calibri"/>
      <family val="2"/>
      <scheme val="minor"/>
    </font>
    <font>
      <sz val="11"/>
      <color theme="1"/>
      <name val="Roboto"/>
    </font>
    <font>
      <u/>
      <sz val="10"/>
      <color theme="10"/>
      <name val="Arial"/>
      <family val="2"/>
    </font>
    <font>
      <sz val="11"/>
      <color rgb="FFFF0000"/>
      <name val="Calibri"/>
      <family val="2"/>
      <scheme val="minor"/>
    </font>
    <font>
      <sz val="11"/>
      <color rgb="FFC00000"/>
      <name val="Calibri"/>
      <family val="2"/>
      <scheme val="minor"/>
    </font>
    <font>
      <sz val="11"/>
      <color rgb="FF000000"/>
      <name val="Calibri"/>
      <family val="2"/>
    </font>
  </fonts>
  <fills count="7">
    <fill>
      <patternFill patternType="none"/>
    </fill>
    <fill>
      <patternFill patternType="gray125"/>
    </fill>
    <fill>
      <patternFill patternType="solid">
        <fgColor theme="2"/>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rgb="FFFFFF00"/>
        <bgColor indexed="64"/>
      </patternFill>
    </fill>
    <fill>
      <patternFill patternType="solid">
        <fgColor rgb="FF92D050"/>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theme="4" tint="0.39997558519241921"/>
      </left>
      <right/>
      <top style="thin">
        <color theme="4" tint="0.39997558519241921"/>
      </top>
      <bottom style="thin">
        <color theme="4" tint="0.39997558519241921"/>
      </bottom>
      <diagonal/>
    </border>
    <border>
      <left/>
      <right/>
      <top/>
      <bottom style="thin">
        <color indexed="64"/>
      </bottom>
      <diagonal/>
    </border>
    <border>
      <left/>
      <right style="thin">
        <color theme="4" tint="0.39997558519241921"/>
      </right>
      <top style="thin">
        <color theme="4" tint="0.39997558519241921"/>
      </top>
      <bottom style="thin">
        <color theme="4" tint="0.39997558519241921"/>
      </bottom>
      <diagonal/>
    </border>
  </borders>
  <cellStyleXfs count="3">
    <xf numFmtId="0" fontId="0" fillId="0" borderId="0"/>
    <xf numFmtId="0" fontId="5" fillId="0" borderId="0" applyNumberFormat="0" applyFill="0" applyBorder="0" applyAlignment="0" applyProtection="0"/>
    <xf numFmtId="9" fontId="11" fillId="0" borderId="0" applyFont="0" applyFill="0" applyBorder="0" applyAlignment="0" applyProtection="0"/>
  </cellStyleXfs>
  <cellXfs count="65">
    <xf numFmtId="0" fontId="0" fillId="0" borderId="0" xfId="0"/>
    <xf numFmtId="0" fontId="0" fillId="2" borderId="0" xfId="0" applyFill="1"/>
    <xf numFmtId="164" fontId="0" fillId="2" borderId="0" xfId="0" applyNumberFormat="1" applyFill="1"/>
    <xf numFmtId="2" fontId="0" fillId="2" borderId="0" xfId="0" applyNumberFormat="1" applyFill="1"/>
    <xf numFmtId="1" fontId="0" fillId="0" borderId="0" xfId="0" applyNumberFormat="1"/>
    <xf numFmtId="165" fontId="0" fillId="0" borderId="0" xfId="0" applyNumberFormat="1"/>
    <xf numFmtId="164" fontId="0" fillId="0" borderId="0" xfId="0" applyNumberFormat="1"/>
    <xf numFmtId="2" fontId="0" fillId="0" borderId="0" xfId="0" applyNumberFormat="1"/>
    <xf numFmtId="0" fontId="1" fillId="0" borderId="0" xfId="0" applyFont="1" applyAlignment="1">
      <alignment wrapText="1"/>
    </xf>
    <xf numFmtId="0" fontId="0" fillId="0" borderId="0" xfId="0" applyAlignment="1">
      <alignment wrapText="1"/>
    </xf>
    <xf numFmtId="0" fontId="0" fillId="2" borderId="0" xfId="0" applyFill="1" applyAlignment="1">
      <alignment horizontal="center"/>
    </xf>
    <xf numFmtId="166" fontId="0" fillId="0" borderId="0" xfId="0" applyNumberFormat="1"/>
    <xf numFmtId="0" fontId="0" fillId="0" borderId="0" xfId="0" applyAlignment="1">
      <alignment horizontal="center"/>
    </xf>
    <xf numFmtId="0" fontId="3" fillId="0" borderId="0" xfId="0" applyFont="1"/>
    <xf numFmtId="0" fontId="3" fillId="0" borderId="0" xfId="0" applyFont="1" applyAlignment="1">
      <alignment horizontal="left"/>
    </xf>
    <xf numFmtId="0" fontId="7" fillId="0" borderId="0" xfId="1" applyFont="1"/>
    <xf numFmtId="0" fontId="8" fillId="0" borderId="0" xfId="0" applyFont="1"/>
    <xf numFmtId="0" fontId="6" fillId="0" borderId="0" xfId="0" applyFont="1"/>
    <xf numFmtId="0" fontId="10" fillId="0" borderId="0" xfId="0" applyFont="1"/>
    <xf numFmtId="0" fontId="9" fillId="0" borderId="0" xfId="0" applyFont="1" applyAlignment="1">
      <alignment horizontal="center" vertical="center" textRotation="90"/>
    </xf>
    <xf numFmtId="0" fontId="3" fillId="0" borderId="0" xfId="0" applyFont="1" applyAlignment="1">
      <alignment horizontal="center"/>
    </xf>
    <xf numFmtId="0" fontId="0" fillId="0" borderId="2" xfId="0" applyBorder="1"/>
    <xf numFmtId="0" fontId="0" fillId="3" borderId="2" xfId="0" applyFill="1" applyBorder="1"/>
    <xf numFmtId="1" fontId="3" fillId="0" borderId="0" xfId="0" applyNumberFormat="1" applyFont="1" applyAlignment="1">
      <alignment horizontal="center"/>
    </xf>
    <xf numFmtId="0" fontId="3" fillId="0" borderId="0" xfId="0" applyFont="1" applyAlignment="1">
      <alignment horizontal="right"/>
    </xf>
    <xf numFmtId="0" fontId="8" fillId="0" borderId="1" xfId="0" applyFont="1" applyBorder="1" applyProtection="1">
      <protection locked="0"/>
    </xf>
    <xf numFmtId="0" fontId="3" fillId="0" borderId="0" xfId="0" applyFont="1" applyAlignment="1" applyProtection="1">
      <alignment horizontal="center"/>
      <protection locked="0"/>
    </xf>
    <xf numFmtId="0" fontId="12" fillId="0" borderId="0" xfId="0" applyFont="1"/>
    <xf numFmtId="0" fontId="12" fillId="0" borderId="0" xfId="0" applyFont="1" applyAlignment="1">
      <alignment horizontal="right"/>
    </xf>
    <xf numFmtId="1" fontId="12" fillId="0" borderId="0" xfId="0" applyNumberFormat="1" applyFont="1" applyAlignment="1">
      <alignment horizontal="center"/>
    </xf>
    <xf numFmtId="165" fontId="12" fillId="0" borderId="0" xfId="0" applyNumberFormat="1" applyFont="1"/>
    <xf numFmtId="14" fontId="12" fillId="0" borderId="0" xfId="0" applyNumberFormat="1" applyFont="1"/>
    <xf numFmtId="0" fontId="12" fillId="0" borderId="0" xfId="0" applyFont="1" applyAlignment="1">
      <alignment horizontal="center"/>
    </xf>
    <xf numFmtId="0" fontId="12" fillId="0" borderId="0" xfId="0" applyFont="1" applyProtection="1">
      <protection locked="0"/>
    </xf>
    <xf numFmtId="0" fontId="12" fillId="0" borderId="0" xfId="0" applyFont="1" applyAlignment="1" applyProtection="1">
      <alignment horizontal="center"/>
      <protection locked="0"/>
    </xf>
    <xf numFmtId="165" fontId="12" fillId="0" borderId="0" xfId="0" applyNumberFormat="1" applyFont="1" applyProtection="1">
      <protection locked="0"/>
    </xf>
    <xf numFmtId="9" fontId="0" fillId="0" borderId="0" xfId="2" applyFont="1"/>
    <xf numFmtId="9" fontId="1" fillId="0" borderId="0" xfId="2" applyFont="1" applyAlignment="1">
      <alignment wrapText="1"/>
    </xf>
    <xf numFmtId="8" fontId="0" fillId="0" borderId="0" xfId="0" applyNumberFormat="1"/>
    <xf numFmtId="0" fontId="0" fillId="4" borderId="0" xfId="0" applyFill="1"/>
    <xf numFmtId="0" fontId="0" fillId="4" borderId="0" xfId="0" applyFill="1" applyAlignment="1">
      <alignment horizontal="center"/>
    </xf>
    <xf numFmtId="2" fontId="0" fillId="4" borderId="0" xfId="0" applyNumberFormat="1" applyFill="1"/>
    <xf numFmtId="166" fontId="0" fillId="4" borderId="0" xfId="0" applyNumberFormat="1" applyFill="1"/>
    <xf numFmtId="165" fontId="0" fillId="4" borderId="0" xfId="0" applyNumberFormat="1" applyFill="1"/>
    <xf numFmtId="9" fontId="0" fillId="4" borderId="0" xfId="2" applyFont="1" applyFill="1"/>
    <xf numFmtId="165" fontId="1" fillId="0" borderId="0" xfId="0" applyNumberFormat="1" applyFont="1" applyAlignment="1">
      <alignment wrapText="1"/>
    </xf>
    <xf numFmtId="2" fontId="0" fillId="0" borderId="0" xfId="2" applyNumberFormat="1" applyFont="1"/>
    <xf numFmtId="0" fontId="3" fillId="0" borderId="1" xfId="0" applyFont="1" applyBorder="1" applyProtection="1">
      <protection locked="0"/>
    </xf>
    <xf numFmtId="0" fontId="13" fillId="0" borderId="0" xfId="1" applyFont="1"/>
    <xf numFmtId="0" fontId="1" fillId="0" borderId="0" xfId="0" applyFont="1"/>
    <xf numFmtId="0" fontId="14" fillId="0" borderId="0" xfId="0" applyFont="1" applyAlignment="1">
      <alignment wrapText="1"/>
    </xf>
    <xf numFmtId="0" fontId="14" fillId="0" borderId="0" xfId="0" applyFont="1"/>
    <xf numFmtId="0" fontId="0" fillId="5" borderId="0" xfId="0" applyFill="1"/>
    <xf numFmtId="0" fontId="0" fillId="0" borderId="3" xfId="0" applyBorder="1" applyAlignment="1">
      <alignment horizontal="center"/>
    </xf>
    <xf numFmtId="0" fontId="0" fillId="3" borderId="4" xfId="0" applyFill="1" applyBorder="1"/>
    <xf numFmtId="0" fontId="0" fillId="0" borderId="4" xfId="0" applyBorder="1"/>
    <xf numFmtId="0" fontId="15" fillId="0" borderId="0" xfId="0" applyFont="1"/>
    <xf numFmtId="0" fontId="3" fillId="5" borderId="0" xfId="0" applyFont="1" applyFill="1" applyAlignment="1" applyProtection="1">
      <alignment horizontal="center"/>
      <protection locked="0"/>
    </xf>
    <xf numFmtId="0" fontId="3" fillId="6" borderId="0" xfId="0" applyFont="1" applyFill="1" applyAlignment="1" applyProtection="1">
      <alignment horizontal="center"/>
      <protection locked="0"/>
    </xf>
    <xf numFmtId="0" fontId="3" fillId="6" borderId="0" xfId="0" applyFont="1" applyFill="1" applyAlignment="1">
      <alignment horizontal="center"/>
    </xf>
    <xf numFmtId="16" fontId="3" fillId="0" borderId="0" xfId="0" applyNumberFormat="1" applyFont="1" applyAlignment="1">
      <alignment horizontal="center"/>
    </xf>
    <xf numFmtId="0" fontId="9" fillId="0" borderId="0" xfId="0" applyFont="1" applyAlignment="1">
      <alignment horizontal="center" vertical="center" textRotation="90"/>
    </xf>
    <xf numFmtId="0" fontId="8" fillId="0" borderId="1" xfId="0" applyFont="1" applyBorder="1" applyAlignment="1" applyProtection="1">
      <alignment horizontal="left"/>
      <protection locked="0"/>
    </xf>
    <xf numFmtId="0" fontId="3" fillId="0" borderId="0" xfId="0" applyFont="1" applyAlignment="1">
      <alignment horizontal="left" vertical="top" wrapText="1"/>
    </xf>
    <xf numFmtId="0" fontId="0" fillId="0" borderId="3" xfId="0" applyBorder="1" applyAlignment="1">
      <alignment horizontal="center"/>
    </xf>
  </cellXfs>
  <cellStyles count="3">
    <cellStyle name="Hyperlink" xfId="1" builtinId="8"/>
    <cellStyle name="Normal" xfId="0" builtinId="0"/>
    <cellStyle name="Percent" xfId="2" builtinId="5"/>
  </cellStyles>
  <dxfs count="51">
    <dxf>
      <fill>
        <patternFill>
          <bgColor theme="7" tint="0.39994506668294322"/>
        </patternFill>
      </fill>
    </dxf>
    <dxf>
      <fill>
        <patternFill>
          <bgColor rgb="FFF48484"/>
        </patternFill>
      </fill>
    </dxf>
    <dxf>
      <fill>
        <patternFill>
          <bgColor rgb="FFFF7C80"/>
        </patternFill>
      </fill>
    </dxf>
    <dxf>
      <fill>
        <patternFill>
          <bgColor theme="7" tint="0.39994506668294322"/>
        </patternFill>
      </fill>
    </dxf>
    <dxf>
      <fill>
        <patternFill>
          <bgColor rgb="FFF48484"/>
        </patternFill>
      </fill>
    </dxf>
    <dxf>
      <fill>
        <patternFill>
          <bgColor rgb="FFFF7C80"/>
        </patternFill>
      </fill>
    </dxf>
    <dxf>
      <fill>
        <patternFill>
          <bgColor rgb="FFF48484"/>
        </patternFill>
      </fill>
    </dxf>
    <dxf>
      <fill>
        <patternFill>
          <bgColor rgb="FFFF7C80"/>
        </patternFill>
      </fill>
    </dxf>
    <dxf>
      <numFmt numFmtId="165" formatCode="&quot;$&quot;#,##0.00"/>
    </dxf>
    <dxf>
      <alignment horizontal="general" vertical="bottom" textRotation="0" wrapText="1" indent="0" justifyLastLine="0" shrinkToFit="0" readingOrder="0"/>
    </dxf>
    <dxf>
      <numFmt numFmtId="12" formatCode="&quot;$&quot;#,##0.00_);[Red]\(&quot;$&quot;#,##0.0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dxf>
    <dxf>
      <numFmt numFmtId="165" formatCode="&quot;$&quot;#,##0.00"/>
    </dxf>
    <dxf>
      <numFmt numFmtId="1" formatCode="0"/>
    </dxf>
    <dxf>
      <numFmt numFmtId="165" formatCode="&quot;$&quot;#,##0.00"/>
    </dxf>
    <dxf>
      <numFmt numFmtId="0" formatCode="General"/>
    </dxf>
    <dxf>
      <fill>
        <patternFill patternType="solid">
          <fgColor indexed="64"/>
          <bgColor theme="2"/>
        </patternFill>
      </fill>
    </dxf>
    <dxf>
      <numFmt numFmtId="2" formatCode="0.00"/>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numFmt numFmtId="164" formatCode="0.000"/>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ont>
        <b/>
        <i val="0"/>
        <strike val="0"/>
        <condense val="0"/>
        <extend val="0"/>
        <outline val="0"/>
        <shadow val="0"/>
        <u val="none"/>
        <vertAlign val="baseline"/>
        <sz val="11"/>
        <color theme="1"/>
        <name val="Calibri"/>
        <family val="2"/>
        <scheme val="minor"/>
      </font>
      <alignment horizontal="general" vertical="bottom" textRotation="0" wrapText="1" indent="0" justifyLastLine="0" shrinkToFit="0" readingOrder="0"/>
    </dxf>
    <dxf>
      <numFmt numFmtId="165" formatCode="&quot;$&quot;#,##0.00"/>
    </dxf>
    <dxf>
      <numFmt numFmtId="165" formatCode="&quot;$&quot;#,##0.00"/>
    </dxf>
    <dxf>
      <numFmt numFmtId="165" formatCode="&quot;$&quot;#,##0.00"/>
    </dxf>
    <dxf>
      <numFmt numFmtId="166" formatCode="0.0"/>
    </dxf>
    <dxf>
      <numFmt numFmtId="2" formatCode="0.00"/>
    </dxf>
    <dxf>
      <alignment horizontal="center" vertical="bottom" textRotation="0" wrapText="0" indent="0" justifyLastLine="0" shrinkToFit="0" readingOrder="0"/>
    </dxf>
    <dxf>
      <numFmt numFmtId="0" formatCode="General"/>
    </dxf>
    <dxf>
      <fill>
        <patternFill>
          <bgColor rgb="FFF48484"/>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s>
  <tableStyles count="0" defaultTableStyle="TableStyleMedium2" defaultPivotStyle="PivotStyleLight16"/>
  <colors>
    <mruColors>
      <color rgb="FFF48484"/>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onnections" Target="connections.xml"/><Relationship Id="rId25"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png"/><Relationship Id="rId5" Type="http://schemas.openxmlformats.org/officeDocument/2006/relationships/image" Target="../media/image7.png"/><Relationship Id="rId4" Type="http://schemas.openxmlformats.org/officeDocument/2006/relationships/image" Target="../media/image6.png"/></Relationships>
</file>

<file path=xl/drawings/_rels/drawing4.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9.jpe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547175</xdr:colOff>
          <xdr:row>19</xdr:row>
          <xdr:rowOff>155331</xdr:rowOff>
        </xdr:from>
        <xdr:to>
          <xdr:col>10</xdr:col>
          <xdr:colOff>536575</xdr:colOff>
          <xdr:row>37</xdr:row>
          <xdr:rowOff>151976</xdr:rowOff>
        </xdr:to>
        <xdr:pic>
          <xdr:nvPicPr>
            <xdr:cNvPr id="5" name="Picture 4">
              <a:extLst>
                <a:ext uri="{FF2B5EF4-FFF2-40B4-BE49-F238E27FC236}">
                  <a16:creationId xmlns:a16="http://schemas.microsoft.com/office/drawing/2014/main" id="{00000000-0008-0000-0000-000005000000}"/>
                </a:ext>
              </a:extLst>
            </xdr:cNvPr>
            <xdr:cNvPicPr>
              <a:picLocks noChangeAspect="1" noChangeArrowheads="1"/>
              <a:extLst>
                <a:ext uri="{84589F7E-364E-4C9E-8A38-B11213B215E9}">
                  <a14:cameraTool cellRange="DWGLookup" spid="_x0000_s21119"/>
                </a:ext>
              </a:extLst>
            </xdr:cNvPicPr>
          </xdr:nvPicPr>
          <xdr:blipFill>
            <a:blip xmlns:r="http://schemas.openxmlformats.org/officeDocument/2006/relationships" r:embed="rId1"/>
            <a:srcRect/>
            <a:stretch>
              <a:fillRect/>
            </a:stretch>
          </xdr:blipFill>
          <xdr:spPr bwMode="auto">
            <a:xfrm>
              <a:off x="9178290" y="3408485"/>
              <a:ext cx="4011881" cy="3081279"/>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533400</xdr:colOff>
          <xdr:row>2</xdr:row>
          <xdr:rowOff>133350</xdr:rowOff>
        </xdr:from>
        <xdr:to>
          <xdr:col>4</xdr:col>
          <xdr:colOff>333375</xdr:colOff>
          <xdr:row>6</xdr:row>
          <xdr:rowOff>19050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200-0000018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Import data from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600075</xdr:colOff>
          <xdr:row>2</xdr:row>
          <xdr:rowOff>66675</xdr:rowOff>
        </xdr:from>
        <xdr:to>
          <xdr:col>9</xdr:col>
          <xdr:colOff>9525</xdr:colOff>
          <xdr:row>4</xdr:row>
          <xdr:rowOff>133350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0200-0000028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Button 2</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30</xdr:col>
      <xdr:colOff>493059</xdr:colOff>
      <xdr:row>1</xdr:row>
      <xdr:rowOff>44823</xdr:rowOff>
    </xdr:from>
    <xdr:to>
      <xdr:col>42</xdr:col>
      <xdr:colOff>528641</xdr:colOff>
      <xdr:row>34</xdr:row>
      <xdr:rowOff>150489</xdr:rowOff>
    </xdr:to>
    <xdr:pic>
      <xdr:nvPicPr>
        <xdr:cNvPr id="3" name="Picture 1">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stretch>
          <a:fillRect/>
        </a:stretch>
      </xdr:blipFill>
      <xdr:spPr>
        <a:xfrm>
          <a:off x="20260235" y="235323"/>
          <a:ext cx="7347608" cy="6382641"/>
        </a:xfrm>
        <a:prstGeom prst="rect">
          <a:avLst/>
        </a:prstGeom>
      </xdr:spPr>
    </xdr:pic>
    <xdr:clientData/>
  </xdr:twoCellAnchor>
  <xdr:twoCellAnchor editAs="oneCell">
    <xdr:from>
      <xdr:col>16</xdr:col>
      <xdr:colOff>67235</xdr:colOff>
      <xdr:row>0</xdr:row>
      <xdr:rowOff>179295</xdr:rowOff>
    </xdr:from>
    <xdr:to>
      <xdr:col>22</xdr:col>
      <xdr:colOff>517094</xdr:colOff>
      <xdr:row>20</xdr:row>
      <xdr:rowOff>137646</xdr:rowOff>
    </xdr:to>
    <xdr:pic>
      <xdr:nvPicPr>
        <xdr:cNvPr id="5" name="Picture 2">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2"/>
        <a:stretch>
          <a:fillRect/>
        </a:stretch>
      </xdr:blipFill>
      <xdr:spPr>
        <a:xfrm>
          <a:off x="11620500" y="179295"/>
          <a:ext cx="3837583" cy="3765176"/>
        </a:xfrm>
        <a:prstGeom prst="rect">
          <a:avLst/>
        </a:prstGeom>
      </xdr:spPr>
    </xdr:pic>
    <xdr:clientData/>
  </xdr:twoCellAnchor>
  <xdr:twoCellAnchor editAs="oneCell">
    <xdr:from>
      <xdr:col>22</xdr:col>
      <xdr:colOff>537883</xdr:colOff>
      <xdr:row>2</xdr:row>
      <xdr:rowOff>67236</xdr:rowOff>
    </xdr:from>
    <xdr:to>
      <xdr:col>30</xdr:col>
      <xdr:colOff>471582</xdr:colOff>
      <xdr:row>20</xdr:row>
      <xdr:rowOff>72668</xdr:rowOff>
    </xdr:to>
    <xdr:pic>
      <xdr:nvPicPr>
        <xdr:cNvPr id="4" name="Picture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3"/>
        <a:stretch>
          <a:fillRect/>
        </a:stretch>
      </xdr:blipFill>
      <xdr:spPr>
        <a:xfrm>
          <a:off x="15464118" y="448236"/>
          <a:ext cx="4807323" cy="3421732"/>
        </a:xfrm>
        <a:prstGeom prst="rect">
          <a:avLst/>
        </a:prstGeom>
      </xdr:spPr>
    </xdr:pic>
    <xdr:clientData/>
  </xdr:twoCellAnchor>
  <xdr:twoCellAnchor editAs="oneCell">
    <xdr:from>
      <xdr:col>16</xdr:col>
      <xdr:colOff>201705</xdr:colOff>
      <xdr:row>20</xdr:row>
      <xdr:rowOff>156883</xdr:rowOff>
    </xdr:from>
    <xdr:to>
      <xdr:col>22</xdr:col>
      <xdr:colOff>606175</xdr:colOff>
      <xdr:row>41</xdr:row>
      <xdr:rowOff>56030</xdr:rowOff>
    </xdr:to>
    <xdr:pic>
      <xdr:nvPicPr>
        <xdr:cNvPr id="8" name="Picture 4">
          <a:extLst>
            <a:ext uri="{FF2B5EF4-FFF2-40B4-BE49-F238E27FC236}">
              <a16:creationId xmlns:a16="http://schemas.microsoft.com/office/drawing/2014/main" id="{00000000-0008-0000-0600-000008000000}"/>
            </a:ext>
          </a:extLst>
        </xdr:cNvPr>
        <xdr:cNvPicPr>
          <a:picLocks noChangeAspect="1"/>
        </xdr:cNvPicPr>
      </xdr:nvPicPr>
      <xdr:blipFill>
        <a:blip xmlns:r="http://schemas.openxmlformats.org/officeDocument/2006/relationships" r:embed="rId4"/>
        <a:stretch>
          <a:fillRect/>
        </a:stretch>
      </xdr:blipFill>
      <xdr:spPr>
        <a:xfrm>
          <a:off x="11754970" y="3966883"/>
          <a:ext cx="3789019" cy="3899647"/>
        </a:xfrm>
        <a:prstGeom prst="rect">
          <a:avLst/>
        </a:prstGeom>
      </xdr:spPr>
    </xdr:pic>
    <xdr:clientData/>
  </xdr:twoCellAnchor>
  <xdr:twoCellAnchor editAs="oneCell">
    <xdr:from>
      <xdr:col>23</xdr:col>
      <xdr:colOff>89647</xdr:colOff>
      <xdr:row>21</xdr:row>
      <xdr:rowOff>168091</xdr:rowOff>
    </xdr:from>
    <xdr:to>
      <xdr:col>30</xdr:col>
      <xdr:colOff>243230</xdr:colOff>
      <xdr:row>38</xdr:row>
      <xdr:rowOff>92824</xdr:rowOff>
    </xdr:to>
    <xdr:pic>
      <xdr:nvPicPr>
        <xdr:cNvPr id="6" name="Picture 5">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5"/>
        <a:stretch>
          <a:fillRect/>
        </a:stretch>
      </xdr:blipFill>
      <xdr:spPr>
        <a:xfrm>
          <a:off x="15621000" y="4168591"/>
          <a:ext cx="4408082" cy="3160058"/>
        </a:xfrm>
        <a:prstGeom prst="rect">
          <a:avLst/>
        </a:prstGeom>
      </xdr:spPr>
    </xdr:pic>
    <xdr:clientData/>
  </xdr:twoCellAnchor>
  <xdr:twoCellAnchor editAs="oneCell">
    <xdr:from>
      <xdr:col>36</xdr:col>
      <xdr:colOff>560295</xdr:colOff>
      <xdr:row>34</xdr:row>
      <xdr:rowOff>156883</xdr:rowOff>
    </xdr:from>
    <xdr:to>
      <xdr:col>44</xdr:col>
      <xdr:colOff>19660</xdr:colOff>
      <xdr:row>40</xdr:row>
      <xdr:rowOff>110378</xdr:rowOff>
    </xdr:to>
    <xdr:pic>
      <xdr:nvPicPr>
        <xdr:cNvPr id="2" name="Picture 6">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6"/>
        <a:stretch>
          <a:fillRect/>
        </a:stretch>
      </xdr:blipFill>
      <xdr:spPr>
        <a:xfrm>
          <a:off x="20327471" y="6633883"/>
          <a:ext cx="4332991" cy="1086970"/>
        </a:xfrm>
        <a:prstGeom prst="rect">
          <a:avLst/>
        </a:prstGeom>
      </xdr:spPr>
    </xdr:pic>
    <xdr:clientData/>
  </xdr:twoCellAnchor>
  <xdr:twoCellAnchor>
    <xdr:from>
      <xdr:col>40</xdr:col>
      <xdr:colOff>558494</xdr:colOff>
      <xdr:row>36</xdr:row>
      <xdr:rowOff>38253</xdr:rowOff>
    </xdr:from>
    <xdr:to>
      <xdr:col>43</xdr:col>
      <xdr:colOff>413133</xdr:colOff>
      <xdr:row>37</xdr:row>
      <xdr:rowOff>107109</xdr:rowOff>
    </xdr:to>
    <xdr:sp macro="" textlink="">
      <xdr:nvSpPr>
        <xdr:cNvPr id="9" name="Rectangle 8">
          <a:extLst>
            <a:ext uri="{FF2B5EF4-FFF2-40B4-BE49-F238E27FC236}">
              <a16:creationId xmlns:a16="http://schemas.microsoft.com/office/drawing/2014/main" id="{00000000-0008-0000-0600-000009000000}"/>
            </a:ext>
          </a:extLst>
        </xdr:cNvPr>
        <xdr:cNvSpPr/>
      </xdr:nvSpPr>
      <xdr:spPr>
        <a:xfrm>
          <a:off x="22928855" y="6923795"/>
          <a:ext cx="1690784" cy="260121"/>
        </a:xfrm>
        <a:prstGeom prst="rect">
          <a:avLst/>
        </a:prstGeom>
        <a:noFill/>
        <a:ln>
          <a:solidFill>
            <a:srgbClr val="FFC000"/>
          </a:solidFill>
        </a:ln>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xdr:twoCellAnchor>
    <xdr:from>
      <xdr:col>24</xdr:col>
      <xdr:colOff>153012</xdr:colOff>
      <xdr:row>5</xdr:row>
      <xdr:rowOff>30603</xdr:rowOff>
    </xdr:from>
    <xdr:to>
      <xdr:col>25</xdr:col>
      <xdr:colOff>504939</xdr:colOff>
      <xdr:row>19</xdr:row>
      <xdr:rowOff>183615</xdr:rowOff>
    </xdr:to>
    <xdr:sp macro="" textlink="">
      <xdr:nvSpPr>
        <xdr:cNvPr id="10" name="Rectangle 9">
          <a:extLst>
            <a:ext uri="{FF2B5EF4-FFF2-40B4-BE49-F238E27FC236}">
              <a16:creationId xmlns:a16="http://schemas.microsoft.com/office/drawing/2014/main" id="{00000000-0008-0000-0600-00000A000000}"/>
            </a:ext>
          </a:extLst>
        </xdr:cNvPr>
        <xdr:cNvSpPr/>
      </xdr:nvSpPr>
      <xdr:spPr>
        <a:xfrm>
          <a:off x="16402892" y="986928"/>
          <a:ext cx="963975" cy="2830723"/>
        </a:xfrm>
        <a:prstGeom prst="rect">
          <a:avLst/>
        </a:prstGeom>
        <a:noFill/>
        <a:ln>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24</xdr:col>
      <xdr:colOff>267771</xdr:colOff>
      <xdr:row>23</xdr:row>
      <xdr:rowOff>183615</xdr:rowOff>
    </xdr:from>
    <xdr:to>
      <xdr:col>26</xdr:col>
      <xdr:colOff>14000</xdr:colOff>
      <xdr:row>38</xdr:row>
      <xdr:rowOff>145362</xdr:rowOff>
    </xdr:to>
    <xdr:sp macro="" textlink="">
      <xdr:nvSpPr>
        <xdr:cNvPr id="11" name="Rectangle 10">
          <a:extLst>
            <a:ext uri="{FF2B5EF4-FFF2-40B4-BE49-F238E27FC236}">
              <a16:creationId xmlns:a16="http://schemas.microsoft.com/office/drawing/2014/main" id="{00000000-0008-0000-0600-00000B000000}"/>
            </a:ext>
          </a:extLst>
        </xdr:cNvPr>
        <xdr:cNvSpPr/>
      </xdr:nvSpPr>
      <xdr:spPr>
        <a:xfrm>
          <a:off x="16517651" y="4582711"/>
          <a:ext cx="970325" cy="2830723"/>
        </a:xfrm>
        <a:prstGeom prst="rect">
          <a:avLst/>
        </a:prstGeom>
        <a:noFill/>
        <a:ln>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30</xdr:col>
      <xdr:colOff>550843</xdr:colOff>
      <xdr:row>3</xdr:row>
      <xdr:rowOff>137710</xdr:rowOff>
    </xdr:from>
    <xdr:to>
      <xdr:col>42</xdr:col>
      <xdr:colOff>451385</xdr:colOff>
      <xdr:row>12</xdr:row>
      <xdr:rowOff>68855</xdr:rowOff>
    </xdr:to>
    <xdr:sp macro="" textlink="">
      <xdr:nvSpPr>
        <xdr:cNvPr id="12" name="Rectangle 11">
          <a:extLst>
            <a:ext uri="{FF2B5EF4-FFF2-40B4-BE49-F238E27FC236}">
              <a16:creationId xmlns:a16="http://schemas.microsoft.com/office/drawing/2014/main" id="{00000000-0008-0000-0600-00000C000000}"/>
            </a:ext>
          </a:extLst>
        </xdr:cNvPr>
        <xdr:cNvSpPr/>
      </xdr:nvSpPr>
      <xdr:spPr>
        <a:xfrm>
          <a:off x="20473012" y="711505"/>
          <a:ext cx="7245120" cy="1652531"/>
        </a:xfrm>
        <a:prstGeom prst="rect">
          <a:avLst/>
        </a:prstGeom>
        <a:noFill/>
        <a:ln>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535543</xdr:colOff>
      <xdr:row>3</xdr:row>
      <xdr:rowOff>22953</xdr:rowOff>
    </xdr:from>
    <xdr:to>
      <xdr:col>18</xdr:col>
      <xdr:colOff>281772</xdr:colOff>
      <xdr:row>19</xdr:row>
      <xdr:rowOff>183615</xdr:rowOff>
    </xdr:to>
    <xdr:sp macro="" textlink="">
      <xdr:nvSpPr>
        <xdr:cNvPr id="14" name="Rectangle 13">
          <a:extLst>
            <a:ext uri="{FF2B5EF4-FFF2-40B4-BE49-F238E27FC236}">
              <a16:creationId xmlns:a16="http://schemas.microsoft.com/office/drawing/2014/main" id="{00000000-0008-0000-0600-00000E000000}"/>
            </a:ext>
          </a:extLst>
        </xdr:cNvPr>
        <xdr:cNvSpPr/>
      </xdr:nvSpPr>
      <xdr:spPr>
        <a:xfrm>
          <a:off x="12156808" y="596748"/>
          <a:ext cx="970325" cy="3220903"/>
        </a:xfrm>
        <a:prstGeom prst="rect">
          <a:avLst/>
        </a:prstGeom>
        <a:noFill/>
        <a:ln>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512591</xdr:colOff>
      <xdr:row>22</xdr:row>
      <xdr:rowOff>163837</xdr:rowOff>
    </xdr:from>
    <xdr:to>
      <xdr:col>18</xdr:col>
      <xdr:colOff>261995</xdr:colOff>
      <xdr:row>40</xdr:row>
      <xdr:rowOff>175963</xdr:rowOff>
    </xdr:to>
    <xdr:sp macro="" textlink="">
      <xdr:nvSpPr>
        <xdr:cNvPr id="15" name="Rectangle 14">
          <a:extLst>
            <a:ext uri="{FF2B5EF4-FFF2-40B4-BE49-F238E27FC236}">
              <a16:creationId xmlns:a16="http://schemas.microsoft.com/office/drawing/2014/main" id="{00000000-0008-0000-0600-00000F000000}"/>
            </a:ext>
          </a:extLst>
        </xdr:cNvPr>
        <xdr:cNvSpPr/>
      </xdr:nvSpPr>
      <xdr:spPr>
        <a:xfrm>
          <a:off x="12133856" y="4371668"/>
          <a:ext cx="973500" cy="3454897"/>
        </a:xfrm>
        <a:prstGeom prst="rect">
          <a:avLst/>
        </a:prstGeom>
        <a:noFill/>
        <a:ln>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16</xdr:col>
      <xdr:colOff>607573</xdr:colOff>
      <xdr:row>2</xdr:row>
      <xdr:rowOff>170187</xdr:rowOff>
    </xdr:from>
    <xdr:ext cx="822341" cy="264560"/>
    <xdr:sp macro="" textlink="">
      <xdr:nvSpPr>
        <xdr:cNvPr id="17" name="TextBox 16">
          <a:extLst>
            <a:ext uri="{FF2B5EF4-FFF2-40B4-BE49-F238E27FC236}">
              <a16:creationId xmlns:a16="http://schemas.microsoft.com/office/drawing/2014/main" id="{00000000-0008-0000-0600-000011000000}"/>
            </a:ext>
          </a:extLst>
        </xdr:cNvPr>
        <xdr:cNvSpPr txBox="1"/>
      </xdr:nvSpPr>
      <xdr:spPr>
        <a:xfrm>
          <a:off x="12228838" y="552717"/>
          <a:ext cx="82234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solidFill>
                <a:srgbClr val="FF0000"/>
              </a:solidFill>
            </a:rPr>
            <a:t>Mult by.85</a:t>
          </a:r>
        </a:p>
      </xdr:txBody>
    </xdr:sp>
    <xdr:clientData/>
  </xdr:oneCellAnchor>
  <xdr:oneCellAnchor>
    <xdr:from>
      <xdr:col>16</xdr:col>
      <xdr:colOff>535542</xdr:colOff>
      <xdr:row>22</xdr:row>
      <xdr:rowOff>153012</xdr:rowOff>
    </xdr:from>
    <xdr:ext cx="822341" cy="264560"/>
    <xdr:sp macro="" textlink="">
      <xdr:nvSpPr>
        <xdr:cNvPr id="18" name="TextBox 17">
          <a:extLst>
            <a:ext uri="{FF2B5EF4-FFF2-40B4-BE49-F238E27FC236}">
              <a16:creationId xmlns:a16="http://schemas.microsoft.com/office/drawing/2014/main" id="{00000000-0008-0000-0600-000012000000}"/>
            </a:ext>
          </a:extLst>
        </xdr:cNvPr>
        <xdr:cNvSpPr txBox="1"/>
      </xdr:nvSpPr>
      <xdr:spPr>
        <a:xfrm>
          <a:off x="12156807" y="4360843"/>
          <a:ext cx="82234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solidFill>
                <a:srgbClr val="FF0000"/>
              </a:solidFill>
            </a:rPr>
            <a:t>Mult by.85</a:t>
          </a:r>
        </a:p>
      </xdr:txBody>
    </xdr:sp>
    <xdr:clientData/>
  </xdr:oneCellAnchor>
</xdr:wsDr>
</file>

<file path=xl/drawings/drawing4.xml><?xml version="1.0" encoding="utf-8"?>
<xdr:wsDr xmlns:xdr="http://schemas.openxmlformats.org/drawingml/2006/spreadsheetDrawing" xmlns:a="http://schemas.openxmlformats.org/drawingml/2006/main">
  <xdr:twoCellAnchor>
    <xdr:from>
      <xdr:col>1</xdr:col>
      <xdr:colOff>352426</xdr:colOff>
      <xdr:row>1</xdr:row>
      <xdr:rowOff>293916</xdr:rowOff>
    </xdr:from>
    <xdr:to>
      <xdr:col>1</xdr:col>
      <xdr:colOff>3524250</xdr:colOff>
      <xdr:row>1</xdr:row>
      <xdr:rowOff>3388179</xdr:rowOff>
    </xdr:to>
    <xdr:grpSp>
      <xdr:nvGrpSpPr>
        <xdr:cNvPr id="15368" name="Group 8">
          <a:extLst>
            <a:ext uri="{FF2B5EF4-FFF2-40B4-BE49-F238E27FC236}">
              <a16:creationId xmlns:a16="http://schemas.microsoft.com/office/drawing/2014/main" id="{00000000-0008-0000-0800-0000083C0000}"/>
            </a:ext>
          </a:extLst>
        </xdr:cNvPr>
        <xdr:cNvGrpSpPr>
          <a:grpSpLocks/>
        </xdr:cNvGrpSpPr>
      </xdr:nvGrpSpPr>
      <xdr:grpSpPr bwMode="auto">
        <a:xfrm>
          <a:off x="1409701" y="484416"/>
          <a:ext cx="3171824" cy="3094263"/>
          <a:chOff x="108970767" y="109045772"/>
          <a:chExt cx="2361006" cy="2514609"/>
        </a:xfrm>
      </xdr:grpSpPr>
      <xdr:pic>
        <xdr:nvPicPr>
          <xdr:cNvPr id="14" name="Picture 13">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035056" y="109160073"/>
            <a:ext cx="2296717" cy="240030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lgn="in">
                <a:solidFill>
                  <a:srgbClr val="000000"/>
                </a:solidFill>
                <a:miter lim="800000"/>
                <a:headEnd/>
                <a:tailEnd/>
              </a14:hiddenLine>
            </a:ext>
          </a:extLst>
        </xdr:spPr>
      </xdr:pic>
      <xdr:sp macro="" textlink="">
        <xdr:nvSpPr>
          <xdr:cNvPr id="15370" name="Rectangle 10">
            <a:extLst>
              <a:ext uri="{FF2B5EF4-FFF2-40B4-BE49-F238E27FC236}">
                <a16:creationId xmlns:a16="http://schemas.microsoft.com/office/drawing/2014/main" id="{00000000-0008-0000-0800-00000A3C0000}"/>
              </a:ext>
            </a:extLst>
          </xdr:cNvPr>
          <xdr:cNvSpPr>
            <a:spLocks noChangeArrowheads="1"/>
          </xdr:cNvSpPr>
        </xdr:nvSpPr>
        <xdr:spPr bwMode="auto">
          <a:xfrm>
            <a:off x="109738716" y="110667410"/>
            <a:ext cx="610791" cy="853678"/>
          </a:xfrm>
          <a:prstGeom prst="rect">
            <a:avLst/>
          </a:prstGeom>
          <a:solidFill>
            <a:srgbClr val="FFFFFF"/>
          </a:solidFill>
          <a:ln w="25400" algn="ctr">
            <a:solidFill>
              <a:srgbClr val="FFFFFF"/>
            </a:solidFill>
            <a:miter lim="800000"/>
            <a:headEnd/>
            <a:tailEnd/>
          </a:ln>
          <a:effectLst/>
          <a:extLst>
            <a:ext uri="{AF507438-7753-43E0-B8FC-AC1667EBCBE1}">
              <a14:hiddenEffects xmlns:a14="http://schemas.microsoft.com/office/drawing/2010/main">
                <a:effectLst>
                  <a:outerShdw dist="35921" dir="2700000" algn="ctr" rotWithShape="0">
                    <a:srgbClr val="000000"/>
                  </a:outerShdw>
                </a:effectLst>
              </a14:hiddenEffects>
            </a:ext>
          </a:extLst>
        </xdr:spPr>
      </xdr:sp>
      <xdr:sp macro="" textlink="">
        <xdr:nvSpPr>
          <xdr:cNvPr id="15371" name="Rectangle 11">
            <a:extLst>
              <a:ext uri="{FF2B5EF4-FFF2-40B4-BE49-F238E27FC236}">
                <a16:creationId xmlns:a16="http://schemas.microsoft.com/office/drawing/2014/main" id="{00000000-0008-0000-0800-00000B3C0000}"/>
              </a:ext>
            </a:extLst>
          </xdr:cNvPr>
          <xdr:cNvSpPr>
            <a:spLocks noChangeArrowheads="1"/>
          </xdr:cNvSpPr>
        </xdr:nvSpPr>
        <xdr:spPr bwMode="auto">
          <a:xfrm>
            <a:off x="109481541" y="110553110"/>
            <a:ext cx="578644" cy="264318"/>
          </a:xfrm>
          <a:prstGeom prst="rect">
            <a:avLst/>
          </a:prstGeom>
          <a:solidFill>
            <a:srgbClr val="FFFFFF"/>
          </a:solidFill>
          <a:ln w="25400" algn="ctr">
            <a:solidFill>
              <a:srgbClr val="FFFFFF"/>
            </a:solidFill>
            <a:miter lim="800000"/>
            <a:headEnd/>
            <a:tailEnd/>
          </a:ln>
          <a:effectLst/>
          <a:extLst>
            <a:ext uri="{AF507438-7753-43E0-B8FC-AC1667EBCBE1}">
              <a14:hiddenEffects xmlns:a14="http://schemas.microsoft.com/office/drawing/2010/main">
                <a:effectLst>
                  <a:outerShdw dist="35921" dir="2700000" algn="ctr" rotWithShape="0">
                    <a:srgbClr val="000000"/>
                  </a:outerShdw>
                </a:effectLst>
              </a14:hiddenEffects>
            </a:ext>
          </a:extLst>
        </xdr:spPr>
      </xdr:sp>
      <xdr:cxnSp macro="">
        <xdr:nvCxnSpPr>
          <xdr:cNvPr id="15372" name="AutoShape 12">
            <a:extLst>
              <a:ext uri="{FF2B5EF4-FFF2-40B4-BE49-F238E27FC236}">
                <a16:creationId xmlns:a16="http://schemas.microsoft.com/office/drawing/2014/main" id="{00000000-0008-0000-0800-00000C3C0000}"/>
              </a:ext>
            </a:extLst>
          </xdr:cNvPr>
          <xdr:cNvCxnSpPr>
            <a:cxnSpLocks noChangeShapeType="1"/>
          </xdr:cNvCxnSpPr>
        </xdr:nvCxnSpPr>
        <xdr:spPr bwMode="auto">
          <a:xfrm>
            <a:off x="110170914" y="110031609"/>
            <a:ext cx="0" cy="1039416"/>
          </a:xfrm>
          <a:prstGeom prst="straightConnector1">
            <a:avLst/>
          </a:prstGeom>
          <a:noFill/>
          <a:ln w="12700">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373" name="AutoShape 13">
            <a:extLst>
              <a:ext uri="{FF2B5EF4-FFF2-40B4-BE49-F238E27FC236}">
                <a16:creationId xmlns:a16="http://schemas.microsoft.com/office/drawing/2014/main" id="{00000000-0008-0000-0800-00000D3C0000}"/>
              </a:ext>
            </a:extLst>
          </xdr:cNvPr>
          <xdr:cNvCxnSpPr>
            <a:cxnSpLocks noChangeShapeType="1"/>
          </xdr:cNvCxnSpPr>
        </xdr:nvCxnSpPr>
        <xdr:spPr bwMode="auto">
          <a:xfrm>
            <a:off x="109745859" y="111071025"/>
            <a:ext cx="875110" cy="0"/>
          </a:xfrm>
          <a:prstGeom prst="straightConnector1">
            <a:avLst/>
          </a:prstGeom>
          <a:noFill/>
          <a:ln w="6350">
            <a:solidFill>
              <a:srgbClr val="00000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374" name="AutoShape 14">
            <a:extLst>
              <a:ext uri="{FF2B5EF4-FFF2-40B4-BE49-F238E27FC236}">
                <a16:creationId xmlns:a16="http://schemas.microsoft.com/office/drawing/2014/main" id="{00000000-0008-0000-0800-00000E3C0000}"/>
              </a:ext>
            </a:extLst>
          </xdr:cNvPr>
          <xdr:cNvCxnSpPr>
            <a:cxnSpLocks noChangeShapeType="1"/>
          </xdr:cNvCxnSpPr>
        </xdr:nvCxnSpPr>
        <xdr:spPr bwMode="auto">
          <a:xfrm>
            <a:off x="108970767" y="109406524"/>
            <a:ext cx="3573" cy="1660924"/>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375" name="AutoShape 15">
            <a:extLst>
              <a:ext uri="{FF2B5EF4-FFF2-40B4-BE49-F238E27FC236}">
                <a16:creationId xmlns:a16="http://schemas.microsoft.com/office/drawing/2014/main" id="{00000000-0008-0000-0800-00000F3C0000}"/>
              </a:ext>
            </a:extLst>
          </xdr:cNvPr>
          <xdr:cNvCxnSpPr>
            <a:cxnSpLocks noChangeShapeType="1"/>
          </xdr:cNvCxnSpPr>
        </xdr:nvCxnSpPr>
        <xdr:spPr bwMode="auto">
          <a:xfrm>
            <a:off x="109342239" y="109356519"/>
            <a:ext cx="1675211" cy="1"/>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sp macro="" textlink="">
        <xdr:nvSpPr>
          <xdr:cNvPr id="15376" name="Text Box 16">
            <a:extLst>
              <a:ext uri="{FF2B5EF4-FFF2-40B4-BE49-F238E27FC236}">
                <a16:creationId xmlns:a16="http://schemas.microsoft.com/office/drawing/2014/main" id="{00000000-0008-0000-0800-0000103C0000}"/>
              </a:ext>
            </a:extLst>
          </xdr:cNvPr>
          <xdr:cNvSpPr txBox="1">
            <a:spLocks noChangeArrowheads="1"/>
          </xdr:cNvSpPr>
        </xdr:nvSpPr>
        <xdr:spPr bwMode="auto">
          <a:xfrm>
            <a:off x="110070899" y="109045772"/>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B</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377" name="Text Box 17">
            <a:extLst>
              <a:ext uri="{FF2B5EF4-FFF2-40B4-BE49-F238E27FC236}">
                <a16:creationId xmlns:a16="http://schemas.microsoft.com/office/drawing/2014/main" id="{00000000-0008-0000-0800-0000113C0000}"/>
              </a:ext>
            </a:extLst>
          </xdr:cNvPr>
          <xdr:cNvSpPr txBox="1">
            <a:spLocks noChangeArrowheads="1"/>
          </xdr:cNvSpPr>
        </xdr:nvSpPr>
        <xdr:spPr bwMode="auto">
          <a:xfrm>
            <a:off x="109045772" y="110031609"/>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A</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378" name="Text Box 18">
            <a:extLst>
              <a:ext uri="{FF2B5EF4-FFF2-40B4-BE49-F238E27FC236}">
                <a16:creationId xmlns:a16="http://schemas.microsoft.com/office/drawing/2014/main" id="{00000000-0008-0000-0800-0000123C0000}"/>
              </a:ext>
            </a:extLst>
          </xdr:cNvPr>
          <xdr:cNvSpPr txBox="1">
            <a:spLocks noChangeArrowheads="1"/>
          </xdr:cNvSpPr>
        </xdr:nvSpPr>
        <xdr:spPr bwMode="auto">
          <a:xfrm>
            <a:off x="110238778" y="110331647"/>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C</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379" name="Text Box 19">
            <a:extLst>
              <a:ext uri="{FF2B5EF4-FFF2-40B4-BE49-F238E27FC236}">
                <a16:creationId xmlns:a16="http://schemas.microsoft.com/office/drawing/2014/main" id="{00000000-0008-0000-0800-0000133C0000}"/>
              </a:ext>
            </a:extLst>
          </xdr:cNvPr>
          <xdr:cNvSpPr txBox="1">
            <a:spLocks noChangeArrowheads="1"/>
          </xdr:cNvSpPr>
        </xdr:nvSpPr>
        <xdr:spPr bwMode="auto">
          <a:xfrm>
            <a:off x="110070899" y="109045772"/>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B</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380" name="Text Box 20">
            <a:extLst>
              <a:ext uri="{FF2B5EF4-FFF2-40B4-BE49-F238E27FC236}">
                <a16:creationId xmlns:a16="http://schemas.microsoft.com/office/drawing/2014/main" id="{00000000-0008-0000-0800-0000143C0000}"/>
              </a:ext>
            </a:extLst>
          </xdr:cNvPr>
          <xdr:cNvSpPr txBox="1">
            <a:spLocks noChangeArrowheads="1"/>
          </xdr:cNvSpPr>
        </xdr:nvSpPr>
        <xdr:spPr bwMode="auto">
          <a:xfrm>
            <a:off x="109045772" y="110031609"/>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A</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381" name="Text Box 21">
            <a:extLst>
              <a:ext uri="{FF2B5EF4-FFF2-40B4-BE49-F238E27FC236}">
                <a16:creationId xmlns:a16="http://schemas.microsoft.com/office/drawing/2014/main" id="{00000000-0008-0000-0800-0000153C0000}"/>
              </a:ext>
            </a:extLst>
          </xdr:cNvPr>
          <xdr:cNvSpPr txBox="1">
            <a:spLocks noChangeArrowheads="1"/>
          </xdr:cNvSpPr>
        </xdr:nvSpPr>
        <xdr:spPr bwMode="auto">
          <a:xfrm>
            <a:off x="110238778" y="110331647"/>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C</a:t>
            </a:r>
          </a:p>
          <a:p>
            <a:pPr algn="l" rtl="0">
              <a:defRPr sz="1000"/>
            </a:pPr>
            <a:endParaRPr lang="en-US" sz="1200" b="1" i="0" u="none" strike="noStrike" baseline="0">
              <a:solidFill>
                <a:srgbClr val="000000"/>
              </a:solidFill>
              <a:latin typeface="Roboto"/>
              <a:ea typeface="Roboto"/>
              <a:cs typeface="Roboto"/>
            </a:endParaRPr>
          </a:p>
        </xdr:txBody>
      </xdr:sp>
    </xdr:grpSp>
    <xdr:clientData/>
  </xdr:twoCellAnchor>
  <xdr:twoCellAnchor>
    <xdr:from>
      <xdr:col>1</xdr:col>
      <xdr:colOff>353785</xdr:colOff>
      <xdr:row>2</xdr:row>
      <xdr:rowOff>187778</xdr:rowOff>
    </xdr:from>
    <xdr:to>
      <xdr:col>1</xdr:col>
      <xdr:colOff>3673929</xdr:colOff>
      <xdr:row>2</xdr:row>
      <xdr:rowOff>3129642</xdr:rowOff>
    </xdr:to>
    <xdr:grpSp>
      <xdr:nvGrpSpPr>
        <xdr:cNvPr id="15382" name="Group 22">
          <a:extLst>
            <a:ext uri="{FF2B5EF4-FFF2-40B4-BE49-F238E27FC236}">
              <a16:creationId xmlns:a16="http://schemas.microsoft.com/office/drawing/2014/main" id="{00000000-0008-0000-0800-0000163C0000}"/>
            </a:ext>
          </a:extLst>
        </xdr:cNvPr>
        <xdr:cNvGrpSpPr>
          <a:grpSpLocks/>
        </xdr:cNvGrpSpPr>
      </xdr:nvGrpSpPr>
      <xdr:grpSpPr bwMode="auto">
        <a:xfrm>
          <a:off x="1411060" y="3959678"/>
          <a:ext cx="3320144" cy="2941864"/>
          <a:chOff x="109006479" y="108810028"/>
          <a:chExt cx="2345294" cy="2496740"/>
        </a:xfrm>
      </xdr:grpSpPr>
      <xdr:pic>
        <xdr:nvPicPr>
          <xdr:cNvPr id="28" name="Picture 27">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9013624" y="109120779"/>
            <a:ext cx="2338149" cy="218598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pic>
      <xdr:cxnSp macro="">
        <xdr:nvCxnSpPr>
          <xdr:cNvPr id="15384" name="AutoShape 24">
            <a:extLst>
              <a:ext uri="{FF2B5EF4-FFF2-40B4-BE49-F238E27FC236}">
                <a16:creationId xmlns:a16="http://schemas.microsoft.com/office/drawing/2014/main" id="{00000000-0008-0000-0800-0000183C0000}"/>
              </a:ext>
            </a:extLst>
          </xdr:cNvPr>
          <xdr:cNvCxnSpPr>
            <a:cxnSpLocks noChangeShapeType="1"/>
          </xdr:cNvCxnSpPr>
        </xdr:nvCxnSpPr>
        <xdr:spPr bwMode="auto">
          <a:xfrm>
            <a:off x="109906593" y="111238903"/>
            <a:ext cx="553642" cy="1"/>
          </a:xfrm>
          <a:prstGeom prst="straightConnector1">
            <a:avLst/>
          </a:prstGeom>
          <a:noFill/>
          <a:ln w="6350" algn="ctr">
            <a:solidFill>
              <a:srgbClr val="00000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385" name="AutoShape 25">
            <a:extLst>
              <a:ext uri="{FF2B5EF4-FFF2-40B4-BE49-F238E27FC236}">
                <a16:creationId xmlns:a16="http://schemas.microsoft.com/office/drawing/2014/main" id="{00000000-0008-0000-0800-0000193C0000}"/>
              </a:ext>
            </a:extLst>
          </xdr:cNvPr>
          <xdr:cNvCxnSpPr>
            <a:cxnSpLocks noChangeShapeType="1"/>
          </xdr:cNvCxnSpPr>
        </xdr:nvCxnSpPr>
        <xdr:spPr bwMode="auto">
          <a:xfrm>
            <a:off x="110170914" y="110274496"/>
            <a:ext cx="1" cy="964407"/>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386" name="AutoShape 26">
            <a:extLst>
              <a:ext uri="{FF2B5EF4-FFF2-40B4-BE49-F238E27FC236}">
                <a16:creationId xmlns:a16="http://schemas.microsoft.com/office/drawing/2014/main" id="{00000000-0008-0000-0800-00001A3C0000}"/>
              </a:ext>
            </a:extLst>
          </xdr:cNvPr>
          <xdr:cNvCxnSpPr>
            <a:cxnSpLocks noChangeShapeType="1"/>
          </xdr:cNvCxnSpPr>
        </xdr:nvCxnSpPr>
        <xdr:spPr bwMode="auto">
          <a:xfrm>
            <a:off x="110024465" y="110281641"/>
            <a:ext cx="310756" cy="1"/>
          </a:xfrm>
          <a:prstGeom prst="straightConnector1">
            <a:avLst/>
          </a:prstGeom>
          <a:noFill/>
          <a:ln w="6350" algn="ctr">
            <a:solidFill>
              <a:srgbClr val="00000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387" name="AutoShape 27">
            <a:extLst>
              <a:ext uri="{FF2B5EF4-FFF2-40B4-BE49-F238E27FC236}">
                <a16:creationId xmlns:a16="http://schemas.microsoft.com/office/drawing/2014/main" id="{00000000-0008-0000-0800-00001B3C0000}"/>
              </a:ext>
            </a:extLst>
          </xdr:cNvPr>
          <xdr:cNvCxnSpPr>
            <a:cxnSpLocks noChangeShapeType="1"/>
          </xdr:cNvCxnSpPr>
        </xdr:nvCxnSpPr>
        <xdr:spPr bwMode="auto">
          <a:xfrm>
            <a:off x="109006479" y="109120779"/>
            <a:ext cx="7145" cy="2118124"/>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388" name="AutoShape 28">
            <a:extLst>
              <a:ext uri="{FF2B5EF4-FFF2-40B4-BE49-F238E27FC236}">
                <a16:creationId xmlns:a16="http://schemas.microsoft.com/office/drawing/2014/main" id="{00000000-0008-0000-0800-00001C3C0000}"/>
              </a:ext>
            </a:extLst>
          </xdr:cNvPr>
          <xdr:cNvCxnSpPr>
            <a:cxnSpLocks noChangeShapeType="1"/>
          </xdr:cNvCxnSpPr>
        </xdr:nvCxnSpPr>
        <xdr:spPr bwMode="auto">
          <a:xfrm>
            <a:off x="109420814" y="109070774"/>
            <a:ext cx="1521621" cy="1"/>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sp macro="" textlink="">
        <xdr:nvSpPr>
          <xdr:cNvPr id="15389" name="Text Box 29">
            <a:extLst>
              <a:ext uri="{FF2B5EF4-FFF2-40B4-BE49-F238E27FC236}">
                <a16:creationId xmlns:a16="http://schemas.microsoft.com/office/drawing/2014/main" id="{00000000-0008-0000-0800-00001D3C0000}"/>
              </a:ext>
            </a:extLst>
          </xdr:cNvPr>
          <xdr:cNvSpPr txBox="1">
            <a:spLocks noChangeArrowheads="1"/>
          </xdr:cNvSpPr>
        </xdr:nvSpPr>
        <xdr:spPr bwMode="auto">
          <a:xfrm>
            <a:off x="110070899" y="108810028"/>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B</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390" name="Text Box 30">
            <a:extLst>
              <a:ext uri="{FF2B5EF4-FFF2-40B4-BE49-F238E27FC236}">
                <a16:creationId xmlns:a16="http://schemas.microsoft.com/office/drawing/2014/main" id="{00000000-0008-0000-0800-00001E3C0000}"/>
              </a:ext>
            </a:extLst>
          </xdr:cNvPr>
          <xdr:cNvSpPr txBox="1">
            <a:spLocks noChangeArrowheads="1"/>
          </xdr:cNvSpPr>
        </xdr:nvSpPr>
        <xdr:spPr bwMode="auto">
          <a:xfrm>
            <a:off x="109045772" y="110031609"/>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A</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391" name="Text Box 31">
            <a:extLst>
              <a:ext uri="{FF2B5EF4-FFF2-40B4-BE49-F238E27FC236}">
                <a16:creationId xmlns:a16="http://schemas.microsoft.com/office/drawing/2014/main" id="{00000000-0008-0000-0800-00001F3C0000}"/>
              </a:ext>
            </a:extLst>
          </xdr:cNvPr>
          <xdr:cNvSpPr txBox="1">
            <a:spLocks noChangeArrowheads="1"/>
          </xdr:cNvSpPr>
        </xdr:nvSpPr>
        <xdr:spPr bwMode="auto">
          <a:xfrm>
            <a:off x="110224491" y="110567391"/>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C</a:t>
            </a:r>
          </a:p>
          <a:p>
            <a:pPr algn="l" rtl="0">
              <a:defRPr sz="1000"/>
            </a:pPr>
            <a:endParaRPr lang="en-US" sz="1200" b="1" i="0" u="none" strike="noStrike" baseline="0">
              <a:solidFill>
                <a:srgbClr val="000000"/>
              </a:solidFill>
              <a:latin typeface="Roboto"/>
              <a:ea typeface="Roboto"/>
              <a:cs typeface="Roboto"/>
            </a:endParaRPr>
          </a:p>
        </xdr:txBody>
      </xdr:sp>
    </xdr:grpSp>
    <xdr:clientData/>
  </xdr:twoCellAnchor>
  <xdr:twoCellAnchor>
    <xdr:from>
      <xdr:col>1</xdr:col>
      <xdr:colOff>421821</xdr:colOff>
      <xdr:row>4</xdr:row>
      <xdr:rowOff>163285</xdr:rowOff>
    </xdr:from>
    <xdr:to>
      <xdr:col>1</xdr:col>
      <xdr:colOff>3593645</xdr:colOff>
      <xdr:row>4</xdr:row>
      <xdr:rowOff>3257548</xdr:rowOff>
    </xdr:to>
    <xdr:grpSp>
      <xdr:nvGrpSpPr>
        <xdr:cNvPr id="37" name="Group 8">
          <a:extLst>
            <a:ext uri="{FF2B5EF4-FFF2-40B4-BE49-F238E27FC236}">
              <a16:creationId xmlns:a16="http://schemas.microsoft.com/office/drawing/2014/main" id="{00000000-0008-0000-0800-000025000000}"/>
            </a:ext>
          </a:extLst>
        </xdr:cNvPr>
        <xdr:cNvGrpSpPr>
          <a:grpSpLocks/>
        </xdr:cNvGrpSpPr>
      </xdr:nvGrpSpPr>
      <xdr:grpSpPr bwMode="auto">
        <a:xfrm>
          <a:off x="1479096" y="10526485"/>
          <a:ext cx="3171824" cy="3094263"/>
          <a:chOff x="108970767" y="109045772"/>
          <a:chExt cx="2361006" cy="2514609"/>
        </a:xfrm>
      </xdr:grpSpPr>
      <xdr:pic>
        <xdr:nvPicPr>
          <xdr:cNvPr id="38" name="Picture 37">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035056" y="109160073"/>
            <a:ext cx="2296717" cy="240030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lgn="in">
                <a:solidFill>
                  <a:srgbClr val="000000"/>
                </a:solidFill>
                <a:miter lim="800000"/>
                <a:headEnd/>
                <a:tailEnd/>
              </a14:hiddenLine>
            </a:ext>
          </a:extLst>
        </xdr:spPr>
      </xdr:pic>
      <xdr:sp macro="" textlink="">
        <xdr:nvSpPr>
          <xdr:cNvPr id="39" name="Rectangle 10">
            <a:extLst>
              <a:ext uri="{FF2B5EF4-FFF2-40B4-BE49-F238E27FC236}">
                <a16:creationId xmlns:a16="http://schemas.microsoft.com/office/drawing/2014/main" id="{00000000-0008-0000-0800-000027000000}"/>
              </a:ext>
            </a:extLst>
          </xdr:cNvPr>
          <xdr:cNvSpPr>
            <a:spLocks noChangeArrowheads="1"/>
          </xdr:cNvSpPr>
        </xdr:nvSpPr>
        <xdr:spPr bwMode="auto">
          <a:xfrm>
            <a:off x="109738716" y="110667410"/>
            <a:ext cx="610791" cy="853678"/>
          </a:xfrm>
          <a:prstGeom prst="rect">
            <a:avLst/>
          </a:prstGeom>
          <a:solidFill>
            <a:srgbClr val="FFFFFF"/>
          </a:solidFill>
          <a:ln w="25400" algn="ctr">
            <a:solidFill>
              <a:srgbClr val="FFFFFF"/>
            </a:solidFill>
            <a:miter lim="800000"/>
            <a:headEnd/>
            <a:tailEnd/>
          </a:ln>
          <a:effectLst/>
          <a:extLst>
            <a:ext uri="{AF507438-7753-43E0-B8FC-AC1667EBCBE1}">
              <a14:hiddenEffects xmlns:a14="http://schemas.microsoft.com/office/drawing/2010/main">
                <a:effectLst>
                  <a:outerShdw dist="35921" dir="2700000" algn="ctr" rotWithShape="0">
                    <a:srgbClr val="000000"/>
                  </a:outerShdw>
                </a:effectLst>
              </a14:hiddenEffects>
            </a:ext>
          </a:extLst>
        </xdr:spPr>
      </xdr:sp>
      <xdr:sp macro="" textlink="">
        <xdr:nvSpPr>
          <xdr:cNvPr id="40" name="Rectangle 11">
            <a:extLst>
              <a:ext uri="{FF2B5EF4-FFF2-40B4-BE49-F238E27FC236}">
                <a16:creationId xmlns:a16="http://schemas.microsoft.com/office/drawing/2014/main" id="{00000000-0008-0000-0800-000028000000}"/>
              </a:ext>
            </a:extLst>
          </xdr:cNvPr>
          <xdr:cNvSpPr>
            <a:spLocks noChangeArrowheads="1"/>
          </xdr:cNvSpPr>
        </xdr:nvSpPr>
        <xdr:spPr bwMode="auto">
          <a:xfrm>
            <a:off x="109481541" y="110553110"/>
            <a:ext cx="578644" cy="264318"/>
          </a:xfrm>
          <a:prstGeom prst="rect">
            <a:avLst/>
          </a:prstGeom>
          <a:solidFill>
            <a:srgbClr val="FFFFFF"/>
          </a:solidFill>
          <a:ln w="25400" algn="ctr">
            <a:solidFill>
              <a:srgbClr val="FFFFFF"/>
            </a:solidFill>
            <a:miter lim="800000"/>
            <a:headEnd/>
            <a:tailEnd/>
          </a:ln>
          <a:effectLst/>
          <a:extLst>
            <a:ext uri="{AF507438-7753-43E0-B8FC-AC1667EBCBE1}">
              <a14:hiddenEffects xmlns:a14="http://schemas.microsoft.com/office/drawing/2010/main">
                <a:effectLst>
                  <a:outerShdw dist="35921" dir="2700000" algn="ctr" rotWithShape="0">
                    <a:srgbClr val="000000"/>
                  </a:outerShdw>
                </a:effectLst>
              </a14:hiddenEffects>
            </a:ext>
          </a:extLst>
        </xdr:spPr>
      </xdr:sp>
      <xdr:cxnSp macro="">
        <xdr:nvCxnSpPr>
          <xdr:cNvPr id="41" name="AutoShape 12">
            <a:extLst>
              <a:ext uri="{FF2B5EF4-FFF2-40B4-BE49-F238E27FC236}">
                <a16:creationId xmlns:a16="http://schemas.microsoft.com/office/drawing/2014/main" id="{00000000-0008-0000-0800-000029000000}"/>
              </a:ext>
            </a:extLst>
          </xdr:cNvPr>
          <xdr:cNvCxnSpPr>
            <a:cxnSpLocks noChangeShapeType="1"/>
          </xdr:cNvCxnSpPr>
        </xdr:nvCxnSpPr>
        <xdr:spPr bwMode="auto">
          <a:xfrm>
            <a:off x="110170914" y="110031609"/>
            <a:ext cx="0" cy="1039416"/>
          </a:xfrm>
          <a:prstGeom prst="straightConnector1">
            <a:avLst/>
          </a:prstGeom>
          <a:noFill/>
          <a:ln w="12700">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42" name="AutoShape 13">
            <a:extLst>
              <a:ext uri="{FF2B5EF4-FFF2-40B4-BE49-F238E27FC236}">
                <a16:creationId xmlns:a16="http://schemas.microsoft.com/office/drawing/2014/main" id="{00000000-0008-0000-0800-00002A000000}"/>
              </a:ext>
            </a:extLst>
          </xdr:cNvPr>
          <xdr:cNvCxnSpPr>
            <a:cxnSpLocks noChangeShapeType="1"/>
          </xdr:cNvCxnSpPr>
        </xdr:nvCxnSpPr>
        <xdr:spPr bwMode="auto">
          <a:xfrm>
            <a:off x="109745859" y="111071025"/>
            <a:ext cx="875110" cy="0"/>
          </a:xfrm>
          <a:prstGeom prst="straightConnector1">
            <a:avLst/>
          </a:prstGeom>
          <a:noFill/>
          <a:ln w="6350">
            <a:solidFill>
              <a:srgbClr val="00000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43" name="AutoShape 14">
            <a:extLst>
              <a:ext uri="{FF2B5EF4-FFF2-40B4-BE49-F238E27FC236}">
                <a16:creationId xmlns:a16="http://schemas.microsoft.com/office/drawing/2014/main" id="{00000000-0008-0000-0800-00002B000000}"/>
              </a:ext>
            </a:extLst>
          </xdr:cNvPr>
          <xdr:cNvCxnSpPr>
            <a:cxnSpLocks noChangeShapeType="1"/>
          </xdr:cNvCxnSpPr>
        </xdr:nvCxnSpPr>
        <xdr:spPr bwMode="auto">
          <a:xfrm>
            <a:off x="108970767" y="109406524"/>
            <a:ext cx="3573" cy="1660924"/>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44" name="AutoShape 15">
            <a:extLst>
              <a:ext uri="{FF2B5EF4-FFF2-40B4-BE49-F238E27FC236}">
                <a16:creationId xmlns:a16="http://schemas.microsoft.com/office/drawing/2014/main" id="{00000000-0008-0000-0800-00002C000000}"/>
              </a:ext>
            </a:extLst>
          </xdr:cNvPr>
          <xdr:cNvCxnSpPr>
            <a:cxnSpLocks noChangeShapeType="1"/>
          </xdr:cNvCxnSpPr>
        </xdr:nvCxnSpPr>
        <xdr:spPr bwMode="auto">
          <a:xfrm>
            <a:off x="109342239" y="109356519"/>
            <a:ext cx="1675211" cy="1"/>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sp macro="" textlink="">
        <xdr:nvSpPr>
          <xdr:cNvPr id="45" name="Text Box 16">
            <a:extLst>
              <a:ext uri="{FF2B5EF4-FFF2-40B4-BE49-F238E27FC236}">
                <a16:creationId xmlns:a16="http://schemas.microsoft.com/office/drawing/2014/main" id="{00000000-0008-0000-0800-00002D000000}"/>
              </a:ext>
            </a:extLst>
          </xdr:cNvPr>
          <xdr:cNvSpPr txBox="1">
            <a:spLocks noChangeArrowheads="1"/>
          </xdr:cNvSpPr>
        </xdr:nvSpPr>
        <xdr:spPr bwMode="auto">
          <a:xfrm>
            <a:off x="110070899" y="109045772"/>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B</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46" name="Text Box 17">
            <a:extLst>
              <a:ext uri="{FF2B5EF4-FFF2-40B4-BE49-F238E27FC236}">
                <a16:creationId xmlns:a16="http://schemas.microsoft.com/office/drawing/2014/main" id="{00000000-0008-0000-0800-00002E000000}"/>
              </a:ext>
            </a:extLst>
          </xdr:cNvPr>
          <xdr:cNvSpPr txBox="1">
            <a:spLocks noChangeArrowheads="1"/>
          </xdr:cNvSpPr>
        </xdr:nvSpPr>
        <xdr:spPr bwMode="auto">
          <a:xfrm>
            <a:off x="109045772" y="110031609"/>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A</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47" name="Text Box 18">
            <a:extLst>
              <a:ext uri="{FF2B5EF4-FFF2-40B4-BE49-F238E27FC236}">
                <a16:creationId xmlns:a16="http://schemas.microsoft.com/office/drawing/2014/main" id="{00000000-0008-0000-0800-00002F000000}"/>
              </a:ext>
            </a:extLst>
          </xdr:cNvPr>
          <xdr:cNvSpPr txBox="1">
            <a:spLocks noChangeArrowheads="1"/>
          </xdr:cNvSpPr>
        </xdr:nvSpPr>
        <xdr:spPr bwMode="auto">
          <a:xfrm>
            <a:off x="110238778" y="110331647"/>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C</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48" name="Text Box 19">
            <a:extLst>
              <a:ext uri="{FF2B5EF4-FFF2-40B4-BE49-F238E27FC236}">
                <a16:creationId xmlns:a16="http://schemas.microsoft.com/office/drawing/2014/main" id="{00000000-0008-0000-0800-000030000000}"/>
              </a:ext>
            </a:extLst>
          </xdr:cNvPr>
          <xdr:cNvSpPr txBox="1">
            <a:spLocks noChangeArrowheads="1"/>
          </xdr:cNvSpPr>
        </xdr:nvSpPr>
        <xdr:spPr bwMode="auto">
          <a:xfrm>
            <a:off x="110070899" y="109045772"/>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B</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49" name="Text Box 20">
            <a:extLst>
              <a:ext uri="{FF2B5EF4-FFF2-40B4-BE49-F238E27FC236}">
                <a16:creationId xmlns:a16="http://schemas.microsoft.com/office/drawing/2014/main" id="{00000000-0008-0000-0800-000031000000}"/>
              </a:ext>
            </a:extLst>
          </xdr:cNvPr>
          <xdr:cNvSpPr txBox="1">
            <a:spLocks noChangeArrowheads="1"/>
          </xdr:cNvSpPr>
        </xdr:nvSpPr>
        <xdr:spPr bwMode="auto">
          <a:xfrm>
            <a:off x="109045772" y="110031609"/>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A</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50" name="Text Box 21">
            <a:extLst>
              <a:ext uri="{FF2B5EF4-FFF2-40B4-BE49-F238E27FC236}">
                <a16:creationId xmlns:a16="http://schemas.microsoft.com/office/drawing/2014/main" id="{00000000-0008-0000-0800-000032000000}"/>
              </a:ext>
            </a:extLst>
          </xdr:cNvPr>
          <xdr:cNvSpPr txBox="1">
            <a:spLocks noChangeArrowheads="1"/>
          </xdr:cNvSpPr>
        </xdr:nvSpPr>
        <xdr:spPr bwMode="auto">
          <a:xfrm>
            <a:off x="110238778" y="110331647"/>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C</a:t>
            </a:r>
          </a:p>
          <a:p>
            <a:pPr algn="l" rtl="0">
              <a:defRPr sz="1000"/>
            </a:pPr>
            <a:endParaRPr lang="en-US" sz="1200" b="1" i="0" u="none" strike="noStrike" baseline="0">
              <a:solidFill>
                <a:srgbClr val="000000"/>
              </a:solidFill>
              <a:latin typeface="Roboto"/>
              <a:ea typeface="Roboto"/>
              <a:cs typeface="Roboto"/>
            </a:endParaRPr>
          </a:p>
        </xdr:txBody>
      </xdr:sp>
    </xdr:grpSp>
    <xdr:clientData/>
  </xdr:twoCellAnchor>
  <xdr:twoCellAnchor>
    <xdr:from>
      <xdr:col>1</xdr:col>
      <xdr:colOff>297997</xdr:colOff>
      <xdr:row>5</xdr:row>
      <xdr:rowOff>144235</xdr:rowOff>
    </xdr:from>
    <xdr:to>
      <xdr:col>1</xdr:col>
      <xdr:colOff>3755572</xdr:colOff>
      <xdr:row>5</xdr:row>
      <xdr:rowOff>3129643</xdr:rowOff>
    </xdr:to>
    <xdr:grpSp>
      <xdr:nvGrpSpPr>
        <xdr:cNvPr id="15398" name="Group 38">
          <a:extLst>
            <a:ext uri="{FF2B5EF4-FFF2-40B4-BE49-F238E27FC236}">
              <a16:creationId xmlns:a16="http://schemas.microsoft.com/office/drawing/2014/main" id="{00000000-0008-0000-0800-0000263C0000}"/>
            </a:ext>
          </a:extLst>
        </xdr:cNvPr>
        <xdr:cNvGrpSpPr>
          <a:grpSpLocks/>
        </xdr:cNvGrpSpPr>
      </xdr:nvGrpSpPr>
      <xdr:grpSpPr bwMode="auto">
        <a:xfrm>
          <a:off x="1355272" y="13803085"/>
          <a:ext cx="3457575" cy="2985408"/>
          <a:chOff x="108970767" y="109045772"/>
          <a:chExt cx="2357433" cy="2055257"/>
        </a:xfrm>
      </xdr:grpSpPr>
      <xdr:grpSp>
        <xdr:nvGrpSpPr>
          <xdr:cNvPr id="15399" name="Group 39">
            <a:extLst>
              <a:ext uri="{FF2B5EF4-FFF2-40B4-BE49-F238E27FC236}">
                <a16:creationId xmlns:a16="http://schemas.microsoft.com/office/drawing/2014/main" id="{00000000-0008-0000-0800-0000273C0000}"/>
              </a:ext>
            </a:extLst>
          </xdr:cNvPr>
          <xdr:cNvGrpSpPr>
            <a:grpSpLocks/>
          </xdr:cNvGrpSpPr>
        </xdr:nvGrpSpPr>
        <xdr:grpSpPr bwMode="auto">
          <a:xfrm>
            <a:off x="108970767" y="109267228"/>
            <a:ext cx="2357433" cy="1833801"/>
            <a:chOff x="108970767" y="109267228"/>
            <a:chExt cx="2357433" cy="1833801"/>
          </a:xfrm>
        </xdr:grpSpPr>
        <xdr:pic>
          <xdr:nvPicPr>
            <xdr:cNvPr id="62" name="Picture 61">
              <a:extLst>
                <a:ext uri="{FF2B5EF4-FFF2-40B4-BE49-F238E27FC236}">
                  <a16:creationId xmlns:a16="http://schemas.microsoft.com/office/drawing/2014/main" id="{00000000-0008-0000-0800-00003E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09011482" y="109267228"/>
              <a:ext cx="2316718" cy="1833801"/>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pic>
        <xdr:cxnSp macro="">
          <xdr:nvCxnSpPr>
            <xdr:cNvPr id="15401" name="AutoShape 41">
              <a:extLst>
                <a:ext uri="{FF2B5EF4-FFF2-40B4-BE49-F238E27FC236}">
                  <a16:creationId xmlns:a16="http://schemas.microsoft.com/office/drawing/2014/main" id="{00000000-0008-0000-0800-0000293C0000}"/>
                </a:ext>
              </a:extLst>
            </xdr:cNvPr>
            <xdr:cNvCxnSpPr>
              <a:cxnSpLocks noChangeShapeType="1"/>
            </xdr:cNvCxnSpPr>
          </xdr:nvCxnSpPr>
          <xdr:spPr bwMode="auto">
            <a:xfrm>
              <a:off x="109728001" y="111049587"/>
              <a:ext cx="868680" cy="1"/>
            </a:xfrm>
            <a:prstGeom prst="straightConnector1">
              <a:avLst/>
            </a:prstGeom>
            <a:noFill/>
            <a:ln w="6350" algn="ctr">
              <a:solidFill>
                <a:srgbClr val="00000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402" name="AutoShape 42">
              <a:extLst>
                <a:ext uri="{FF2B5EF4-FFF2-40B4-BE49-F238E27FC236}">
                  <a16:creationId xmlns:a16="http://schemas.microsoft.com/office/drawing/2014/main" id="{00000000-0008-0000-0800-00002A3C0000}"/>
                </a:ext>
              </a:extLst>
            </xdr:cNvPr>
            <xdr:cNvCxnSpPr>
              <a:cxnSpLocks noChangeShapeType="1"/>
            </xdr:cNvCxnSpPr>
          </xdr:nvCxnSpPr>
          <xdr:spPr bwMode="auto">
            <a:xfrm>
              <a:off x="110167342" y="110063749"/>
              <a:ext cx="3573" cy="985838"/>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403" name="AutoShape 43">
              <a:extLst>
                <a:ext uri="{FF2B5EF4-FFF2-40B4-BE49-F238E27FC236}">
                  <a16:creationId xmlns:a16="http://schemas.microsoft.com/office/drawing/2014/main" id="{00000000-0008-0000-0800-00002B3C0000}"/>
                </a:ext>
              </a:extLst>
            </xdr:cNvPr>
            <xdr:cNvCxnSpPr>
              <a:cxnSpLocks noChangeShapeType="1"/>
            </xdr:cNvCxnSpPr>
          </xdr:nvCxnSpPr>
          <xdr:spPr bwMode="auto">
            <a:xfrm>
              <a:off x="108970767" y="109442243"/>
              <a:ext cx="3573" cy="1614489"/>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404" name="AutoShape 44">
              <a:extLst>
                <a:ext uri="{FF2B5EF4-FFF2-40B4-BE49-F238E27FC236}">
                  <a16:creationId xmlns:a16="http://schemas.microsoft.com/office/drawing/2014/main" id="{00000000-0008-0000-0800-00002C3C0000}"/>
                </a:ext>
              </a:extLst>
            </xdr:cNvPr>
            <xdr:cNvCxnSpPr>
              <a:cxnSpLocks noChangeShapeType="1"/>
            </xdr:cNvCxnSpPr>
          </xdr:nvCxnSpPr>
          <xdr:spPr bwMode="auto">
            <a:xfrm>
              <a:off x="109310092" y="109381522"/>
              <a:ext cx="1675211" cy="1"/>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grpSp>
      <xdr:sp macro="" textlink="">
        <xdr:nvSpPr>
          <xdr:cNvPr id="15405" name="Text Box 45">
            <a:extLst>
              <a:ext uri="{FF2B5EF4-FFF2-40B4-BE49-F238E27FC236}">
                <a16:creationId xmlns:a16="http://schemas.microsoft.com/office/drawing/2014/main" id="{00000000-0008-0000-0800-00002D3C0000}"/>
              </a:ext>
            </a:extLst>
          </xdr:cNvPr>
          <xdr:cNvSpPr txBox="1">
            <a:spLocks noChangeArrowheads="1"/>
          </xdr:cNvSpPr>
        </xdr:nvSpPr>
        <xdr:spPr bwMode="auto">
          <a:xfrm>
            <a:off x="110070899" y="109045772"/>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B</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406" name="Text Box 46">
            <a:extLst>
              <a:ext uri="{FF2B5EF4-FFF2-40B4-BE49-F238E27FC236}">
                <a16:creationId xmlns:a16="http://schemas.microsoft.com/office/drawing/2014/main" id="{00000000-0008-0000-0800-00002E3C0000}"/>
              </a:ext>
            </a:extLst>
          </xdr:cNvPr>
          <xdr:cNvSpPr txBox="1">
            <a:spLocks noChangeArrowheads="1"/>
          </xdr:cNvSpPr>
        </xdr:nvSpPr>
        <xdr:spPr bwMode="auto">
          <a:xfrm>
            <a:off x="109045772" y="110031609"/>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A</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407" name="Text Box 47">
            <a:extLst>
              <a:ext uri="{FF2B5EF4-FFF2-40B4-BE49-F238E27FC236}">
                <a16:creationId xmlns:a16="http://schemas.microsoft.com/office/drawing/2014/main" id="{00000000-0008-0000-0800-00002F3C0000}"/>
              </a:ext>
            </a:extLst>
          </xdr:cNvPr>
          <xdr:cNvSpPr txBox="1">
            <a:spLocks noChangeArrowheads="1"/>
          </xdr:cNvSpPr>
        </xdr:nvSpPr>
        <xdr:spPr bwMode="auto">
          <a:xfrm>
            <a:off x="110238778" y="110331647"/>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C</a:t>
            </a:r>
          </a:p>
          <a:p>
            <a:pPr algn="l" rtl="0">
              <a:defRPr sz="1000"/>
            </a:pPr>
            <a:endParaRPr lang="en-US" sz="1200" b="1" i="0" u="none" strike="noStrike" baseline="0">
              <a:solidFill>
                <a:srgbClr val="000000"/>
              </a:solidFill>
              <a:latin typeface="Roboto"/>
              <a:ea typeface="Roboto"/>
              <a:cs typeface="Roboto"/>
            </a:endParaRPr>
          </a:p>
        </xdr:txBody>
      </xdr:sp>
    </xdr:grp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6" connectionId="12" xr16:uid="{87E33D6B-B85F-4D35-B397-ED33AD4E935F}" autoFormatId="0"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3" connectionId="9" xr16:uid="{B5973654-75B4-4A15-A4A0-441EAA637480}" autoFormatId="0"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8" xr16:uid="{FD448F00-F1D3-4B69-B31B-FFB1BEEC1D23}" autoFormatId="0"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5" connectionId="11" xr16:uid="{8FDA1A79-D476-4241-9715-67042E32D75D}" autoFormatId="0"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0" xr16:uid="{6F00D899-227C-4F09-B335-661D97CE4DED}" autoFormatId="0"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7" xr16:uid="{A056AB78-3F5A-41D4-B15F-838E68BB492E}" autoFormatId="0" applyNumberFormats="0" applyBorderFormats="0" applyFontFormats="1" applyPatternFormats="1" applyAlignmentFormats="0" applyWidthHeightFormats="0"/>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2CA3784F-573E-4453-832D-57D2A17A344A}" name="Beam_loads" displayName="Beam_loads" ref="A1:E40" totalsRowShown="0">
  <autoFilter ref="A1:E40" xr:uid="{2CA3784F-573E-4453-832D-57D2A17A344A}"/>
  <sortState xmlns:xlrd2="http://schemas.microsoft.com/office/spreadsheetml/2017/richdata2" ref="A2:E40">
    <sortCondition ref="B1:B40"/>
  </sortState>
  <tableColumns count="5">
    <tableColumn id="1" xr3:uid="{F5E7308D-C993-4941-87CD-D8978DED194D}" name="Strut type"/>
    <tableColumn id="2" xr3:uid="{682C3019-9AA4-4A48-AA69-F677788C930F}" name="Beam span"/>
    <tableColumn id="5" xr3:uid="{A6D47887-0B58-4168-9077-1899E6816251}" name="Max Beam Load"/>
    <tableColumn id="4" xr3:uid="{E1C6040A-3985-4FF1-947B-B51FF0149B2C}" name="Max Beam Load (Mult by 0.85)" dataDxfId="46">
      <calculatedColumnFormula>Beam_loads[[#This Row],[Max Beam Load]]*0.85</calculatedColumnFormula>
    </tableColumn>
    <tableColumn id="3" xr3:uid="{B771C060-BAD2-40C9-A312-D44E52382E50}" name="OldMax beam load"/>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AD80B717-5171-4026-90E6-5D48176273A5}" name="Column_load" displayName="Column_load" ref="G1:I27" totalsRowShown="0">
  <autoFilter ref="G1:I27" xr:uid="{AD80B717-5171-4026-90E6-5D48176273A5}"/>
  <tableColumns count="3">
    <tableColumn id="3" xr3:uid="{1AA27EFD-1038-432F-9696-1493C448C4FC}" name="Strut type"/>
    <tableColumn id="1" xr3:uid="{ACD1DBBA-9292-453C-88BE-0150093441E0}" name="Column Height (inches)"/>
    <tableColumn id="2" xr3:uid="{85A8258C-E8E9-415A-971C-687105065D1F}" name="Max column load"/>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2C2190E9-967E-44D1-9A97-9AA2EB364C41}" name="Pipe_weight" displayName="Pipe_weight" ref="A1:G114" totalsRowShown="0">
  <autoFilter ref="A1:G114" xr:uid="{2C2190E9-967E-44D1-9A97-9AA2EB364C41}"/>
  <tableColumns count="7">
    <tableColumn id="1" xr3:uid="{AA70DBFB-8833-474D-AB85-C109C9F5733A}" name="Pipe size"/>
    <tableColumn id="2" xr3:uid="{E7DE9069-C104-44D2-ADDD-8F5656CA0151}" name="Pipe material"/>
    <tableColumn id="3" xr3:uid="{A7586600-16D4-454D-8AB2-B2E8D2386F14}" name="Schedule/type"/>
    <tableColumn id="7" xr3:uid="{A356344F-71AE-4933-B551-5C70D65FBE39}" name="Input name"/>
    <tableColumn id="4" xr3:uid="{DCD1AD58-B30E-4168-8D13-8CF0FA5077BE}" name="Pipe OD"/>
    <tableColumn id="5" xr3:uid="{949E2DC8-0CBA-4FB5-8584-16C6BEE74D66}" name="Empty weight (lb/ft)"/>
    <tableColumn id="6" xr3:uid="{E9710DC1-1BF6-4772-8D85-2B94C4D164F7}" name="Water filled weight (lb/f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112CD0BD-15DD-4D12-AE7A-19D4C00648DA}" name="Hanger_size" displayName="Hanger_size" ref="I1:N251" totalsRowShown="0">
  <autoFilter ref="I1:N251" xr:uid="{112CD0BD-15DD-4D12-AE7A-19D4C00648DA}"/>
  <sortState xmlns:xlrd2="http://schemas.microsoft.com/office/spreadsheetml/2017/richdata2" ref="I2:N251">
    <sortCondition ref="J1:J251"/>
  </sortState>
  <tableColumns count="6">
    <tableColumn id="1" xr3:uid="{A6DB5AC6-20FB-465A-8519-C3A7E714E5D5}" name="Pipe material"/>
    <tableColumn id="2" xr3:uid="{906E8513-027D-438C-92DF-E8EA198A6915}" name="Pipe size"/>
    <tableColumn id="3" xr3:uid="{875E8910-D824-4895-8970-37F364AC877C}" name="Pipe OD"/>
    <tableColumn id="4" xr3:uid="{C71B9F6B-7F94-4FF5-923C-530DDCDE3B0D}" name="Insulation thickness"/>
    <tableColumn id="5" xr3:uid="{B49A1E42-DB77-464D-A52E-9E8638B5710D}" name="Shield or hanger size"/>
    <tableColumn id="6" xr3:uid="{2D4484B2-6CE3-47D9-8485-554295DD2FBF}" name="Hanger Heigh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DE8BF9B-05D0-425C-96F3-D6F77F02D511}" name="Pipe_spacing" displayName="Pipe_spacing" ref="P1:S233" totalsRowShown="0">
  <autoFilter ref="P1:S233" xr:uid="{BDE8BF9B-05D0-425C-96F3-D6F77F02D511}"/>
  <sortState xmlns:xlrd2="http://schemas.microsoft.com/office/spreadsheetml/2017/richdata2" ref="P2:S233">
    <sortCondition ref="P1:P233"/>
  </sortState>
  <tableColumns count="4">
    <tableColumn id="1" xr3:uid="{3DDE037D-33E9-484E-A278-E6C418E2496E}" name="Pipe size"/>
    <tableColumn id="7" xr3:uid="{BF7DDFF1-5F9D-4519-BA33-667296211CFF}" name="Material"/>
    <tableColumn id="8" xr3:uid="{4D4FC4B0-88FF-43AE-8CEF-5314C0B5EA59}" name="contents"/>
    <tableColumn id="2" xr3:uid="{1AA9B26E-E913-4E5A-A73B-64DA18E4B955}" name="Max spacing"/>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66E105A2-A797-4EF5-840D-B4A2A1903CF7}" name="Beam_loads10" displayName="Beam_loads10" ref="A1:D40" totalsRowShown="0">
  <autoFilter ref="A1:D40" xr:uid="{2CA3784F-573E-4453-832D-57D2A17A344A}"/>
  <sortState xmlns:xlrd2="http://schemas.microsoft.com/office/spreadsheetml/2017/richdata2" ref="A2:C40">
    <sortCondition ref="B2:B40"/>
  </sortState>
  <tableColumns count="4">
    <tableColumn id="1" xr3:uid="{6D0186C8-2629-4131-A7D9-12CF68B45328}" name="Strut type"/>
    <tableColumn id="2" xr3:uid="{AC1D9862-0F0A-460F-9C07-38B8F1F39D63}" name="Beam span"/>
    <tableColumn id="3" xr3:uid="{EFCC8FFA-7DAD-47B2-BB55-D764558EA0EB}" name="Max beam load"/>
    <tableColumn id="5" xr3:uid="{B840E459-8DBE-434B-AA94-09CA43AB1D0D}" name="Extra Legs"/>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E81E39F-5D42-4F1D-8FB9-C1C5211E7403}" name="Column_load11" displayName="Column_load11" ref="F1:H14" totalsRowShown="0">
  <autoFilter ref="F1:H14" xr:uid="{AD80B717-5171-4026-90E6-5D48176273A5}"/>
  <tableColumns count="3">
    <tableColumn id="3" xr3:uid="{4D924268-51BF-491E-9E66-F67A747E5545}" name="Strut type"/>
    <tableColumn id="1" xr3:uid="{1AAF4958-67AB-4BFF-9F95-39FEAD8E4F03}" name="Column Height (inches)"/>
    <tableColumn id="2" xr3:uid="{4119F3D2-34CB-473C-B999-E40C5A249C09}" name="Max column load"/>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DD6B06C-632D-4C17-8A53-90FEF558D07D}" name="Hanger_list" displayName="Hanger_list" ref="A1:J41" totalsRowShown="0">
  <autoFilter ref="A1:J41" xr:uid="{7DD6B06C-632D-4C17-8A53-90FEF558D07D}"/>
  <tableColumns count="10">
    <tableColumn id="1" xr3:uid="{91E17ABE-85B8-4671-BB74-9B546B1D0CA7}" name="Item number"/>
    <tableColumn id="2" xr3:uid="{C7341E26-89F6-438F-AAB5-EEE92405A433}" name="Description">
      <calculatedColumnFormula>D2&amp;" inch roller hanger on 0."&amp;E2&amp;" rod"</calculatedColumnFormula>
    </tableColumn>
    <tableColumn id="3" xr3:uid="{19599489-400D-40D3-9764-19DA3539A67C}" name="Hanger type" dataDxfId="45"/>
    <tableColumn id="4" xr3:uid="{EC8D75B5-54A7-40A7-8684-CFBC9B9E4D2E}" name="Hanger size (in)"/>
    <tableColumn id="5" xr3:uid="{7DFE8F88-47CE-4CEA-BDC6-A65AAEEA9450}" name="Rod diameter (3/8 =1, 1/2&quot; =2)"/>
    <tableColumn id="6" xr3:uid="{14DB227A-E3D0-4E2A-8129-F5F481E85874}" name="Rod &amp; hardware cost">
      <calculatedColumnFormula>(1.5*_xlfn.XLOOKUP(Hanger_list[[#This Row],[Rod diameter (3/8 =1, 1/2" =2)]],Rod_costs[Rod size],Rod_costs[Unit price],"no result"))+_xlfn.XLOOKUP(Hanger_list[[#This Row],[Rod diameter (3/8 =1, 1/2" =2)]],Table6[Nut/washer size],Table6[Unit price])</calculatedColumnFormula>
    </tableColumn>
    <tableColumn id="7" xr3:uid="{8FFD9F6F-3A0F-4067-9C08-B92841681D17}" name="Clevis cost" dataDxfId="44"/>
    <tableColumn id="8" xr3:uid="{1BCF781F-95F4-480D-9BA2-1CCFD418CBFC}" name="Labor cost" dataDxfId="43">
      <calculatedColumnFormula>H$2</calculatedColumnFormula>
    </tableColumn>
    <tableColumn id="9" xr3:uid="{CA10D561-0ED7-4C95-B60A-C03EFE0EFD44}" name="Price" dataDxfId="42">
      <calculatedColumnFormula>SUM(F2:H2)/(1-Hanger_list[[#This Row],[margin]])</calculatedColumnFormula>
    </tableColumn>
    <tableColumn id="10" xr3:uid="{47C970F0-80BF-42D0-AB1F-357241A4420F}" name="margi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1F2AE45-D773-48B2-B5F7-36099CD28E73}" name="Rod_costs" displayName="Rod_costs" ref="N1:O5" totalsRowShown="0">
  <autoFilter ref="N1:O5" xr:uid="{81F2AE45-D773-48B2-B5F7-36099CD28E73}"/>
  <tableColumns count="2">
    <tableColumn id="1" xr3:uid="{E2D86934-14E3-4A8E-AADF-DD8D598B5B44}" name="Rod size"/>
    <tableColumn id="2" xr3:uid="{5CDE6A08-A7DD-4A84-9622-0681C1DCF342}" name="Unit price" dataDxfId="41"/>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42A7CF1-0B48-4DD2-B84D-646F7AE5D7F1}" name="Table6" displayName="Table6" ref="Q1:R5" totalsRowShown="0">
  <autoFilter ref="Q1:R5" xr:uid="{F42A7CF1-0B48-4DD2-B84D-646F7AE5D7F1}"/>
  <tableColumns count="2">
    <tableColumn id="1" xr3:uid="{0D08AC6E-B175-4CAA-9112-5EF640203D49}" name="Nut/washer size"/>
    <tableColumn id="2" xr3:uid="{8DD5C309-64F8-4E3E-BAA9-2AC6E3B871FE}" name="Unit price" dataDxfId="40"/>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2CDC0333-0C96-4C88-82C5-62925D9B26C0}" name="Utilities" displayName="Utilities" ref="A1:A2" totalsRowShown="0">
  <autoFilter ref="A1:A2" xr:uid="{2CDC0333-0C96-4C88-82C5-62925D9B26C0}"/>
  <tableColumns count="1">
    <tableColumn id="1" xr3:uid="{0D07CCBF-670A-4F16-A03D-281D42C24BB3}" name="Utility name"/>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946E9256-79FE-4D74-BBB0-D470C4AE1C84}" name="Hanger" displayName="Hanger" ref="E1:E5" totalsRowShown="0">
  <autoFilter ref="E1:E5" xr:uid="{946E9256-79FE-4D74-BBB0-D470C4AE1C84}"/>
  <tableColumns count="1">
    <tableColumn id="1" xr3:uid="{B77C633D-BF94-4ED7-A8CB-D7A52EF5E6D7}" name="Hanger type"/>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F86DDD62-29EA-4502-9AC0-3E2E93208A24}" name="Pipe_contents" displayName="Pipe_contents" ref="G1:G4" totalsRowShown="0">
  <autoFilter ref="G1:G4" xr:uid="{F86DDD62-29EA-4502-9AC0-3E2E93208A24}"/>
  <tableColumns count="1">
    <tableColumn id="1" xr3:uid="{B32E75B1-F284-4D2A-AB6B-A50E0A293694}" name="Contents of pipe"/>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91A84ACA-9397-44DA-8055-2BAF53340280}" name="Pipe_size" displayName="Pipe_size" ref="I1:I11" totalsRowShown="0">
  <autoFilter ref="I1:I11" xr:uid="{91A84ACA-9397-44DA-8055-2BAF53340280}"/>
  <tableColumns count="1">
    <tableColumn id="1" xr3:uid="{8E5EEDC6-648B-4675-B382-FBDE0CEEA36C}" name="Pipe sizes"/>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992DCCB-2F68-41FD-A729-1F313F4B9FA0}" name="Copper_insulation" displayName="Copper_insulation" ref="K1:K6" totalsRowShown="0">
  <autoFilter ref="K1:K6" xr:uid="{0992DCCB-2F68-41FD-A729-1F313F4B9FA0}"/>
  <tableColumns count="1">
    <tableColumn id="1" xr3:uid="{2119A99C-8D3B-4041-8A54-0644B4CBC8B1}" name="Copper pipe insulation thickness"/>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3553C5A4-1C86-4FB7-9EFC-DFB58F38FD59}" name="Iron_pipe_insulation" displayName="Iron_pipe_insulation" ref="M1:M11" totalsRowShown="0">
  <autoFilter ref="M1:M11" xr:uid="{3553C5A4-1C86-4FB7-9EFC-DFB58F38FD59}"/>
  <tableColumns count="1">
    <tableColumn id="1" xr3:uid="{FDBF8FC2-4D96-4A88-B5D3-4E5ABA40BD8E}" name="Iron pipe insulation thickness"/>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23D439DA-0FC5-4811-B0A9-133FC9EF90F7}" name="Pipe_material" displayName="Pipe_material" ref="C1:C8" totalsRowShown="0">
  <autoFilter ref="C1:C8" xr:uid="{23D439DA-0FC5-4811-B0A9-133FC9EF90F7}"/>
  <tableColumns count="1">
    <tableColumn id="1" xr3:uid="{6ACDC3A8-4393-421B-B19F-B3C3654D1414}" name="Pipe material"/>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6918D72-46C2-4708-A76B-A0EEAD09EFEC}" name="Pipe_quantity" displayName="Pipe_quantity" ref="O1:O12" totalsRowShown="0">
  <autoFilter ref="O1:O12" xr:uid="{16918D72-46C2-4708-A76B-A0EEAD09EFEC}"/>
  <tableColumns count="1">
    <tableColumn id="1" xr3:uid="{8FD986B1-B36F-4B38-8164-03E35D34DBB1}" name="Pipe quantity"/>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7D495C4C-098F-49A8-B9F7-1FEF72DCCB5D}" name="Snow_loads" displayName="Snow_loads" ref="R1:R7" totalsRowShown="0">
  <autoFilter ref="R1:R7" xr:uid="{7D495C4C-098F-49A8-B9F7-1FEF72DCCB5D}"/>
  <tableColumns count="1">
    <tableColumn id="1" xr3:uid="{076BEF45-A5E8-45D3-A3F7-DBE203F65D22}" name="Snow loads"/>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703018B-73FA-416D-91EF-2D98DA0D1C5D}" name="Shipment_type" displayName="Shipment_type" ref="U1:U3" totalsRowShown="0">
  <autoFilter ref="U1:U3" xr:uid="{2703018B-73FA-416D-91EF-2D98DA0D1C5D}"/>
  <tableColumns count="1">
    <tableColumn id="1" xr3:uid="{C808C7DC-1EFF-42F3-A9EE-6B8C52AC4AC7}" name="Shipment method"/>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2C50D2E-CB36-4F5E-9184-831F98097B7E}" name="HFrame_List" displayName="HFrame_List" ref="A1:AC241" totalsRowShown="0" headerRowDxfId="39">
  <autoFilter ref="A1:AC241" xr:uid="{12C50D2E-CB36-4F5E-9184-831F98097B7E}"/>
  <tableColumns count="29">
    <tableColumn id="1" xr3:uid="{F8D753F0-DC8F-4C8A-A731-E0F5BF2ECD81}" name="Item number" dataDxfId="38"/>
    <tableColumn id="2" xr3:uid="{5AE67C57-FBEE-48C2-A8E9-242D77DEE3B0}" name="Description" dataDxfId="37"/>
    <tableColumn id="3" xr3:uid="{D9E9E21D-7D4E-4FDF-9AC3-5540A0095818}" name="Height (in)" dataDxfId="36">
      <calculatedColumnFormula>E2+1.675</calculatedColumnFormula>
    </tableColumn>
    <tableColumn id="4" xr3:uid="{8CFAFDF0-17E9-4BE0-B90D-9693A1EC979D}" name="Width (in)" dataDxfId="35">
      <calculatedColumnFormula>F2+1.675+12.376</calculatedColumnFormula>
    </tableColumn>
    <tableColumn id="5" xr3:uid="{A5AE4AE3-3969-4FB1-B90A-7679A6CCA988}" name="Strut height (in)" dataDxfId="34"/>
    <tableColumn id="6" xr3:uid="{A5A24B87-6BB5-47A3-89BC-8B9D97C976AE}" name="Width between uprights (in)" dataDxfId="33"/>
    <tableColumn id="7" xr3:uid="{D296A186-5B9B-4D44-A0D9-061AF6DAD0E9}" name="Width between brackets" dataDxfId="32">
      <calculatedColumnFormula>F2-(1.88*2)</calculatedColumnFormula>
    </tableColumn>
    <tableColumn id="8" xr3:uid="{3772BB46-8596-403E-B4CD-08CA180CC31D}" name="Extra supports" dataDxfId="31"/>
    <tableColumn id="9" xr3:uid="{FFD146C7-D5FE-4A49-98F5-E520D37CD50A}" name="Cross piece style" dataDxfId="30"/>
    <tableColumn id="10" xr3:uid="{8121702C-BF17-483A-8BEC-6EF69A948731}" name="cross piece quantity" dataDxfId="29"/>
    <tableColumn id="11" xr3:uid="{F034BE78-89A7-438A-A026-8FB7571FF4A4}" name="Distance between strut" dataDxfId="28">
      <calculatedColumnFormula>((F2)/(L2-1))-(H2*0.8125)</calculatedColumnFormula>
    </tableColumn>
    <tableColumn id="12" xr3:uid="{71D60462-CA8F-4AB2-85EA-B76A353B4B01}" name="Number of feet" dataDxfId="27">
      <calculatedColumnFormula>2+(H2)</calculatedColumnFormula>
    </tableColumn>
    <tableColumn id="13" xr3:uid="{1FF7A4E3-F5B8-4B31-922E-7A47B2D41A91}" name="Number of bolts" dataDxfId="26">
      <calculatedColumnFormula>3*N2</calculatedColumnFormula>
    </tableColumn>
    <tableColumn id="14" xr3:uid="{D2015818-56BE-48B3-A3C6-825D544FD922}" name="number of L-brackets" dataDxfId="25">
      <calculatedColumnFormula>(2+(2*H2))*J2</calculatedColumnFormula>
    </tableColumn>
    <tableColumn id="15" xr3:uid="{F683A236-07E1-44EF-916D-3F5CDB9F100B}" name="Total feet of strut" dataDxfId="24">
      <calculatedColumnFormula>((E2*(L2+H2))+(F2*J2))/12</calculatedColumnFormula>
    </tableColumn>
    <tableColumn id="16" xr3:uid="{B76D8DCC-0691-4282-8002-E9C1F753926B}" name="Sticks of strut required" dataDxfId="23">
      <calculatedColumnFormula>ROUNDUP(O2/10,0)</calculatedColumnFormula>
    </tableColumn>
    <tableColumn id="17" xr3:uid="{0CFA666D-61C9-431A-B3B0-7D536B5696C2}" name="Number of cuts required">
      <calculatedColumnFormula>2*(L2+J2)</calculatedColumnFormula>
    </tableColumn>
    <tableColumn id="22" xr3:uid="{330DE824-190C-426F-AB0C-3E867E7B0FC1}" name="Bottom cross piece cost" dataDxfId="22">
      <calculatedColumnFormula>_xlfn.XLOOKUP(HFrame_List[[#This Row],[Cross piece style]],$AH$2:$AH$4,$AI$2:$AI$4,0,0)*(HFrame_List[[#This Row],[Width between brackets]]/12)</calculatedColumnFormula>
    </tableColumn>
    <tableColumn id="18" xr3:uid="{B4F312D8-6626-4BD8-9798-CAC9C0B7DF6F}" name="Top cross piece cost">
      <calculatedColumnFormula>5.46*(HFrame_List[[#This Row],[cross piece quantity]]-1)*(HFrame_List[[#This Row],[Width between brackets]]/12)</calculatedColumnFormula>
    </tableColumn>
    <tableColumn id="19" xr3:uid="{E433E6C2-8AB4-450F-8490-2E6ED36C302B}" name="Material Cost (est)" dataDxfId="21">
      <calculatedColumnFormula>HFrame_List[[#This Row],[Bottom cross piece cost]]+HFrame_List[[#This Row],[Top cross piece cost]]+HFrame_List[[#This Row],[Component costs]]+HFrame_List[[#This Row],[Vertical strut cost]]</calculatedColumnFormula>
    </tableColumn>
    <tableColumn id="20" xr3:uid="{D7C68672-7D25-4197-A0D6-8AFB450D832E}" name="Labor Cost" dataDxfId="20">
      <calculatedColumnFormula>_xlfn.XLOOKUP(HFrame_List[[#This Row],[Fabrication type]],Fabrication_costs[Fabrication type],Fabrication_costs[unit pricing],"no result",0)</calculatedColumnFormula>
    </tableColumn>
    <tableColumn id="21" xr3:uid="{96507D35-C80E-43C2-96D1-A1376857FA64}" name="Price (est)" dataDxfId="19">
      <calculatedColumnFormula>SUM(T2:U2)/(1-HFrame_List[[#This Row],[Margin]])</calculatedColumnFormula>
    </tableColumn>
    <tableColumn id="23" xr3:uid="{106FA828-8118-46CA-86B4-1E3211BEF50D}" name="Margin" dataCellStyle="Percent"/>
    <tableColumn id="24" xr3:uid="{BE93F725-A6B7-46F5-9B49-9E7ED604CD2F}" name="Fabrication type" dataDxfId="18" dataCellStyle="Percent"/>
    <tableColumn id="25" xr3:uid="{9F153298-31B8-4F55-9DB1-5B5697017C3D}" name="Vertical strut cost" dataDxfId="17">
      <calculatedColumnFormula>_xlfn.XLOOKUP("A12",Strut_costs[size],Strut_costs[Strut cost])/12*HFrame_List[[#This Row],[Strut height (in)]]*(2+HFrame_List[[#This Row],[Extra supports]])</calculatedColumnFormula>
    </tableColumn>
    <tableColumn id="26" xr3:uid="{C8FF4787-32D1-4E7A-9158-2869CDCF1E9C}" name="Component costs" dataDxfId="16">
      <calculatedColumnFormula>(_xlfn.XLOOKUP("PHB",CADDY_costs[Component],CADDY_costs[Current cost])*HFrame_List[[#This Row],[Number of feet]])+(_xlfn.XLOOKUP("HFRMHDW",CADDY_costs[Component],CADDY_costs[Current cost])*(HFrame_List[[#This Row],[number of L-brackets]]/2))</calculatedColumnFormula>
    </tableColumn>
    <tableColumn id="27" xr3:uid="{4B2201D9-20AA-427F-A7E4-15CEADE413DF}" name="lookup" dataDxfId="15"/>
    <tableColumn id="28" xr3:uid="{EA006287-6B1E-4CF7-A760-ABB54B613DDC}" name="4x6 pallet" dataDxfId="14">
      <calculatedColumnFormula>VLOOKUP(HFrame_List[[#This Row],[lookup]],'Pallet and shipping info'!$A$5:$H$33,6,FALSE)</calculatedColumnFormula>
    </tableColumn>
    <tableColumn id="29" xr3:uid="{A60C9DF3-AFCF-4D89-867F-00F1A91EF005}" name="4x8 pallet" dataDxfId="13">
      <calculatedColumnFormula>VLOOKUP(HFrame_List[[#This Row],[lookup]],'Pallet and shipping info'!$A$5:$H$33,8,FALSE)</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38E48E9-DE86-47E7-BCDB-4FDB019E7876}" name="Strut_costs" displayName="Strut_costs" ref="AH1:AI4" totalsRowShown="0" headerRowDxfId="12">
  <autoFilter ref="AH1:AI4" xr:uid="{838E48E9-DE86-47E7-BCDB-4FDB019E7876}"/>
  <tableColumns count="2">
    <tableColumn id="1" xr3:uid="{C9B80C0D-7DAF-432A-9577-30FEC1D4D7DA}" name="size"/>
    <tableColumn id="2" xr3:uid="{9AD87F91-0AD7-4CB3-8AF8-1FED1C026E4B}" name="Strut cost"/>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D8BDB66-2B9D-4F20-B698-8E49D5985540}" name="Fabrication_costs" displayName="Fabrication_costs" ref="AK1:AL7" totalsRowShown="0" headerRowDxfId="11">
  <autoFilter ref="AK1:AL7" xr:uid="{4D8BDB66-2B9D-4F20-B698-8E49D5985540}"/>
  <tableColumns count="2">
    <tableColumn id="1" xr3:uid="{10882B3E-49B4-4690-BB2B-61679E1B9962}" name="Fabrication type"/>
    <tableColumn id="2" xr3:uid="{F4009DDC-F53E-4697-A7F5-C3EB18604F93}" name="unit pricing" dataDxfId="10"/>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11F729B-EAE6-43C6-A22C-3350AF35F69B}" name="CADDY_costs" displayName="CADDY_costs" ref="AN1:AO3" totalsRowShown="0" headerRowDxfId="9">
  <autoFilter ref="AN1:AO3" xr:uid="{111F729B-EAE6-43C6-A22C-3350AF35F69B}"/>
  <tableColumns count="2">
    <tableColumn id="1" xr3:uid="{BCE31027-F49B-4E07-9D92-A48D2EE292F5}" name="Component"/>
    <tableColumn id="2" xr3:uid="{00B98418-4B7C-4EAF-B67E-C409EC01DE4A}" name="Current cost" dataDxfId="8"/>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asce7hazardtool.online/"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queryTable" Target="../queryTables/queryTable3.xml"/><Relationship Id="rId2" Type="http://schemas.openxmlformats.org/officeDocument/2006/relationships/queryTable" Target="../queryTables/queryTable2.xml"/><Relationship Id="rId1" Type="http://schemas.openxmlformats.org/officeDocument/2006/relationships/queryTable" Target="../queryTables/queryTable1.xml"/><Relationship Id="rId6" Type="http://schemas.openxmlformats.org/officeDocument/2006/relationships/queryTable" Target="../queryTables/queryTable6.xml"/><Relationship Id="rId5" Type="http://schemas.openxmlformats.org/officeDocument/2006/relationships/queryTable" Target="../queryTables/queryTable5.xml"/><Relationship Id="rId4" Type="http://schemas.openxmlformats.org/officeDocument/2006/relationships/queryTable" Target="../queryTables/queryTable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table" Target="../tables/table2.xml"/></Relationships>
</file>

<file path=xl/worksheets/_rels/sheet8.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table" Target="../tables/table8.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8" Type="http://schemas.openxmlformats.org/officeDocument/2006/relationships/table" Target="../tables/table18.xml"/><Relationship Id="rId3" Type="http://schemas.openxmlformats.org/officeDocument/2006/relationships/table" Target="../tables/table13.xml"/><Relationship Id="rId7" Type="http://schemas.openxmlformats.org/officeDocument/2006/relationships/table" Target="../tables/table17.xml"/><Relationship Id="rId2" Type="http://schemas.openxmlformats.org/officeDocument/2006/relationships/table" Target="../tables/table12.xml"/><Relationship Id="rId1" Type="http://schemas.openxmlformats.org/officeDocument/2006/relationships/table" Target="../tables/table11.xml"/><Relationship Id="rId6" Type="http://schemas.openxmlformats.org/officeDocument/2006/relationships/table" Target="../tables/table16.xml"/><Relationship Id="rId5" Type="http://schemas.openxmlformats.org/officeDocument/2006/relationships/table" Target="../tables/table15.xml"/><Relationship Id="rId10" Type="http://schemas.openxmlformats.org/officeDocument/2006/relationships/table" Target="../tables/table20.xml"/><Relationship Id="rId4" Type="http://schemas.openxmlformats.org/officeDocument/2006/relationships/table" Target="../tables/table14.xml"/><Relationship Id="rId9" Type="http://schemas.openxmlformats.org/officeDocument/2006/relationships/table" Target="../tables/table19.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23.xml"/><Relationship Id="rId2" Type="http://schemas.openxmlformats.org/officeDocument/2006/relationships/table" Target="../tables/table22.xml"/><Relationship Id="rId1" Type="http://schemas.openxmlformats.org/officeDocument/2006/relationships/table" Target="../tables/table21.xml"/><Relationship Id="rId4" Type="http://schemas.openxmlformats.org/officeDocument/2006/relationships/table" Target="../tables/table2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DEEE35-27D2-4A3B-AB64-6DF6E0400E39}">
  <sheetPr codeName="Sheet1"/>
  <dimension ref="A1:U41"/>
  <sheetViews>
    <sheetView zoomScale="130" zoomScaleNormal="130" workbookViewId="0">
      <selection activeCell="C5" sqref="C5"/>
    </sheetView>
  </sheetViews>
  <sheetFormatPr defaultColWidth="9.140625" defaultRowHeight="14.25" x14ac:dyDescent="0.2"/>
  <cols>
    <col min="1" max="1" width="9.140625" style="13"/>
    <col min="2" max="2" width="68.5703125" style="13" customWidth="1"/>
    <col min="3" max="3" width="18.28515625" style="13" customWidth="1"/>
    <col min="4" max="4" width="19.140625" style="13" bestFit="1" customWidth="1"/>
    <col min="5" max="7" width="10.5703125" style="13" customWidth="1"/>
    <col min="8" max="8" width="13.85546875" style="13" customWidth="1"/>
    <col min="9" max="9" width="12.5703125" style="13" customWidth="1"/>
    <col min="10" max="10" width="11.140625" style="13" customWidth="1"/>
    <col min="11" max="11" width="9.140625" style="13"/>
    <col min="12" max="12" width="21.28515625" style="13" customWidth="1"/>
    <col min="13" max="19" width="9.140625" style="13"/>
    <col min="20" max="21" width="9.140625" style="13" hidden="1" customWidth="1"/>
    <col min="22" max="25" width="0" style="13" hidden="1" customWidth="1"/>
    <col min="26" max="16384" width="9.140625" style="13"/>
  </cols>
  <sheetData>
    <row r="1" spans="1:21" ht="15" x14ac:dyDescent="0.25">
      <c r="A1" s="61" t="s">
        <v>0</v>
      </c>
      <c r="B1" s="17" t="s">
        <v>1</v>
      </c>
      <c r="C1" s="17" t="s">
        <v>2</v>
      </c>
      <c r="D1" s="17"/>
      <c r="E1" s="17" t="s">
        <v>3</v>
      </c>
      <c r="F1" s="17"/>
      <c r="G1" s="17"/>
      <c r="H1" s="17" t="s">
        <v>4</v>
      </c>
      <c r="I1" s="17" t="s">
        <v>5</v>
      </c>
      <c r="J1" s="17" t="s">
        <v>6</v>
      </c>
      <c r="L1" s="17" t="s">
        <v>7</v>
      </c>
    </row>
    <row r="2" spans="1:21" x14ac:dyDescent="0.2">
      <c r="A2" s="61"/>
      <c r="B2" s="25"/>
      <c r="C2" s="25"/>
      <c r="D2" s="16"/>
      <c r="E2" s="62"/>
      <c r="F2" s="62"/>
      <c r="G2" s="62"/>
      <c r="H2" s="25"/>
      <c r="I2" s="25"/>
      <c r="J2" s="25"/>
      <c r="L2" s="47" t="s">
        <v>8</v>
      </c>
    </row>
    <row r="3" spans="1:21" x14ac:dyDescent="0.2">
      <c r="A3" s="61"/>
      <c r="E3" s="14"/>
      <c r="F3" s="14"/>
      <c r="G3" s="14"/>
    </row>
    <row r="4" spans="1:21" x14ac:dyDescent="0.2">
      <c r="A4" s="61"/>
      <c r="B4" s="13" t="s">
        <v>9</v>
      </c>
      <c r="C4" s="26" t="s">
        <v>10</v>
      </c>
      <c r="E4" s="63" t="e">
        <f>IF('H-frame item list'!A245="no results","We cannot accommodate the current requirements through this tool. Please adjust the settings to the left or contact the nVent CADDY Product Manager for help.",_xlfn.XLOOKUP(Pictures!E2,Pictures!$A$2:$A$6,Pictures!$G$2:$G$6,"Please fill in requirements to the left",0))</f>
        <v>#REF!</v>
      </c>
      <c r="F4" s="63"/>
      <c r="G4" s="63"/>
      <c r="H4" s="63"/>
      <c r="I4" s="63"/>
      <c r="J4" s="63"/>
      <c r="K4" s="63"/>
      <c r="L4" s="63"/>
      <c r="M4" s="63"/>
      <c r="T4" s="13" t="s">
        <v>9</v>
      </c>
    </row>
    <row r="5" spans="1:21" x14ac:dyDescent="0.2">
      <c r="A5" s="61"/>
      <c r="B5" s="13" t="s">
        <v>11</v>
      </c>
      <c r="C5" s="58">
        <v>100</v>
      </c>
      <c r="E5" s="63"/>
      <c r="F5" s="63"/>
      <c r="G5" s="63"/>
      <c r="H5" s="63"/>
      <c r="I5" s="63"/>
      <c r="J5" s="63"/>
      <c r="K5" s="63"/>
      <c r="L5" s="63"/>
      <c r="M5" s="63"/>
      <c r="T5" s="13" t="s">
        <v>12</v>
      </c>
    </row>
    <row r="6" spans="1:21" x14ac:dyDescent="0.2">
      <c r="A6" s="61"/>
      <c r="B6" s="13" t="s">
        <v>13</v>
      </c>
      <c r="C6" s="58">
        <v>20</v>
      </c>
      <c r="E6" s="63"/>
      <c r="F6" s="63"/>
      <c r="G6" s="63"/>
      <c r="H6" s="63"/>
      <c r="I6" s="63"/>
      <c r="J6" s="63"/>
      <c r="K6" s="63"/>
      <c r="L6" s="63"/>
      <c r="M6" s="63"/>
      <c r="T6" s="13" t="s">
        <v>13</v>
      </c>
    </row>
    <row r="7" spans="1:21" x14ac:dyDescent="0.2">
      <c r="A7" s="61"/>
      <c r="B7" s="13" t="s">
        <v>14</v>
      </c>
      <c r="C7" s="57">
        <v>14</v>
      </c>
      <c r="D7" s="13" t="s">
        <v>807</v>
      </c>
      <c r="E7" s="63"/>
      <c r="F7" s="63"/>
      <c r="G7" s="63"/>
      <c r="H7" s="63"/>
      <c r="I7" s="63"/>
      <c r="J7" s="63"/>
      <c r="K7" s="63"/>
      <c r="L7" s="63"/>
      <c r="M7" s="63"/>
      <c r="T7" s="13" t="s">
        <v>14</v>
      </c>
    </row>
    <row r="8" spans="1:21" x14ac:dyDescent="0.2">
      <c r="A8" s="61"/>
      <c r="B8" s="13" t="s">
        <v>15</v>
      </c>
      <c r="C8" s="58">
        <v>1</v>
      </c>
      <c r="E8" s="63"/>
      <c r="F8" s="63"/>
      <c r="G8" s="63"/>
      <c r="H8" s="63"/>
      <c r="I8" s="63"/>
      <c r="J8" s="63"/>
      <c r="K8" s="63"/>
      <c r="L8" s="63"/>
      <c r="M8" s="63"/>
    </row>
    <row r="9" spans="1:21" x14ac:dyDescent="0.2">
      <c r="A9" s="61"/>
      <c r="B9" s="13" t="s">
        <v>16</v>
      </c>
      <c r="C9" s="57">
        <v>20</v>
      </c>
      <c r="D9" s="48" t="s">
        <v>17</v>
      </c>
      <c r="E9" s="63"/>
      <c r="F9" s="63"/>
      <c r="G9" s="63"/>
      <c r="H9" s="63"/>
      <c r="I9" s="63"/>
      <c r="J9" s="63"/>
      <c r="K9" s="63"/>
      <c r="L9" s="63"/>
      <c r="M9" s="63"/>
      <c r="T9" s="13" t="s">
        <v>16</v>
      </c>
    </row>
    <row r="10" spans="1:21" x14ac:dyDescent="0.2">
      <c r="A10" s="19"/>
      <c r="C10" s="20"/>
      <c r="D10" s="15"/>
      <c r="T10" s="13" t="s">
        <v>18</v>
      </c>
      <c r="U10" s="13" t="s">
        <v>19</v>
      </c>
    </row>
    <row r="11" spans="1:21" ht="18" x14ac:dyDescent="0.25">
      <c r="A11" s="18"/>
      <c r="C11" s="20" t="str">
        <f>IF($C$18="yes",T10,"")</f>
        <v/>
      </c>
      <c r="D11" s="20" t="str">
        <f>IF($C$18="yes",U10,"")</f>
        <v/>
      </c>
    </row>
    <row r="12" spans="1:21" x14ac:dyDescent="0.2">
      <c r="A12" s="61" t="str">
        <f>IF(C$4="pipe","Pipe","")</f>
        <v>Pipe</v>
      </c>
      <c r="B12" s="13" t="str">
        <f>IF(C$4="pipe",T12,"")</f>
        <v>What material is the pipe?</v>
      </c>
      <c r="C12" s="57" t="s">
        <v>137</v>
      </c>
      <c r="D12" s="57" t="s">
        <v>801</v>
      </c>
      <c r="K12" s="13" t="s">
        <v>21</v>
      </c>
      <c r="T12" s="13" t="s">
        <v>22</v>
      </c>
    </row>
    <row r="13" spans="1:21" x14ac:dyDescent="0.2">
      <c r="A13" s="61"/>
      <c r="B13" s="13" t="str">
        <f t="shared" ref="B13:B17" si="0">IF(C$4="pipe",T13,"")</f>
        <v>What are you running in the pipe?</v>
      </c>
      <c r="C13" s="57" t="s">
        <v>24</v>
      </c>
      <c r="D13" s="57" t="s">
        <v>801</v>
      </c>
      <c r="K13" s="23" t="e">
        <f>Calculations!#REF!</f>
        <v>#REF!</v>
      </c>
      <c r="L13" s="14" t="s">
        <v>25</v>
      </c>
      <c r="T13" s="13" t="s">
        <v>26</v>
      </c>
    </row>
    <row r="14" spans="1:21" x14ac:dyDescent="0.2">
      <c r="A14" s="61"/>
      <c r="B14" s="13" t="str">
        <f t="shared" si="0"/>
        <v>What size is the pipe?</v>
      </c>
      <c r="C14" s="57">
        <v>12</v>
      </c>
      <c r="D14" s="57">
        <v>0</v>
      </c>
      <c r="K14" s="23">
        <f>'H-frame item list'!E245</f>
        <v>0</v>
      </c>
      <c r="L14" s="13" t="s">
        <v>27</v>
      </c>
      <c r="T14" s="13" t="s">
        <v>28</v>
      </c>
    </row>
    <row r="15" spans="1:21" x14ac:dyDescent="0.2">
      <c r="A15" s="61"/>
      <c r="B15" s="13" t="str">
        <f>IF(C$4="pipe",T15,"")</f>
        <v>What is the pipe insulation wall thickness? (choose 0 for no insulation)</v>
      </c>
      <c r="C15" s="57">
        <v>1</v>
      </c>
      <c r="D15" s="57">
        <v>0</v>
      </c>
      <c r="K15" s="20">
        <f>'H-frame item list'!F245</f>
        <v>0</v>
      </c>
      <c r="L15" s="13" t="s">
        <v>29</v>
      </c>
      <c r="T15" s="13" t="s">
        <v>30</v>
      </c>
    </row>
    <row r="16" spans="1:21" x14ac:dyDescent="0.2">
      <c r="A16" s="61"/>
      <c r="B16" s="13" t="str">
        <f t="shared" si="0"/>
        <v>What type of hanger is required for this pipe?</v>
      </c>
      <c r="C16" s="57" t="s">
        <v>134</v>
      </c>
      <c r="D16" s="57" t="s">
        <v>801</v>
      </c>
      <c r="E16" s="13" t="s">
        <v>806</v>
      </c>
      <c r="K16" s="20">
        <f>C7</f>
        <v>14</v>
      </c>
      <c r="L16" s="14" t="s">
        <v>32</v>
      </c>
      <c r="T16" s="13" t="s">
        <v>33</v>
      </c>
    </row>
    <row r="17" spans="1:20" x14ac:dyDescent="0.2">
      <c r="A17" s="61"/>
      <c r="B17" s="13" t="str">
        <f t="shared" si="0"/>
        <v>How many of this pipe do you need supported side by side?</v>
      </c>
      <c r="C17" s="57">
        <v>3</v>
      </c>
      <c r="D17" s="57">
        <v>0</v>
      </c>
      <c r="K17" s="23" t="e">
        <f>Calculations!#REF!</f>
        <v>#REF!</v>
      </c>
      <c r="L17" s="14" t="s">
        <v>34</v>
      </c>
      <c r="T17" s="13" t="s">
        <v>35</v>
      </c>
    </row>
    <row r="18" spans="1:20" x14ac:dyDescent="0.2">
      <c r="A18" s="61"/>
      <c r="B18" s="13" t="str">
        <f t="shared" ref="B18" si="1">IF(C$4="pipe",T18,"")</f>
        <v>Do you need to run other pipe configurations on the same frame? (2 max)</v>
      </c>
      <c r="C18" s="57" t="s">
        <v>809</v>
      </c>
      <c r="D18" s="20"/>
      <c r="K18" s="20" t="e">
        <f>Calculations!#REF!</f>
        <v>#REF!</v>
      </c>
      <c r="L18" s="14" t="s">
        <v>36</v>
      </c>
      <c r="T18" s="13" t="s">
        <v>37</v>
      </c>
    </row>
    <row r="19" spans="1:20" x14ac:dyDescent="0.2">
      <c r="A19" s="61"/>
      <c r="B19" s="13" t="str">
        <f>IF(OR(C17&gt;1,C18="Yes"),IF(C$4="pipe",T19,""),"")</f>
        <v>What is the required spacing between pipes? (default is 6 inches)</v>
      </c>
      <c r="C19" s="57">
        <v>5</v>
      </c>
      <c r="D19" s="60" t="s">
        <v>805</v>
      </c>
      <c r="K19" s="20" t="e">
        <f>Calculations!#REF!</f>
        <v>#REF!</v>
      </c>
      <c r="L19" s="14" t="s">
        <v>38</v>
      </c>
      <c r="T19" s="13" t="s">
        <v>39</v>
      </c>
    </row>
    <row r="20" spans="1:20" ht="18" x14ac:dyDescent="0.25">
      <c r="A20" s="18"/>
      <c r="B20" s="13" t="s">
        <v>800</v>
      </c>
      <c r="C20" s="59">
        <v>1</v>
      </c>
    </row>
    <row r="21" spans="1:20" ht="14.25" customHeight="1" x14ac:dyDescent="0.25">
      <c r="A21" s="18"/>
      <c r="C21" s="20"/>
      <c r="T21" s="13" t="s">
        <v>40</v>
      </c>
    </row>
    <row r="22" spans="1:20" x14ac:dyDescent="0.2">
      <c r="A22" s="61" t="str">
        <f>IF(C$4="other","Other","")</f>
        <v/>
      </c>
      <c r="B22" s="13" t="str">
        <f>IF(C$4="other",T31,"")</f>
        <v/>
      </c>
      <c r="C22" s="26"/>
      <c r="T22" s="13" t="s">
        <v>41</v>
      </c>
    </row>
    <row r="23" spans="1:20" x14ac:dyDescent="0.2">
      <c r="A23" s="61"/>
      <c r="B23" s="13" t="str">
        <f>IF(C$4="other",T32,"")</f>
        <v/>
      </c>
      <c r="C23" s="26"/>
      <c r="T23" s="13" t="s">
        <v>42</v>
      </c>
    </row>
    <row r="24" spans="1:20" x14ac:dyDescent="0.2">
      <c r="A24" s="61"/>
      <c r="B24" s="13" t="str">
        <f>IF(C$4="other",T33,"")</f>
        <v/>
      </c>
      <c r="C24" s="26"/>
      <c r="T24" s="13" t="s">
        <v>43</v>
      </c>
    </row>
    <row r="25" spans="1:20" x14ac:dyDescent="0.2">
      <c r="A25" s="61"/>
      <c r="B25" s="13" t="str">
        <f>IF(C$4="other",T34,"")</f>
        <v/>
      </c>
      <c r="C25" s="26"/>
      <c r="T25" s="13" t="s">
        <v>44</v>
      </c>
    </row>
    <row r="26" spans="1:20" x14ac:dyDescent="0.2">
      <c r="C26" s="20"/>
      <c r="T26" s="13" t="s">
        <v>45</v>
      </c>
    </row>
    <row r="27" spans="1:20" x14ac:dyDescent="0.2">
      <c r="C27" s="20"/>
      <c r="T27" s="13" t="s">
        <v>46</v>
      </c>
    </row>
    <row r="28" spans="1:20" x14ac:dyDescent="0.2">
      <c r="C28" s="20"/>
      <c r="T28" s="13" t="s">
        <v>47</v>
      </c>
    </row>
    <row r="29" spans="1:20" x14ac:dyDescent="0.2">
      <c r="C29" s="20"/>
      <c r="T29" s="13" t="s">
        <v>48</v>
      </c>
    </row>
    <row r="30" spans="1:20" x14ac:dyDescent="0.2">
      <c r="C30" s="20"/>
      <c r="T30" s="13" t="s">
        <v>49</v>
      </c>
    </row>
    <row r="31" spans="1:20" x14ac:dyDescent="0.2">
      <c r="C31" s="20"/>
      <c r="E31" s="13" t="s">
        <v>50</v>
      </c>
      <c r="T31" s="13" t="s">
        <v>51</v>
      </c>
    </row>
    <row r="32" spans="1:20" x14ac:dyDescent="0.2">
      <c r="C32" s="20"/>
      <c r="E32" s="13" t="s">
        <v>52</v>
      </c>
      <c r="T32" s="13" t="s">
        <v>53</v>
      </c>
    </row>
    <row r="33" spans="3:20" x14ac:dyDescent="0.2">
      <c r="C33" s="20"/>
      <c r="E33" s="13" t="s">
        <v>54</v>
      </c>
      <c r="T33" s="13" t="s">
        <v>55</v>
      </c>
    </row>
    <row r="34" spans="3:20" x14ac:dyDescent="0.2">
      <c r="T34" s="13" t="s">
        <v>56</v>
      </c>
    </row>
    <row r="37" spans="3:20" x14ac:dyDescent="0.2">
      <c r="H37" s="24"/>
    </row>
    <row r="38" spans="3:20" x14ac:dyDescent="0.2">
      <c r="H38" s="24"/>
    </row>
    <row r="39" spans="3:20" x14ac:dyDescent="0.2">
      <c r="H39" s="24"/>
    </row>
    <row r="40" spans="3:20" x14ac:dyDescent="0.2">
      <c r="H40" s="24"/>
    </row>
    <row r="41" spans="3:20" x14ac:dyDescent="0.2">
      <c r="H41" s="24"/>
    </row>
  </sheetData>
  <mergeCells count="5">
    <mergeCell ref="A22:A25"/>
    <mergeCell ref="E2:G2"/>
    <mergeCell ref="A1:A9"/>
    <mergeCell ref="A12:A19"/>
    <mergeCell ref="E4:M9"/>
  </mergeCells>
  <phoneticPr fontId="2" type="noConversion"/>
  <conditionalFormatting sqref="C4:C33">
    <cfRule type="expression" dxfId="50" priority="1">
      <formula>$B4&lt;&gt;""</formula>
    </cfRule>
  </conditionalFormatting>
  <conditionalFormatting sqref="D11">
    <cfRule type="expression" dxfId="49" priority="6">
      <formula>$B11&lt;&gt;""</formula>
    </cfRule>
  </conditionalFormatting>
  <conditionalFormatting sqref="D12:D17">
    <cfRule type="expression" dxfId="48" priority="2">
      <formula>$C$18="Yes"</formula>
    </cfRule>
  </conditionalFormatting>
  <dataValidations count="11">
    <dataValidation type="list" allowBlank="1" showInputMessage="1" showErrorMessage="1" sqref="C4" xr:uid="{7FBDC557-A53F-4455-9542-9DCA126B1965}">
      <formula1>INDIRECT("Utilities")</formula1>
    </dataValidation>
    <dataValidation type="list" allowBlank="1" showInputMessage="1" showErrorMessage="1" sqref="C12:D12" xr:uid="{0E7ECF39-6786-4126-874C-CE7A1A8C657E}">
      <formula1>INDIRECT("Pipe_material")</formula1>
    </dataValidation>
    <dataValidation type="list" allowBlank="1" showInputMessage="1" showErrorMessage="1" sqref="C13:D13" xr:uid="{312DC6B0-E3D9-4825-85D8-8C9704BFCC75}">
      <formula1>INDIRECT("Pipe_contents")</formula1>
    </dataValidation>
    <dataValidation type="list" allowBlank="1" showInputMessage="1" showErrorMessage="1" sqref="C14:D14" xr:uid="{2234D5BC-1F77-4B62-AD6F-81B71FE8171E}">
      <formula1>INDIRECT("Pipe_size")</formula1>
    </dataValidation>
    <dataValidation type="list" allowBlank="1" showInputMessage="1" showErrorMessage="1" sqref="C15:D15" xr:uid="{92F01C4B-1906-4652-A95B-4289F3AF7D90}">
      <formula1>INDIRECT("Iron_pipe_insulation")</formula1>
    </dataValidation>
    <dataValidation type="list" allowBlank="1" showInputMessage="1" showErrorMessage="1" sqref="C16:D16" xr:uid="{073BF521-4D8A-46F4-9170-66AAD66DE8C7}">
      <formula1>INDIRECT("Hanger")</formula1>
    </dataValidation>
    <dataValidation type="list" allowBlank="1" showInputMessage="1" showErrorMessage="1" sqref="C17:D17" xr:uid="{15EC2AF4-F22C-4384-B4BF-5FE3590F0476}">
      <formula1>INDIRECT("pipe_quantity")</formula1>
    </dataValidation>
    <dataValidation type="list" allowBlank="1" showInputMessage="1" showErrorMessage="1" sqref="C25" xr:uid="{79A9033D-CF42-4C64-B302-60D88F6ED368}">
      <formula1>"Yes,No"</formula1>
    </dataValidation>
    <dataValidation type="list" allowBlank="1" showInputMessage="1" showErrorMessage="1" sqref="C9" xr:uid="{03A910E1-DDFF-4752-AE4A-F31928649B8B}">
      <formula1>INDIRECT("Snow_loads")</formula1>
    </dataValidation>
    <dataValidation type="list" allowBlank="1" showInputMessage="1" showErrorMessage="1" sqref="C18" xr:uid="{9CA0D240-A935-49B1-B1A5-07605FDBA8E3}">
      <formula1>"Yes, No"</formula1>
    </dataValidation>
    <dataValidation type="list" allowBlank="1" showInputMessage="1" showErrorMessage="1" sqref="L2" xr:uid="{B6F96B16-DAEA-460B-B438-4775BE9BB621}">
      <formula1>INDIRECT("Shipment_type")</formula1>
    </dataValidation>
  </dataValidations>
  <hyperlinks>
    <hyperlink ref="D9" r:id="rId1" xr:uid="{F63D6948-C70E-4754-A87A-7D20D22DF904}"/>
  </hyperlinks>
  <pageMargins left="0.7" right="0.7" top="0.75" bottom="0.75" header="0.3" footer="0.3"/>
  <pageSetup orientation="portrait" r:id="rId2"/>
  <drawing r:id="rId3"/>
  <legacy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916AD3-F892-4D57-9504-6A1C45951581}">
  <sheetPr codeName="Sheet2"/>
  <dimension ref="H6:I7"/>
  <sheetViews>
    <sheetView workbookViewId="0">
      <selection activeCell="I8" sqref="I8"/>
    </sheetView>
  </sheetViews>
  <sheetFormatPr defaultRowHeight="15" x14ac:dyDescent="0.25"/>
  <cols>
    <col min="8" max="8" width="15.28515625" bestFit="1" customWidth="1"/>
  </cols>
  <sheetData>
    <row r="6" spans="8:9" x14ac:dyDescent="0.25">
      <c r="H6" t="s">
        <v>825</v>
      </c>
      <c r="I6">
        <v>19</v>
      </c>
    </row>
    <row r="7" spans="8:9" x14ac:dyDescent="0.25">
      <c r="H7" t="s">
        <v>826</v>
      </c>
      <c r="I7">
        <v>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4817" r:id="rId3" name="Button 1">
              <controlPr defaultSize="0" print="0" autoFill="0" autoPict="0" macro="[0]!callCSVToSheet">
                <anchor moveWithCells="1" sizeWithCells="1">
                  <from>
                    <xdr:col>1</xdr:col>
                    <xdr:colOff>533400</xdr:colOff>
                    <xdr:row>2</xdr:row>
                    <xdr:rowOff>133350</xdr:rowOff>
                  </from>
                  <to>
                    <xdr:col>4</xdr:col>
                    <xdr:colOff>333375</xdr:colOff>
                    <xdr:row>6</xdr:row>
                    <xdr:rowOff>19050</xdr:rowOff>
                  </to>
                </anchor>
              </controlPr>
            </control>
          </mc:Choice>
        </mc:AlternateContent>
        <mc:AlternateContent xmlns:mc="http://schemas.openxmlformats.org/markup-compatibility/2006">
          <mc:Choice Requires="x14">
            <control shapeId="34818" r:id="rId4" name="Button 2">
              <controlPr defaultSize="0" print="0" autoFill="0" autoPict="0" macro="[0]!callRunTests">
                <anchor moveWithCells="1" sizeWithCells="1">
                  <from>
                    <xdr:col>6</xdr:col>
                    <xdr:colOff>600075</xdr:colOff>
                    <xdr:row>2</xdr:row>
                    <xdr:rowOff>66675</xdr:rowOff>
                  </from>
                  <to>
                    <xdr:col>9</xdr:col>
                    <xdr:colOff>9525</xdr:colOff>
                    <xdr:row>4</xdr:row>
                    <xdr:rowOff>133350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7BA5DD-5173-469B-A385-D6D08B625614}">
  <sheetPr codeName="Sheet23"/>
  <dimension ref="A1:O107"/>
  <sheetViews>
    <sheetView workbookViewId="0">
      <pane ySplit="1" topLeftCell="A2" activePane="bottomLeft" state="frozen"/>
      <selection pane="bottomLeft" activeCell="A15" sqref="A15:XFD15"/>
    </sheetView>
  </sheetViews>
  <sheetFormatPr defaultRowHeight="15" x14ac:dyDescent="0.25"/>
  <cols>
    <col min="1" max="1" width="7.28515625" bestFit="1" customWidth="1"/>
    <col min="2" max="2" width="9.42578125" bestFit="1" customWidth="1"/>
    <col min="3" max="3" width="7.5703125" bestFit="1" customWidth="1"/>
    <col min="4" max="4" width="10" bestFit="1" customWidth="1"/>
    <col min="5" max="5" width="18.140625" bestFit="1" customWidth="1"/>
    <col min="7" max="7" width="9.85546875" bestFit="1" customWidth="1"/>
    <col min="8" max="8" width="8.42578125" bestFit="1" customWidth="1"/>
    <col min="9" max="9" width="10.42578125" bestFit="1" customWidth="1"/>
    <col min="10" max="10" width="13.7109375" bestFit="1" customWidth="1"/>
    <col min="11" max="11" width="13.85546875" bestFit="1" customWidth="1"/>
    <col min="12" max="12" width="19.28515625" bestFit="1" customWidth="1"/>
    <col min="13" max="13" width="13.42578125" bestFit="1" customWidth="1"/>
    <col min="14" max="14" width="11" bestFit="1" customWidth="1"/>
    <col min="15" max="15" width="11.7109375" bestFit="1" customWidth="1"/>
    <col min="16" max="16" width="11.28515625" bestFit="1" customWidth="1"/>
  </cols>
  <sheetData>
    <row r="1" spans="1:15" x14ac:dyDescent="0.25">
      <c r="A1" t="s">
        <v>811</v>
      </c>
      <c r="B1" t="s">
        <v>812</v>
      </c>
      <c r="C1" t="s">
        <v>813</v>
      </c>
      <c r="D1" t="s">
        <v>810</v>
      </c>
      <c r="E1" t="s">
        <v>814</v>
      </c>
      <c r="F1" t="s">
        <v>815</v>
      </c>
      <c r="G1" t="s">
        <v>816</v>
      </c>
      <c r="H1" t="s">
        <v>773</v>
      </c>
      <c r="I1" t="s">
        <v>817</v>
      </c>
      <c r="J1" t="s">
        <v>818</v>
      </c>
      <c r="K1" t="s">
        <v>819</v>
      </c>
      <c r="L1" t="s">
        <v>820</v>
      </c>
      <c r="M1" t="s">
        <v>821</v>
      </c>
      <c r="N1" t="s">
        <v>775</v>
      </c>
      <c r="O1" t="s">
        <v>822</v>
      </c>
    </row>
    <row r="2" spans="1:15" x14ac:dyDescent="0.25">
      <c r="A2" t="s">
        <v>824</v>
      </c>
      <c r="B2">
        <v>16</v>
      </c>
      <c r="C2">
        <v>5</v>
      </c>
      <c r="D2">
        <v>10</v>
      </c>
      <c r="E2" t="s">
        <v>20</v>
      </c>
      <c r="F2">
        <v>1.25</v>
      </c>
      <c r="G2">
        <v>1.5</v>
      </c>
      <c r="H2" t="s">
        <v>24</v>
      </c>
      <c r="I2">
        <v>6</v>
      </c>
      <c r="J2">
        <v>100</v>
      </c>
      <c r="K2">
        <v>33.6</v>
      </c>
      <c r="L2">
        <v>66</v>
      </c>
      <c r="M2">
        <v>9</v>
      </c>
      <c r="N2">
        <v>5</v>
      </c>
      <c r="O2">
        <v>13</v>
      </c>
    </row>
    <row r="3" spans="1:15" x14ac:dyDescent="0.25">
      <c r="A3" t="s">
        <v>808</v>
      </c>
      <c r="B3">
        <v>23</v>
      </c>
      <c r="C3">
        <v>7</v>
      </c>
      <c r="D3">
        <v>10</v>
      </c>
      <c r="E3" t="s">
        <v>141</v>
      </c>
      <c r="F3">
        <v>3.5</v>
      </c>
      <c r="G3">
        <v>2.5</v>
      </c>
      <c r="H3" t="s">
        <v>23</v>
      </c>
      <c r="I3">
        <v>2</v>
      </c>
      <c r="J3">
        <v>100</v>
      </c>
      <c r="K3">
        <v>21.7</v>
      </c>
      <c r="L3">
        <v>42</v>
      </c>
      <c r="M3">
        <v>4</v>
      </c>
      <c r="N3">
        <v>10</v>
      </c>
      <c r="O3">
        <v>26</v>
      </c>
    </row>
    <row r="4" spans="1:15" x14ac:dyDescent="0.25">
      <c r="A4" t="s">
        <v>823</v>
      </c>
      <c r="B4">
        <v>12</v>
      </c>
      <c r="C4">
        <v>6</v>
      </c>
      <c r="D4">
        <v>20</v>
      </c>
      <c r="E4" t="s">
        <v>139</v>
      </c>
      <c r="F4">
        <v>12</v>
      </c>
      <c r="G4">
        <v>0</v>
      </c>
      <c r="H4" t="s">
        <v>23</v>
      </c>
      <c r="I4">
        <v>9</v>
      </c>
      <c r="J4">
        <v>100</v>
      </c>
      <c r="K4">
        <v>872.01</v>
      </c>
      <c r="L4">
        <v>168</v>
      </c>
      <c r="N4">
        <v>12</v>
      </c>
      <c r="O4">
        <v>51</v>
      </c>
    </row>
    <row r="5" spans="1:15" x14ac:dyDescent="0.25">
      <c r="A5" t="s">
        <v>823</v>
      </c>
      <c r="B5">
        <v>13</v>
      </c>
      <c r="C5">
        <v>7</v>
      </c>
      <c r="D5">
        <v>20</v>
      </c>
      <c r="E5" t="s">
        <v>132</v>
      </c>
      <c r="F5">
        <v>6</v>
      </c>
      <c r="G5">
        <v>0</v>
      </c>
      <c r="H5" t="s">
        <v>23</v>
      </c>
      <c r="I5">
        <v>8</v>
      </c>
      <c r="J5">
        <v>100</v>
      </c>
      <c r="K5">
        <v>295.92</v>
      </c>
      <c r="L5">
        <v>112</v>
      </c>
      <c r="N5">
        <v>6</v>
      </c>
      <c r="O5">
        <v>51</v>
      </c>
    </row>
    <row r="6" spans="1:15" x14ac:dyDescent="0.25">
      <c r="A6" t="s">
        <v>823</v>
      </c>
      <c r="B6">
        <v>16</v>
      </c>
      <c r="C6">
        <v>4</v>
      </c>
      <c r="D6">
        <v>40</v>
      </c>
      <c r="E6" t="s">
        <v>20</v>
      </c>
      <c r="F6">
        <v>10</v>
      </c>
      <c r="G6">
        <v>0</v>
      </c>
      <c r="H6" t="s">
        <v>24</v>
      </c>
      <c r="I6">
        <v>7</v>
      </c>
      <c r="J6">
        <v>100</v>
      </c>
      <c r="K6">
        <v>581.55999999999995</v>
      </c>
      <c r="L6">
        <v>118</v>
      </c>
      <c r="N6">
        <v>10</v>
      </c>
      <c r="O6">
        <v>51</v>
      </c>
    </row>
    <row r="7" spans="1:15" x14ac:dyDescent="0.25">
      <c r="A7" t="s">
        <v>824</v>
      </c>
      <c r="B7">
        <v>24</v>
      </c>
      <c r="C7">
        <v>7</v>
      </c>
      <c r="D7">
        <v>10</v>
      </c>
      <c r="E7" t="s">
        <v>139</v>
      </c>
      <c r="F7">
        <v>4</v>
      </c>
      <c r="G7">
        <v>1.5</v>
      </c>
      <c r="H7" t="s">
        <v>24</v>
      </c>
      <c r="I7">
        <v>6</v>
      </c>
      <c r="J7">
        <v>100</v>
      </c>
      <c r="K7">
        <v>57.54</v>
      </c>
      <c r="L7">
        <v>98</v>
      </c>
      <c r="M7">
        <v>5</v>
      </c>
      <c r="N7">
        <v>8</v>
      </c>
      <c r="O7">
        <v>21</v>
      </c>
    </row>
    <row r="8" spans="1:15" x14ac:dyDescent="0.25">
      <c r="A8" t="s">
        <v>823</v>
      </c>
      <c r="B8">
        <v>12</v>
      </c>
      <c r="C8">
        <v>3</v>
      </c>
      <c r="D8">
        <v>10</v>
      </c>
      <c r="E8" t="s">
        <v>132</v>
      </c>
      <c r="F8">
        <v>8</v>
      </c>
      <c r="G8">
        <v>0</v>
      </c>
      <c r="H8" t="s">
        <v>23</v>
      </c>
      <c r="I8">
        <v>8</v>
      </c>
      <c r="J8">
        <v>100</v>
      </c>
      <c r="K8">
        <v>406.56</v>
      </c>
      <c r="L8">
        <v>118</v>
      </c>
      <c r="N8">
        <v>8</v>
      </c>
      <c r="O8">
        <v>51</v>
      </c>
    </row>
    <row r="9" spans="1:15" x14ac:dyDescent="0.25">
      <c r="A9" t="s">
        <v>823</v>
      </c>
      <c r="B9">
        <v>19</v>
      </c>
      <c r="C9">
        <v>7</v>
      </c>
      <c r="D9">
        <v>5</v>
      </c>
      <c r="E9" t="s">
        <v>20</v>
      </c>
      <c r="F9">
        <v>6</v>
      </c>
      <c r="G9">
        <v>0</v>
      </c>
      <c r="H9" t="s">
        <v>24</v>
      </c>
      <c r="I9">
        <v>10</v>
      </c>
      <c r="J9">
        <v>100</v>
      </c>
      <c r="K9">
        <v>299.5</v>
      </c>
      <c r="L9">
        <v>138</v>
      </c>
      <c r="N9">
        <v>6</v>
      </c>
      <c r="O9">
        <v>51</v>
      </c>
    </row>
    <row r="10" spans="1:15" x14ac:dyDescent="0.25">
      <c r="A10" t="s">
        <v>808</v>
      </c>
      <c r="B10">
        <v>16</v>
      </c>
      <c r="C10">
        <v>4</v>
      </c>
      <c r="D10">
        <v>5</v>
      </c>
      <c r="E10" t="s">
        <v>139</v>
      </c>
      <c r="F10">
        <v>3.5</v>
      </c>
      <c r="G10">
        <v>0</v>
      </c>
      <c r="H10" t="s">
        <v>24</v>
      </c>
      <c r="I10">
        <v>2</v>
      </c>
      <c r="J10">
        <v>100</v>
      </c>
      <c r="K10">
        <v>10.199999999999999</v>
      </c>
      <c r="L10">
        <v>20</v>
      </c>
      <c r="M10">
        <v>15</v>
      </c>
      <c r="N10">
        <v>3.5</v>
      </c>
      <c r="O10">
        <v>8</v>
      </c>
    </row>
    <row r="11" spans="1:15" x14ac:dyDescent="0.25">
      <c r="A11" t="s">
        <v>808</v>
      </c>
      <c r="B11">
        <v>20</v>
      </c>
      <c r="C11">
        <v>7</v>
      </c>
      <c r="D11">
        <v>60</v>
      </c>
      <c r="E11" t="s">
        <v>141</v>
      </c>
      <c r="F11">
        <v>3.5</v>
      </c>
      <c r="G11">
        <v>0</v>
      </c>
      <c r="H11" t="s">
        <v>24</v>
      </c>
      <c r="I11">
        <v>5</v>
      </c>
      <c r="J11">
        <v>100</v>
      </c>
      <c r="K11">
        <v>59.1</v>
      </c>
      <c r="L11">
        <v>60</v>
      </c>
      <c r="M11">
        <v>4</v>
      </c>
      <c r="N11">
        <v>3.5</v>
      </c>
      <c r="O11">
        <v>26</v>
      </c>
    </row>
    <row r="12" spans="1:15" x14ac:dyDescent="0.25">
      <c r="A12" t="s">
        <v>823</v>
      </c>
      <c r="B12">
        <v>18</v>
      </c>
      <c r="C12">
        <v>5</v>
      </c>
      <c r="D12">
        <v>20</v>
      </c>
      <c r="E12" t="s">
        <v>140</v>
      </c>
      <c r="F12">
        <v>6</v>
      </c>
      <c r="G12">
        <v>0</v>
      </c>
      <c r="H12" t="s">
        <v>24</v>
      </c>
      <c r="I12">
        <v>1</v>
      </c>
      <c r="J12">
        <v>100</v>
      </c>
      <c r="K12">
        <v>4.42</v>
      </c>
      <c r="L12">
        <v>18</v>
      </c>
      <c r="M12">
        <v>4</v>
      </c>
      <c r="N12">
        <v>6</v>
      </c>
      <c r="O12">
        <v>26</v>
      </c>
    </row>
    <row r="13" spans="1:15" x14ac:dyDescent="0.25">
      <c r="A13" t="s">
        <v>823</v>
      </c>
      <c r="B13">
        <v>15</v>
      </c>
      <c r="C13">
        <v>8</v>
      </c>
      <c r="D13">
        <v>5</v>
      </c>
      <c r="E13" t="s">
        <v>132</v>
      </c>
      <c r="F13">
        <v>10</v>
      </c>
      <c r="G13">
        <v>0</v>
      </c>
      <c r="H13" t="s">
        <v>24</v>
      </c>
      <c r="I13">
        <v>8</v>
      </c>
      <c r="J13">
        <v>100</v>
      </c>
      <c r="K13">
        <v>342.4</v>
      </c>
      <c r="L13">
        <v>152</v>
      </c>
      <c r="N13">
        <v>10</v>
      </c>
      <c r="O13">
        <v>51</v>
      </c>
    </row>
    <row r="14" spans="1:15" x14ac:dyDescent="0.25">
      <c r="A14" t="s">
        <v>808</v>
      </c>
      <c r="B14">
        <v>17</v>
      </c>
      <c r="C14">
        <v>3</v>
      </c>
      <c r="D14">
        <v>60</v>
      </c>
      <c r="E14" t="s">
        <v>20</v>
      </c>
      <c r="F14">
        <v>12</v>
      </c>
      <c r="G14">
        <v>0</v>
      </c>
      <c r="H14" t="s">
        <v>24</v>
      </c>
      <c r="I14">
        <v>5</v>
      </c>
      <c r="J14">
        <v>100</v>
      </c>
      <c r="K14">
        <v>608</v>
      </c>
      <c r="L14">
        <v>78</v>
      </c>
      <c r="N14">
        <v>12</v>
      </c>
      <c r="O14">
        <v>51</v>
      </c>
    </row>
    <row r="15" spans="1:15" x14ac:dyDescent="0.25">
      <c r="A15" t="s">
        <v>823</v>
      </c>
      <c r="B15">
        <v>16</v>
      </c>
      <c r="C15">
        <v>2</v>
      </c>
      <c r="D15">
        <v>5</v>
      </c>
      <c r="E15" t="s">
        <v>140</v>
      </c>
      <c r="F15">
        <v>8</v>
      </c>
      <c r="G15">
        <v>0</v>
      </c>
      <c r="H15" t="s">
        <v>24</v>
      </c>
      <c r="I15">
        <v>8</v>
      </c>
      <c r="J15">
        <v>100</v>
      </c>
      <c r="K15">
        <v>56.96</v>
      </c>
      <c r="L15">
        <v>118</v>
      </c>
      <c r="M15">
        <v>4</v>
      </c>
      <c r="N15">
        <v>8</v>
      </c>
      <c r="O15">
        <v>26</v>
      </c>
    </row>
    <row r="16" spans="1:15" x14ac:dyDescent="0.25">
      <c r="A16" t="s">
        <v>808</v>
      </c>
      <c r="B16">
        <v>21</v>
      </c>
      <c r="C16">
        <v>2</v>
      </c>
      <c r="D16">
        <v>0</v>
      </c>
      <c r="E16" t="s">
        <v>141</v>
      </c>
      <c r="F16">
        <v>2.5</v>
      </c>
      <c r="G16">
        <v>3.5</v>
      </c>
      <c r="H16" t="s">
        <v>23</v>
      </c>
      <c r="I16">
        <v>8</v>
      </c>
      <c r="J16">
        <v>100</v>
      </c>
      <c r="K16">
        <v>26.56</v>
      </c>
      <c r="L16">
        <v>98</v>
      </c>
      <c r="M16">
        <v>4</v>
      </c>
      <c r="N16">
        <v>10</v>
      </c>
      <c r="O16">
        <v>26</v>
      </c>
    </row>
    <row r="17" spans="1:15" x14ac:dyDescent="0.25">
      <c r="A17" t="s">
        <v>808</v>
      </c>
      <c r="B17">
        <v>14</v>
      </c>
      <c r="C17">
        <v>3</v>
      </c>
      <c r="D17">
        <v>0</v>
      </c>
      <c r="E17" t="s">
        <v>140</v>
      </c>
      <c r="F17">
        <v>1.25</v>
      </c>
      <c r="G17">
        <v>0</v>
      </c>
      <c r="H17" t="s">
        <v>23</v>
      </c>
      <c r="I17">
        <v>1</v>
      </c>
      <c r="J17">
        <v>100</v>
      </c>
      <c r="K17">
        <v>0.52500000000000002</v>
      </c>
      <c r="L17">
        <v>8</v>
      </c>
      <c r="M17">
        <v>4</v>
      </c>
      <c r="N17">
        <v>1.25</v>
      </c>
      <c r="O17">
        <v>26</v>
      </c>
    </row>
    <row r="18" spans="1:15" x14ac:dyDescent="0.25">
      <c r="A18" t="s">
        <v>808</v>
      </c>
      <c r="B18">
        <v>23</v>
      </c>
      <c r="C18">
        <v>5</v>
      </c>
      <c r="D18">
        <v>10</v>
      </c>
      <c r="E18" t="s">
        <v>140</v>
      </c>
      <c r="F18">
        <v>0.25</v>
      </c>
      <c r="G18">
        <v>0</v>
      </c>
      <c r="H18" t="s">
        <v>23</v>
      </c>
      <c r="I18">
        <v>6</v>
      </c>
      <c r="J18">
        <v>100</v>
      </c>
      <c r="K18">
        <v>1.44</v>
      </c>
      <c r="L18">
        <v>38</v>
      </c>
      <c r="M18">
        <v>3</v>
      </c>
      <c r="N18">
        <v>0.25</v>
      </c>
      <c r="O18">
        <v>35</v>
      </c>
    </row>
    <row r="19" spans="1:15" x14ac:dyDescent="0.25">
      <c r="A19" t="s">
        <v>808</v>
      </c>
      <c r="B19">
        <v>14</v>
      </c>
      <c r="C19">
        <v>5</v>
      </c>
      <c r="D19">
        <v>20</v>
      </c>
      <c r="E19" t="s">
        <v>137</v>
      </c>
      <c r="F19">
        <v>12</v>
      </c>
      <c r="G19">
        <v>1</v>
      </c>
      <c r="H19" t="s">
        <v>24</v>
      </c>
      <c r="I19">
        <v>3</v>
      </c>
      <c r="J19">
        <v>100</v>
      </c>
      <c r="K19">
        <v>190.74</v>
      </c>
      <c r="L19">
        <v>20</v>
      </c>
      <c r="M19">
        <v>6.5</v>
      </c>
      <c r="N19">
        <v>0</v>
      </c>
      <c r="O19">
        <v>17</v>
      </c>
    </row>
    <row r="20" spans="1:15" x14ac:dyDescent="0.25">
      <c r="A20" t="s">
        <v>823</v>
      </c>
      <c r="B20">
        <v>12</v>
      </c>
      <c r="C20">
        <v>3</v>
      </c>
      <c r="D20">
        <v>5</v>
      </c>
      <c r="E20" t="s">
        <v>132</v>
      </c>
      <c r="F20">
        <v>8</v>
      </c>
      <c r="G20">
        <v>0</v>
      </c>
      <c r="H20" t="s">
        <v>23</v>
      </c>
      <c r="I20">
        <v>7</v>
      </c>
      <c r="J20">
        <v>100</v>
      </c>
      <c r="K20">
        <v>293.94</v>
      </c>
      <c r="L20">
        <v>90</v>
      </c>
      <c r="N20">
        <v>8</v>
      </c>
      <c r="O20">
        <v>51</v>
      </c>
    </row>
    <row r="21" spans="1:15" x14ac:dyDescent="0.25">
      <c r="A21" t="s">
        <v>824</v>
      </c>
      <c r="B21">
        <v>15</v>
      </c>
      <c r="C21">
        <v>10</v>
      </c>
      <c r="D21">
        <v>0</v>
      </c>
      <c r="E21" t="s">
        <v>132</v>
      </c>
      <c r="F21">
        <v>1</v>
      </c>
      <c r="G21">
        <v>2.5</v>
      </c>
      <c r="H21" t="s">
        <v>23</v>
      </c>
      <c r="I21">
        <v>6</v>
      </c>
      <c r="J21">
        <v>100</v>
      </c>
      <c r="K21">
        <v>12.96</v>
      </c>
      <c r="L21">
        <v>106</v>
      </c>
      <c r="M21">
        <v>7</v>
      </c>
      <c r="N21">
        <v>6</v>
      </c>
      <c r="O21">
        <v>16</v>
      </c>
    </row>
    <row r="22" spans="1:15" x14ac:dyDescent="0.25">
      <c r="A22" t="s">
        <v>824</v>
      </c>
      <c r="B22">
        <v>12</v>
      </c>
      <c r="C22">
        <v>4</v>
      </c>
      <c r="D22">
        <v>20</v>
      </c>
      <c r="E22" t="s">
        <v>139</v>
      </c>
      <c r="F22">
        <v>2.5</v>
      </c>
      <c r="G22">
        <v>1</v>
      </c>
      <c r="H22" t="s">
        <v>23</v>
      </c>
      <c r="I22">
        <v>7</v>
      </c>
      <c r="J22">
        <v>100</v>
      </c>
      <c r="K22">
        <v>59.22</v>
      </c>
      <c r="L22">
        <v>60</v>
      </c>
      <c r="M22">
        <v>7</v>
      </c>
      <c r="N22">
        <v>4</v>
      </c>
      <c r="O22">
        <v>16</v>
      </c>
    </row>
    <row r="23" spans="1:15" x14ac:dyDescent="0.25">
      <c r="A23" t="s">
        <v>823</v>
      </c>
      <c r="B23">
        <v>16</v>
      </c>
      <c r="C23">
        <v>4</v>
      </c>
      <c r="D23">
        <v>20</v>
      </c>
      <c r="E23" t="s">
        <v>141</v>
      </c>
      <c r="F23">
        <v>6</v>
      </c>
      <c r="G23">
        <v>0</v>
      </c>
      <c r="H23" t="s">
        <v>23</v>
      </c>
      <c r="I23">
        <v>1</v>
      </c>
      <c r="J23">
        <v>100</v>
      </c>
      <c r="K23">
        <v>10.91</v>
      </c>
      <c r="L23">
        <v>18</v>
      </c>
      <c r="M23">
        <v>4</v>
      </c>
      <c r="N23">
        <v>6</v>
      </c>
      <c r="O23">
        <v>26</v>
      </c>
    </row>
    <row r="24" spans="1:15" x14ac:dyDescent="0.25">
      <c r="A24" t="s">
        <v>823</v>
      </c>
      <c r="B24">
        <v>21</v>
      </c>
      <c r="C24">
        <v>2</v>
      </c>
      <c r="D24">
        <v>10</v>
      </c>
      <c r="E24" t="s">
        <v>20</v>
      </c>
      <c r="F24">
        <v>6</v>
      </c>
      <c r="G24">
        <v>0</v>
      </c>
      <c r="H24" t="s">
        <v>23</v>
      </c>
      <c r="I24">
        <v>1</v>
      </c>
      <c r="J24">
        <v>100</v>
      </c>
      <c r="K24">
        <v>21.305</v>
      </c>
      <c r="L24">
        <v>18</v>
      </c>
      <c r="M24">
        <v>17</v>
      </c>
      <c r="N24">
        <v>6</v>
      </c>
      <c r="O24">
        <v>7</v>
      </c>
    </row>
    <row r="25" spans="1:15" x14ac:dyDescent="0.25">
      <c r="A25" t="s">
        <v>824</v>
      </c>
      <c r="B25">
        <v>14</v>
      </c>
      <c r="C25">
        <v>10</v>
      </c>
      <c r="D25">
        <v>10</v>
      </c>
      <c r="E25" t="s">
        <v>132</v>
      </c>
      <c r="F25">
        <v>3</v>
      </c>
      <c r="G25">
        <v>4</v>
      </c>
      <c r="H25" t="s">
        <v>24</v>
      </c>
      <c r="I25">
        <v>10</v>
      </c>
      <c r="J25">
        <v>100</v>
      </c>
      <c r="K25">
        <v>138.4</v>
      </c>
      <c r="L25">
        <v>230</v>
      </c>
      <c r="N25">
        <v>12</v>
      </c>
      <c r="O25">
        <v>51</v>
      </c>
    </row>
    <row r="26" spans="1:15" x14ac:dyDescent="0.25">
      <c r="A26" t="s">
        <v>808</v>
      </c>
      <c r="B26">
        <v>17</v>
      </c>
      <c r="C26">
        <v>4</v>
      </c>
      <c r="D26">
        <v>10</v>
      </c>
      <c r="E26" t="s">
        <v>132</v>
      </c>
      <c r="F26">
        <v>1</v>
      </c>
      <c r="G26">
        <v>0.75</v>
      </c>
      <c r="H26" t="s">
        <v>24</v>
      </c>
      <c r="I26">
        <v>4</v>
      </c>
      <c r="J26">
        <v>100</v>
      </c>
      <c r="K26">
        <v>12</v>
      </c>
      <c r="L26">
        <v>30</v>
      </c>
      <c r="M26">
        <v>9</v>
      </c>
      <c r="N26">
        <v>2.5</v>
      </c>
      <c r="O26">
        <v>13</v>
      </c>
    </row>
    <row r="27" spans="1:15" x14ac:dyDescent="0.25">
      <c r="A27" t="s">
        <v>823</v>
      </c>
      <c r="B27">
        <v>19</v>
      </c>
      <c r="C27">
        <v>2</v>
      </c>
      <c r="D27">
        <v>0</v>
      </c>
      <c r="E27" t="s">
        <v>140</v>
      </c>
      <c r="F27">
        <v>6</v>
      </c>
      <c r="G27">
        <v>0</v>
      </c>
      <c r="H27" t="s">
        <v>24</v>
      </c>
      <c r="I27">
        <v>3</v>
      </c>
      <c r="J27">
        <v>100</v>
      </c>
      <c r="K27">
        <v>10.02</v>
      </c>
      <c r="L27">
        <v>42</v>
      </c>
      <c r="M27">
        <v>4</v>
      </c>
      <c r="N27">
        <v>6</v>
      </c>
      <c r="O27">
        <v>26</v>
      </c>
    </row>
    <row r="28" spans="1:15" x14ac:dyDescent="0.25">
      <c r="A28" t="s">
        <v>824</v>
      </c>
      <c r="B28">
        <v>18</v>
      </c>
      <c r="C28">
        <v>4</v>
      </c>
      <c r="D28">
        <v>40</v>
      </c>
      <c r="E28" t="s">
        <v>137</v>
      </c>
      <c r="F28">
        <v>8</v>
      </c>
      <c r="G28">
        <v>0.5</v>
      </c>
      <c r="H28" t="s">
        <v>24</v>
      </c>
      <c r="I28">
        <v>1</v>
      </c>
      <c r="J28">
        <v>100</v>
      </c>
      <c r="K28">
        <v>14.244999999999999</v>
      </c>
      <c r="L28">
        <v>8</v>
      </c>
      <c r="M28">
        <v>23</v>
      </c>
      <c r="N28">
        <v>0</v>
      </c>
      <c r="O28">
        <v>6</v>
      </c>
    </row>
    <row r="30" spans="1:15" x14ac:dyDescent="0.25">
      <c r="A30" t="s">
        <v>823</v>
      </c>
      <c r="B30">
        <v>13</v>
      </c>
      <c r="C30">
        <v>4</v>
      </c>
      <c r="D30">
        <v>5</v>
      </c>
      <c r="E30" t="s">
        <v>132</v>
      </c>
      <c r="F30">
        <v>10</v>
      </c>
      <c r="G30">
        <v>0</v>
      </c>
      <c r="H30" t="s">
        <v>24</v>
      </c>
      <c r="I30">
        <v>6</v>
      </c>
      <c r="J30">
        <v>100</v>
      </c>
      <c r="K30">
        <v>214</v>
      </c>
      <c r="L30">
        <v>86</v>
      </c>
      <c r="N30">
        <v>10</v>
      </c>
      <c r="O30">
        <v>51</v>
      </c>
    </row>
    <row r="31" spans="1:15" x14ac:dyDescent="0.25">
      <c r="A31" t="s">
        <v>824</v>
      </c>
      <c r="B31">
        <v>13</v>
      </c>
      <c r="C31">
        <v>3</v>
      </c>
      <c r="D31">
        <v>10</v>
      </c>
      <c r="E31" t="s">
        <v>20</v>
      </c>
      <c r="F31">
        <v>0.75</v>
      </c>
      <c r="G31">
        <v>1.5</v>
      </c>
      <c r="H31" t="s">
        <v>24</v>
      </c>
      <c r="I31">
        <v>7</v>
      </c>
      <c r="J31">
        <v>100</v>
      </c>
      <c r="K31">
        <v>22.61</v>
      </c>
      <c r="L31">
        <v>50</v>
      </c>
      <c r="M31">
        <v>9</v>
      </c>
      <c r="N31">
        <v>3.5</v>
      </c>
      <c r="O31">
        <v>13</v>
      </c>
    </row>
    <row r="32" spans="1:15" x14ac:dyDescent="0.25">
      <c r="A32" t="s">
        <v>824</v>
      </c>
      <c r="B32">
        <v>14</v>
      </c>
      <c r="C32">
        <v>7</v>
      </c>
      <c r="D32">
        <v>60</v>
      </c>
      <c r="E32" t="s">
        <v>20</v>
      </c>
      <c r="F32">
        <v>2</v>
      </c>
      <c r="G32">
        <v>0.5</v>
      </c>
      <c r="H32" t="s">
        <v>24</v>
      </c>
      <c r="I32">
        <v>7</v>
      </c>
      <c r="J32">
        <v>100</v>
      </c>
      <c r="K32">
        <v>96.46</v>
      </c>
      <c r="L32">
        <v>78</v>
      </c>
      <c r="M32">
        <v>3.5</v>
      </c>
      <c r="N32">
        <v>3</v>
      </c>
      <c r="O32">
        <v>30</v>
      </c>
    </row>
    <row r="33" spans="1:15" x14ac:dyDescent="0.25">
      <c r="A33" t="s">
        <v>808</v>
      </c>
      <c r="B33">
        <v>22</v>
      </c>
      <c r="C33">
        <v>4</v>
      </c>
      <c r="D33">
        <v>60</v>
      </c>
      <c r="E33" t="s">
        <v>137</v>
      </c>
      <c r="F33">
        <v>8</v>
      </c>
      <c r="G33">
        <v>0.75</v>
      </c>
      <c r="H33" t="s">
        <v>23</v>
      </c>
      <c r="I33">
        <v>1</v>
      </c>
      <c r="J33">
        <v>100</v>
      </c>
      <c r="K33">
        <v>24.045000000000002</v>
      </c>
      <c r="L33">
        <v>8</v>
      </c>
      <c r="M33">
        <v>16</v>
      </c>
      <c r="N33">
        <v>0</v>
      </c>
      <c r="O33">
        <v>8</v>
      </c>
    </row>
    <row r="34" spans="1:15" x14ac:dyDescent="0.25">
      <c r="A34" t="s">
        <v>824</v>
      </c>
      <c r="B34">
        <v>18</v>
      </c>
      <c r="C34">
        <v>7</v>
      </c>
      <c r="D34">
        <v>5</v>
      </c>
      <c r="E34" t="s">
        <v>139</v>
      </c>
      <c r="F34">
        <v>0.5</v>
      </c>
      <c r="G34">
        <v>1</v>
      </c>
      <c r="H34" t="s">
        <v>23</v>
      </c>
      <c r="I34">
        <v>9</v>
      </c>
      <c r="J34">
        <v>100</v>
      </c>
      <c r="K34">
        <v>8.91</v>
      </c>
      <c r="L34">
        <v>94</v>
      </c>
      <c r="M34">
        <v>5</v>
      </c>
      <c r="N34">
        <v>2.5</v>
      </c>
      <c r="O34">
        <v>21</v>
      </c>
    </row>
    <row r="35" spans="1:15" x14ac:dyDescent="0.25">
      <c r="A35" t="s">
        <v>823</v>
      </c>
      <c r="B35">
        <v>15</v>
      </c>
      <c r="C35">
        <v>8</v>
      </c>
      <c r="D35">
        <v>10</v>
      </c>
      <c r="E35" t="s">
        <v>20</v>
      </c>
      <c r="F35">
        <v>6</v>
      </c>
      <c r="G35">
        <v>0</v>
      </c>
      <c r="H35" t="s">
        <v>23</v>
      </c>
      <c r="I35">
        <v>7</v>
      </c>
      <c r="J35">
        <v>100</v>
      </c>
      <c r="K35">
        <v>298.27</v>
      </c>
      <c r="L35">
        <v>106</v>
      </c>
      <c r="N35">
        <v>6</v>
      </c>
      <c r="O35">
        <v>51</v>
      </c>
    </row>
    <row r="36" spans="1:15" x14ac:dyDescent="0.25">
      <c r="A36" t="s">
        <v>824</v>
      </c>
      <c r="B36">
        <v>15</v>
      </c>
      <c r="C36">
        <v>2</v>
      </c>
      <c r="D36">
        <v>0</v>
      </c>
      <c r="E36" t="s">
        <v>137</v>
      </c>
      <c r="F36">
        <v>0.5</v>
      </c>
      <c r="G36">
        <v>0.75</v>
      </c>
      <c r="H36" t="s">
        <v>24</v>
      </c>
      <c r="I36">
        <v>5</v>
      </c>
      <c r="J36">
        <v>100</v>
      </c>
      <c r="K36">
        <v>1.9</v>
      </c>
      <c r="L36">
        <v>20</v>
      </c>
      <c r="M36">
        <v>6</v>
      </c>
      <c r="N36">
        <v>1.5</v>
      </c>
      <c r="O36">
        <v>18</v>
      </c>
    </row>
    <row r="37" spans="1:15" x14ac:dyDescent="0.25">
      <c r="A37" t="s">
        <v>823</v>
      </c>
      <c r="B37">
        <v>22</v>
      </c>
      <c r="C37">
        <v>2</v>
      </c>
      <c r="D37">
        <v>60</v>
      </c>
      <c r="E37" t="s">
        <v>140</v>
      </c>
      <c r="F37">
        <v>8</v>
      </c>
      <c r="G37">
        <v>0</v>
      </c>
      <c r="H37" t="s">
        <v>24</v>
      </c>
      <c r="I37">
        <v>3</v>
      </c>
      <c r="J37">
        <v>100</v>
      </c>
      <c r="K37">
        <v>81.84</v>
      </c>
      <c r="L37">
        <v>48</v>
      </c>
      <c r="M37">
        <v>4</v>
      </c>
      <c r="N37">
        <v>8</v>
      </c>
      <c r="O37">
        <v>26</v>
      </c>
    </row>
    <row r="38" spans="1:15" x14ac:dyDescent="0.25">
      <c r="A38" t="s">
        <v>823</v>
      </c>
      <c r="B38">
        <v>15</v>
      </c>
      <c r="C38">
        <v>7</v>
      </c>
      <c r="D38">
        <v>60</v>
      </c>
      <c r="E38" t="s">
        <v>139</v>
      </c>
      <c r="F38">
        <v>10</v>
      </c>
      <c r="G38">
        <v>0</v>
      </c>
      <c r="H38" t="s">
        <v>24</v>
      </c>
      <c r="I38">
        <v>1</v>
      </c>
      <c r="J38">
        <v>100</v>
      </c>
      <c r="K38">
        <v>28.8</v>
      </c>
      <c r="L38">
        <v>24</v>
      </c>
      <c r="M38">
        <v>25</v>
      </c>
      <c r="N38">
        <v>10</v>
      </c>
      <c r="O38">
        <v>5</v>
      </c>
    </row>
    <row r="39" spans="1:15" x14ac:dyDescent="0.25">
      <c r="A39" t="s">
        <v>808</v>
      </c>
      <c r="B39">
        <v>23</v>
      </c>
      <c r="C39">
        <v>3</v>
      </c>
      <c r="D39">
        <v>5</v>
      </c>
      <c r="E39" t="s">
        <v>137</v>
      </c>
      <c r="F39">
        <v>5</v>
      </c>
      <c r="G39">
        <v>1</v>
      </c>
      <c r="H39" t="s">
        <v>24</v>
      </c>
      <c r="I39">
        <v>10</v>
      </c>
      <c r="J39">
        <v>100</v>
      </c>
      <c r="K39">
        <v>124.8</v>
      </c>
      <c r="L39">
        <v>114</v>
      </c>
      <c r="M39">
        <v>2</v>
      </c>
      <c r="N39">
        <v>8</v>
      </c>
      <c r="O39">
        <v>51</v>
      </c>
    </row>
    <row r="40" spans="1:15" x14ac:dyDescent="0.25">
      <c r="A40" t="s">
        <v>824</v>
      </c>
      <c r="B40">
        <v>23</v>
      </c>
      <c r="C40">
        <v>7</v>
      </c>
      <c r="D40">
        <v>20</v>
      </c>
      <c r="E40" t="s">
        <v>20</v>
      </c>
      <c r="F40">
        <v>1.25</v>
      </c>
      <c r="G40">
        <v>0.5</v>
      </c>
      <c r="H40" t="s">
        <v>24</v>
      </c>
      <c r="I40">
        <v>5</v>
      </c>
      <c r="J40">
        <v>100</v>
      </c>
      <c r="K40">
        <v>28</v>
      </c>
      <c r="L40">
        <v>56</v>
      </c>
      <c r="M40">
        <v>9</v>
      </c>
      <c r="N40">
        <v>2.5</v>
      </c>
      <c r="O40">
        <v>13</v>
      </c>
    </row>
    <row r="41" spans="1:15" x14ac:dyDescent="0.25">
      <c r="A41" t="s">
        <v>823</v>
      </c>
      <c r="B41">
        <v>12</v>
      </c>
      <c r="C41">
        <v>4</v>
      </c>
      <c r="D41">
        <v>60</v>
      </c>
      <c r="E41" t="s">
        <v>141</v>
      </c>
      <c r="F41">
        <v>12</v>
      </c>
      <c r="G41">
        <v>0</v>
      </c>
      <c r="H41" t="s">
        <v>23</v>
      </c>
      <c r="I41">
        <v>5</v>
      </c>
      <c r="J41">
        <v>100</v>
      </c>
      <c r="K41">
        <v>466.85</v>
      </c>
      <c r="L41">
        <v>96</v>
      </c>
      <c r="N41">
        <v>12</v>
      </c>
      <c r="O41">
        <v>51</v>
      </c>
    </row>
    <row r="42" spans="1:15" x14ac:dyDescent="0.25">
      <c r="A42" t="s">
        <v>808</v>
      </c>
      <c r="B42">
        <v>16</v>
      </c>
      <c r="C42">
        <v>4</v>
      </c>
      <c r="D42">
        <v>0</v>
      </c>
      <c r="E42" t="s">
        <v>137</v>
      </c>
      <c r="F42">
        <v>8</v>
      </c>
      <c r="G42">
        <v>1.5</v>
      </c>
      <c r="H42" t="s">
        <v>24</v>
      </c>
      <c r="I42">
        <v>6</v>
      </c>
      <c r="J42">
        <v>100</v>
      </c>
      <c r="K42">
        <v>170.94</v>
      </c>
      <c r="L42">
        <v>28</v>
      </c>
      <c r="M42">
        <v>5</v>
      </c>
      <c r="N42">
        <v>0</v>
      </c>
      <c r="O42">
        <v>21</v>
      </c>
    </row>
    <row r="43" spans="1:15" x14ac:dyDescent="0.25">
      <c r="A43" t="s">
        <v>808</v>
      </c>
      <c r="B43">
        <v>17</v>
      </c>
      <c r="C43">
        <v>9</v>
      </c>
      <c r="D43">
        <v>0</v>
      </c>
      <c r="E43" t="s">
        <v>140</v>
      </c>
      <c r="F43">
        <v>2</v>
      </c>
      <c r="G43">
        <v>1</v>
      </c>
      <c r="H43" t="s">
        <v>24</v>
      </c>
      <c r="I43">
        <v>7</v>
      </c>
      <c r="J43">
        <v>100</v>
      </c>
      <c r="K43">
        <v>4.26</v>
      </c>
      <c r="L43">
        <v>88</v>
      </c>
      <c r="M43">
        <v>4</v>
      </c>
      <c r="N43">
        <v>4</v>
      </c>
      <c r="O43">
        <v>26</v>
      </c>
    </row>
    <row r="45" spans="1:15" x14ac:dyDescent="0.25">
      <c r="A45" t="s">
        <v>823</v>
      </c>
      <c r="B45">
        <v>21</v>
      </c>
      <c r="C45">
        <v>10</v>
      </c>
      <c r="D45">
        <v>40</v>
      </c>
      <c r="E45" t="s">
        <v>20</v>
      </c>
      <c r="F45">
        <v>12</v>
      </c>
      <c r="G45">
        <v>0</v>
      </c>
      <c r="H45" t="s">
        <v>23</v>
      </c>
      <c r="I45">
        <v>1</v>
      </c>
      <c r="J45">
        <v>100</v>
      </c>
      <c r="K45">
        <v>77.3</v>
      </c>
      <c r="L45">
        <v>32</v>
      </c>
      <c r="M45">
        <v>11</v>
      </c>
      <c r="N45">
        <v>12</v>
      </c>
      <c r="O45">
        <v>11</v>
      </c>
    </row>
    <row r="46" spans="1:15" x14ac:dyDescent="0.25">
      <c r="A46" t="s">
        <v>808</v>
      </c>
      <c r="B46">
        <v>12</v>
      </c>
      <c r="C46">
        <v>3</v>
      </c>
      <c r="D46">
        <v>10</v>
      </c>
      <c r="E46" t="s">
        <v>140</v>
      </c>
      <c r="F46">
        <v>0.5</v>
      </c>
      <c r="G46">
        <v>1.5</v>
      </c>
      <c r="H46" t="s">
        <v>24</v>
      </c>
      <c r="I46">
        <v>6</v>
      </c>
      <c r="J46">
        <v>100</v>
      </c>
      <c r="K46">
        <v>10.62</v>
      </c>
      <c r="L46">
        <v>42</v>
      </c>
      <c r="M46">
        <v>2</v>
      </c>
      <c r="N46">
        <v>3.5</v>
      </c>
      <c r="O46">
        <v>51</v>
      </c>
    </row>
    <row r="47" spans="1:15" x14ac:dyDescent="0.25">
      <c r="A47" t="s">
        <v>824</v>
      </c>
      <c r="B47">
        <v>13</v>
      </c>
      <c r="C47">
        <v>5</v>
      </c>
      <c r="D47">
        <v>0</v>
      </c>
      <c r="E47" t="s">
        <v>137</v>
      </c>
      <c r="F47">
        <v>12</v>
      </c>
      <c r="G47">
        <v>0.5</v>
      </c>
      <c r="H47" t="s">
        <v>24</v>
      </c>
      <c r="I47">
        <v>5</v>
      </c>
      <c r="J47">
        <v>100</v>
      </c>
      <c r="K47">
        <v>317.89999999999998</v>
      </c>
      <c r="L47">
        <v>30</v>
      </c>
      <c r="M47">
        <v>2.5</v>
      </c>
      <c r="N47">
        <v>0</v>
      </c>
      <c r="O47">
        <v>41</v>
      </c>
    </row>
    <row r="48" spans="1:15" x14ac:dyDescent="0.25">
      <c r="A48" t="s">
        <v>808</v>
      </c>
      <c r="B48">
        <v>17</v>
      </c>
      <c r="C48">
        <v>5</v>
      </c>
      <c r="D48">
        <v>0</v>
      </c>
      <c r="E48" t="s">
        <v>140</v>
      </c>
      <c r="F48">
        <v>1.5</v>
      </c>
      <c r="G48">
        <v>2</v>
      </c>
      <c r="H48" t="s">
        <v>24</v>
      </c>
      <c r="I48">
        <v>10</v>
      </c>
      <c r="J48">
        <v>100</v>
      </c>
      <c r="K48">
        <v>5.3</v>
      </c>
      <c r="L48">
        <v>116</v>
      </c>
      <c r="M48">
        <v>4</v>
      </c>
      <c r="N48">
        <v>6</v>
      </c>
      <c r="O48">
        <v>26</v>
      </c>
    </row>
    <row r="49" spans="1:15" x14ac:dyDescent="0.25">
      <c r="A49" t="s">
        <v>823</v>
      </c>
      <c r="B49">
        <v>17</v>
      </c>
      <c r="C49">
        <v>6</v>
      </c>
      <c r="D49">
        <v>0</v>
      </c>
      <c r="E49" t="s">
        <v>137</v>
      </c>
      <c r="F49">
        <v>12</v>
      </c>
      <c r="G49">
        <v>0</v>
      </c>
      <c r="H49" t="s">
        <v>24</v>
      </c>
      <c r="I49">
        <v>9</v>
      </c>
      <c r="J49">
        <v>100</v>
      </c>
      <c r="K49">
        <v>520.20000000000005</v>
      </c>
      <c r="L49">
        <v>168</v>
      </c>
      <c r="N49">
        <v>12</v>
      </c>
      <c r="O49">
        <v>51</v>
      </c>
    </row>
    <row r="50" spans="1:15" x14ac:dyDescent="0.25">
      <c r="A50" t="s">
        <v>808</v>
      </c>
      <c r="B50">
        <v>22</v>
      </c>
      <c r="C50">
        <v>3</v>
      </c>
      <c r="D50">
        <v>10</v>
      </c>
      <c r="E50" t="s">
        <v>137</v>
      </c>
      <c r="F50">
        <v>4</v>
      </c>
      <c r="G50">
        <v>1.5</v>
      </c>
      <c r="H50" t="s">
        <v>24</v>
      </c>
      <c r="I50">
        <v>8</v>
      </c>
      <c r="J50">
        <v>100</v>
      </c>
      <c r="K50">
        <v>86.64</v>
      </c>
      <c r="L50">
        <v>92</v>
      </c>
      <c r="M50">
        <v>3.5</v>
      </c>
      <c r="N50">
        <v>8</v>
      </c>
      <c r="O50">
        <v>30</v>
      </c>
    </row>
    <row r="51" spans="1:15" x14ac:dyDescent="0.25">
      <c r="A51" t="s">
        <v>824</v>
      </c>
      <c r="B51">
        <v>21</v>
      </c>
      <c r="C51">
        <v>10</v>
      </c>
      <c r="D51">
        <v>5</v>
      </c>
      <c r="E51" t="s">
        <v>139</v>
      </c>
      <c r="F51">
        <v>2.5</v>
      </c>
      <c r="G51">
        <v>0</v>
      </c>
      <c r="H51" t="s">
        <v>24</v>
      </c>
      <c r="I51">
        <v>6</v>
      </c>
      <c r="J51">
        <v>100</v>
      </c>
      <c r="K51">
        <v>18.36</v>
      </c>
      <c r="L51">
        <v>86</v>
      </c>
      <c r="M51">
        <v>13</v>
      </c>
      <c r="N51">
        <v>2.5</v>
      </c>
      <c r="O51">
        <v>9</v>
      </c>
    </row>
    <row r="52" spans="1:15" x14ac:dyDescent="0.25">
      <c r="A52" t="s">
        <v>824</v>
      </c>
      <c r="B52">
        <v>14</v>
      </c>
      <c r="C52">
        <v>5</v>
      </c>
      <c r="D52">
        <v>20</v>
      </c>
      <c r="E52" t="s">
        <v>132</v>
      </c>
      <c r="F52">
        <v>2</v>
      </c>
      <c r="G52">
        <v>1.5</v>
      </c>
      <c r="H52" t="s">
        <v>24</v>
      </c>
      <c r="I52">
        <v>1</v>
      </c>
      <c r="J52">
        <v>100</v>
      </c>
      <c r="K52">
        <v>4.3</v>
      </c>
      <c r="L52">
        <v>16</v>
      </c>
      <c r="M52">
        <v>13</v>
      </c>
      <c r="N52">
        <v>5</v>
      </c>
      <c r="O52">
        <v>9</v>
      </c>
    </row>
    <row r="53" spans="1:15" x14ac:dyDescent="0.25">
      <c r="A53" t="s">
        <v>808</v>
      </c>
      <c r="B53">
        <v>17</v>
      </c>
      <c r="C53">
        <v>8</v>
      </c>
      <c r="D53">
        <v>40</v>
      </c>
      <c r="E53" t="s">
        <v>132</v>
      </c>
      <c r="F53">
        <v>1.25</v>
      </c>
      <c r="H53" t="s">
        <v>24</v>
      </c>
      <c r="I53">
        <v>7</v>
      </c>
      <c r="J53">
        <v>100</v>
      </c>
      <c r="K53">
        <v>27.42</v>
      </c>
      <c r="L53">
        <v>64</v>
      </c>
      <c r="M53">
        <v>9</v>
      </c>
      <c r="N53">
        <v>1.25</v>
      </c>
      <c r="O53">
        <v>13</v>
      </c>
    </row>
    <row r="54" spans="1:15" x14ac:dyDescent="0.25">
      <c r="A54" t="s">
        <v>808</v>
      </c>
      <c r="B54">
        <v>12</v>
      </c>
      <c r="C54">
        <v>7</v>
      </c>
      <c r="D54">
        <v>60</v>
      </c>
      <c r="E54" t="s">
        <v>132</v>
      </c>
      <c r="F54">
        <v>3.5</v>
      </c>
      <c r="G54">
        <v>3</v>
      </c>
      <c r="H54" t="s">
        <v>24</v>
      </c>
      <c r="I54">
        <v>8</v>
      </c>
      <c r="J54">
        <v>100</v>
      </c>
      <c r="K54">
        <v>300.24</v>
      </c>
      <c r="L54">
        <v>144</v>
      </c>
      <c r="N54">
        <v>10</v>
      </c>
      <c r="O54">
        <v>51</v>
      </c>
    </row>
    <row r="55" spans="1:15" x14ac:dyDescent="0.25">
      <c r="A55" t="s">
        <v>823</v>
      </c>
      <c r="B55">
        <v>15</v>
      </c>
      <c r="C55">
        <v>7</v>
      </c>
      <c r="D55">
        <v>40</v>
      </c>
      <c r="E55" t="s">
        <v>140</v>
      </c>
      <c r="F55">
        <v>12</v>
      </c>
      <c r="G55">
        <v>0</v>
      </c>
      <c r="H55" t="s">
        <v>24</v>
      </c>
      <c r="I55">
        <v>3</v>
      </c>
      <c r="J55">
        <v>100</v>
      </c>
      <c r="K55">
        <v>96.09</v>
      </c>
      <c r="L55">
        <v>64</v>
      </c>
      <c r="M55">
        <v>4</v>
      </c>
      <c r="N55">
        <v>12</v>
      </c>
      <c r="O55">
        <v>26</v>
      </c>
    </row>
    <row r="56" spans="1:15" x14ac:dyDescent="0.25">
      <c r="A56" t="s">
        <v>824</v>
      </c>
      <c r="B56">
        <v>17</v>
      </c>
      <c r="C56">
        <v>6</v>
      </c>
      <c r="D56">
        <v>60</v>
      </c>
      <c r="E56" t="s">
        <v>140</v>
      </c>
      <c r="F56">
        <v>4</v>
      </c>
      <c r="G56">
        <v>3</v>
      </c>
      <c r="H56" t="s">
        <v>23</v>
      </c>
      <c r="I56">
        <v>3</v>
      </c>
      <c r="J56">
        <v>100</v>
      </c>
      <c r="K56">
        <v>105.3</v>
      </c>
      <c r="L56">
        <v>54</v>
      </c>
      <c r="M56">
        <v>4</v>
      </c>
      <c r="N56">
        <v>10</v>
      </c>
      <c r="O56">
        <v>26</v>
      </c>
    </row>
    <row r="57" spans="1:15" x14ac:dyDescent="0.25">
      <c r="A57" t="s">
        <v>823</v>
      </c>
      <c r="B57">
        <v>22</v>
      </c>
      <c r="C57">
        <v>9</v>
      </c>
      <c r="D57">
        <v>5</v>
      </c>
      <c r="E57" t="s">
        <v>140</v>
      </c>
      <c r="F57">
        <v>12</v>
      </c>
      <c r="G57">
        <v>0</v>
      </c>
      <c r="H57" t="s">
        <v>24</v>
      </c>
      <c r="I57">
        <v>1</v>
      </c>
      <c r="J57">
        <v>100</v>
      </c>
      <c r="K57">
        <v>6.39</v>
      </c>
      <c r="L57">
        <v>30</v>
      </c>
      <c r="M57">
        <v>4</v>
      </c>
      <c r="N57">
        <v>12</v>
      </c>
      <c r="O57">
        <v>26</v>
      </c>
    </row>
    <row r="58" spans="1:15" x14ac:dyDescent="0.25">
      <c r="A58" t="s">
        <v>824</v>
      </c>
      <c r="B58">
        <v>13</v>
      </c>
      <c r="C58">
        <v>8</v>
      </c>
      <c r="D58">
        <v>60</v>
      </c>
      <c r="E58" t="s">
        <v>140</v>
      </c>
      <c r="F58">
        <v>4</v>
      </c>
      <c r="G58">
        <v>3</v>
      </c>
      <c r="H58" t="s">
        <v>23</v>
      </c>
      <c r="I58">
        <v>2</v>
      </c>
      <c r="J58">
        <v>100</v>
      </c>
      <c r="K58">
        <v>70.2</v>
      </c>
      <c r="L58">
        <v>44</v>
      </c>
      <c r="M58">
        <v>4</v>
      </c>
      <c r="N58">
        <v>10</v>
      </c>
      <c r="O58">
        <v>26</v>
      </c>
    </row>
    <row r="60" spans="1:15" x14ac:dyDescent="0.25">
      <c r="A60" t="s">
        <v>808</v>
      </c>
      <c r="B60">
        <v>23</v>
      </c>
      <c r="C60">
        <v>10</v>
      </c>
      <c r="D60">
        <v>60</v>
      </c>
      <c r="E60" t="s">
        <v>132</v>
      </c>
      <c r="F60">
        <v>10</v>
      </c>
      <c r="G60">
        <v>0</v>
      </c>
      <c r="H60" t="s">
        <v>23</v>
      </c>
      <c r="I60">
        <v>9</v>
      </c>
      <c r="J60">
        <v>100</v>
      </c>
      <c r="K60">
        <v>918.9</v>
      </c>
      <c r="L60">
        <v>190</v>
      </c>
      <c r="N60">
        <v>10</v>
      </c>
      <c r="O60">
        <v>51</v>
      </c>
    </row>
    <row r="61" spans="1:15" x14ac:dyDescent="0.25">
      <c r="A61" t="s">
        <v>824</v>
      </c>
      <c r="B61">
        <v>12</v>
      </c>
      <c r="C61">
        <v>2</v>
      </c>
      <c r="D61">
        <v>40</v>
      </c>
      <c r="E61" t="s">
        <v>20</v>
      </c>
      <c r="F61">
        <v>2.5</v>
      </c>
      <c r="G61">
        <v>0.5</v>
      </c>
      <c r="H61" t="s">
        <v>23</v>
      </c>
      <c r="I61">
        <v>4</v>
      </c>
      <c r="J61">
        <v>100</v>
      </c>
      <c r="K61">
        <v>66.72</v>
      </c>
      <c r="L61">
        <v>24</v>
      </c>
      <c r="M61">
        <v>11</v>
      </c>
      <c r="N61">
        <v>3.5</v>
      </c>
      <c r="O61">
        <v>11</v>
      </c>
    </row>
    <row r="62" spans="1:15" x14ac:dyDescent="0.25">
      <c r="A62" t="s">
        <v>808</v>
      </c>
      <c r="B62">
        <v>23</v>
      </c>
      <c r="C62">
        <v>8</v>
      </c>
      <c r="D62">
        <v>5</v>
      </c>
      <c r="E62" t="s">
        <v>140</v>
      </c>
      <c r="F62">
        <v>0.5</v>
      </c>
      <c r="G62">
        <v>0</v>
      </c>
      <c r="H62" t="s">
        <v>23</v>
      </c>
      <c r="I62">
        <v>8</v>
      </c>
      <c r="J62">
        <v>100</v>
      </c>
      <c r="K62">
        <v>3.2</v>
      </c>
      <c r="L62">
        <v>76</v>
      </c>
      <c r="M62">
        <v>3</v>
      </c>
      <c r="N62">
        <v>0.5</v>
      </c>
      <c r="O62">
        <v>35</v>
      </c>
    </row>
    <row r="63" spans="1:15" x14ac:dyDescent="0.25">
      <c r="A63" t="s">
        <v>823</v>
      </c>
      <c r="B63">
        <v>21</v>
      </c>
      <c r="C63">
        <v>10</v>
      </c>
      <c r="D63">
        <v>5</v>
      </c>
      <c r="E63" t="s">
        <v>132</v>
      </c>
      <c r="F63">
        <v>6</v>
      </c>
      <c r="G63">
        <v>0</v>
      </c>
      <c r="H63" t="s">
        <v>24</v>
      </c>
      <c r="I63">
        <v>8</v>
      </c>
      <c r="J63">
        <v>100</v>
      </c>
      <c r="K63">
        <v>142.52000000000001</v>
      </c>
      <c r="L63">
        <v>122</v>
      </c>
      <c r="N63">
        <v>6</v>
      </c>
      <c r="O63">
        <v>51</v>
      </c>
    </row>
    <row r="64" spans="1:15" x14ac:dyDescent="0.25">
      <c r="A64" t="s">
        <v>824</v>
      </c>
      <c r="B64">
        <v>17</v>
      </c>
      <c r="C64">
        <v>6</v>
      </c>
      <c r="D64">
        <v>20</v>
      </c>
      <c r="E64" t="s">
        <v>137</v>
      </c>
      <c r="F64">
        <v>12</v>
      </c>
      <c r="G64">
        <v>1</v>
      </c>
      <c r="H64" t="s">
        <v>24</v>
      </c>
      <c r="I64">
        <v>3</v>
      </c>
      <c r="J64">
        <v>100</v>
      </c>
      <c r="K64">
        <v>190.74</v>
      </c>
      <c r="L64">
        <v>24</v>
      </c>
      <c r="M64">
        <v>4.5</v>
      </c>
      <c r="N64">
        <v>0</v>
      </c>
      <c r="O64">
        <v>24</v>
      </c>
    </row>
    <row r="65" spans="1:15" x14ac:dyDescent="0.25">
      <c r="A65" t="s">
        <v>823</v>
      </c>
      <c r="B65">
        <v>20</v>
      </c>
      <c r="C65">
        <v>6</v>
      </c>
      <c r="D65">
        <v>5</v>
      </c>
      <c r="E65" t="s">
        <v>139</v>
      </c>
      <c r="F65">
        <v>6</v>
      </c>
      <c r="G65">
        <v>0</v>
      </c>
      <c r="H65" t="s">
        <v>23</v>
      </c>
      <c r="I65">
        <v>2</v>
      </c>
      <c r="J65">
        <v>100</v>
      </c>
      <c r="K65">
        <v>46.38</v>
      </c>
      <c r="L65">
        <v>30</v>
      </c>
      <c r="M65">
        <v>14</v>
      </c>
      <c r="N65">
        <v>6</v>
      </c>
      <c r="O65">
        <v>9</v>
      </c>
    </row>
    <row r="66" spans="1:15" x14ac:dyDescent="0.25">
      <c r="A66" t="s">
        <v>823</v>
      </c>
      <c r="B66">
        <v>20</v>
      </c>
      <c r="C66">
        <v>4</v>
      </c>
      <c r="D66">
        <v>5</v>
      </c>
      <c r="E66" t="s">
        <v>132</v>
      </c>
      <c r="F66">
        <v>6</v>
      </c>
      <c r="G66">
        <v>0</v>
      </c>
      <c r="H66" t="s">
        <v>23</v>
      </c>
      <c r="I66">
        <v>7</v>
      </c>
      <c r="J66">
        <v>100</v>
      </c>
      <c r="K66">
        <v>230.09</v>
      </c>
      <c r="L66">
        <v>90</v>
      </c>
      <c r="N66">
        <v>6</v>
      </c>
      <c r="O66">
        <v>51</v>
      </c>
    </row>
    <row r="67" spans="1:15" x14ac:dyDescent="0.25">
      <c r="A67" t="s">
        <v>808</v>
      </c>
      <c r="B67">
        <v>21</v>
      </c>
      <c r="C67">
        <v>6</v>
      </c>
      <c r="D67">
        <v>40</v>
      </c>
      <c r="E67" t="s">
        <v>132</v>
      </c>
      <c r="F67">
        <v>12</v>
      </c>
      <c r="G67">
        <v>0</v>
      </c>
      <c r="H67" t="s">
        <v>24</v>
      </c>
      <c r="I67">
        <v>4</v>
      </c>
      <c r="J67">
        <v>100</v>
      </c>
      <c r="K67">
        <v>226.8</v>
      </c>
      <c r="L67">
        <v>60</v>
      </c>
      <c r="N67">
        <v>12</v>
      </c>
      <c r="O67">
        <v>51</v>
      </c>
    </row>
    <row r="68" spans="1:15" x14ac:dyDescent="0.25">
      <c r="A68" t="s">
        <v>823</v>
      </c>
      <c r="B68">
        <v>16</v>
      </c>
      <c r="C68">
        <v>9</v>
      </c>
      <c r="D68">
        <v>5</v>
      </c>
      <c r="E68" t="s">
        <v>132</v>
      </c>
      <c r="F68">
        <v>10</v>
      </c>
      <c r="G68">
        <v>0</v>
      </c>
      <c r="H68" t="s">
        <v>23</v>
      </c>
      <c r="I68">
        <v>3</v>
      </c>
      <c r="J68">
        <v>100</v>
      </c>
      <c r="K68">
        <v>230.7</v>
      </c>
      <c r="L68">
        <v>66</v>
      </c>
      <c r="N68">
        <v>10</v>
      </c>
      <c r="O68">
        <v>51</v>
      </c>
    </row>
    <row r="69" spans="1:15" x14ac:dyDescent="0.25">
      <c r="A69" t="s">
        <v>808</v>
      </c>
      <c r="B69">
        <v>12</v>
      </c>
      <c r="C69">
        <v>3</v>
      </c>
      <c r="D69">
        <v>60</v>
      </c>
      <c r="E69" t="s">
        <v>132</v>
      </c>
      <c r="F69">
        <v>3.5</v>
      </c>
      <c r="G69">
        <v>3</v>
      </c>
      <c r="H69" t="s">
        <v>23</v>
      </c>
      <c r="I69">
        <v>9</v>
      </c>
      <c r="J69">
        <v>100</v>
      </c>
      <c r="K69">
        <v>376.29</v>
      </c>
      <c r="L69">
        <v>120</v>
      </c>
      <c r="N69">
        <v>10</v>
      </c>
      <c r="O69">
        <v>51</v>
      </c>
    </row>
    <row r="70" spans="1:15" x14ac:dyDescent="0.25">
      <c r="A70" t="s">
        <v>823</v>
      </c>
      <c r="B70">
        <v>20</v>
      </c>
      <c r="C70">
        <v>7</v>
      </c>
      <c r="D70">
        <v>60</v>
      </c>
      <c r="E70" t="s">
        <v>141</v>
      </c>
      <c r="F70">
        <v>8</v>
      </c>
      <c r="G70">
        <v>0</v>
      </c>
      <c r="H70" t="s">
        <v>23</v>
      </c>
      <c r="I70">
        <v>7</v>
      </c>
      <c r="J70">
        <v>100</v>
      </c>
      <c r="K70">
        <v>348.81</v>
      </c>
      <c r="L70">
        <v>112</v>
      </c>
      <c r="N70">
        <v>8</v>
      </c>
      <c r="O70">
        <v>51</v>
      </c>
    </row>
    <row r="71" spans="1:15" x14ac:dyDescent="0.25">
      <c r="A71" t="s">
        <v>824</v>
      </c>
      <c r="B71">
        <v>16</v>
      </c>
      <c r="C71">
        <v>3</v>
      </c>
      <c r="D71">
        <v>10</v>
      </c>
      <c r="E71" t="s">
        <v>139</v>
      </c>
      <c r="F71">
        <v>0.5</v>
      </c>
      <c r="G71">
        <v>1.5</v>
      </c>
      <c r="H71" t="s">
        <v>23</v>
      </c>
      <c r="I71">
        <v>9</v>
      </c>
      <c r="J71">
        <v>100</v>
      </c>
      <c r="K71">
        <v>18.18</v>
      </c>
      <c r="L71">
        <v>62</v>
      </c>
      <c r="M71">
        <v>5</v>
      </c>
      <c r="N71">
        <v>3.5</v>
      </c>
      <c r="O71">
        <v>21</v>
      </c>
    </row>
    <row r="72" spans="1:15" x14ac:dyDescent="0.25">
      <c r="A72" t="s">
        <v>824</v>
      </c>
      <c r="B72">
        <v>14</v>
      </c>
      <c r="C72">
        <v>4</v>
      </c>
      <c r="D72">
        <v>5</v>
      </c>
      <c r="E72" t="s">
        <v>140</v>
      </c>
      <c r="F72">
        <v>0.25</v>
      </c>
      <c r="G72">
        <v>0</v>
      </c>
      <c r="H72" t="s">
        <v>24</v>
      </c>
      <c r="I72">
        <v>8</v>
      </c>
      <c r="J72">
        <v>100</v>
      </c>
      <c r="K72">
        <v>1.1200000000000001</v>
      </c>
      <c r="L72">
        <v>38</v>
      </c>
      <c r="M72">
        <v>3</v>
      </c>
      <c r="N72">
        <v>0.25</v>
      </c>
      <c r="O72">
        <v>35</v>
      </c>
    </row>
    <row r="73" spans="1:15" x14ac:dyDescent="0.25">
      <c r="A73" t="s">
        <v>824</v>
      </c>
      <c r="B73">
        <v>14</v>
      </c>
      <c r="C73">
        <v>2</v>
      </c>
      <c r="D73">
        <v>40</v>
      </c>
      <c r="E73" t="s">
        <v>141</v>
      </c>
      <c r="F73">
        <v>5</v>
      </c>
      <c r="G73">
        <v>3.5</v>
      </c>
      <c r="H73" t="s">
        <v>24</v>
      </c>
      <c r="I73">
        <v>5</v>
      </c>
      <c r="J73">
        <v>100</v>
      </c>
      <c r="K73">
        <v>132.69999999999999</v>
      </c>
      <c r="L73">
        <v>72</v>
      </c>
      <c r="M73">
        <v>2.5</v>
      </c>
      <c r="N73">
        <v>12</v>
      </c>
      <c r="O73">
        <v>41</v>
      </c>
    </row>
    <row r="74" spans="1:15" x14ac:dyDescent="0.25">
      <c r="A74" t="s">
        <v>823</v>
      </c>
      <c r="B74">
        <v>16</v>
      </c>
      <c r="C74">
        <v>4</v>
      </c>
      <c r="D74">
        <v>10</v>
      </c>
      <c r="E74" t="s">
        <v>141</v>
      </c>
      <c r="F74">
        <v>6</v>
      </c>
      <c r="G74">
        <v>0</v>
      </c>
      <c r="H74" t="s">
        <v>24</v>
      </c>
      <c r="I74">
        <v>8</v>
      </c>
      <c r="J74">
        <v>100</v>
      </c>
      <c r="K74">
        <v>54.46</v>
      </c>
      <c r="L74">
        <v>90</v>
      </c>
      <c r="M74">
        <v>4</v>
      </c>
      <c r="N74">
        <v>6</v>
      </c>
      <c r="O74">
        <v>26</v>
      </c>
    </row>
    <row r="75" spans="1:15" x14ac:dyDescent="0.25">
      <c r="A75" t="s">
        <v>824</v>
      </c>
      <c r="B75">
        <v>18</v>
      </c>
      <c r="C75">
        <v>7</v>
      </c>
      <c r="D75">
        <v>40</v>
      </c>
      <c r="E75" t="s">
        <v>140</v>
      </c>
      <c r="F75">
        <v>2</v>
      </c>
      <c r="G75">
        <v>1</v>
      </c>
      <c r="H75" t="s">
        <v>24</v>
      </c>
      <c r="I75">
        <v>4</v>
      </c>
      <c r="J75">
        <v>100</v>
      </c>
      <c r="K75">
        <v>32.200000000000003</v>
      </c>
      <c r="L75">
        <v>52</v>
      </c>
      <c r="M75">
        <v>4</v>
      </c>
      <c r="N75">
        <v>4</v>
      </c>
      <c r="O75">
        <v>26</v>
      </c>
    </row>
    <row r="76" spans="1:15" x14ac:dyDescent="0.25">
      <c r="A76" t="s">
        <v>808</v>
      </c>
      <c r="B76">
        <v>17</v>
      </c>
      <c r="C76">
        <v>10</v>
      </c>
      <c r="D76">
        <v>5</v>
      </c>
      <c r="E76" t="s">
        <v>141</v>
      </c>
      <c r="F76">
        <v>1.25</v>
      </c>
      <c r="G76">
        <v>0.75</v>
      </c>
      <c r="H76" t="s">
        <v>23</v>
      </c>
      <c r="I76">
        <v>6</v>
      </c>
      <c r="J76">
        <v>100</v>
      </c>
      <c r="K76">
        <v>10.98</v>
      </c>
      <c r="L76">
        <v>88</v>
      </c>
      <c r="M76">
        <v>4</v>
      </c>
      <c r="N76">
        <v>3</v>
      </c>
      <c r="O76">
        <v>26</v>
      </c>
    </row>
    <row r="77" spans="1:15" x14ac:dyDescent="0.25">
      <c r="A77" t="s">
        <v>824</v>
      </c>
      <c r="B77">
        <v>19</v>
      </c>
      <c r="C77">
        <v>8</v>
      </c>
      <c r="D77">
        <v>0</v>
      </c>
      <c r="E77" t="s">
        <v>132</v>
      </c>
      <c r="F77">
        <v>10</v>
      </c>
      <c r="G77">
        <v>0</v>
      </c>
      <c r="H77" t="s">
        <v>23</v>
      </c>
      <c r="I77">
        <v>3</v>
      </c>
      <c r="J77">
        <v>100</v>
      </c>
      <c r="K77">
        <v>223.8</v>
      </c>
      <c r="L77">
        <v>62</v>
      </c>
      <c r="N77">
        <v>10</v>
      </c>
      <c r="O77">
        <v>51</v>
      </c>
    </row>
    <row r="78" spans="1:15" x14ac:dyDescent="0.25">
      <c r="A78" t="s">
        <v>823</v>
      </c>
      <c r="B78">
        <v>20</v>
      </c>
      <c r="C78">
        <v>9</v>
      </c>
      <c r="D78">
        <v>5</v>
      </c>
      <c r="E78" t="s">
        <v>132</v>
      </c>
      <c r="F78">
        <v>10</v>
      </c>
      <c r="G78">
        <v>0</v>
      </c>
      <c r="H78" t="s">
        <v>24</v>
      </c>
      <c r="I78">
        <v>6</v>
      </c>
      <c r="J78">
        <v>100</v>
      </c>
      <c r="K78">
        <v>256.8</v>
      </c>
      <c r="L78">
        <v>124</v>
      </c>
      <c r="N78">
        <v>10</v>
      </c>
      <c r="O78">
        <v>51</v>
      </c>
    </row>
    <row r="79" spans="1:15" x14ac:dyDescent="0.25">
      <c r="A79" t="s">
        <v>824</v>
      </c>
      <c r="B79">
        <v>22</v>
      </c>
      <c r="C79">
        <v>2</v>
      </c>
      <c r="D79">
        <v>40</v>
      </c>
      <c r="E79" t="s">
        <v>139</v>
      </c>
      <c r="F79">
        <v>3</v>
      </c>
      <c r="G79">
        <v>0</v>
      </c>
      <c r="H79" t="s">
        <v>24</v>
      </c>
      <c r="I79">
        <v>9</v>
      </c>
      <c r="J79">
        <v>100</v>
      </c>
      <c r="K79">
        <v>79.47</v>
      </c>
      <c r="L79">
        <v>48</v>
      </c>
      <c r="M79">
        <v>6.5</v>
      </c>
      <c r="N79">
        <v>3</v>
      </c>
      <c r="O79">
        <v>17</v>
      </c>
    </row>
    <row r="80" spans="1:15" x14ac:dyDescent="0.25">
      <c r="A80" t="s">
        <v>808</v>
      </c>
      <c r="B80">
        <v>21</v>
      </c>
      <c r="C80">
        <v>2</v>
      </c>
      <c r="D80">
        <v>5</v>
      </c>
      <c r="E80" t="s">
        <v>141</v>
      </c>
      <c r="F80">
        <v>0.5</v>
      </c>
      <c r="G80">
        <v>2.5</v>
      </c>
      <c r="H80" t="s">
        <v>23</v>
      </c>
      <c r="I80">
        <v>10</v>
      </c>
      <c r="J80">
        <v>100</v>
      </c>
      <c r="K80">
        <v>16.5</v>
      </c>
      <c r="L80">
        <v>82</v>
      </c>
      <c r="M80">
        <v>3</v>
      </c>
      <c r="N80">
        <v>6</v>
      </c>
      <c r="O80">
        <v>35</v>
      </c>
    </row>
    <row r="82" spans="1:15" x14ac:dyDescent="0.25">
      <c r="A82" t="s">
        <v>824</v>
      </c>
      <c r="B82">
        <v>20</v>
      </c>
      <c r="C82">
        <v>4</v>
      </c>
      <c r="D82">
        <v>0</v>
      </c>
      <c r="E82" t="s">
        <v>139</v>
      </c>
      <c r="F82">
        <v>0.5</v>
      </c>
      <c r="G82">
        <v>0</v>
      </c>
      <c r="H82" t="s">
        <v>24</v>
      </c>
      <c r="I82">
        <v>8</v>
      </c>
      <c r="J82">
        <v>100</v>
      </c>
      <c r="K82">
        <v>2.3199999999999998</v>
      </c>
      <c r="L82">
        <v>40</v>
      </c>
      <c r="M82">
        <v>6</v>
      </c>
      <c r="N82">
        <v>0.5</v>
      </c>
      <c r="O82">
        <v>18</v>
      </c>
    </row>
    <row r="83" spans="1:15" x14ac:dyDescent="0.25">
      <c r="A83" t="s">
        <v>808</v>
      </c>
      <c r="B83">
        <v>20</v>
      </c>
      <c r="C83">
        <v>10</v>
      </c>
      <c r="D83">
        <v>20</v>
      </c>
      <c r="E83" t="s">
        <v>141</v>
      </c>
      <c r="F83">
        <v>1.5</v>
      </c>
      <c r="G83">
        <v>3</v>
      </c>
      <c r="H83" t="s">
        <v>24</v>
      </c>
      <c r="I83">
        <v>7</v>
      </c>
      <c r="J83">
        <v>100</v>
      </c>
      <c r="K83">
        <v>56.28</v>
      </c>
      <c r="L83">
        <v>136</v>
      </c>
      <c r="N83">
        <v>8</v>
      </c>
      <c r="O83">
        <v>51</v>
      </c>
    </row>
    <row r="84" spans="1:15" x14ac:dyDescent="0.25">
      <c r="A84" t="s">
        <v>808</v>
      </c>
      <c r="B84">
        <v>24</v>
      </c>
      <c r="C84">
        <v>3</v>
      </c>
      <c r="D84">
        <v>60</v>
      </c>
      <c r="E84" t="s">
        <v>140</v>
      </c>
      <c r="F84">
        <v>0.125</v>
      </c>
      <c r="G84">
        <v>0</v>
      </c>
      <c r="H84" t="s">
        <v>24</v>
      </c>
      <c r="I84">
        <v>8</v>
      </c>
      <c r="J84">
        <v>100</v>
      </c>
      <c r="K84">
        <v>3.12</v>
      </c>
      <c r="L84">
        <v>28</v>
      </c>
      <c r="M84">
        <v>2</v>
      </c>
      <c r="N84">
        <v>0.125</v>
      </c>
      <c r="O84">
        <v>51</v>
      </c>
    </row>
    <row r="85" spans="1:15" x14ac:dyDescent="0.25">
      <c r="A85" t="s">
        <v>808</v>
      </c>
      <c r="B85">
        <v>12</v>
      </c>
      <c r="C85">
        <v>4</v>
      </c>
      <c r="D85">
        <v>0</v>
      </c>
      <c r="E85" t="s">
        <v>140</v>
      </c>
      <c r="F85">
        <v>5</v>
      </c>
      <c r="G85">
        <v>0.75</v>
      </c>
      <c r="H85" t="s">
        <v>24</v>
      </c>
      <c r="I85">
        <v>2</v>
      </c>
      <c r="J85">
        <v>100</v>
      </c>
      <c r="K85">
        <v>6.1</v>
      </c>
      <c r="L85">
        <v>28</v>
      </c>
      <c r="M85">
        <v>4</v>
      </c>
      <c r="N85">
        <v>8</v>
      </c>
      <c r="O85">
        <v>26</v>
      </c>
    </row>
    <row r="86" spans="1:15" x14ac:dyDescent="0.25">
      <c r="A86" t="s">
        <v>823</v>
      </c>
      <c r="B86">
        <v>21</v>
      </c>
      <c r="C86">
        <v>9</v>
      </c>
      <c r="D86">
        <v>0</v>
      </c>
      <c r="E86" t="s">
        <v>20</v>
      </c>
      <c r="F86">
        <v>10</v>
      </c>
      <c r="G86">
        <v>0</v>
      </c>
      <c r="H86" t="s">
        <v>24</v>
      </c>
      <c r="I86">
        <v>2</v>
      </c>
      <c r="J86">
        <v>100</v>
      </c>
      <c r="K86">
        <v>129.47999999999999</v>
      </c>
      <c r="L86">
        <v>48</v>
      </c>
      <c r="M86">
        <v>4</v>
      </c>
      <c r="N86">
        <v>10</v>
      </c>
      <c r="O86">
        <v>26</v>
      </c>
    </row>
    <row r="87" spans="1:15" x14ac:dyDescent="0.25">
      <c r="A87" t="s">
        <v>808</v>
      </c>
      <c r="B87">
        <v>17</v>
      </c>
      <c r="C87">
        <v>5</v>
      </c>
      <c r="D87">
        <v>10</v>
      </c>
      <c r="E87" t="s">
        <v>139</v>
      </c>
      <c r="F87">
        <v>1.25</v>
      </c>
      <c r="G87">
        <v>0.75</v>
      </c>
      <c r="H87" t="s">
        <v>23</v>
      </c>
      <c r="I87">
        <v>9</v>
      </c>
      <c r="J87">
        <v>100</v>
      </c>
      <c r="K87">
        <v>24.03</v>
      </c>
      <c r="L87">
        <v>74</v>
      </c>
      <c r="M87">
        <v>7</v>
      </c>
      <c r="N87">
        <v>2.5</v>
      </c>
      <c r="O87">
        <v>16</v>
      </c>
    </row>
    <row r="88" spans="1:15" x14ac:dyDescent="0.25">
      <c r="A88" t="s">
        <v>823</v>
      </c>
      <c r="B88">
        <v>24</v>
      </c>
      <c r="C88">
        <v>5</v>
      </c>
      <c r="D88">
        <v>60</v>
      </c>
      <c r="E88" t="s">
        <v>140</v>
      </c>
      <c r="F88">
        <v>12</v>
      </c>
      <c r="G88">
        <v>0</v>
      </c>
      <c r="H88" t="s">
        <v>23</v>
      </c>
      <c r="I88">
        <v>4</v>
      </c>
      <c r="J88">
        <v>100</v>
      </c>
      <c r="K88">
        <v>366.12</v>
      </c>
      <c r="L88">
        <v>78</v>
      </c>
      <c r="N88">
        <v>12</v>
      </c>
      <c r="O88">
        <v>51</v>
      </c>
    </row>
    <row r="89" spans="1:15" x14ac:dyDescent="0.25">
      <c r="A89" t="s">
        <v>823</v>
      </c>
      <c r="B89">
        <v>17</v>
      </c>
      <c r="C89">
        <v>5</v>
      </c>
      <c r="D89">
        <v>40</v>
      </c>
      <c r="E89" t="s">
        <v>20</v>
      </c>
      <c r="F89">
        <v>12</v>
      </c>
      <c r="G89">
        <v>0</v>
      </c>
      <c r="H89" t="s">
        <v>24</v>
      </c>
      <c r="I89">
        <v>9</v>
      </c>
      <c r="J89">
        <v>100</v>
      </c>
      <c r="K89">
        <v>884.8</v>
      </c>
      <c r="L89">
        <v>150</v>
      </c>
      <c r="N89">
        <v>12</v>
      </c>
      <c r="O89">
        <v>51</v>
      </c>
    </row>
    <row r="90" spans="1:15" x14ac:dyDescent="0.25">
      <c r="A90" t="s">
        <v>823</v>
      </c>
      <c r="B90">
        <v>12</v>
      </c>
      <c r="C90">
        <v>6</v>
      </c>
      <c r="D90">
        <v>0</v>
      </c>
      <c r="E90" t="s">
        <v>132</v>
      </c>
      <c r="F90">
        <v>8</v>
      </c>
      <c r="G90">
        <v>0</v>
      </c>
      <c r="H90" t="s">
        <v>23</v>
      </c>
      <c r="I90">
        <v>1</v>
      </c>
      <c r="J90">
        <v>100</v>
      </c>
      <c r="K90">
        <v>23.574999999999999</v>
      </c>
      <c r="L90">
        <v>20</v>
      </c>
      <c r="M90">
        <v>19</v>
      </c>
      <c r="N90">
        <v>8</v>
      </c>
      <c r="O90">
        <v>7</v>
      </c>
    </row>
    <row r="91" spans="1:15" x14ac:dyDescent="0.25">
      <c r="A91" t="s">
        <v>824</v>
      </c>
      <c r="B91">
        <v>23</v>
      </c>
      <c r="C91">
        <v>2</v>
      </c>
      <c r="D91">
        <v>20</v>
      </c>
      <c r="E91" t="s">
        <v>132</v>
      </c>
      <c r="F91">
        <v>2.5</v>
      </c>
      <c r="G91">
        <v>3</v>
      </c>
      <c r="H91" t="s">
        <v>23</v>
      </c>
      <c r="I91">
        <v>2</v>
      </c>
      <c r="J91">
        <v>100</v>
      </c>
      <c r="K91">
        <v>35.22</v>
      </c>
      <c r="L91">
        <v>26</v>
      </c>
      <c r="M91">
        <v>11</v>
      </c>
      <c r="N91">
        <v>10</v>
      </c>
      <c r="O91">
        <v>11</v>
      </c>
    </row>
    <row r="92" spans="1:15" x14ac:dyDescent="0.25">
      <c r="A92" t="s">
        <v>823</v>
      </c>
      <c r="B92">
        <v>16</v>
      </c>
      <c r="C92">
        <v>10</v>
      </c>
      <c r="D92">
        <v>5</v>
      </c>
      <c r="E92" t="s">
        <v>139</v>
      </c>
      <c r="F92">
        <v>6</v>
      </c>
      <c r="G92">
        <v>0</v>
      </c>
      <c r="H92" t="s">
        <v>23</v>
      </c>
      <c r="I92">
        <v>2</v>
      </c>
      <c r="J92">
        <v>100</v>
      </c>
      <c r="K92">
        <v>46.38</v>
      </c>
      <c r="L92">
        <v>42</v>
      </c>
      <c r="M92">
        <v>14</v>
      </c>
      <c r="N92">
        <v>6</v>
      </c>
      <c r="O92">
        <v>9</v>
      </c>
    </row>
    <row r="93" spans="1:15" x14ac:dyDescent="0.25">
      <c r="A93" t="s">
        <v>824</v>
      </c>
      <c r="B93">
        <v>22</v>
      </c>
      <c r="C93">
        <v>3</v>
      </c>
      <c r="D93">
        <v>40</v>
      </c>
      <c r="E93" t="s">
        <v>132</v>
      </c>
      <c r="F93">
        <v>2.5</v>
      </c>
      <c r="G93">
        <v>2.5</v>
      </c>
      <c r="H93" t="s">
        <v>23</v>
      </c>
      <c r="I93">
        <v>4</v>
      </c>
      <c r="J93">
        <v>100</v>
      </c>
      <c r="K93">
        <v>92.44</v>
      </c>
      <c r="L93">
        <v>48</v>
      </c>
      <c r="M93">
        <v>5.5</v>
      </c>
      <c r="N93">
        <v>8</v>
      </c>
      <c r="O93">
        <v>20</v>
      </c>
    </row>
    <row r="94" spans="1:15" x14ac:dyDescent="0.25">
      <c r="A94" t="s">
        <v>824</v>
      </c>
      <c r="B94">
        <v>13</v>
      </c>
      <c r="C94">
        <v>2</v>
      </c>
      <c r="D94">
        <v>20</v>
      </c>
      <c r="E94" t="s">
        <v>20</v>
      </c>
      <c r="F94">
        <v>3</v>
      </c>
      <c r="G94">
        <v>1</v>
      </c>
      <c r="H94" t="s">
        <v>23</v>
      </c>
      <c r="I94">
        <v>7</v>
      </c>
      <c r="J94">
        <v>100</v>
      </c>
      <c r="K94">
        <v>131.04</v>
      </c>
      <c r="L94">
        <v>52</v>
      </c>
      <c r="M94">
        <v>3.5</v>
      </c>
      <c r="N94">
        <v>5</v>
      </c>
      <c r="O94">
        <v>30</v>
      </c>
    </row>
    <row r="95" spans="1:15" x14ac:dyDescent="0.25">
      <c r="A95" t="s">
        <v>824</v>
      </c>
      <c r="B95">
        <v>15</v>
      </c>
      <c r="C95">
        <v>8</v>
      </c>
      <c r="D95">
        <v>20</v>
      </c>
      <c r="E95" t="s">
        <v>140</v>
      </c>
      <c r="F95">
        <v>6</v>
      </c>
      <c r="G95">
        <v>2</v>
      </c>
      <c r="H95" t="s">
        <v>23</v>
      </c>
      <c r="I95">
        <v>10</v>
      </c>
      <c r="J95">
        <v>100</v>
      </c>
      <c r="K95">
        <v>249.9</v>
      </c>
      <c r="L95">
        <v>188</v>
      </c>
      <c r="N95">
        <v>10</v>
      </c>
      <c r="O95">
        <v>51</v>
      </c>
    </row>
    <row r="96" spans="1:15" x14ac:dyDescent="0.25">
      <c r="A96" t="s">
        <v>823</v>
      </c>
      <c r="B96">
        <v>19</v>
      </c>
      <c r="C96">
        <v>5</v>
      </c>
      <c r="D96">
        <v>40</v>
      </c>
      <c r="E96" t="s">
        <v>20</v>
      </c>
      <c r="F96">
        <v>8</v>
      </c>
      <c r="G96">
        <v>0</v>
      </c>
      <c r="H96" t="s">
        <v>24</v>
      </c>
      <c r="I96">
        <v>2</v>
      </c>
      <c r="J96">
        <v>100</v>
      </c>
      <c r="K96">
        <v>116.14</v>
      </c>
      <c r="L96">
        <v>34</v>
      </c>
      <c r="M96">
        <v>7</v>
      </c>
      <c r="N96">
        <v>8</v>
      </c>
      <c r="O96">
        <v>16</v>
      </c>
    </row>
    <row r="97" spans="1:15" x14ac:dyDescent="0.25">
      <c r="A97" t="s">
        <v>823</v>
      </c>
      <c r="B97">
        <v>19</v>
      </c>
      <c r="C97">
        <v>3</v>
      </c>
      <c r="D97">
        <v>0</v>
      </c>
      <c r="E97" t="s">
        <v>137</v>
      </c>
      <c r="F97">
        <v>8</v>
      </c>
      <c r="G97">
        <v>0</v>
      </c>
      <c r="H97" t="s">
        <v>23</v>
      </c>
      <c r="I97">
        <v>5</v>
      </c>
      <c r="J97">
        <v>100</v>
      </c>
      <c r="K97">
        <v>227.5</v>
      </c>
      <c r="L97">
        <v>76</v>
      </c>
      <c r="N97">
        <v>8</v>
      </c>
      <c r="O97">
        <v>51</v>
      </c>
    </row>
    <row r="98" spans="1:15" x14ac:dyDescent="0.25">
      <c r="A98" t="s">
        <v>824</v>
      </c>
      <c r="B98">
        <v>14</v>
      </c>
      <c r="C98">
        <v>8</v>
      </c>
      <c r="D98">
        <v>60</v>
      </c>
      <c r="E98" t="s">
        <v>140</v>
      </c>
      <c r="F98">
        <v>0.75</v>
      </c>
      <c r="G98">
        <v>1.5</v>
      </c>
      <c r="H98" t="s">
        <v>24</v>
      </c>
      <c r="I98">
        <v>6</v>
      </c>
      <c r="J98">
        <v>100</v>
      </c>
      <c r="K98">
        <v>59.1</v>
      </c>
      <c r="L98">
        <v>78</v>
      </c>
      <c r="M98">
        <v>3</v>
      </c>
      <c r="N98">
        <v>3.5</v>
      </c>
      <c r="O98">
        <v>35</v>
      </c>
    </row>
    <row r="99" spans="1:15" x14ac:dyDescent="0.25">
      <c r="A99" t="s">
        <v>808</v>
      </c>
      <c r="B99">
        <v>17</v>
      </c>
      <c r="C99">
        <v>2</v>
      </c>
      <c r="D99">
        <v>0</v>
      </c>
      <c r="E99" t="s">
        <v>139</v>
      </c>
      <c r="F99">
        <v>0.5</v>
      </c>
      <c r="G99">
        <v>1.5</v>
      </c>
      <c r="H99" t="s">
        <v>24</v>
      </c>
      <c r="I99">
        <v>5</v>
      </c>
      <c r="J99">
        <v>100</v>
      </c>
      <c r="K99">
        <v>1.6</v>
      </c>
      <c r="L99">
        <v>30</v>
      </c>
      <c r="M99">
        <v>6</v>
      </c>
      <c r="N99">
        <v>3.5</v>
      </c>
      <c r="O99">
        <v>18</v>
      </c>
    </row>
    <row r="100" spans="1:15" x14ac:dyDescent="0.25">
      <c r="A100" t="s">
        <v>823</v>
      </c>
      <c r="B100">
        <v>17</v>
      </c>
      <c r="C100">
        <v>8</v>
      </c>
      <c r="D100">
        <v>5</v>
      </c>
      <c r="E100" t="s">
        <v>20</v>
      </c>
      <c r="F100">
        <v>8</v>
      </c>
      <c r="G100">
        <v>0</v>
      </c>
      <c r="H100" t="s">
        <v>24</v>
      </c>
      <c r="I100">
        <v>8</v>
      </c>
      <c r="J100">
        <v>100</v>
      </c>
      <c r="K100">
        <v>361.92</v>
      </c>
      <c r="L100">
        <v>136</v>
      </c>
      <c r="N100">
        <v>8</v>
      </c>
      <c r="O100">
        <v>51</v>
      </c>
    </row>
    <row r="101" spans="1:15" x14ac:dyDescent="0.25">
      <c r="A101" t="s">
        <v>824</v>
      </c>
      <c r="B101">
        <v>14</v>
      </c>
      <c r="C101">
        <v>10</v>
      </c>
      <c r="D101">
        <v>0</v>
      </c>
      <c r="E101" t="s">
        <v>140</v>
      </c>
      <c r="F101">
        <v>0.75</v>
      </c>
      <c r="G101">
        <v>3</v>
      </c>
      <c r="H101" t="s">
        <v>23</v>
      </c>
      <c r="I101">
        <v>9</v>
      </c>
      <c r="J101">
        <v>100</v>
      </c>
      <c r="K101">
        <v>4.05</v>
      </c>
      <c r="L101">
        <v>172</v>
      </c>
      <c r="N101">
        <v>8</v>
      </c>
      <c r="O101">
        <v>51</v>
      </c>
    </row>
    <row r="103" spans="1:15" x14ac:dyDescent="0.25">
      <c r="A103" t="s">
        <v>808</v>
      </c>
      <c r="B103">
        <v>13</v>
      </c>
      <c r="C103">
        <v>8</v>
      </c>
      <c r="D103">
        <v>60</v>
      </c>
      <c r="E103" t="s">
        <v>139</v>
      </c>
      <c r="F103">
        <v>0.5</v>
      </c>
      <c r="G103">
        <v>0.5</v>
      </c>
      <c r="H103" t="s">
        <v>24</v>
      </c>
      <c r="I103">
        <v>3</v>
      </c>
      <c r="J103">
        <v>100</v>
      </c>
      <c r="K103">
        <v>13.32</v>
      </c>
      <c r="L103">
        <v>38</v>
      </c>
      <c r="M103">
        <v>6</v>
      </c>
      <c r="N103">
        <v>1.5</v>
      </c>
      <c r="O103">
        <v>18</v>
      </c>
    </row>
    <row r="104" spans="1:15" x14ac:dyDescent="0.25">
      <c r="A104" t="s">
        <v>808</v>
      </c>
      <c r="B104">
        <v>17</v>
      </c>
      <c r="C104">
        <v>8</v>
      </c>
      <c r="D104">
        <v>10</v>
      </c>
      <c r="E104" t="s">
        <v>140</v>
      </c>
      <c r="F104">
        <v>10</v>
      </c>
      <c r="G104">
        <v>1</v>
      </c>
      <c r="H104" t="s">
        <v>24</v>
      </c>
      <c r="I104">
        <v>9</v>
      </c>
      <c r="J104">
        <v>100</v>
      </c>
      <c r="K104">
        <v>0</v>
      </c>
      <c r="L104">
        <v>80</v>
      </c>
      <c r="M104">
        <v>4</v>
      </c>
      <c r="N104">
        <v>0</v>
      </c>
      <c r="O104">
        <v>26</v>
      </c>
    </row>
    <row r="105" spans="1:15" x14ac:dyDescent="0.25">
      <c r="A105" t="s">
        <v>808</v>
      </c>
      <c r="B105">
        <v>23</v>
      </c>
      <c r="C105">
        <v>7</v>
      </c>
      <c r="D105">
        <v>10</v>
      </c>
      <c r="E105" t="s">
        <v>137</v>
      </c>
      <c r="F105">
        <v>5</v>
      </c>
      <c r="G105">
        <v>1</v>
      </c>
      <c r="H105" t="s">
        <v>24</v>
      </c>
      <c r="I105">
        <v>4</v>
      </c>
      <c r="J105">
        <v>100</v>
      </c>
      <c r="K105">
        <v>57.24</v>
      </c>
      <c r="L105">
        <v>68</v>
      </c>
      <c r="M105">
        <v>18</v>
      </c>
      <c r="N105">
        <v>8</v>
      </c>
      <c r="O105">
        <v>7</v>
      </c>
    </row>
    <row r="106" spans="1:15" x14ac:dyDescent="0.25">
      <c r="A106" t="s">
        <v>824</v>
      </c>
      <c r="B106">
        <v>21</v>
      </c>
      <c r="C106">
        <v>8</v>
      </c>
      <c r="D106">
        <v>60</v>
      </c>
      <c r="E106" t="s">
        <v>137</v>
      </c>
      <c r="F106">
        <v>2</v>
      </c>
      <c r="G106">
        <v>0.75</v>
      </c>
      <c r="H106" t="s">
        <v>23</v>
      </c>
      <c r="I106">
        <v>9</v>
      </c>
      <c r="J106">
        <v>100</v>
      </c>
      <c r="K106">
        <v>118.8</v>
      </c>
      <c r="L106">
        <v>112</v>
      </c>
      <c r="M106">
        <v>6</v>
      </c>
      <c r="N106">
        <v>3.5</v>
      </c>
      <c r="O106">
        <v>18</v>
      </c>
    </row>
    <row r="107" spans="1:15" x14ac:dyDescent="0.25">
      <c r="A107" t="s">
        <v>823</v>
      </c>
      <c r="B107">
        <v>20</v>
      </c>
      <c r="C107">
        <v>3</v>
      </c>
      <c r="D107">
        <v>20</v>
      </c>
      <c r="E107" t="s">
        <v>139</v>
      </c>
      <c r="F107">
        <v>12</v>
      </c>
      <c r="G107">
        <v>0</v>
      </c>
      <c r="H107" t="s">
        <v>23</v>
      </c>
      <c r="I107">
        <v>8</v>
      </c>
      <c r="J107">
        <v>100</v>
      </c>
      <c r="K107">
        <v>775.12</v>
      </c>
      <c r="L107">
        <v>150</v>
      </c>
      <c r="N107">
        <v>12</v>
      </c>
      <c r="O107">
        <v>51</v>
      </c>
    </row>
  </sheetData>
  <autoFilter ref="A1:O101" xr:uid="{537BA5DD-5173-469B-A385-D6D08B625614}"/>
  <conditionalFormatting sqref="K1:O1048576">
    <cfRule type="expression" dxfId="47" priority="1">
      <formula>NOT(K1=K1)</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172C66-19B1-4ECD-BD36-2498D6F6F088}">
  <sheetPr codeName="Sheet14"/>
  <dimension ref="A1:O101"/>
  <sheetViews>
    <sheetView workbookViewId="0">
      <pane ySplit="1" topLeftCell="A38" activePane="bottomLeft" state="frozen"/>
      <selection pane="bottomLeft" activeCell="K39" sqref="K39"/>
    </sheetView>
  </sheetViews>
  <sheetFormatPr defaultRowHeight="15" x14ac:dyDescent="0.25"/>
  <cols>
    <col min="1" max="1" width="7.140625" bestFit="1" customWidth="1"/>
    <col min="2" max="2" width="9.42578125" bestFit="1" customWidth="1"/>
    <col min="3" max="3" width="7.5703125" bestFit="1" customWidth="1"/>
    <col min="4" max="4" width="10" bestFit="1" customWidth="1"/>
    <col min="5" max="5" width="18.140625" bestFit="1" customWidth="1"/>
    <col min="7" max="7" width="9.85546875" bestFit="1" customWidth="1"/>
    <col min="8" max="8" width="8.42578125" bestFit="1" customWidth="1"/>
    <col min="9" max="9" width="10.42578125" bestFit="1" customWidth="1"/>
    <col min="10" max="10" width="13.7109375" bestFit="1" customWidth="1"/>
    <col min="11" max="11" width="13.85546875" bestFit="1" customWidth="1"/>
    <col min="12" max="12" width="19.28515625" bestFit="1" customWidth="1"/>
    <col min="13" max="13" width="13.42578125" bestFit="1" customWidth="1"/>
    <col min="14" max="14" width="11" bestFit="1" customWidth="1"/>
    <col min="15" max="15" width="11.7109375" bestFit="1" customWidth="1"/>
    <col min="16" max="16" width="11.28515625" bestFit="1" customWidth="1"/>
  </cols>
  <sheetData>
    <row r="1" spans="1:15" x14ac:dyDescent="0.25">
      <c r="A1" t="s">
        <v>811</v>
      </c>
      <c r="B1" t="s">
        <v>812</v>
      </c>
      <c r="C1" t="s">
        <v>813</v>
      </c>
      <c r="D1" t="s">
        <v>810</v>
      </c>
      <c r="E1" t="s">
        <v>814</v>
      </c>
      <c r="F1" t="s">
        <v>815</v>
      </c>
      <c r="G1" t="s">
        <v>816</v>
      </c>
      <c r="H1" t="s">
        <v>773</v>
      </c>
      <c r="I1" t="s">
        <v>817</v>
      </c>
      <c r="J1" t="s">
        <v>818</v>
      </c>
      <c r="K1" t="s">
        <v>819</v>
      </c>
      <c r="L1" t="s">
        <v>820</v>
      </c>
      <c r="M1" t="s">
        <v>821</v>
      </c>
      <c r="N1" t="s">
        <v>775</v>
      </c>
      <c r="O1" t="s">
        <v>822</v>
      </c>
    </row>
    <row r="2" spans="1:15" x14ac:dyDescent="0.25">
      <c r="A2" t="s">
        <v>824</v>
      </c>
      <c r="B2">
        <v>16</v>
      </c>
      <c r="C2">
        <v>5</v>
      </c>
      <c r="D2">
        <v>10</v>
      </c>
      <c r="E2" t="s">
        <v>20</v>
      </c>
      <c r="F2">
        <v>1.25</v>
      </c>
      <c r="G2">
        <v>1.5</v>
      </c>
      <c r="H2" t="s">
        <v>24</v>
      </c>
      <c r="I2">
        <v>6</v>
      </c>
      <c r="J2">
        <v>100</v>
      </c>
      <c r="K2">
        <v>33.549999999999997</v>
      </c>
      <c r="L2">
        <v>66</v>
      </c>
      <c r="M2">
        <v>9</v>
      </c>
      <c r="N2">
        <v>5</v>
      </c>
      <c r="O2">
        <v>13</v>
      </c>
    </row>
    <row r="3" spans="1:15" x14ac:dyDescent="0.25">
      <c r="A3" t="s">
        <v>808</v>
      </c>
      <c r="B3">
        <v>23</v>
      </c>
      <c r="C3">
        <v>7</v>
      </c>
      <c r="D3">
        <v>10</v>
      </c>
      <c r="E3" t="s">
        <v>141</v>
      </c>
      <c r="F3">
        <v>3.5</v>
      </c>
      <c r="G3">
        <v>2.5</v>
      </c>
      <c r="H3" t="s">
        <v>23</v>
      </c>
      <c r="I3">
        <v>2</v>
      </c>
      <c r="J3">
        <v>100</v>
      </c>
      <c r="K3">
        <v>21.7</v>
      </c>
      <c r="L3">
        <v>42</v>
      </c>
      <c r="M3">
        <v>4</v>
      </c>
      <c r="N3">
        <v>10</v>
      </c>
      <c r="O3">
        <v>26</v>
      </c>
    </row>
    <row r="4" spans="1:15" x14ac:dyDescent="0.25">
      <c r="A4" t="s">
        <v>823</v>
      </c>
      <c r="B4">
        <v>12</v>
      </c>
      <c r="C4">
        <v>6</v>
      </c>
      <c r="D4">
        <v>20</v>
      </c>
      <c r="E4" t="s">
        <v>139</v>
      </c>
      <c r="F4">
        <v>12</v>
      </c>
      <c r="G4">
        <v>0</v>
      </c>
      <c r="H4" t="s">
        <v>23</v>
      </c>
      <c r="I4">
        <v>9</v>
      </c>
      <c r="J4">
        <v>100</v>
      </c>
    </row>
    <row r="5" spans="1:15" x14ac:dyDescent="0.25">
      <c r="A5" t="s">
        <v>823</v>
      </c>
      <c r="B5">
        <v>13</v>
      </c>
      <c r="C5">
        <v>7</v>
      </c>
      <c r="D5">
        <v>20</v>
      </c>
      <c r="E5" t="s">
        <v>132</v>
      </c>
      <c r="F5">
        <v>6</v>
      </c>
      <c r="G5">
        <v>0</v>
      </c>
      <c r="H5" t="s">
        <v>23</v>
      </c>
      <c r="I5">
        <v>8</v>
      </c>
      <c r="J5">
        <v>100</v>
      </c>
    </row>
    <row r="6" spans="1:15" x14ac:dyDescent="0.25">
      <c r="A6" t="s">
        <v>823</v>
      </c>
      <c r="B6">
        <v>16</v>
      </c>
      <c r="C6">
        <v>4</v>
      </c>
      <c r="D6">
        <v>40</v>
      </c>
      <c r="E6" t="s">
        <v>20</v>
      </c>
      <c r="F6">
        <v>10</v>
      </c>
      <c r="G6">
        <v>0</v>
      </c>
      <c r="H6" t="s">
        <v>24</v>
      </c>
      <c r="I6">
        <v>7</v>
      </c>
      <c r="J6">
        <v>100</v>
      </c>
    </row>
    <row r="7" spans="1:15" x14ac:dyDescent="0.25">
      <c r="A7" t="s">
        <v>824</v>
      </c>
      <c r="B7">
        <v>24</v>
      </c>
      <c r="C7">
        <v>7</v>
      </c>
      <c r="D7">
        <v>10</v>
      </c>
      <c r="E7" t="s">
        <v>139</v>
      </c>
      <c r="F7">
        <v>4</v>
      </c>
      <c r="G7">
        <v>1.5</v>
      </c>
      <c r="H7" t="s">
        <v>24</v>
      </c>
      <c r="I7">
        <v>6</v>
      </c>
      <c r="J7">
        <v>100</v>
      </c>
      <c r="K7">
        <v>57.51</v>
      </c>
      <c r="L7">
        <v>98</v>
      </c>
      <c r="M7">
        <v>5</v>
      </c>
      <c r="N7">
        <v>8</v>
      </c>
      <c r="O7">
        <v>21</v>
      </c>
    </row>
    <row r="8" spans="1:15" x14ac:dyDescent="0.25">
      <c r="A8" t="s">
        <v>823</v>
      </c>
      <c r="B8">
        <v>12</v>
      </c>
      <c r="C8">
        <v>3</v>
      </c>
      <c r="D8">
        <v>10</v>
      </c>
      <c r="E8" t="s">
        <v>132</v>
      </c>
      <c r="F8">
        <v>8</v>
      </c>
      <c r="G8">
        <v>0</v>
      </c>
      <c r="H8" t="s">
        <v>23</v>
      </c>
      <c r="I8">
        <v>8</v>
      </c>
      <c r="J8">
        <v>100</v>
      </c>
    </row>
    <row r="9" spans="1:15" x14ac:dyDescent="0.25">
      <c r="A9" t="s">
        <v>823</v>
      </c>
      <c r="B9">
        <v>19</v>
      </c>
      <c r="C9">
        <v>7</v>
      </c>
      <c r="D9">
        <v>5</v>
      </c>
      <c r="E9" t="s">
        <v>20</v>
      </c>
      <c r="F9">
        <v>6</v>
      </c>
      <c r="G9">
        <v>0</v>
      </c>
      <c r="H9" t="s">
        <v>24</v>
      </c>
      <c r="I9">
        <v>10</v>
      </c>
      <c r="J9">
        <v>100</v>
      </c>
    </row>
    <row r="10" spans="1:15" x14ac:dyDescent="0.25">
      <c r="A10" t="s">
        <v>808</v>
      </c>
      <c r="B10">
        <v>16</v>
      </c>
      <c r="C10">
        <v>4</v>
      </c>
      <c r="D10">
        <v>5</v>
      </c>
      <c r="E10" t="s">
        <v>139</v>
      </c>
      <c r="F10">
        <v>3.5</v>
      </c>
      <c r="G10">
        <v>0</v>
      </c>
      <c r="H10" t="s">
        <v>24</v>
      </c>
      <c r="I10">
        <v>2</v>
      </c>
      <c r="J10">
        <v>100</v>
      </c>
      <c r="K10">
        <v>10.18</v>
      </c>
      <c r="L10">
        <v>20</v>
      </c>
      <c r="M10">
        <v>15</v>
      </c>
      <c r="N10">
        <v>3.5</v>
      </c>
      <c r="O10">
        <v>8</v>
      </c>
    </row>
    <row r="11" spans="1:15" x14ac:dyDescent="0.25">
      <c r="A11" t="s">
        <v>808</v>
      </c>
      <c r="B11">
        <v>20</v>
      </c>
      <c r="C11">
        <v>7</v>
      </c>
      <c r="D11">
        <v>60</v>
      </c>
      <c r="E11" t="s">
        <v>141</v>
      </c>
      <c r="F11">
        <v>3.5</v>
      </c>
      <c r="G11">
        <v>0</v>
      </c>
      <c r="H11" t="s">
        <v>24</v>
      </c>
      <c r="I11">
        <v>5</v>
      </c>
      <c r="J11">
        <v>100</v>
      </c>
      <c r="K11">
        <v>59.1</v>
      </c>
      <c r="L11">
        <v>60</v>
      </c>
      <c r="M11">
        <v>4</v>
      </c>
      <c r="N11">
        <v>3.5</v>
      </c>
      <c r="O11">
        <v>26</v>
      </c>
    </row>
    <row r="12" spans="1:15" x14ac:dyDescent="0.25">
      <c r="A12" t="s">
        <v>823</v>
      </c>
      <c r="B12">
        <v>18</v>
      </c>
      <c r="C12">
        <v>5</v>
      </c>
      <c r="D12">
        <v>20</v>
      </c>
      <c r="E12" t="s">
        <v>140</v>
      </c>
      <c r="F12">
        <v>6</v>
      </c>
      <c r="G12">
        <v>0</v>
      </c>
      <c r="H12" t="s">
        <v>24</v>
      </c>
      <c r="I12">
        <v>1</v>
      </c>
      <c r="J12">
        <v>100</v>
      </c>
      <c r="K12">
        <v>4.42</v>
      </c>
      <c r="L12">
        <v>16</v>
      </c>
      <c r="M12">
        <v>4</v>
      </c>
      <c r="N12">
        <v>6</v>
      </c>
      <c r="O12">
        <v>26</v>
      </c>
    </row>
    <row r="13" spans="1:15" x14ac:dyDescent="0.25">
      <c r="A13" t="s">
        <v>823</v>
      </c>
      <c r="B13">
        <v>15</v>
      </c>
      <c r="C13">
        <v>8</v>
      </c>
      <c r="D13">
        <v>5</v>
      </c>
      <c r="E13" t="s">
        <v>132</v>
      </c>
      <c r="F13">
        <v>10</v>
      </c>
      <c r="G13">
        <v>0</v>
      </c>
      <c r="H13" t="s">
        <v>24</v>
      </c>
      <c r="I13">
        <v>8</v>
      </c>
      <c r="J13">
        <v>100</v>
      </c>
    </row>
    <row r="14" spans="1:15" x14ac:dyDescent="0.25">
      <c r="A14" t="s">
        <v>808</v>
      </c>
      <c r="B14">
        <v>17</v>
      </c>
      <c r="C14">
        <v>3</v>
      </c>
      <c r="D14">
        <v>60</v>
      </c>
      <c r="E14" t="s">
        <v>20</v>
      </c>
      <c r="F14">
        <v>12</v>
      </c>
      <c r="G14">
        <v>0</v>
      </c>
      <c r="H14" t="s">
        <v>24</v>
      </c>
      <c r="I14">
        <v>5</v>
      </c>
      <c r="J14">
        <v>100</v>
      </c>
    </row>
    <row r="15" spans="1:15" x14ac:dyDescent="0.25">
      <c r="A15" t="s">
        <v>823</v>
      </c>
      <c r="B15">
        <v>16</v>
      </c>
      <c r="C15">
        <v>2</v>
      </c>
      <c r="D15">
        <v>5</v>
      </c>
      <c r="E15" t="s">
        <v>140</v>
      </c>
      <c r="F15">
        <v>8</v>
      </c>
      <c r="G15">
        <v>0</v>
      </c>
      <c r="H15" t="s">
        <v>24</v>
      </c>
      <c r="I15">
        <v>8</v>
      </c>
      <c r="J15">
        <v>100</v>
      </c>
      <c r="K15">
        <v>56.91</v>
      </c>
      <c r="L15">
        <v>82</v>
      </c>
      <c r="M15">
        <v>4</v>
      </c>
      <c r="N15">
        <v>8</v>
      </c>
      <c r="O15">
        <v>26</v>
      </c>
    </row>
    <row r="16" spans="1:15" x14ac:dyDescent="0.25">
      <c r="A16" t="s">
        <v>808</v>
      </c>
      <c r="B16">
        <v>21</v>
      </c>
      <c r="C16">
        <v>2</v>
      </c>
      <c r="D16">
        <v>0</v>
      </c>
      <c r="E16" t="s">
        <v>141</v>
      </c>
      <c r="F16">
        <v>2.5</v>
      </c>
      <c r="G16">
        <v>3.5</v>
      </c>
      <c r="H16" t="s">
        <v>23</v>
      </c>
      <c r="I16">
        <v>8</v>
      </c>
      <c r="J16">
        <v>100</v>
      </c>
      <c r="K16">
        <v>26.55</v>
      </c>
      <c r="L16">
        <v>98</v>
      </c>
      <c r="M16">
        <v>4</v>
      </c>
      <c r="N16">
        <v>10</v>
      </c>
      <c r="O16">
        <v>26</v>
      </c>
    </row>
    <row r="17" spans="1:15" x14ac:dyDescent="0.25">
      <c r="A17" t="s">
        <v>808</v>
      </c>
      <c r="B17">
        <v>14</v>
      </c>
      <c r="C17">
        <v>3</v>
      </c>
      <c r="D17">
        <v>0</v>
      </c>
      <c r="E17" t="s">
        <v>140</v>
      </c>
      <c r="F17">
        <v>1.25</v>
      </c>
      <c r="G17">
        <v>0</v>
      </c>
      <c r="H17" t="s">
        <v>23</v>
      </c>
      <c r="I17">
        <v>1</v>
      </c>
      <c r="J17">
        <v>100</v>
      </c>
      <c r="K17">
        <v>0.52</v>
      </c>
      <c r="L17">
        <v>8</v>
      </c>
      <c r="M17">
        <v>4</v>
      </c>
      <c r="N17">
        <v>1.25</v>
      </c>
      <c r="O17">
        <v>26</v>
      </c>
    </row>
    <row r="18" spans="1:15" x14ac:dyDescent="0.25">
      <c r="A18" t="s">
        <v>808</v>
      </c>
      <c r="B18">
        <v>23</v>
      </c>
      <c r="C18">
        <v>5</v>
      </c>
      <c r="D18">
        <v>10</v>
      </c>
      <c r="E18" t="s">
        <v>140</v>
      </c>
      <c r="F18">
        <v>0.25</v>
      </c>
      <c r="G18">
        <v>0</v>
      </c>
      <c r="H18" t="s">
        <v>23</v>
      </c>
      <c r="I18">
        <v>6</v>
      </c>
      <c r="J18">
        <v>100</v>
      </c>
      <c r="K18">
        <v>1.4</v>
      </c>
      <c r="L18">
        <v>38</v>
      </c>
      <c r="M18">
        <v>3</v>
      </c>
      <c r="N18">
        <v>0.25</v>
      </c>
      <c r="O18">
        <v>35</v>
      </c>
    </row>
    <row r="19" spans="1:15" x14ac:dyDescent="0.25">
      <c r="A19" t="s">
        <v>808</v>
      </c>
      <c r="B19">
        <v>14</v>
      </c>
      <c r="C19">
        <v>5</v>
      </c>
      <c r="D19">
        <v>20</v>
      </c>
      <c r="E19" t="s">
        <v>137</v>
      </c>
      <c r="F19">
        <v>12</v>
      </c>
      <c r="G19">
        <v>1</v>
      </c>
      <c r="H19" t="s">
        <v>24</v>
      </c>
      <c r="I19">
        <v>3</v>
      </c>
      <c r="J19">
        <v>100</v>
      </c>
    </row>
    <row r="20" spans="1:15" x14ac:dyDescent="0.25">
      <c r="A20" t="s">
        <v>823</v>
      </c>
      <c r="B20">
        <v>12</v>
      </c>
      <c r="C20">
        <v>3</v>
      </c>
      <c r="D20">
        <v>5</v>
      </c>
      <c r="E20" t="s">
        <v>132</v>
      </c>
      <c r="F20">
        <v>8</v>
      </c>
      <c r="G20">
        <v>0</v>
      </c>
      <c r="H20" t="s">
        <v>23</v>
      </c>
      <c r="I20">
        <v>7</v>
      </c>
      <c r="J20">
        <v>100</v>
      </c>
    </row>
    <row r="21" spans="1:15" x14ac:dyDescent="0.25">
      <c r="A21" t="s">
        <v>824</v>
      </c>
      <c r="B21">
        <v>15</v>
      </c>
      <c r="C21">
        <v>10</v>
      </c>
      <c r="D21">
        <v>0</v>
      </c>
      <c r="E21" t="s">
        <v>132</v>
      </c>
      <c r="F21">
        <v>1</v>
      </c>
      <c r="G21">
        <v>2.5</v>
      </c>
      <c r="H21" t="s">
        <v>23</v>
      </c>
      <c r="I21">
        <v>6</v>
      </c>
      <c r="J21">
        <v>100</v>
      </c>
      <c r="K21">
        <v>12.95</v>
      </c>
      <c r="L21">
        <v>106</v>
      </c>
      <c r="M21">
        <v>7</v>
      </c>
      <c r="N21">
        <v>6</v>
      </c>
      <c r="O21">
        <v>16</v>
      </c>
    </row>
    <row r="22" spans="1:15" x14ac:dyDescent="0.25">
      <c r="A22" t="s">
        <v>824</v>
      </c>
      <c r="B22">
        <v>12</v>
      </c>
      <c r="C22">
        <v>4</v>
      </c>
      <c r="D22">
        <v>20</v>
      </c>
      <c r="E22" t="s">
        <v>139</v>
      </c>
      <c r="F22">
        <v>2.5</v>
      </c>
      <c r="G22">
        <v>1</v>
      </c>
      <c r="H22" t="s">
        <v>23</v>
      </c>
      <c r="I22">
        <v>7</v>
      </c>
      <c r="J22">
        <v>100</v>
      </c>
      <c r="K22">
        <v>59.18</v>
      </c>
      <c r="L22">
        <v>60</v>
      </c>
      <c r="M22">
        <v>8.5</v>
      </c>
      <c r="N22">
        <v>4</v>
      </c>
      <c r="O22">
        <v>13</v>
      </c>
    </row>
    <row r="23" spans="1:15" x14ac:dyDescent="0.25">
      <c r="A23" t="s">
        <v>823</v>
      </c>
      <c r="B23">
        <v>16</v>
      </c>
      <c r="C23">
        <v>4</v>
      </c>
      <c r="D23">
        <v>20</v>
      </c>
      <c r="E23" t="s">
        <v>141</v>
      </c>
      <c r="F23">
        <v>6</v>
      </c>
      <c r="G23">
        <v>0</v>
      </c>
      <c r="H23" t="s">
        <v>23</v>
      </c>
      <c r="I23">
        <v>1</v>
      </c>
      <c r="J23">
        <v>100</v>
      </c>
      <c r="K23">
        <v>10.91</v>
      </c>
      <c r="L23">
        <v>14</v>
      </c>
      <c r="M23">
        <v>4</v>
      </c>
      <c r="N23">
        <v>6</v>
      </c>
      <c r="O23">
        <v>26</v>
      </c>
    </row>
    <row r="24" spans="1:15" x14ac:dyDescent="0.25">
      <c r="A24" t="s">
        <v>823</v>
      </c>
      <c r="B24">
        <v>21</v>
      </c>
      <c r="C24">
        <v>2</v>
      </c>
      <c r="D24">
        <v>10</v>
      </c>
      <c r="E24" t="s">
        <v>20</v>
      </c>
      <c r="F24">
        <v>6</v>
      </c>
      <c r="G24">
        <v>0</v>
      </c>
      <c r="H24" t="s">
        <v>23</v>
      </c>
      <c r="I24">
        <v>1</v>
      </c>
      <c r="J24">
        <v>100</v>
      </c>
      <c r="K24">
        <v>21.3</v>
      </c>
      <c r="L24">
        <v>10</v>
      </c>
      <c r="M24">
        <v>17</v>
      </c>
      <c r="N24">
        <v>6</v>
      </c>
      <c r="O24">
        <v>7</v>
      </c>
    </row>
    <row r="25" spans="1:15" x14ac:dyDescent="0.25">
      <c r="A25" t="s">
        <v>824</v>
      </c>
      <c r="B25">
        <v>14</v>
      </c>
      <c r="C25">
        <v>10</v>
      </c>
      <c r="D25">
        <v>10</v>
      </c>
      <c r="E25" t="s">
        <v>132</v>
      </c>
      <c r="F25">
        <v>3</v>
      </c>
      <c r="G25">
        <v>4</v>
      </c>
      <c r="H25" t="s">
        <v>24</v>
      </c>
      <c r="I25">
        <v>10</v>
      </c>
      <c r="J25">
        <v>100</v>
      </c>
    </row>
    <row r="26" spans="1:15" x14ac:dyDescent="0.25">
      <c r="A26" t="s">
        <v>808</v>
      </c>
      <c r="B26">
        <v>17</v>
      </c>
      <c r="C26">
        <v>4</v>
      </c>
      <c r="D26">
        <v>10</v>
      </c>
      <c r="E26" t="s">
        <v>132</v>
      </c>
      <c r="F26">
        <v>1</v>
      </c>
      <c r="G26">
        <v>0.75</v>
      </c>
      <c r="H26" t="s">
        <v>24</v>
      </c>
      <c r="I26">
        <v>4</v>
      </c>
      <c r="J26">
        <v>100</v>
      </c>
      <c r="K26">
        <v>11.98</v>
      </c>
      <c r="L26">
        <v>30</v>
      </c>
      <c r="M26">
        <v>9</v>
      </c>
      <c r="N26">
        <v>2.5</v>
      </c>
      <c r="O26">
        <v>13</v>
      </c>
    </row>
    <row r="27" spans="1:15" x14ac:dyDescent="0.25">
      <c r="A27" t="s">
        <v>823</v>
      </c>
      <c r="B27">
        <v>19</v>
      </c>
      <c r="C27">
        <v>2</v>
      </c>
      <c r="D27">
        <v>0</v>
      </c>
      <c r="E27" t="s">
        <v>140</v>
      </c>
      <c r="F27">
        <v>6</v>
      </c>
      <c r="G27">
        <v>0</v>
      </c>
      <c r="H27" t="s">
        <v>24</v>
      </c>
      <c r="I27">
        <v>3</v>
      </c>
      <c r="J27">
        <v>100</v>
      </c>
      <c r="K27">
        <v>10.02</v>
      </c>
      <c r="L27">
        <v>26</v>
      </c>
      <c r="M27">
        <v>4</v>
      </c>
      <c r="N27">
        <v>6</v>
      </c>
      <c r="O27">
        <v>26</v>
      </c>
    </row>
    <row r="28" spans="1:15" x14ac:dyDescent="0.25">
      <c r="A28" t="s">
        <v>824</v>
      </c>
      <c r="B28">
        <v>18</v>
      </c>
      <c r="C28">
        <v>4</v>
      </c>
      <c r="D28">
        <v>40</v>
      </c>
      <c r="E28" t="s">
        <v>137</v>
      </c>
      <c r="F28">
        <v>8</v>
      </c>
      <c r="G28">
        <v>0.5</v>
      </c>
      <c r="H28" t="s">
        <v>24</v>
      </c>
      <c r="I28">
        <v>1</v>
      </c>
      <c r="J28">
        <v>100</v>
      </c>
    </row>
    <row r="29" spans="1:15" x14ac:dyDescent="0.25">
      <c r="A29" t="s">
        <v>823</v>
      </c>
      <c r="B29">
        <v>15</v>
      </c>
      <c r="C29">
        <v>4</v>
      </c>
      <c r="D29">
        <v>20</v>
      </c>
      <c r="E29" t="s">
        <v>132</v>
      </c>
      <c r="F29">
        <v>8</v>
      </c>
      <c r="G29">
        <v>0</v>
      </c>
      <c r="H29" t="s">
        <v>23</v>
      </c>
      <c r="I29">
        <v>10</v>
      </c>
      <c r="J29">
        <v>100</v>
      </c>
    </row>
    <row r="30" spans="1:15" x14ac:dyDescent="0.25">
      <c r="A30" t="s">
        <v>823</v>
      </c>
      <c r="B30">
        <v>13</v>
      </c>
      <c r="C30">
        <v>4</v>
      </c>
      <c r="D30">
        <v>5</v>
      </c>
      <c r="E30" t="s">
        <v>132</v>
      </c>
      <c r="F30">
        <v>10</v>
      </c>
      <c r="G30">
        <v>0</v>
      </c>
      <c r="H30" t="s">
        <v>24</v>
      </c>
      <c r="I30">
        <v>6</v>
      </c>
      <c r="J30">
        <v>100</v>
      </c>
    </row>
    <row r="31" spans="1:15" x14ac:dyDescent="0.25">
      <c r="A31" t="s">
        <v>824</v>
      </c>
      <c r="B31">
        <v>13</v>
      </c>
      <c r="C31">
        <v>3</v>
      </c>
      <c r="D31">
        <v>10</v>
      </c>
      <c r="E31" t="s">
        <v>20</v>
      </c>
      <c r="F31">
        <v>0.75</v>
      </c>
      <c r="G31">
        <v>1.5</v>
      </c>
      <c r="H31" t="s">
        <v>24</v>
      </c>
      <c r="I31">
        <v>7</v>
      </c>
      <c r="J31">
        <v>100</v>
      </c>
      <c r="K31">
        <v>22.55</v>
      </c>
      <c r="L31">
        <v>50</v>
      </c>
      <c r="M31">
        <v>9</v>
      </c>
      <c r="N31">
        <v>3.5</v>
      </c>
      <c r="O31">
        <v>13</v>
      </c>
    </row>
    <row r="32" spans="1:15" x14ac:dyDescent="0.25">
      <c r="A32" t="s">
        <v>824</v>
      </c>
      <c r="B32">
        <v>14</v>
      </c>
      <c r="C32">
        <v>7</v>
      </c>
      <c r="D32">
        <v>60</v>
      </c>
      <c r="E32" t="s">
        <v>20</v>
      </c>
      <c r="F32">
        <v>2</v>
      </c>
      <c r="G32">
        <v>0.5</v>
      </c>
      <c r="H32" t="s">
        <v>24</v>
      </c>
      <c r="I32">
        <v>7</v>
      </c>
      <c r="J32">
        <v>100</v>
      </c>
      <c r="K32">
        <v>96.4</v>
      </c>
      <c r="L32">
        <v>78</v>
      </c>
      <c r="M32">
        <v>3.5</v>
      </c>
      <c r="N32">
        <v>3</v>
      </c>
      <c r="O32">
        <v>30</v>
      </c>
    </row>
    <row r="33" spans="1:15" x14ac:dyDescent="0.25">
      <c r="A33" t="s">
        <v>808</v>
      </c>
      <c r="B33">
        <v>22</v>
      </c>
      <c r="C33">
        <v>4</v>
      </c>
      <c r="D33">
        <v>60</v>
      </c>
      <c r="E33" t="s">
        <v>137</v>
      </c>
      <c r="F33">
        <v>8</v>
      </c>
      <c r="G33">
        <v>0.75</v>
      </c>
      <c r="H33" t="s">
        <v>23</v>
      </c>
      <c r="I33">
        <v>1</v>
      </c>
      <c r="J33">
        <v>100</v>
      </c>
    </row>
    <row r="34" spans="1:15" x14ac:dyDescent="0.25">
      <c r="A34" t="s">
        <v>824</v>
      </c>
      <c r="B34">
        <v>18</v>
      </c>
      <c r="C34">
        <v>7</v>
      </c>
      <c r="D34">
        <v>5</v>
      </c>
      <c r="E34" t="s">
        <v>139</v>
      </c>
      <c r="F34">
        <v>0.5</v>
      </c>
      <c r="G34">
        <v>1</v>
      </c>
      <c r="H34" t="s">
        <v>23</v>
      </c>
      <c r="I34">
        <v>9</v>
      </c>
      <c r="J34">
        <v>100</v>
      </c>
      <c r="K34">
        <v>8.8800000000000008</v>
      </c>
      <c r="L34">
        <v>94</v>
      </c>
      <c r="M34">
        <v>5</v>
      </c>
      <c r="N34">
        <v>2.5</v>
      </c>
      <c r="O34">
        <v>21</v>
      </c>
    </row>
    <row r="35" spans="1:15" x14ac:dyDescent="0.25">
      <c r="A35" t="s">
        <v>823</v>
      </c>
      <c r="B35">
        <v>15</v>
      </c>
      <c r="C35">
        <v>8</v>
      </c>
      <c r="D35">
        <v>10</v>
      </c>
      <c r="E35" t="s">
        <v>20</v>
      </c>
      <c r="F35">
        <v>6</v>
      </c>
      <c r="G35">
        <v>0</v>
      </c>
      <c r="H35" t="s">
        <v>23</v>
      </c>
      <c r="I35">
        <v>7</v>
      </c>
      <c r="J35">
        <v>100</v>
      </c>
    </row>
    <row r="36" spans="1:15" x14ac:dyDescent="0.25">
      <c r="A36" t="s">
        <v>824</v>
      </c>
      <c r="B36">
        <v>15</v>
      </c>
      <c r="C36">
        <v>2</v>
      </c>
      <c r="D36">
        <v>0</v>
      </c>
      <c r="E36" t="s">
        <v>137</v>
      </c>
      <c r="F36">
        <v>0.5</v>
      </c>
      <c r="G36">
        <v>0.75</v>
      </c>
      <c r="H36" t="s">
        <v>24</v>
      </c>
      <c r="I36">
        <v>5</v>
      </c>
      <c r="J36">
        <v>100</v>
      </c>
      <c r="K36">
        <v>1.89</v>
      </c>
      <c r="L36">
        <v>20</v>
      </c>
      <c r="M36">
        <v>6</v>
      </c>
      <c r="N36">
        <v>1.5</v>
      </c>
      <c r="O36">
        <v>18</v>
      </c>
    </row>
    <row r="37" spans="1:15" x14ac:dyDescent="0.25">
      <c r="A37" t="s">
        <v>823</v>
      </c>
      <c r="B37">
        <v>22</v>
      </c>
      <c r="C37">
        <v>2</v>
      </c>
      <c r="D37">
        <v>60</v>
      </c>
      <c r="E37" t="s">
        <v>140</v>
      </c>
      <c r="F37">
        <v>8</v>
      </c>
      <c r="G37">
        <v>0</v>
      </c>
      <c r="H37" t="s">
        <v>24</v>
      </c>
      <c r="I37">
        <v>3</v>
      </c>
      <c r="J37">
        <v>100</v>
      </c>
      <c r="K37">
        <v>81.84</v>
      </c>
      <c r="L37">
        <v>32</v>
      </c>
      <c r="M37">
        <v>4</v>
      </c>
      <c r="N37">
        <v>8</v>
      </c>
      <c r="O37">
        <v>26</v>
      </c>
    </row>
    <row r="38" spans="1:15" x14ac:dyDescent="0.25">
      <c r="A38" t="s">
        <v>823</v>
      </c>
      <c r="B38">
        <v>15</v>
      </c>
      <c r="C38">
        <v>7</v>
      </c>
      <c r="D38">
        <v>60</v>
      </c>
      <c r="E38" t="s">
        <v>139</v>
      </c>
      <c r="F38">
        <v>10</v>
      </c>
      <c r="G38">
        <v>0</v>
      </c>
      <c r="H38" t="s">
        <v>24</v>
      </c>
      <c r="I38">
        <v>1</v>
      </c>
      <c r="J38">
        <v>100</v>
      </c>
      <c r="K38">
        <v>28.8</v>
      </c>
      <c r="L38">
        <v>24</v>
      </c>
      <c r="M38">
        <v>25</v>
      </c>
      <c r="N38">
        <v>10</v>
      </c>
      <c r="O38">
        <v>5</v>
      </c>
    </row>
    <row r="39" spans="1:15" x14ac:dyDescent="0.25">
      <c r="A39" t="s">
        <v>808</v>
      </c>
      <c r="B39">
        <v>23</v>
      </c>
      <c r="C39">
        <v>3</v>
      </c>
      <c r="D39">
        <v>5</v>
      </c>
      <c r="E39" t="s">
        <v>137</v>
      </c>
      <c r="F39">
        <v>5</v>
      </c>
      <c r="G39">
        <v>1</v>
      </c>
      <c r="H39" t="s">
        <v>24</v>
      </c>
      <c r="I39">
        <v>10</v>
      </c>
      <c r="J39">
        <v>100</v>
      </c>
      <c r="K39">
        <v>124.7</v>
      </c>
      <c r="L39">
        <v>114</v>
      </c>
      <c r="M39">
        <v>2</v>
      </c>
      <c r="N39">
        <v>8</v>
      </c>
      <c r="O39">
        <v>51</v>
      </c>
    </row>
    <row r="40" spans="1:15" x14ac:dyDescent="0.25">
      <c r="A40" t="s">
        <v>824</v>
      </c>
      <c r="B40">
        <v>23</v>
      </c>
      <c r="C40">
        <v>7</v>
      </c>
      <c r="D40">
        <v>20</v>
      </c>
      <c r="E40" t="s">
        <v>20</v>
      </c>
      <c r="F40">
        <v>1.25</v>
      </c>
      <c r="G40">
        <v>0.5</v>
      </c>
      <c r="H40" t="s">
        <v>24</v>
      </c>
      <c r="I40">
        <v>5</v>
      </c>
      <c r="J40">
        <v>100</v>
      </c>
      <c r="K40">
        <v>27.96</v>
      </c>
      <c r="L40">
        <v>56</v>
      </c>
      <c r="M40">
        <v>9</v>
      </c>
      <c r="N40">
        <v>2.5</v>
      </c>
      <c r="O40">
        <v>13</v>
      </c>
    </row>
    <row r="41" spans="1:15" x14ac:dyDescent="0.25">
      <c r="A41" t="s">
        <v>823</v>
      </c>
      <c r="B41">
        <v>12</v>
      </c>
      <c r="C41">
        <v>4</v>
      </c>
      <c r="D41">
        <v>60</v>
      </c>
      <c r="E41" t="s">
        <v>141</v>
      </c>
      <c r="F41">
        <v>12</v>
      </c>
      <c r="G41">
        <v>0</v>
      </c>
      <c r="H41" t="s">
        <v>23</v>
      </c>
      <c r="I41">
        <v>5</v>
      </c>
      <c r="J41">
        <v>100</v>
      </c>
    </row>
    <row r="42" spans="1:15" x14ac:dyDescent="0.25">
      <c r="A42" t="s">
        <v>808</v>
      </c>
      <c r="B42">
        <v>16</v>
      </c>
      <c r="C42">
        <v>4</v>
      </c>
      <c r="D42">
        <v>0</v>
      </c>
      <c r="E42" t="s">
        <v>137</v>
      </c>
      <c r="F42">
        <v>8</v>
      </c>
      <c r="G42">
        <v>1.5</v>
      </c>
      <c r="H42" t="s">
        <v>24</v>
      </c>
      <c r="I42">
        <v>6</v>
      </c>
      <c r="J42">
        <v>100</v>
      </c>
    </row>
    <row r="43" spans="1:15" x14ac:dyDescent="0.25">
      <c r="A43" t="s">
        <v>808</v>
      </c>
      <c r="B43">
        <v>17</v>
      </c>
      <c r="C43">
        <v>9</v>
      </c>
      <c r="D43">
        <v>0</v>
      </c>
      <c r="E43" t="s">
        <v>140</v>
      </c>
      <c r="F43">
        <v>2</v>
      </c>
      <c r="G43">
        <v>1</v>
      </c>
      <c r="H43" t="s">
        <v>24</v>
      </c>
      <c r="I43">
        <v>7</v>
      </c>
      <c r="J43">
        <v>100</v>
      </c>
      <c r="K43">
        <v>4.95</v>
      </c>
      <c r="L43">
        <v>100</v>
      </c>
      <c r="M43">
        <v>4</v>
      </c>
      <c r="N43">
        <v>4</v>
      </c>
      <c r="O43">
        <v>26</v>
      </c>
    </row>
    <row r="44" spans="1:15" x14ac:dyDescent="0.25">
      <c r="A44" t="s">
        <v>808</v>
      </c>
      <c r="B44">
        <v>20</v>
      </c>
      <c r="C44">
        <v>4</v>
      </c>
      <c r="D44">
        <v>60</v>
      </c>
      <c r="E44" t="s">
        <v>139</v>
      </c>
      <c r="F44">
        <v>4</v>
      </c>
      <c r="G44">
        <v>0</v>
      </c>
      <c r="H44" t="s">
        <v>23</v>
      </c>
      <c r="I44">
        <v>5</v>
      </c>
      <c r="J44">
        <v>100</v>
      </c>
      <c r="K44">
        <v>107.79</v>
      </c>
      <c r="L44">
        <v>44</v>
      </c>
      <c r="M44">
        <v>6</v>
      </c>
      <c r="N44">
        <v>4</v>
      </c>
      <c r="O44">
        <v>18</v>
      </c>
    </row>
    <row r="45" spans="1:15" x14ac:dyDescent="0.25">
      <c r="A45" t="s">
        <v>823</v>
      </c>
      <c r="B45">
        <v>21</v>
      </c>
      <c r="C45">
        <v>10</v>
      </c>
      <c r="D45">
        <v>40</v>
      </c>
      <c r="E45" t="s">
        <v>20</v>
      </c>
      <c r="F45">
        <v>12</v>
      </c>
      <c r="G45">
        <v>0</v>
      </c>
      <c r="H45" t="s">
        <v>23</v>
      </c>
      <c r="I45">
        <v>1</v>
      </c>
      <c r="J45">
        <v>100</v>
      </c>
      <c r="K45">
        <v>77.3</v>
      </c>
      <c r="L45">
        <v>32</v>
      </c>
      <c r="M45">
        <v>11</v>
      </c>
      <c r="N45">
        <v>12</v>
      </c>
      <c r="O45">
        <v>11</v>
      </c>
    </row>
    <row r="46" spans="1:15" x14ac:dyDescent="0.25">
      <c r="A46" t="s">
        <v>808</v>
      </c>
      <c r="B46">
        <v>12</v>
      </c>
      <c r="C46">
        <v>3</v>
      </c>
      <c r="D46">
        <v>10</v>
      </c>
      <c r="E46" t="s">
        <v>140</v>
      </c>
      <c r="F46">
        <v>0.5</v>
      </c>
      <c r="G46">
        <v>1.5</v>
      </c>
      <c r="H46" t="s">
        <v>24</v>
      </c>
      <c r="I46">
        <v>6</v>
      </c>
      <c r="J46">
        <v>100</v>
      </c>
    </row>
    <row r="47" spans="1:15" x14ac:dyDescent="0.25">
      <c r="A47" t="s">
        <v>824</v>
      </c>
      <c r="B47">
        <v>13</v>
      </c>
      <c r="C47">
        <v>5</v>
      </c>
      <c r="D47">
        <v>0</v>
      </c>
      <c r="E47" t="s">
        <v>137</v>
      </c>
      <c r="F47">
        <v>12</v>
      </c>
      <c r="G47">
        <v>0.5</v>
      </c>
      <c r="H47" t="s">
        <v>24</v>
      </c>
      <c r="I47">
        <v>5</v>
      </c>
      <c r="J47">
        <v>100</v>
      </c>
    </row>
    <row r="48" spans="1:15" x14ac:dyDescent="0.25">
      <c r="A48" t="s">
        <v>808</v>
      </c>
      <c r="B48">
        <v>17</v>
      </c>
      <c r="C48">
        <v>5</v>
      </c>
      <c r="D48">
        <v>0</v>
      </c>
      <c r="E48" t="s">
        <v>140</v>
      </c>
      <c r="F48">
        <v>1.5</v>
      </c>
      <c r="G48">
        <v>2</v>
      </c>
      <c r="H48" t="s">
        <v>24</v>
      </c>
      <c r="I48">
        <v>10</v>
      </c>
      <c r="J48">
        <v>100</v>
      </c>
      <c r="K48">
        <v>5.26</v>
      </c>
      <c r="L48">
        <v>116</v>
      </c>
      <c r="M48">
        <v>4</v>
      </c>
      <c r="N48">
        <v>6</v>
      </c>
      <c r="O48">
        <v>26</v>
      </c>
    </row>
    <row r="49" spans="1:15" x14ac:dyDescent="0.25">
      <c r="A49" t="s">
        <v>823</v>
      </c>
      <c r="B49">
        <v>17</v>
      </c>
      <c r="C49">
        <v>6</v>
      </c>
      <c r="D49">
        <v>0</v>
      </c>
      <c r="E49" t="s">
        <v>137</v>
      </c>
      <c r="F49">
        <v>12</v>
      </c>
      <c r="G49">
        <v>0</v>
      </c>
      <c r="H49" t="s">
        <v>24</v>
      </c>
      <c r="I49">
        <v>9</v>
      </c>
      <c r="J49">
        <v>100</v>
      </c>
    </row>
    <row r="50" spans="1:15" x14ac:dyDescent="0.25">
      <c r="A50" t="s">
        <v>808</v>
      </c>
      <c r="B50">
        <v>22</v>
      </c>
      <c r="C50">
        <v>3</v>
      </c>
      <c r="D50">
        <v>10</v>
      </c>
      <c r="E50" t="s">
        <v>137</v>
      </c>
      <c r="F50">
        <v>4</v>
      </c>
      <c r="G50">
        <v>1.5</v>
      </c>
      <c r="H50" t="s">
        <v>24</v>
      </c>
      <c r="I50">
        <v>8</v>
      </c>
      <c r="J50">
        <v>100</v>
      </c>
      <c r="K50">
        <v>86.62</v>
      </c>
      <c r="L50">
        <v>92</v>
      </c>
      <c r="M50">
        <v>3.5</v>
      </c>
      <c r="N50">
        <v>8</v>
      </c>
      <c r="O50">
        <v>30</v>
      </c>
    </row>
    <row r="51" spans="1:15" x14ac:dyDescent="0.25">
      <c r="A51" t="s">
        <v>824</v>
      </c>
      <c r="B51">
        <v>21</v>
      </c>
      <c r="C51">
        <v>10</v>
      </c>
      <c r="D51">
        <v>5</v>
      </c>
      <c r="E51" t="s">
        <v>139</v>
      </c>
      <c r="F51">
        <v>2.5</v>
      </c>
      <c r="G51">
        <v>0</v>
      </c>
      <c r="H51" t="s">
        <v>24</v>
      </c>
      <c r="I51">
        <v>6</v>
      </c>
      <c r="J51">
        <v>100</v>
      </c>
      <c r="K51">
        <v>18.32</v>
      </c>
      <c r="L51">
        <v>86</v>
      </c>
      <c r="M51">
        <v>13</v>
      </c>
      <c r="N51">
        <v>2.5</v>
      </c>
      <c r="O51">
        <v>9</v>
      </c>
    </row>
    <row r="52" spans="1:15" x14ac:dyDescent="0.25">
      <c r="A52" t="s">
        <v>824</v>
      </c>
      <c r="B52">
        <v>14</v>
      </c>
      <c r="C52">
        <v>5</v>
      </c>
      <c r="D52">
        <v>20</v>
      </c>
      <c r="E52" t="s">
        <v>132</v>
      </c>
      <c r="F52">
        <v>2</v>
      </c>
      <c r="G52">
        <v>1.5</v>
      </c>
      <c r="H52" t="s">
        <v>24</v>
      </c>
      <c r="I52">
        <v>1</v>
      </c>
      <c r="J52">
        <v>100</v>
      </c>
      <c r="K52">
        <v>4.3</v>
      </c>
      <c r="L52">
        <v>16</v>
      </c>
      <c r="M52">
        <v>13</v>
      </c>
      <c r="N52">
        <v>5</v>
      </c>
      <c r="O52">
        <v>9</v>
      </c>
    </row>
    <row r="53" spans="1:15" x14ac:dyDescent="0.25">
      <c r="A53" t="s">
        <v>808</v>
      </c>
      <c r="B53">
        <v>17</v>
      </c>
      <c r="C53">
        <v>8</v>
      </c>
      <c r="D53">
        <v>40</v>
      </c>
      <c r="E53" t="s">
        <v>132</v>
      </c>
      <c r="F53">
        <v>1.25</v>
      </c>
      <c r="H53" t="s">
        <v>24</v>
      </c>
      <c r="I53">
        <v>7</v>
      </c>
      <c r="J53">
        <v>100</v>
      </c>
      <c r="K53">
        <v>31.93</v>
      </c>
      <c r="L53">
        <v>74</v>
      </c>
      <c r="M53">
        <v>9</v>
      </c>
      <c r="N53">
        <v>1.25</v>
      </c>
      <c r="O53">
        <v>13</v>
      </c>
    </row>
    <row r="54" spans="1:15" x14ac:dyDescent="0.25">
      <c r="A54" t="s">
        <v>808</v>
      </c>
      <c r="B54">
        <v>12</v>
      </c>
      <c r="C54">
        <v>7</v>
      </c>
      <c r="D54">
        <v>60</v>
      </c>
      <c r="E54" t="s">
        <v>132</v>
      </c>
      <c r="F54">
        <v>3.5</v>
      </c>
      <c r="G54">
        <v>3</v>
      </c>
      <c r="H54" t="s">
        <v>24</v>
      </c>
      <c r="I54">
        <v>8</v>
      </c>
      <c r="J54">
        <v>100</v>
      </c>
    </row>
    <row r="55" spans="1:15" x14ac:dyDescent="0.25">
      <c r="A55" t="s">
        <v>823</v>
      </c>
      <c r="B55">
        <v>15</v>
      </c>
      <c r="C55">
        <v>7</v>
      </c>
      <c r="D55">
        <v>40</v>
      </c>
      <c r="E55" t="s">
        <v>140</v>
      </c>
      <c r="F55">
        <v>12</v>
      </c>
      <c r="G55">
        <v>0</v>
      </c>
      <c r="H55" t="s">
        <v>24</v>
      </c>
      <c r="I55">
        <v>3</v>
      </c>
      <c r="J55">
        <v>100</v>
      </c>
      <c r="K55">
        <v>96.07</v>
      </c>
      <c r="L55">
        <v>64</v>
      </c>
      <c r="M55">
        <v>4</v>
      </c>
      <c r="N55">
        <v>12</v>
      </c>
      <c r="O55">
        <v>26</v>
      </c>
    </row>
    <row r="56" spans="1:15" x14ac:dyDescent="0.25">
      <c r="A56" t="s">
        <v>824</v>
      </c>
      <c r="B56">
        <v>17</v>
      </c>
      <c r="C56">
        <v>6</v>
      </c>
      <c r="D56">
        <v>60</v>
      </c>
      <c r="E56" t="s">
        <v>140</v>
      </c>
      <c r="F56">
        <v>4</v>
      </c>
      <c r="G56">
        <v>3</v>
      </c>
      <c r="H56" t="s">
        <v>23</v>
      </c>
      <c r="I56">
        <v>3</v>
      </c>
      <c r="J56">
        <v>100</v>
      </c>
      <c r="K56">
        <v>105.3</v>
      </c>
      <c r="L56">
        <v>54</v>
      </c>
      <c r="M56">
        <v>4</v>
      </c>
      <c r="N56">
        <v>10</v>
      </c>
      <c r="O56">
        <v>26</v>
      </c>
    </row>
    <row r="57" spans="1:15" x14ac:dyDescent="0.25">
      <c r="A57" t="s">
        <v>823</v>
      </c>
      <c r="B57">
        <v>22</v>
      </c>
      <c r="C57">
        <v>9</v>
      </c>
      <c r="D57">
        <v>5</v>
      </c>
      <c r="E57" t="s">
        <v>140</v>
      </c>
      <c r="F57">
        <v>12</v>
      </c>
      <c r="G57">
        <v>0</v>
      </c>
      <c r="H57" t="s">
        <v>24</v>
      </c>
      <c r="I57">
        <v>1</v>
      </c>
      <c r="J57">
        <v>100</v>
      </c>
      <c r="K57">
        <v>6.39</v>
      </c>
      <c r="L57">
        <v>30</v>
      </c>
      <c r="M57">
        <v>4</v>
      </c>
      <c r="N57">
        <v>12</v>
      </c>
      <c r="O57">
        <v>26</v>
      </c>
    </row>
    <row r="58" spans="1:15" x14ac:dyDescent="0.25">
      <c r="A58" t="s">
        <v>824</v>
      </c>
      <c r="B58">
        <v>13</v>
      </c>
      <c r="C58">
        <v>8</v>
      </c>
      <c r="D58">
        <v>60</v>
      </c>
      <c r="E58" t="s">
        <v>140</v>
      </c>
      <c r="F58">
        <v>4</v>
      </c>
      <c r="G58">
        <v>3</v>
      </c>
      <c r="H58" t="s">
        <v>23</v>
      </c>
      <c r="I58">
        <v>2</v>
      </c>
      <c r="J58">
        <v>100</v>
      </c>
      <c r="K58">
        <v>70.2</v>
      </c>
      <c r="L58">
        <v>44</v>
      </c>
      <c r="M58">
        <v>4</v>
      </c>
      <c r="N58">
        <v>10</v>
      </c>
      <c r="O58">
        <v>26</v>
      </c>
    </row>
    <row r="59" spans="1:15" x14ac:dyDescent="0.25">
      <c r="A59" t="s">
        <v>808</v>
      </c>
      <c r="B59">
        <v>13</v>
      </c>
      <c r="C59">
        <v>4</v>
      </c>
      <c r="D59">
        <v>40</v>
      </c>
      <c r="E59" t="s">
        <v>141</v>
      </c>
      <c r="F59">
        <v>5</v>
      </c>
      <c r="G59">
        <v>2</v>
      </c>
      <c r="H59" t="s">
        <v>24</v>
      </c>
      <c r="I59">
        <v>1</v>
      </c>
      <c r="J59">
        <v>100</v>
      </c>
      <c r="K59">
        <v>11.44</v>
      </c>
      <c r="L59">
        <v>18</v>
      </c>
      <c r="M59">
        <v>4</v>
      </c>
      <c r="N59">
        <v>10</v>
      </c>
      <c r="O59">
        <v>26</v>
      </c>
    </row>
    <row r="60" spans="1:15" x14ac:dyDescent="0.25">
      <c r="A60" t="s">
        <v>808</v>
      </c>
      <c r="B60">
        <v>23</v>
      </c>
      <c r="C60">
        <v>10</v>
      </c>
      <c r="D60">
        <v>60</v>
      </c>
      <c r="E60" t="s">
        <v>132</v>
      </c>
      <c r="F60">
        <v>10</v>
      </c>
      <c r="G60">
        <v>0</v>
      </c>
      <c r="H60" t="s">
        <v>23</v>
      </c>
      <c r="I60">
        <v>9</v>
      </c>
      <c r="J60">
        <v>100</v>
      </c>
    </row>
    <row r="61" spans="1:15" x14ac:dyDescent="0.25">
      <c r="A61" t="s">
        <v>824</v>
      </c>
      <c r="B61">
        <v>12</v>
      </c>
      <c r="C61">
        <v>2</v>
      </c>
      <c r="D61">
        <v>40</v>
      </c>
      <c r="E61" t="s">
        <v>20</v>
      </c>
      <c r="F61">
        <v>2.5</v>
      </c>
      <c r="G61">
        <v>0.5</v>
      </c>
      <c r="H61" t="s">
        <v>23</v>
      </c>
      <c r="I61">
        <v>4</v>
      </c>
      <c r="J61">
        <v>100</v>
      </c>
      <c r="K61">
        <v>66.69</v>
      </c>
      <c r="L61">
        <v>24</v>
      </c>
      <c r="M61">
        <v>11</v>
      </c>
      <c r="N61">
        <v>3.5</v>
      </c>
      <c r="O61">
        <v>11</v>
      </c>
    </row>
    <row r="62" spans="1:15" x14ac:dyDescent="0.25">
      <c r="A62" t="s">
        <v>808</v>
      </c>
      <c r="B62">
        <v>23</v>
      </c>
      <c r="C62">
        <v>8</v>
      </c>
      <c r="D62">
        <v>5</v>
      </c>
      <c r="E62" t="s">
        <v>140</v>
      </c>
      <c r="F62">
        <v>0.5</v>
      </c>
      <c r="G62">
        <v>0</v>
      </c>
      <c r="H62" t="s">
        <v>23</v>
      </c>
      <c r="I62">
        <v>8</v>
      </c>
      <c r="J62">
        <v>100</v>
      </c>
      <c r="K62">
        <v>3.17</v>
      </c>
      <c r="L62">
        <v>76</v>
      </c>
      <c r="M62">
        <v>3</v>
      </c>
      <c r="N62">
        <v>0.5</v>
      </c>
      <c r="O62">
        <v>35</v>
      </c>
    </row>
    <row r="63" spans="1:15" x14ac:dyDescent="0.25">
      <c r="A63" t="s">
        <v>823</v>
      </c>
      <c r="B63">
        <v>21</v>
      </c>
      <c r="C63">
        <v>10</v>
      </c>
      <c r="D63">
        <v>5</v>
      </c>
      <c r="E63" t="s">
        <v>132</v>
      </c>
      <c r="F63">
        <v>6</v>
      </c>
      <c r="G63">
        <v>0</v>
      </c>
      <c r="H63" t="s">
        <v>24</v>
      </c>
      <c r="I63">
        <v>8</v>
      </c>
      <c r="J63">
        <v>100</v>
      </c>
    </row>
    <row r="64" spans="1:15" x14ac:dyDescent="0.25">
      <c r="A64" t="s">
        <v>824</v>
      </c>
      <c r="B64">
        <v>17</v>
      </c>
      <c r="C64">
        <v>6</v>
      </c>
      <c r="D64">
        <v>20</v>
      </c>
      <c r="E64" t="s">
        <v>137</v>
      </c>
      <c r="F64">
        <v>12</v>
      </c>
      <c r="G64">
        <v>1</v>
      </c>
      <c r="H64" t="s">
        <v>24</v>
      </c>
      <c r="I64">
        <v>3</v>
      </c>
      <c r="J64">
        <v>100</v>
      </c>
    </row>
    <row r="65" spans="1:15" x14ac:dyDescent="0.25">
      <c r="A65" t="s">
        <v>823</v>
      </c>
      <c r="B65">
        <v>20</v>
      </c>
      <c r="C65">
        <v>6</v>
      </c>
      <c r="D65">
        <v>5</v>
      </c>
      <c r="E65" t="s">
        <v>139</v>
      </c>
      <c r="F65">
        <v>6</v>
      </c>
      <c r="G65">
        <v>0</v>
      </c>
      <c r="H65" t="s">
        <v>23</v>
      </c>
      <c r="I65">
        <v>2</v>
      </c>
      <c r="J65">
        <v>100</v>
      </c>
      <c r="K65">
        <v>46.36</v>
      </c>
      <c r="L65">
        <v>30</v>
      </c>
      <c r="M65">
        <v>14</v>
      </c>
      <c r="N65">
        <v>6</v>
      </c>
      <c r="O65">
        <v>9</v>
      </c>
    </row>
    <row r="66" spans="1:15" x14ac:dyDescent="0.25">
      <c r="A66" t="s">
        <v>823</v>
      </c>
      <c r="B66">
        <v>20</v>
      </c>
      <c r="C66">
        <v>4</v>
      </c>
      <c r="D66">
        <v>5</v>
      </c>
      <c r="E66" t="s">
        <v>132</v>
      </c>
      <c r="F66">
        <v>6</v>
      </c>
      <c r="G66">
        <v>0</v>
      </c>
      <c r="H66" t="s">
        <v>23</v>
      </c>
      <c r="I66">
        <v>7</v>
      </c>
      <c r="J66">
        <v>100</v>
      </c>
    </row>
    <row r="67" spans="1:15" x14ac:dyDescent="0.25">
      <c r="A67" t="s">
        <v>808</v>
      </c>
      <c r="B67">
        <v>21</v>
      </c>
      <c r="C67">
        <v>6</v>
      </c>
      <c r="D67">
        <v>40</v>
      </c>
      <c r="E67" t="s">
        <v>132</v>
      </c>
      <c r="F67">
        <v>12</v>
      </c>
      <c r="G67">
        <v>0</v>
      </c>
      <c r="H67" t="s">
        <v>24</v>
      </c>
      <c r="I67">
        <v>4</v>
      </c>
      <c r="J67">
        <v>100</v>
      </c>
    </row>
    <row r="68" spans="1:15" x14ac:dyDescent="0.25">
      <c r="A68" t="s">
        <v>823</v>
      </c>
      <c r="B68">
        <v>16</v>
      </c>
      <c r="C68">
        <v>9</v>
      </c>
      <c r="D68">
        <v>5</v>
      </c>
      <c r="E68" t="s">
        <v>132</v>
      </c>
      <c r="F68">
        <v>10</v>
      </c>
      <c r="G68">
        <v>0</v>
      </c>
      <c r="H68" t="s">
        <v>23</v>
      </c>
      <c r="I68">
        <v>3</v>
      </c>
      <c r="J68">
        <v>100</v>
      </c>
    </row>
    <row r="69" spans="1:15" x14ac:dyDescent="0.25">
      <c r="A69" t="s">
        <v>808</v>
      </c>
      <c r="B69">
        <v>12</v>
      </c>
      <c r="C69">
        <v>3</v>
      </c>
      <c r="D69">
        <v>60</v>
      </c>
      <c r="E69" t="s">
        <v>132</v>
      </c>
      <c r="F69">
        <v>3.5</v>
      </c>
      <c r="G69">
        <v>3</v>
      </c>
      <c r="H69" t="s">
        <v>23</v>
      </c>
      <c r="I69">
        <v>9</v>
      </c>
      <c r="J69">
        <v>100</v>
      </c>
    </row>
    <row r="70" spans="1:15" x14ac:dyDescent="0.25">
      <c r="A70" t="s">
        <v>823</v>
      </c>
      <c r="B70">
        <v>20</v>
      </c>
      <c r="C70">
        <v>7</v>
      </c>
      <c r="D70">
        <v>60</v>
      </c>
      <c r="E70" t="s">
        <v>141</v>
      </c>
      <c r="F70">
        <v>8</v>
      </c>
      <c r="G70">
        <v>0</v>
      </c>
      <c r="H70" t="s">
        <v>23</v>
      </c>
      <c r="I70">
        <v>7</v>
      </c>
      <c r="J70">
        <v>100</v>
      </c>
    </row>
    <row r="71" spans="1:15" x14ac:dyDescent="0.25">
      <c r="A71" t="s">
        <v>824</v>
      </c>
      <c r="B71">
        <v>16</v>
      </c>
      <c r="C71">
        <v>3</v>
      </c>
      <c r="D71">
        <v>10</v>
      </c>
      <c r="E71" t="s">
        <v>139</v>
      </c>
      <c r="F71">
        <v>0.5</v>
      </c>
      <c r="G71">
        <v>1.5</v>
      </c>
      <c r="H71" t="s">
        <v>23</v>
      </c>
      <c r="I71">
        <v>9</v>
      </c>
      <c r="J71">
        <v>100</v>
      </c>
      <c r="K71">
        <v>18.16</v>
      </c>
      <c r="L71">
        <v>62</v>
      </c>
      <c r="M71">
        <v>5</v>
      </c>
      <c r="N71">
        <v>3.5</v>
      </c>
      <c r="O71">
        <v>21</v>
      </c>
    </row>
    <row r="72" spans="1:15" x14ac:dyDescent="0.25">
      <c r="A72" t="s">
        <v>824</v>
      </c>
      <c r="B72">
        <v>14</v>
      </c>
      <c r="C72">
        <v>4</v>
      </c>
      <c r="D72">
        <v>5</v>
      </c>
      <c r="E72" t="s">
        <v>140</v>
      </c>
      <c r="F72">
        <v>0.25</v>
      </c>
      <c r="G72">
        <v>0</v>
      </c>
      <c r="H72" t="s">
        <v>24</v>
      </c>
      <c r="I72">
        <v>8</v>
      </c>
      <c r="J72">
        <v>100</v>
      </c>
      <c r="K72">
        <v>1.05</v>
      </c>
      <c r="L72">
        <v>38</v>
      </c>
      <c r="M72">
        <v>3</v>
      </c>
      <c r="N72">
        <v>0.25</v>
      </c>
      <c r="O72">
        <v>35</v>
      </c>
    </row>
    <row r="73" spans="1:15" x14ac:dyDescent="0.25">
      <c r="A73" t="s">
        <v>824</v>
      </c>
      <c r="B73">
        <v>14</v>
      </c>
      <c r="C73">
        <v>2</v>
      </c>
      <c r="D73">
        <v>40</v>
      </c>
      <c r="E73" t="s">
        <v>141</v>
      </c>
      <c r="F73">
        <v>5</v>
      </c>
      <c r="G73">
        <v>3.5</v>
      </c>
      <c r="H73" t="s">
        <v>24</v>
      </c>
      <c r="I73">
        <v>5</v>
      </c>
      <c r="J73">
        <v>100</v>
      </c>
      <c r="K73">
        <v>132.69</v>
      </c>
      <c r="L73">
        <v>72</v>
      </c>
      <c r="M73">
        <v>3</v>
      </c>
      <c r="N73">
        <v>12</v>
      </c>
      <c r="O73">
        <v>35</v>
      </c>
    </row>
    <row r="74" spans="1:15" x14ac:dyDescent="0.25">
      <c r="A74" t="s">
        <v>823</v>
      </c>
      <c r="B74">
        <v>16</v>
      </c>
      <c r="C74">
        <v>4</v>
      </c>
      <c r="D74">
        <v>10</v>
      </c>
      <c r="E74" t="s">
        <v>141</v>
      </c>
      <c r="F74">
        <v>6</v>
      </c>
      <c r="G74">
        <v>0</v>
      </c>
      <c r="H74" t="s">
        <v>24</v>
      </c>
      <c r="I74">
        <v>8</v>
      </c>
      <c r="J74">
        <v>100</v>
      </c>
      <c r="K74">
        <v>62.22</v>
      </c>
      <c r="L74">
        <v>84</v>
      </c>
      <c r="M74">
        <v>4</v>
      </c>
      <c r="N74">
        <v>6</v>
      </c>
      <c r="O74">
        <v>26</v>
      </c>
    </row>
    <row r="75" spans="1:15" x14ac:dyDescent="0.25">
      <c r="A75" t="s">
        <v>824</v>
      </c>
      <c r="B75">
        <v>18</v>
      </c>
      <c r="C75">
        <v>7</v>
      </c>
      <c r="D75">
        <v>40</v>
      </c>
      <c r="E75" t="s">
        <v>140</v>
      </c>
      <c r="F75">
        <v>2</v>
      </c>
      <c r="G75">
        <v>1</v>
      </c>
      <c r="H75" t="s">
        <v>24</v>
      </c>
      <c r="I75">
        <v>4</v>
      </c>
      <c r="J75">
        <v>100</v>
      </c>
      <c r="K75">
        <v>32.159999999999997</v>
      </c>
      <c r="L75">
        <v>52</v>
      </c>
      <c r="M75">
        <v>4</v>
      </c>
      <c r="N75">
        <v>4</v>
      </c>
      <c r="O75">
        <v>26</v>
      </c>
    </row>
    <row r="76" spans="1:15" x14ac:dyDescent="0.25">
      <c r="A76" t="s">
        <v>808</v>
      </c>
      <c r="B76">
        <v>17</v>
      </c>
      <c r="C76">
        <v>10</v>
      </c>
      <c r="D76">
        <v>5</v>
      </c>
      <c r="E76" t="s">
        <v>141</v>
      </c>
      <c r="F76">
        <v>1.25</v>
      </c>
      <c r="G76">
        <v>0.75</v>
      </c>
      <c r="H76" t="s">
        <v>23</v>
      </c>
      <c r="I76">
        <v>6</v>
      </c>
      <c r="J76">
        <v>100</v>
      </c>
      <c r="K76">
        <v>10.93</v>
      </c>
      <c r="L76">
        <v>88</v>
      </c>
      <c r="M76">
        <v>4</v>
      </c>
      <c r="N76">
        <v>3</v>
      </c>
      <c r="O76">
        <v>26</v>
      </c>
    </row>
    <row r="77" spans="1:15" x14ac:dyDescent="0.25">
      <c r="A77" t="s">
        <v>824</v>
      </c>
      <c r="B77">
        <v>19</v>
      </c>
      <c r="C77">
        <v>8</v>
      </c>
      <c r="D77">
        <v>0</v>
      </c>
      <c r="E77" t="s">
        <v>132</v>
      </c>
      <c r="F77">
        <v>10</v>
      </c>
      <c r="G77">
        <v>0</v>
      </c>
      <c r="H77" t="s">
        <v>23</v>
      </c>
      <c r="I77">
        <v>3</v>
      </c>
      <c r="J77">
        <v>100</v>
      </c>
    </row>
    <row r="78" spans="1:15" x14ac:dyDescent="0.25">
      <c r="A78" t="s">
        <v>823</v>
      </c>
      <c r="B78">
        <v>20</v>
      </c>
      <c r="C78">
        <v>9</v>
      </c>
      <c r="D78">
        <v>5</v>
      </c>
      <c r="E78" t="s">
        <v>132</v>
      </c>
      <c r="F78">
        <v>10</v>
      </c>
      <c r="G78">
        <v>0</v>
      </c>
      <c r="H78" t="s">
        <v>24</v>
      </c>
      <c r="I78">
        <v>6</v>
      </c>
      <c r="J78">
        <v>100</v>
      </c>
    </row>
    <row r="79" spans="1:15" x14ac:dyDescent="0.25">
      <c r="A79" t="s">
        <v>824</v>
      </c>
      <c r="B79">
        <v>22</v>
      </c>
      <c r="C79">
        <v>2</v>
      </c>
      <c r="D79">
        <v>40</v>
      </c>
      <c r="E79" t="s">
        <v>139</v>
      </c>
      <c r="F79">
        <v>3</v>
      </c>
      <c r="G79">
        <v>0</v>
      </c>
      <c r="H79" t="s">
        <v>24</v>
      </c>
      <c r="I79">
        <v>9</v>
      </c>
      <c r="J79">
        <v>100</v>
      </c>
      <c r="K79">
        <v>79.47</v>
      </c>
      <c r="L79">
        <v>48</v>
      </c>
      <c r="M79">
        <v>8</v>
      </c>
      <c r="N79">
        <v>3</v>
      </c>
      <c r="O79">
        <v>14</v>
      </c>
    </row>
    <row r="80" spans="1:15" x14ac:dyDescent="0.25">
      <c r="A80" t="s">
        <v>808</v>
      </c>
      <c r="B80">
        <v>21</v>
      </c>
      <c r="C80">
        <v>2</v>
      </c>
      <c r="D80">
        <v>5</v>
      </c>
      <c r="E80" t="s">
        <v>141</v>
      </c>
      <c r="F80">
        <v>0.5</v>
      </c>
      <c r="G80">
        <v>2.5</v>
      </c>
      <c r="H80" t="s">
        <v>23</v>
      </c>
      <c r="I80">
        <v>10</v>
      </c>
      <c r="J80">
        <v>100</v>
      </c>
      <c r="K80">
        <v>16.41</v>
      </c>
      <c r="L80">
        <v>82</v>
      </c>
      <c r="M80">
        <v>3</v>
      </c>
      <c r="N80">
        <v>6</v>
      </c>
      <c r="O80">
        <v>35</v>
      </c>
    </row>
    <row r="81" spans="1:15" x14ac:dyDescent="0.25">
      <c r="A81" t="s">
        <v>824</v>
      </c>
      <c r="B81">
        <v>12</v>
      </c>
      <c r="C81">
        <v>8</v>
      </c>
      <c r="D81">
        <v>60</v>
      </c>
      <c r="E81" t="s">
        <v>132</v>
      </c>
      <c r="F81">
        <v>0.5</v>
      </c>
      <c r="G81">
        <v>1.5</v>
      </c>
      <c r="H81" t="s">
        <v>23</v>
      </c>
      <c r="I81">
        <v>7</v>
      </c>
      <c r="J81">
        <v>100</v>
      </c>
      <c r="K81">
        <v>74.83</v>
      </c>
      <c r="L81">
        <v>90</v>
      </c>
      <c r="M81">
        <v>4</v>
      </c>
      <c r="N81">
        <v>3.5</v>
      </c>
      <c r="O81">
        <v>26</v>
      </c>
    </row>
    <row r="82" spans="1:15" x14ac:dyDescent="0.25">
      <c r="A82" t="s">
        <v>824</v>
      </c>
      <c r="B82">
        <v>20</v>
      </c>
      <c r="C82">
        <v>4</v>
      </c>
      <c r="D82">
        <v>0</v>
      </c>
      <c r="E82" t="s">
        <v>139</v>
      </c>
      <c r="F82">
        <v>0.5</v>
      </c>
      <c r="G82">
        <v>0</v>
      </c>
      <c r="H82" t="s">
        <v>24</v>
      </c>
      <c r="I82">
        <v>8</v>
      </c>
      <c r="J82">
        <v>100</v>
      </c>
      <c r="K82">
        <v>2.2799999999999998</v>
      </c>
      <c r="L82">
        <v>40</v>
      </c>
      <c r="M82">
        <v>6</v>
      </c>
      <c r="N82">
        <v>0.5</v>
      </c>
      <c r="O82">
        <v>18</v>
      </c>
    </row>
    <row r="83" spans="1:15" x14ac:dyDescent="0.25">
      <c r="A83" t="s">
        <v>808</v>
      </c>
      <c r="B83">
        <v>20</v>
      </c>
      <c r="C83">
        <v>10</v>
      </c>
      <c r="D83">
        <v>20</v>
      </c>
      <c r="E83" t="s">
        <v>141</v>
      </c>
      <c r="F83">
        <v>1.5</v>
      </c>
      <c r="G83">
        <v>3</v>
      </c>
      <c r="H83" t="s">
        <v>24</v>
      </c>
      <c r="I83">
        <v>7</v>
      </c>
      <c r="J83">
        <v>100</v>
      </c>
    </row>
    <row r="84" spans="1:15" x14ac:dyDescent="0.25">
      <c r="A84" t="s">
        <v>808</v>
      </c>
      <c r="B84">
        <v>24</v>
      </c>
      <c r="C84">
        <v>3</v>
      </c>
      <c r="D84">
        <v>60</v>
      </c>
      <c r="E84" t="s">
        <v>140</v>
      </c>
      <c r="F84">
        <v>0.125</v>
      </c>
      <c r="G84">
        <v>0</v>
      </c>
      <c r="H84" t="s">
        <v>24</v>
      </c>
      <c r="I84">
        <v>8</v>
      </c>
      <c r="J84">
        <v>100</v>
      </c>
    </row>
    <row r="85" spans="1:15" x14ac:dyDescent="0.25">
      <c r="A85" t="s">
        <v>808</v>
      </c>
      <c r="B85">
        <v>12</v>
      </c>
      <c r="C85">
        <v>4</v>
      </c>
      <c r="D85">
        <v>0</v>
      </c>
      <c r="E85" t="s">
        <v>140</v>
      </c>
      <c r="F85">
        <v>5</v>
      </c>
      <c r="G85">
        <v>0.75</v>
      </c>
      <c r="H85" t="s">
        <v>24</v>
      </c>
      <c r="I85">
        <v>2</v>
      </c>
      <c r="J85">
        <v>100</v>
      </c>
      <c r="K85">
        <v>6.09</v>
      </c>
      <c r="L85">
        <v>28</v>
      </c>
      <c r="M85">
        <v>4</v>
      </c>
      <c r="N85">
        <v>8</v>
      </c>
      <c r="O85">
        <v>26</v>
      </c>
    </row>
    <row r="86" spans="1:15" x14ac:dyDescent="0.25">
      <c r="A86" t="s">
        <v>823</v>
      </c>
      <c r="B86">
        <v>21</v>
      </c>
      <c r="C86">
        <v>9</v>
      </c>
      <c r="D86">
        <v>0</v>
      </c>
      <c r="E86" t="s">
        <v>20</v>
      </c>
      <c r="F86">
        <v>10</v>
      </c>
      <c r="G86">
        <v>0</v>
      </c>
      <c r="H86" t="s">
        <v>24</v>
      </c>
      <c r="I86">
        <v>2</v>
      </c>
      <c r="J86">
        <v>100</v>
      </c>
      <c r="K86">
        <v>129.47999999999999</v>
      </c>
      <c r="L86">
        <v>48</v>
      </c>
      <c r="M86">
        <v>5</v>
      </c>
      <c r="N86">
        <v>10</v>
      </c>
      <c r="O86">
        <v>21</v>
      </c>
    </row>
    <row r="87" spans="1:15" x14ac:dyDescent="0.25">
      <c r="A87" t="s">
        <v>808</v>
      </c>
      <c r="B87">
        <v>17</v>
      </c>
      <c r="C87">
        <v>5</v>
      </c>
      <c r="D87">
        <v>10</v>
      </c>
      <c r="E87" t="s">
        <v>139</v>
      </c>
      <c r="F87">
        <v>1.25</v>
      </c>
      <c r="G87">
        <v>0.75</v>
      </c>
      <c r="H87" t="s">
        <v>23</v>
      </c>
      <c r="I87">
        <v>9</v>
      </c>
      <c r="J87">
        <v>100</v>
      </c>
      <c r="K87">
        <v>23.95</v>
      </c>
      <c r="L87">
        <v>74</v>
      </c>
      <c r="M87">
        <v>7</v>
      </c>
      <c r="N87">
        <v>2.5</v>
      </c>
      <c r="O87">
        <v>16</v>
      </c>
    </row>
    <row r="88" spans="1:15" x14ac:dyDescent="0.25">
      <c r="A88" t="s">
        <v>823</v>
      </c>
      <c r="B88">
        <v>24</v>
      </c>
      <c r="C88">
        <v>5</v>
      </c>
      <c r="D88">
        <v>60</v>
      </c>
      <c r="E88" t="s">
        <v>140</v>
      </c>
      <c r="F88">
        <v>12</v>
      </c>
      <c r="G88">
        <v>0</v>
      </c>
      <c r="H88" t="s">
        <v>23</v>
      </c>
      <c r="I88">
        <v>4</v>
      </c>
      <c r="J88">
        <v>100</v>
      </c>
    </row>
    <row r="89" spans="1:15" x14ac:dyDescent="0.25">
      <c r="A89" t="s">
        <v>823</v>
      </c>
      <c r="B89">
        <v>17</v>
      </c>
      <c r="C89">
        <v>5</v>
      </c>
      <c r="D89">
        <v>40</v>
      </c>
      <c r="E89" t="s">
        <v>20</v>
      </c>
      <c r="F89">
        <v>12</v>
      </c>
      <c r="G89">
        <v>0</v>
      </c>
      <c r="H89" t="s">
        <v>24</v>
      </c>
      <c r="I89">
        <v>9</v>
      </c>
      <c r="J89">
        <v>100</v>
      </c>
    </row>
    <row r="90" spans="1:15" x14ac:dyDescent="0.25">
      <c r="A90" t="s">
        <v>823</v>
      </c>
      <c r="B90">
        <v>12</v>
      </c>
      <c r="C90">
        <v>6</v>
      </c>
      <c r="D90">
        <v>0</v>
      </c>
      <c r="E90" t="s">
        <v>132</v>
      </c>
      <c r="F90">
        <v>8</v>
      </c>
      <c r="G90">
        <v>0</v>
      </c>
      <c r="H90" t="s">
        <v>23</v>
      </c>
      <c r="I90">
        <v>1</v>
      </c>
      <c r="J90">
        <v>100</v>
      </c>
      <c r="K90">
        <v>23.58</v>
      </c>
      <c r="L90">
        <v>20</v>
      </c>
      <c r="M90">
        <v>19</v>
      </c>
      <c r="N90">
        <v>8</v>
      </c>
      <c r="O90">
        <v>7</v>
      </c>
    </row>
    <row r="91" spans="1:15" x14ac:dyDescent="0.25">
      <c r="A91" t="s">
        <v>824</v>
      </c>
      <c r="B91">
        <v>23</v>
      </c>
      <c r="C91">
        <v>2</v>
      </c>
      <c r="D91">
        <v>20</v>
      </c>
      <c r="E91" t="s">
        <v>132</v>
      </c>
      <c r="F91">
        <v>2.5</v>
      </c>
      <c r="G91">
        <v>3</v>
      </c>
      <c r="H91" t="s">
        <v>23</v>
      </c>
      <c r="I91">
        <v>2</v>
      </c>
      <c r="J91">
        <v>100</v>
      </c>
      <c r="K91">
        <v>35.21</v>
      </c>
      <c r="L91">
        <v>26</v>
      </c>
      <c r="M91">
        <v>11</v>
      </c>
      <c r="N91">
        <v>10</v>
      </c>
      <c r="O91">
        <v>11</v>
      </c>
    </row>
    <row r="92" spans="1:15" x14ac:dyDescent="0.25">
      <c r="A92" t="s">
        <v>823</v>
      </c>
      <c r="B92">
        <v>16</v>
      </c>
      <c r="C92">
        <v>10</v>
      </c>
      <c r="D92">
        <v>5</v>
      </c>
      <c r="E92" t="s">
        <v>139</v>
      </c>
      <c r="F92">
        <v>6</v>
      </c>
      <c r="G92">
        <v>0</v>
      </c>
      <c r="H92" t="s">
        <v>23</v>
      </c>
      <c r="I92">
        <v>2</v>
      </c>
      <c r="J92">
        <v>100</v>
      </c>
      <c r="K92">
        <v>46.36</v>
      </c>
      <c r="L92">
        <v>42</v>
      </c>
      <c r="M92">
        <v>14</v>
      </c>
      <c r="N92">
        <v>6</v>
      </c>
      <c r="O92">
        <v>9</v>
      </c>
    </row>
    <row r="93" spans="1:15" x14ac:dyDescent="0.25">
      <c r="A93" t="s">
        <v>824</v>
      </c>
      <c r="B93">
        <v>22</v>
      </c>
      <c r="C93">
        <v>3</v>
      </c>
      <c r="D93">
        <v>40</v>
      </c>
      <c r="E93" t="s">
        <v>132</v>
      </c>
      <c r="F93">
        <v>2.5</v>
      </c>
      <c r="G93">
        <v>2.5</v>
      </c>
      <c r="H93" t="s">
        <v>23</v>
      </c>
      <c r="I93">
        <v>4</v>
      </c>
      <c r="J93">
        <v>100</v>
      </c>
      <c r="K93">
        <v>92.42</v>
      </c>
      <c r="L93">
        <v>48</v>
      </c>
      <c r="M93">
        <v>7</v>
      </c>
      <c r="N93">
        <v>8</v>
      </c>
      <c r="O93">
        <v>16</v>
      </c>
    </row>
    <row r="94" spans="1:15" x14ac:dyDescent="0.25">
      <c r="A94" t="s">
        <v>824</v>
      </c>
      <c r="B94">
        <v>13</v>
      </c>
      <c r="C94">
        <v>2</v>
      </c>
      <c r="D94">
        <v>20</v>
      </c>
      <c r="E94" t="s">
        <v>20</v>
      </c>
      <c r="F94">
        <v>3</v>
      </c>
      <c r="G94">
        <v>1</v>
      </c>
      <c r="H94" t="s">
        <v>23</v>
      </c>
      <c r="I94">
        <v>7</v>
      </c>
      <c r="J94">
        <v>100</v>
      </c>
      <c r="K94">
        <v>131.03</v>
      </c>
      <c r="L94">
        <v>52</v>
      </c>
      <c r="M94">
        <v>3.5</v>
      </c>
      <c r="N94">
        <v>5</v>
      </c>
      <c r="O94">
        <v>30</v>
      </c>
    </row>
    <row r="95" spans="1:15" x14ac:dyDescent="0.25">
      <c r="A95" t="s">
        <v>824</v>
      </c>
      <c r="B95">
        <v>15</v>
      </c>
      <c r="C95">
        <v>8</v>
      </c>
      <c r="D95">
        <v>20</v>
      </c>
      <c r="E95" t="s">
        <v>140</v>
      </c>
      <c r="F95">
        <v>6</v>
      </c>
      <c r="G95">
        <v>2</v>
      </c>
      <c r="H95" t="s">
        <v>23</v>
      </c>
      <c r="I95">
        <v>10</v>
      </c>
      <c r="J95">
        <v>100</v>
      </c>
    </row>
    <row r="96" spans="1:15" x14ac:dyDescent="0.25">
      <c r="A96" t="s">
        <v>823</v>
      </c>
      <c r="B96">
        <v>19</v>
      </c>
      <c r="C96">
        <v>5</v>
      </c>
      <c r="D96">
        <v>40</v>
      </c>
      <c r="E96" t="s">
        <v>20</v>
      </c>
      <c r="F96">
        <v>8</v>
      </c>
      <c r="G96">
        <v>0</v>
      </c>
      <c r="H96" t="s">
        <v>24</v>
      </c>
      <c r="I96">
        <v>2</v>
      </c>
      <c r="J96">
        <v>100</v>
      </c>
      <c r="K96">
        <v>116.13</v>
      </c>
      <c r="L96">
        <v>32</v>
      </c>
      <c r="M96">
        <v>7</v>
      </c>
      <c r="N96">
        <v>8</v>
      </c>
      <c r="O96">
        <v>16</v>
      </c>
    </row>
    <row r="97" spans="1:15" x14ac:dyDescent="0.25">
      <c r="A97" t="s">
        <v>823</v>
      </c>
      <c r="B97">
        <v>19</v>
      </c>
      <c r="C97">
        <v>3</v>
      </c>
      <c r="D97">
        <v>0</v>
      </c>
      <c r="E97" t="s">
        <v>137</v>
      </c>
      <c r="F97">
        <v>8</v>
      </c>
      <c r="G97">
        <v>0</v>
      </c>
      <c r="H97" t="s">
        <v>23</v>
      </c>
      <c r="I97">
        <v>5</v>
      </c>
      <c r="J97">
        <v>100</v>
      </c>
      <c r="K97">
        <v>227.47</v>
      </c>
      <c r="L97">
        <v>58</v>
      </c>
      <c r="M97">
        <v>2</v>
      </c>
      <c r="N97">
        <v>8</v>
      </c>
      <c r="O97">
        <v>51</v>
      </c>
    </row>
    <row r="98" spans="1:15" x14ac:dyDescent="0.25">
      <c r="A98" t="s">
        <v>824</v>
      </c>
      <c r="B98">
        <v>14</v>
      </c>
      <c r="C98">
        <v>8</v>
      </c>
      <c r="D98">
        <v>60</v>
      </c>
      <c r="E98" t="s">
        <v>140</v>
      </c>
      <c r="F98">
        <v>0.75</v>
      </c>
      <c r="G98">
        <v>1.5</v>
      </c>
      <c r="H98" t="s">
        <v>24</v>
      </c>
      <c r="I98">
        <v>6</v>
      </c>
      <c r="J98">
        <v>100</v>
      </c>
      <c r="K98">
        <v>59.06</v>
      </c>
      <c r="L98">
        <v>78</v>
      </c>
      <c r="M98">
        <v>3</v>
      </c>
      <c r="N98">
        <v>3.5</v>
      </c>
      <c r="O98">
        <v>35</v>
      </c>
    </row>
    <row r="99" spans="1:15" x14ac:dyDescent="0.25">
      <c r="A99" t="s">
        <v>808</v>
      </c>
      <c r="B99">
        <v>17</v>
      </c>
      <c r="C99">
        <v>2</v>
      </c>
      <c r="D99">
        <v>0</v>
      </c>
      <c r="E99" t="s">
        <v>139</v>
      </c>
      <c r="F99">
        <v>0.5</v>
      </c>
      <c r="G99">
        <v>1.5</v>
      </c>
      <c r="H99" t="s">
        <v>24</v>
      </c>
      <c r="I99">
        <v>5</v>
      </c>
      <c r="J99">
        <v>100</v>
      </c>
      <c r="K99">
        <v>1.57</v>
      </c>
      <c r="L99">
        <v>30</v>
      </c>
      <c r="M99">
        <v>6</v>
      </c>
      <c r="N99">
        <v>3.5</v>
      </c>
      <c r="O99">
        <v>18</v>
      </c>
    </row>
    <row r="100" spans="1:15" x14ac:dyDescent="0.25">
      <c r="A100" t="s">
        <v>823</v>
      </c>
      <c r="B100">
        <v>17</v>
      </c>
      <c r="C100">
        <v>8</v>
      </c>
      <c r="D100">
        <v>5</v>
      </c>
      <c r="E100" t="s">
        <v>20</v>
      </c>
      <c r="F100">
        <v>8</v>
      </c>
      <c r="G100">
        <v>0</v>
      </c>
      <c r="H100" t="s">
        <v>24</v>
      </c>
      <c r="I100">
        <v>8</v>
      </c>
      <c r="J100">
        <v>100</v>
      </c>
    </row>
    <row r="101" spans="1:15" x14ac:dyDescent="0.25">
      <c r="A101" t="s">
        <v>824</v>
      </c>
      <c r="B101">
        <v>14</v>
      </c>
      <c r="C101">
        <v>10</v>
      </c>
      <c r="D101">
        <v>0</v>
      </c>
      <c r="E101" t="s">
        <v>140</v>
      </c>
      <c r="F101">
        <v>0.75</v>
      </c>
      <c r="G101">
        <v>3</v>
      </c>
      <c r="H101" t="s">
        <v>23</v>
      </c>
      <c r="I101">
        <v>9</v>
      </c>
      <c r="J101">
        <v>100</v>
      </c>
    </row>
  </sheetData>
  <conditionalFormatting sqref="K1:O1048576">
    <cfRule type="expression" dxfId="3" priority="1">
      <formula>$O1=0</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4" id="{E4021C74-9FAC-451C-A683-5500F61814C5}">
            <xm:f>NOT(L1='Website Tests'!L1)</xm:f>
            <x14:dxf>
              <fill>
                <patternFill>
                  <bgColor rgb="FFFF7C80"/>
                </patternFill>
              </fill>
            </x14:dxf>
          </x14:cfRule>
          <xm:sqref>L1:O1048576</xm:sqref>
        </x14:conditionalFormatting>
        <x14:conditionalFormatting xmlns:xm="http://schemas.microsoft.com/office/excel/2006/main">
          <x14:cfRule type="expression" priority="2" id="{8EB50758-30E0-464C-8AF7-B87A5E6154C4}">
            <xm:f>OR(K2 &lt; 'Website Tests'!K2-0.5, K2 &gt;'Website Tests'!K2+0.5)</xm:f>
            <x14:dxf>
              <fill>
                <patternFill>
                  <bgColor rgb="FFF48484"/>
                </patternFill>
              </fill>
            </x14:dxf>
          </x14:cfRule>
          <xm:sqref>K2:K1048576</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1CDF1E-A12A-428C-A0F4-282782802C75}">
  <sheetPr codeName="Sheet3"/>
  <dimension ref="A1:C42"/>
  <sheetViews>
    <sheetView tabSelected="1" topLeftCell="A19" zoomScale="150" zoomScaleNormal="150" workbookViewId="0">
      <selection activeCell="B35" sqref="B35"/>
    </sheetView>
  </sheetViews>
  <sheetFormatPr defaultRowHeight="15" x14ac:dyDescent="0.25"/>
  <cols>
    <col min="1" max="1" width="54.5703125" bestFit="1" customWidth="1"/>
    <col min="2" max="2" width="18.42578125" customWidth="1"/>
    <col min="3" max="3" width="94.85546875" customWidth="1"/>
  </cols>
  <sheetData>
    <row r="1" spans="1:3" x14ac:dyDescent="0.25">
      <c r="A1" s="56" t="s">
        <v>802</v>
      </c>
      <c r="B1" t="s">
        <v>57</v>
      </c>
      <c r="C1" t="s">
        <v>58</v>
      </c>
    </row>
    <row r="2" spans="1:3" x14ac:dyDescent="0.25">
      <c r="A2" t="s">
        <v>9</v>
      </c>
      <c r="B2" t="str">
        <f>Inputs!C4</f>
        <v>Pipe</v>
      </c>
      <c r="C2" t="s">
        <v>59</v>
      </c>
    </row>
    <row r="3" spans="1:3" x14ac:dyDescent="0.25">
      <c r="A3" t="s">
        <v>12</v>
      </c>
      <c r="B3">
        <f>Inputs!C5</f>
        <v>100</v>
      </c>
      <c r="C3" t="s">
        <v>59</v>
      </c>
    </row>
    <row r="4" spans="1:3" x14ac:dyDescent="0.25">
      <c r="A4" t="s">
        <v>13</v>
      </c>
      <c r="B4">
        <f>Inputs!C6</f>
        <v>20</v>
      </c>
      <c r="C4" t="s">
        <v>59</v>
      </c>
    </row>
    <row r="5" spans="1:3" x14ac:dyDescent="0.25">
      <c r="A5" t="s">
        <v>14</v>
      </c>
      <c r="B5">
        <f>Inputs!C7</f>
        <v>14</v>
      </c>
      <c r="C5" t="s">
        <v>59</v>
      </c>
    </row>
    <row r="6" spans="1:3" x14ac:dyDescent="0.25">
      <c r="A6" t="s">
        <v>16</v>
      </c>
      <c r="B6">
        <f>Inputs!C9</f>
        <v>20</v>
      </c>
      <c r="C6" t="s">
        <v>59</v>
      </c>
    </row>
    <row r="7" spans="1:3" x14ac:dyDescent="0.25">
      <c r="A7" t="s">
        <v>60</v>
      </c>
      <c r="B7">
        <f>Inputs!C8</f>
        <v>1</v>
      </c>
      <c r="C7" t="s">
        <v>59</v>
      </c>
    </row>
    <row r="8" spans="1:3" x14ac:dyDescent="0.25">
      <c r="A8" t="s">
        <v>61</v>
      </c>
      <c r="B8">
        <f>IF(B2="pipe",0.55,1)*B6</f>
        <v>11</v>
      </c>
      <c r="C8" t="s">
        <v>62</v>
      </c>
    </row>
    <row r="9" spans="1:3" x14ac:dyDescent="0.25">
      <c r="A9" t="s">
        <v>63</v>
      </c>
      <c r="B9" t="str">
        <f>Inputs!C12</f>
        <v>Copper - type K</v>
      </c>
      <c r="C9" t="s">
        <v>59</v>
      </c>
    </row>
    <row r="10" spans="1:3" x14ac:dyDescent="0.25">
      <c r="A10" t="s">
        <v>64</v>
      </c>
      <c r="B10" t="str">
        <f>Inputs!C13</f>
        <v>Gas</v>
      </c>
      <c r="C10" t="s">
        <v>59</v>
      </c>
    </row>
    <row r="11" spans="1:3" x14ac:dyDescent="0.25">
      <c r="A11" t="s">
        <v>65</v>
      </c>
      <c r="B11">
        <f>Inputs!C14</f>
        <v>12</v>
      </c>
      <c r="C11" t="s">
        <v>59</v>
      </c>
    </row>
    <row r="12" spans="1:3" x14ac:dyDescent="0.25">
      <c r="A12" t="s">
        <v>66</v>
      </c>
      <c r="B12">
        <f>Inputs!C15</f>
        <v>1</v>
      </c>
      <c r="C12" t="s">
        <v>59</v>
      </c>
    </row>
    <row r="13" spans="1:3" x14ac:dyDescent="0.25">
      <c r="A13" t="s">
        <v>67</v>
      </c>
      <c r="B13" t="str">
        <f>Inputs!C16</f>
        <v>clevis hanger</v>
      </c>
      <c r="C13" t="s">
        <v>59</v>
      </c>
    </row>
    <row r="14" spans="1:3" x14ac:dyDescent="0.25">
      <c r="A14" t="s">
        <v>68</v>
      </c>
      <c r="B14">
        <f>Inputs!C17</f>
        <v>3</v>
      </c>
      <c r="C14" t="s">
        <v>59</v>
      </c>
    </row>
    <row r="15" spans="1:3" x14ac:dyDescent="0.25">
      <c r="A15" t="s">
        <v>69</v>
      </c>
      <c r="B15">
        <f>B14</f>
        <v>3</v>
      </c>
      <c r="C15" t="s">
        <v>59</v>
      </c>
    </row>
    <row r="16" spans="1:3" x14ac:dyDescent="0.25">
      <c r="A16" t="s">
        <v>70</v>
      </c>
      <c r="B16" t="str">
        <f>IF(B12=0,B11,'Pipe weight, hangers, spacing'!M255)</f>
        <v>no results</v>
      </c>
      <c r="C16" t="s">
        <v>71</v>
      </c>
    </row>
    <row r="17" spans="1:3" x14ac:dyDescent="0.25">
      <c r="A17" t="s">
        <v>72</v>
      </c>
      <c r="B17">
        <f>IF(B10="Gas",'Pipe weight, hangers, spacing'!A119,IF(B10="Water",'Pipe weight, hangers, spacing'!B119,0))+IF(B12&lt;&gt;0,'Pipe weight, hangers, spacing'!A119*0.1)</f>
        <v>63.58</v>
      </c>
      <c r="C17" t="s">
        <v>71</v>
      </c>
    </row>
    <row r="18" spans="1:3" x14ac:dyDescent="0.25">
      <c r="A18" t="s">
        <v>73</v>
      </c>
      <c r="B18">
        <f>B15*B17</f>
        <v>190.74</v>
      </c>
      <c r="C18" t="s">
        <v>71</v>
      </c>
    </row>
    <row r="19" spans="1:3" x14ac:dyDescent="0.25">
      <c r="A19" t="s">
        <v>74</v>
      </c>
      <c r="B19" t="e">
        <f>B$8*((B16*12)/144)</f>
        <v>#VALUE!</v>
      </c>
    </row>
    <row r="20" spans="1:3" x14ac:dyDescent="0.25">
      <c r="A20" t="s">
        <v>804</v>
      </c>
      <c r="B20" t="e">
        <f>B19*B14</f>
        <v>#VALUE!</v>
      </c>
      <c r="C20" t="s">
        <v>71</v>
      </c>
    </row>
    <row r="21" spans="1:3" x14ac:dyDescent="0.25">
      <c r="A21" t="s">
        <v>75</v>
      </c>
      <c r="B21" t="str">
        <f>Inputs!D12</f>
        <v>None</v>
      </c>
      <c r="C21" t="s">
        <v>59</v>
      </c>
    </row>
    <row r="22" spans="1:3" x14ac:dyDescent="0.25">
      <c r="A22" t="s">
        <v>76</v>
      </c>
      <c r="B22" t="str">
        <f>Inputs!D13</f>
        <v>None</v>
      </c>
      <c r="C22" t="s">
        <v>59</v>
      </c>
    </row>
    <row r="23" spans="1:3" x14ac:dyDescent="0.25">
      <c r="A23" t="s">
        <v>77</v>
      </c>
      <c r="B23">
        <f>IF(OR(B17="None",Inputs!C18="No"),0,Inputs!D14)</f>
        <v>0</v>
      </c>
      <c r="C23" t="s">
        <v>59</v>
      </c>
    </row>
    <row r="24" spans="1:3" x14ac:dyDescent="0.25">
      <c r="A24" t="s">
        <v>78</v>
      </c>
      <c r="B24">
        <f>Inputs!D15</f>
        <v>0</v>
      </c>
      <c r="C24" t="s">
        <v>59</v>
      </c>
    </row>
    <row r="25" spans="1:3" x14ac:dyDescent="0.25">
      <c r="A25" t="s">
        <v>79</v>
      </c>
      <c r="B25" t="str">
        <f>Inputs!D16</f>
        <v>None</v>
      </c>
      <c r="C25" t="s">
        <v>59</v>
      </c>
    </row>
    <row r="26" spans="1:3" x14ac:dyDescent="0.25">
      <c r="A26" t="s">
        <v>80</v>
      </c>
      <c r="B26">
        <f>IF(OR(B17="None",Inputs!C18="No"),0,Inputs!D17)</f>
        <v>0</v>
      </c>
      <c r="C26" t="s">
        <v>59</v>
      </c>
    </row>
    <row r="27" spans="1:3" x14ac:dyDescent="0.25">
      <c r="A27" t="s">
        <v>81</v>
      </c>
      <c r="B27">
        <f>B26</f>
        <v>0</v>
      </c>
      <c r="C27" t="s">
        <v>59</v>
      </c>
    </row>
    <row r="28" spans="1:3" x14ac:dyDescent="0.25">
      <c r="A28" t="s">
        <v>82</v>
      </c>
      <c r="B28">
        <f>IF(B24=0,B23,'Pipe weight, hangers, spacing'!M256)</f>
        <v>0</v>
      </c>
      <c r="C28" t="s">
        <v>71</v>
      </c>
    </row>
    <row r="29" spans="1:3" x14ac:dyDescent="0.25">
      <c r="A29" t="s">
        <v>83</v>
      </c>
      <c r="B29">
        <f>IF(B22="Gas",'Pipe weight, hangers, spacing'!E119,IF(B22="Water",'Pipe weight, hangers, spacing'!F119,0))+IF(B24&lt;&gt;0,'Pipe weight, hangers, spacing'!E119*0.1)</f>
        <v>0</v>
      </c>
      <c r="C29" t="s">
        <v>71</v>
      </c>
    </row>
    <row r="30" spans="1:3" x14ac:dyDescent="0.25">
      <c r="A30" t="s">
        <v>84</v>
      </c>
      <c r="B30">
        <f>B27*B29</f>
        <v>0</v>
      </c>
      <c r="C30" t="s">
        <v>71</v>
      </c>
    </row>
    <row r="31" spans="1:3" x14ac:dyDescent="0.25">
      <c r="A31" t="s">
        <v>803</v>
      </c>
      <c r="B31">
        <f>B$8*((B28*12)/144)</f>
        <v>0</v>
      </c>
      <c r="C31" t="s">
        <v>71</v>
      </c>
    </row>
    <row r="32" spans="1:3" x14ac:dyDescent="0.25">
      <c r="A32" t="s">
        <v>803</v>
      </c>
      <c r="B32">
        <f>B31*B26</f>
        <v>0</v>
      </c>
      <c r="C32" t="s">
        <v>71</v>
      </c>
    </row>
    <row r="33" spans="1:3" x14ac:dyDescent="0.25">
      <c r="A33" t="s">
        <v>85</v>
      </c>
      <c r="B33">
        <f>Inputs!C19</f>
        <v>5</v>
      </c>
    </row>
    <row r="34" spans="1:3" x14ac:dyDescent="0.25">
      <c r="A34" t="s">
        <v>86</v>
      </c>
      <c r="B34" t="e">
        <f>IF((B14+B26)=1,(B18+B20+B30+B32)*0.5,(B18+B20+B30+B32))</f>
        <v>#VALUE!</v>
      </c>
      <c r="C34" t="s">
        <v>71</v>
      </c>
    </row>
    <row r="35" spans="1:3" x14ac:dyDescent="0.25">
      <c r="A35" t="s">
        <v>87</v>
      </c>
      <c r="B35" t="e">
        <f>IF(MOD(CEILING(A42,2),2)=0,CEILING(A42,2),CEILING(A42-1,2))</f>
        <v>#VALUE!</v>
      </c>
      <c r="C35" t="s">
        <v>71</v>
      </c>
    </row>
    <row r="36" spans="1:3" x14ac:dyDescent="0.25">
      <c r="A36" t="s">
        <v>88</v>
      </c>
      <c r="B36">
        <f>IF(AND(B2="Pipe",B13="Clevis"),B5+Inputs!C20+MAX(B16,B28)+18,B5)</f>
        <v>14</v>
      </c>
      <c r="C36" t="s">
        <v>71</v>
      </c>
    </row>
    <row r="37" spans="1:3" x14ac:dyDescent="0.25">
      <c r="A37" t="s">
        <v>89</v>
      </c>
      <c r="B37">
        <f>750*2</f>
        <v>1500</v>
      </c>
      <c r="C37" t="s">
        <v>90</v>
      </c>
    </row>
    <row r="38" spans="1:3" x14ac:dyDescent="0.25">
      <c r="A38" t="s">
        <v>91</v>
      </c>
      <c r="B38" s="4" t="e">
        <f>ROUNDUP((Calculations!B3/'Pipe Calcs for Span'!B149),0)+1</f>
        <v>#DIV/0!</v>
      </c>
    </row>
    <row r="42" spans="1:3" x14ac:dyDescent="0.25">
      <c r="A42" t="e">
        <f>IF(B2="pipe",IF(B33=0,6+6+(6*SUM(B14,B26,-1))+(B14*B16)+(B26*B28),B33+B33+(B33*SUM(B14,B26,-1))+(B14*B16)+(B26*B28)),0)</f>
        <v>#VALUE!</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677569-B975-41CD-8C2A-54329252FBE4}">
  <sheetPr codeName="Sheet4"/>
  <dimension ref="A1:F150"/>
  <sheetViews>
    <sheetView topLeftCell="A131" zoomScale="150" zoomScaleNormal="150" workbookViewId="0">
      <selection activeCell="D143" sqref="D143"/>
    </sheetView>
  </sheetViews>
  <sheetFormatPr defaultRowHeight="15" x14ac:dyDescent="0.25"/>
  <cols>
    <col min="2" max="2" width="20" bestFit="1" customWidth="1"/>
    <col min="3" max="3" width="20" customWidth="1"/>
    <col min="4" max="4" width="17.42578125" bestFit="1" customWidth="1"/>
    <col min="5" max="5" width="17.42578125" customWidth="1"/>
    <col min="6" max="6" width="25.28515625" customWidth="1"/>
  </cols>
  <sheetData>
    <row r="1" spans="1:6" ht="30" x14ac:dyDescent="0.25">
      <c r="A1" s="9" t="s">
        <v>93</v>
      </c>
      <c r="B1" s="9" t="s">
        <v>94</v>
      </c>
      <c r="C1" s="9" t="s">
        <v>95</v>
      </c>
      <c r="D1" s="9" t="s">
        <v>96</v>
      </c>
      <c r="E1" s="9" t="s">
        <v>97</v>
      </c>
      <c r="F1" s="9" t="s">
        <v>98</v>
      </c>
    </row>
    <row r="2" spans="1:6" x14ac:dyDescent="0.25">
      <c r="A2" s="9">
        <v>1</v>
      </c>
      <c r="B2" s="9">
        <f>'Pipe weight, hangers, spacing'!$S$241</f>
        <v>28</v>
      </c>
      <c r="C2" s="9" t="e">
        <f>Calculations!$B$34</f>
        <v>#VALUE!</v>
      </c>
      <c r="D2" s="9" t="e">
        <f>B2*C2</f>
        <v>#VALUE!</v>
      </c>
      <c r="E2" s="9">
        <f>Calculations!$B$37</f>
        <v>1500</v>
      </c>
      <c r="F2" s="9" t="e">
        <f>IF(D2 &lt;  (0.9* E2),TRUE,FALSE)</f>
        <v>#VALUE!</v>
      </c>
    </row>
    <row r="3" spans="1:6" x14ac:dyDescent="0.25">
      <c r="A3" s="9">
        <f>A2+1</f>
        <v>2</v>
      </c>
      <c r="B3" s="9">
        <f>IF(($B2-0.5)&gt;=2,($B2-0.5),2)</f>
        <v>27.5</v>
      </c>
      <c r="C3" s="9" t="e">
        <f>Calculations!$B$34</f>
        <v>#VALUE!</v>
      </c>
      <c r="D3" s="9" t="e">
        <f t="shared" ref="D3:D11" si="0">B3*C3</f>
        <v>#VALUE!</v>
      </c>
      <c r="E3" s="9">
        <f>Calculations!$B$37</f>
        <v>1500</v>
      </c>
      <c r="F3" s="9" t="e">
        <f t="shared" ref="F3:F11" si="1">IF(D3 &lt;  (0.9* E3),TRUE,FALSE)</f>
        <v>#VALUE!</v>
      </c>
    </row>
    <row r="4" spans="1:6" x14ac:dyDescent="0.25">
      <c r="A4" s="9">
        <f t="shared" ref="A4:A26" si="2">A3+1</f>
        <v>3</v>
      </c>
      <c r="B4" s="9">
        <f t="shared" ref="B4:B42" si="3">IF(($B3-0.5)&gt;=2,($B3-0.5),2)</f>
        <v>27</v>
      </c>
      <c r="C4" s="9" t="e">
        <f>Calculations!$B$34</f>
        <v>#VALUE!</v>
      </c>
      <c r="D4" s="9" t="e">
        <f t="shared" si="0"/>
        <v>#VALUE!</v>
      </c>
      <c r="E4" s="9">
        <f>Calculations!$B$37</f>
        <v>1500</v>
      </c>
      <c r="F4" s="9" t="e">
        <f t="shared" si="1"/>
        <v>#VALUE!</v>
      </c>
    </row>
    <row r="5" spans="1:6" x14ac:dyDescent="0.25">
      <c r="A5" s="9">
        <f t="shared" si="2"/>
        <v>4</v>
      </c>
      <c r="B5" s="9">
        <f t="shared" si="3"/>
        <v>26.5</v>
      </c>
      <c r="C5" s="9" t="e">
        <f>Calculations!$B$34</f>
        <v>#VALUE!</v>
      </c>
      <c r="D5" s="9" t="e">
        <f t="shared" si="0"/>
        <v>#VALUE!</v>
      </c>
      <c r="E5" s="9">
        <f>Calculations!$B$37</f>
        <v>1500</v>
      </c>
      <c r="F5" s="9" t="e">
        <f t="shared" si="1"/>
        <v>#VALUE!</v>
      </c>
    </row>
    <row r="6" spans="1:6" x14ac:dyDescent="0.25">
      <c r="A6" s="9">
        <f t="shared" si="2"/>
        <v>5</v>
      </c>
      <c r="B6" s="9">
        <f t="shared" si="3"/>
        <v>26</v>
      </c>
      <c r="C6" s="9" t="e">
        <f>Calculations!$B$34</f>
        <v>#VALUE!</v>
      </c>
      <c r="D6" s="9" t="e">
        <f t="shared" si="0"/>
        <v>#VALUE!</v>
      </c>
      <c r="E6" s="9">
        <f>Calculations!$B$37</f>
        <v>1500</v>
      </c>
      <c r="F6" s="9" t="e">
        <f t="shared" si="1"/>
        <v>#VALUE!</v>
      </c>
    </row>
    <row r="7" spans="1:6" x14ac:dyDescent="0.25">
      <c r="A7" s="9">
        <f t="shared" si="2"/>
        <v>6</v>
      </c>
      <c r="B7" s="9">
        <f t="shared" si="3"/>
        <v>25.5</v>
      </c>
      <c r="C7" s="9" t="e">
        <f>Calculations!$B$34</f>
        <v>#VALUE!</v>
      </c>
      <c r="D7" s="9" t="e">
        <f t="shared" si="0"/>
        <v>#VALUE!</v>
      </c>
      <c r="E7" s="9">
        <f>Calculations!$B$37</f>
        <v>1500</v>
      </c>
      <c r="F7" s="9" t="e">
        <f t="shared" si="1"/>
        <v>#VALUE!</v>
      </c>
    </row>
    <row r="8" spans="1:6" x14ac:dyDescent="0.25">
      <c r="A8" s="9">
        <f t="shared" si="2"/>
        <v>7</v>
      </c>
      <c r="B8" s="9">
        <f t="shared" si="3"/>
        <v>25</v>
      </c>
      <c r="C8" s="9" t="e">
        <f>Calculations!$B$34</f>
        <v>#VALUE!</v>
      </c>
      <c r="D8" s="9" t="e">
        <f t="shared" si="0"/>
        <v>#VALUE!</v>
      </c>
      <c r="E8" s="9">
        <f>Calculations!$B$37</f>
        <v>1500</v>
      </c>
      <c r="F8" s="9" t="e">
        <f t="shared" si="1"/>
        <v>#VALUE!</v>
      </c>
    </row>
    <row r="9" spans="1:6" x14ac:dyDescent="0.25">
      <c r="A9" s="9">
        <f t="shared" si="2"/>
        <v>8</v>
      </c>
      <c r="B9" s="9">
        <f t="shared" si="3"/>
        <v>24.5</v>
      </c>
      <c r="C9" s="9" t="e">
        <f>Calculations!$B$34</f>
        <v>#VALUE!</v>
      </c>
      <c r="D9" s="9" t="e">
        <f t="shared" si="0"/>
        <v>#VALUE!</v>
      </c>
      <c r="E9" s="9">
        <f>Calculations!$B$37</f>
        <v>1500</v>
      </c>
      <c r="F9" s="9" t="e">
        <f t="shared" si="1"/>
        <v>#VALUE!</v>
      </c>
    </row>
    <row r="10" spans="1:6" x14ac:dyDescent="0.25">
      <c r="A10" s="9">
        <f t="shared" si="2"/>
        <v>9</v>
      </c>
      <c r="B10" s="9">
        <f t="shared" si="3"/>
        <v>24</v>
      </c>
      <c r="C10" s="9" t="e">
        <f>Calculations!$B$34</f>
        <v>#VALUE!</v>
      </c>
      <c r="D10" s="9" t="e">
        <f t="shared" si="0"/>
        <v>#VALUE!</v>
      </c>
      <c r="E10" s="9">
        <f>Calculations!$B$37</f>
        <v>1500</v>
      </c>
      <c r="F10" s="9" t="e">
        <f t="shared" si="1"/>
        <v>#VALUE!</v>
      </c>
    </row>
    <row r="11" spans="1:6" x14ac:dyDescent="0.25">
      <c r="A11" s="9">
        <f t="shared" si="2"/>
        <v>10</v>
      </c>
      <c r="B11" s="9">
        <f t="shared" si="3"/>
        <v>23.5</v>
      </c>
      <c r="C11" s="9" t="e">
        <f>Calculations!$B$34</f>
        <v>#VALUE!</v>
      </c>
      <c r="D11" s="9" t="e">
        <f t="shared" si="0"/>
        <v>#VALUE!</v>
      </c>
      <c r="E11" s="9">
        <f>Calculations!$B$37</f>
        <v>1500</v>
      </c>
      <c r="F11" s="9" t="e">
        <f t="shared" si="1"/>
        <v>#VALUE!</v>
      </c>
    </row>
    <row r="12" spans="1:6" x14ac:dyDescent="0.25">
      <c r="A12" s="9">
        <f t="shared" si="2"/>
        <v>11</v>
      </c>
      <c r="B12" s="9">
        <f t="shared" si="3"/>
        <v>23</v>
      </c>
      <c r="C12" s="9" t="e">
        <f>Calculations!$B$34</f>
        <v>#VALUE!</v>
      </c>
      <c r="D12" s="9" t="e">
        <f t="shared" ref="D12:D19" si="4">B12*C12</f>
        <v>#VALUE!</v>
      </c>
      <c r="E12" s="9">
        <f>Calculations!$B$37</f>
        <v>1500</v>
      </c>
      <c r="F12" s="9" t="e">
        <f t="shared" ref="F12:F19" si="5">IF(D12 &lt;  (0.9* E12),TRUE,FALSE)</f>
        <v>#VALUE!</v>
      </c>
    </row>
    <row r="13" spans="1:6" x14ac:dyDescent="0.25">
      <c r="A13" s="9">
        <f t="shared" si="2"/>
        <v>12</v>
      </c>
      <c r="B13" s="9">
        <f t="shared" si="3"/>
        <v>22.5</v>
      </c>
      <c r="C13" s="9" t="e">
        <f>Calculations!$B$34</f>
        <v>#VALUE!</v>
      </c>
      <c r="D13" s="9" t="e">
        <f t="shared" si="4"/>
        <v>#VALUE!</v>
      </c>
      <c r="E13" s="9">
        <f>Calculations!$B$37</f>
        <v>1500</v>
      </c>
      <c r="F13" s="9" t="e">
        <f t="shared" si="5"/>
        <v>#VALUE!</v>
      </c>
    </row>
    <row r="14" spans="1:6" x14ac:dyDescent="0.25">
      <c r="A14" s="9">
        <f t="shared" si="2"/>
        <v>13</v>
      </c>
      <c r="B14" s="9">
        <f t="shared" si="3"/>
        <v>22</v>
      </c>
      <c r="C14" s="9" t="e">
        <f>Calculations!$B$34</f>
        <v>#VALUE!</v>
      </c>
      <c r="D14" s="9" t="e">
        <f t="shared" si="4"/>
        <v>#VALUE!</v>
      </c>
      <c r="E14" s="9">
        <f>Calculations!$B$37</f>
        <v>1500</v>
      </c>
      <c r="F14" s="9" t="e">
        <f t="shared" si="5"/>
        <v>#VALUE!</v>
      </c>
    </row>
    <row r="15" spans="1:6" x14ac:dyDescent="0.25">
      <c r="A15" s="9">
        <f t="shared" si="2"/>
        <v>14</v>
      </c>
      <c r="B15" s="9">
        <f t="shared" si="3"/>
        <v>21.5</v>
      </c>
      <c r="C15" s="9" t="e">
        <f>Calculations!$B$34</f>
        <v>#VALUE!</v>
      </c>
      <c r="D15" s="9" t="e">
        <f t="shared" si="4"/>
        <v>#VALUE!</v>
      </c>
      <c r="E15" s="9">
        <f>Calculations!$B$37</f>
        <v>1500</v>
      </c>
      <c r="F15" s="9" t="e">
        <f t="shared" si="5"/>
        <v>#VALUE!</v>
      </c>
    </row>
    <row r="16" spans="1:6" x14ac:dyDescent="0.25">
      <c r="A16" s="9">
        <f t="shared" si="2"/>
        <v>15</v>
      </c>
      <c r="B16" s="9">
        <f t="shared" si="3"/>
        <v>21</v>
      </c>
      <c r="C16" s="9" t="e">
        <f>Calculations!$B$34</f>
        <v>#VALUE!</v>
      </c>
      <c r="D16" s="9" t="e">
        <f t="shared" si="4"/>
        <v>#VALUE!</v>
      </c>
      <c r="E16" s="9">
        <f>Calculations!$B$37</f>
        <v>1500</v>
      </c>
      <c r="F16" s="9" t="e">
        <f t="shared" si="5"/>
        <v>#VALUE!</v>
      </c>
    </row>
    <row r="17" spans="1:6" x14ac:dyDescent="0.25">
      <c r="A17" s="9">
        <f t="shared" si="2"/>
        <v>16</v>
      </c>
      <c r="B17" s="9">
        <f t="shared" si="3"/>
        <v>20.5</v>
      </c>
      <c r="C17" s="9" t="e">
        <f>Calculations!$B$34</f>
        <v>#VALUE!</v>
      </c>
      <c r="D17" s="9" t="e">
        <f t="shared" si="4"/>
        <v>#VALUE!</v>
      </c>
      <c r="E17" s="9">
        <f>Calculations!$B$37</f>
        <v>1500</v>
      </c>
      <c r="F17" s="9" t="e">
        <f t="shared" si="5"/>
        <v>#VALUE!</v>
      </c>
    </row>
    <row r="18" spans="1:6" x14ac:dyDescent="0.25">
      <c r="A18" s="9">
        <f t="shared" si="2"/>
        <v>17</v>
      </c>
      <c r="B18" s="9">
        <f t="shared" si="3"/>
        <v>20</v>
      </c>
      <c r="C18" s="9" t="e">
        <f>Calculations!$B$34</f>
        <v>#VALUE!</v>
      </c>
      <c r="D18" s="9" t="e">
        <f t="shared" si="4"/>
        <v>#VALUE!</v>
      </c>
      <c r="E18" s="9">
        <f>Calculations!$B$37</f>
        <v>1500</v>
      </c>
      <c r="F18" s="9" t="e">
        <f t="shared" si="5"/>
        <v>#VALUE!</v>
      </c>
    </row>
    <row r="19" spans="1:6" x14ac:dyDescent="0.25">
      <c r="A19" s="9">
        <f t="shared" si="2"/>
        <v>18</v>
      </c>
      <c r="B19" s="9">
        <f t="shared" si="3"/>
        <v>19.5</v>
      </c>
      <c r="C19" s="9" t="e">
        <f>Calculations!$B$34</f>
        <v>#VALUE!</v>
      </c>
      <c r="D19" s="9" t="e">
        <f t="shared" si="4"/>
        <v>#VALUE!</v>
      </c>
      <c r="E19" s="9">
        <f>Calculations!$B$37</f>
        <v>1500</v>
      </c>
      <c r="F19" s="9" t="e">
        <f t="shared" si="5"/>
        <v>#VALUE!</v>
      </c>
    </row>
    <row r="20" spans="1:6" x14ac:dyDescent="0.25">
      <c r="A20" s="9">
        <f t="shared" si="2"/>
        <v>19</v>
      </c>
      <c r="B20" s="9">
        <f t="shared" si="3"/>
        <v>19</v>
      </c>
      <c r="C20" s="9" t="e">
        <f>Calculations!$B$34</f>
        <v>#VALUE!</v>
      </c>
      <c r="D20" s="9" t="e">
        <f t="shared" ref="D20:D31" si="6">B20*C20</f>
        <v>#VALUE!</v>
      </c>
      <c r="E20" s="9">
        <f>Calculations!$B$37</f>
        <v>1500</v>
      </c>
      <c r="F20" s="9" t="e">
        <f t="shared" ref="F20:F31" si="7">IF(D20 &lt;  (0.9* E20),TRUE,FALSE)</f>
        <v>#VALUE!</v>
      </c>
    </row>
    <row r="21" spans="1:6" x14ac:dyDescent="0.25">
      <c r="A21" s="9">
        <f t="shared" si="2"/>
        <v>20</v>
      </c>
      <c r="B21" s="9">
        <f t="shared" si="3"/>
        <v>18.5</v>
      </c>
      <c r="C21" s="9" t="e">
        <f>Calculations!$B$34</f>
        <v>#VALUE!</v>
      </c>
      <c r="D21" s="9" t="e">
        <f t="shared" si="6"/>
        <v>#VALUE!</v>
      </c>
      <c r="E21" s="9">
        <f>Calculations!$B$37</f>
        <v>1500</v>
      </c>
      <c r="F21" s="9" t="e">
        <f t="shared" si="7"/>
        <v>#VALUE!</v>
      </c>
    </row>
    <row r="22" spans="1:6" x14ac:dyDescent="0.25">
      <c r="A22" s="9">
        <f t="shared" si="2"/>
        <v>21</v>
      </c>
      <c r="B22" s="9">
        <f t="shared" si="3"/>
        <v>18</v>
      </c>
      <c r="C22" s="9" t="e">
        <f>Calculations!$B$34</f>
        <v>#VALUE!</v>
      </c>
      <c r="D22" s="9" t="e">
        <f t="shared" si="6"/>
        <v>#VALUE!</v>
      </c>
      <c r="E22" s="9">
        <f>Calculations!$B$37</f>
        <v>1500</v>
      </c>
      <c r="F22" s="9" t="e">
        <f t="shared" si="7"/>
        <v>#VALUE!</v>
      </c>
    </row>
    <row r="23" spans="1:6" x14ac:dyDescent="0.25">
      <c r="A23" s="9">
        <f t="shared" si="2"/>
        <v>22</v>
      </c>
      <c r="B23" s="9">
        <f t="shared" si="3"/>
        <v>17.5</v>
      </c>
      <c r="C23" s="9" t="e">
        <f>Calculations!$B$34</f>
        <v>#VALUE!</v>
      </c>
      <c r="D23" s="9" t="e">
        <f t="shared" si="6"/>
        <v>#VALUE!</v>
      </c>
      <c r="E23" s="9">
        <f>Calculations!$B$37</f>
        <v>1500</v>
      </c>
      <c r="F23" s="9" t="e">
        <f t="shared" si="7"/>
        <v>#VALUE!</v>
      </c>
    </row>
    <row r="24" spans="1:6" x14ac:dyDescent="0.25">
      <c r="A24" s="9">
        <f t="shared" si="2"/>
        <v>23</v>
      </c>
      <c r="B24" s="9">
        <f t="shared" si="3"/>
        <v>17</v>
      </c>
      <c r="C24" s="9" t="e">
        <f>Calculations!$B$34</f>
        <v>#VALUE!</v>
      </c>
      <c r="D24" s="9" t="e">
        <f t="shared" si="6"/>
        <v>#VALUE!</v>
      </c>
      <c r="E24" s="9">
        <f>Calculations!$B$37</f>
        <v>1500</v>
      </c>
      <c r="F24" s="9" t="e">
        <f t="shared" si="7"/>
        <v>#VALUE!</v>
      </c>
    </row>
    <row r="25" spans="1:6" x14ac:dyDescent="0.25">
      <c r="A25" s="9">
        <f t="shared" si="2"/>
        <v>24</v>
      </c>
      <c r="B25" s="9">
        <f t="shared" si="3"/>
        <v>16.5</v>
      </c>
      <c r="C25" s="9" t="e">
        <f>Calculations!$B$34</f>
        <v>#VALUE!</v>
      </c>
      <c r="D25" s="9" t="e">
        <f t="shared" si="6"/>
        <v>#VALUE!</v>
      </c>
      <c r="E25" s="9">
        <f>Calculations!$B$37</f>
        <v>1500</v>
      </c>
      <c r="F25" s="9" t="e">
        <f t="shared" si="7"/>
        <v>#VALUE!</v>
      </c>
    </row>
    <row r="26" spans="1:6" x14ac:dyDescent="0.25">
      <c r="A26" s="9">
        <f t="shared" si="2"/>
        <v>25</v>
      </c>
      <c r="B26" s="9">
        <f t="shared" si="3"/>
        <v>16</v>
      </c>
      <c r="C26" s="9" t="e">
        <f>Calculations!$B$34</f>
        <v>#VALUE!</v>
      </c>
      <c r="D26" s="9" t="e">
        <f t="shared" si="6"/>
        <v>#VALUE!</v>
      </c>
      <c r="E26" s="9">
        <f>Calculations!$B$37</f>
        <v>1500</v>
      </c>
      <c r="F26" s="9" t="e">
        <f t="shared" si="7"/>
        <v>#VALUE!</v>
      </c>
    </row>
    <row r="27" spans="1:6" x14ac:dyDescent="0.25">
      <c r="A27" s="9">
        <f t="shared" ref="A27:A38" si="8">A26+1</f>
        <v>26</v>
      </c>
      <c r="B27" s="9">
        <f t="shared" si="3"/>
        <v>15.5</v>
      </c>
      <c r="C27" s="9" t="e">
        <f>Calculations!$B$34</f>
        <v>#VALUE!</v>
      </c>
      <c r="D27" s="9" t="e">
        <f t="shared" si="6"/>
        <v>#VALUE!</v>
      </c>
      <c r="E27" s="9">
        <f>Calculations!$B$37</f>
        <v>1500</v>
      </c>
      <c r="F27" s="9" t="e">
        <f t="shared" si="7"/>
        <v>#VALUE!</v>
      </c>
    </row>
    <row r="28" spans="1:6" x14ac:dyDescent="0.25">
      <c r="A28" s="9">
        <f t="shared" si="8"/>
        <v>27</v>
      </c>
      <c r="B28" s="9">
        <f t="shared" si="3"/>
        <v>15</v>
      </c>
      <c r="C28" s="9" t="e">
        <f>Calculations!$B$34</f>
        <v>#VALUE!</v>
      </c>
      <c r="D28" s="9" t="e">
        <f t="shared" si="6"/>
        <v>#VALUE!</v>
      </c>
      <c r="E28" s="9">
        <f>Calculations!$B$37</f>
        <v>1500</v>
      </c>
      <c r="F28" s="9" t="e">
        <f t="shared" si="7"/>
        <v>#VALUE!</v>
      </c>
    </row>
    <row r="29" spans="1:6" x14ac:dyDescent="0.25">
      <c r="A29" s="9">
        <f t="shared" si="8"/>
        <v>28</v>
      </c>
      <c r="B29" s="9">
        <f t="shared" si="3"/>
        <v>14.5</v>
      </c>
      <c r="C29" s="9" t="e">
        <f>Calculations!$B$34</f>
        <v>#VALUE!</v>
      </c>
      <c r="D29" s="9" t="e">
        <f t="shared" si="6"/>
        <v>#VALUE!</v>
      </c>
      <c r="E29" s="9">
        <f>Calculations!$B$37</f>
        <v>1500</v>
      </c>
      <c r="F29" s="9" t="e">
        <f t="shared" si="7"/>
        <v>#VALUE!</v>
      </c>
    </row>
    <row r="30" spans="1:6" x14ac:dyDescent="0.25">
      <c r="A30" s="9">
        <f t="shared" si="8"/>
        <v>29</v>
      </c>
      <c r="B30" s="9">
        <f t="shared" si="3"/>
        <v>14</v>
      </c>
      <c r="C30" s="9" t="e">
        <f>Calculations!$B$34</f>
        <v>#VALUE!</v>
      </c>
      <c r="D30" s="9" t="e">
        <f t="shared" si="6"/>
        <v>#VALUE!</v>
      </c>
      <c r="E30" s="9">
        <f>Calculations!$B$37</f>
        <v>1500</v>
      </c>
      <c r="F30" s="9" t="e">
        <f t="shared" si="7"/>
        <v>#VALUE!</v>
      </c>
    </row>
    <row r="31" spans="1:6" x14ac:dyDescent="0.25">
      <c r="A31" s="9">
        <f t="shared" si="8"/>
        <v>30</v>
      </c>
      <c r="B31" s="9">
        <f t="shared" si="3"/>
        <v>13.5</v>
      </c>
      <c r="C31" s="9" t="e">
        <f>Calculations!$B$34</f>
        <v>#VALUE!</v>
      </c>
      <c r="D31" s="9" t="e">
        <f t="shared" si="6"/>
        <v>#VALUE!</v>
      </c>
      <c r="E31" s="9">
        <f>Calculations!$B$37</f>
        <v>1500</v>
      </c>
      <c r="F31" s="9" t="e">
        <f t="shared" si="7"/>
        <v>#VALUE!</v>
      </c>
    </row>
    <row r="32" spans="1:6" x14ac:dyDescent="0.25">
      <c r="A32" s="9">
        <f t="shared" si="8"/>
        <v>31</v>
      </c>
      <c r="B32" s="9">
        <f t="shared" si="3"/>
        <v>13</v>
      </c>
      <c r="C32" s="9" t="e">
        <f>Calculations!$B$34</f>
        <v>#VALUE!</v>
      </c>
      <c r="D32" s="9" t="e">
        <f t="shared" ref="D32:D38" si="9">B32*C32</f>
        <v>#VALUE!</v>
      </c>
      <c r="E32" s="9">
        <f>Calculations!$B$37</f>
        <v>1500</v>
      </c>
      <c r="F32" s="9" t="e">
        <f t="shared" ref="F32:F38" si="10">IF(D32 &lt;  (0.9* E32),TRUE,FALSE)</f>
        <v>#VALUE!</v>
      </c>
    </row>
    <row r="33" spans="1:6" x14ac:dyDescent="0.25">
      <c r="A33" s="9">
        <f t="shared" si="8"/>
        <v>32</v>
      </c>
      <c r="B33" s="9">
        <f t="shared" si="3"/>
        <v>12.5</v>
      </c>
      <c r="C33" s="9" t="e">
        <f>Calculations!$B$34</f>
        <v>#VALUE!</v>
      </c>
      <c r="D33" s="9" t="e">
        <f t="shared" si="9"/>
        <v>#VALUE!</v>
      </c>
      <c r="E33" s="9">
        <f>Calculations!$B$37</f>
        <v>1500</v>
      </c>
      <c r="F33" s="9" t="e">
        <f t="shared" si="10"/>
        <v>#VALUE!</v>
      </c>
    </row>
    <row r="34" spans="1:6" x14ac:dyDescent="0.25">
      <c r="A34" s="9">
        <f t="shared" si="8"/>
        <v>33</v>
      </c>
      <c r="B34" s="9">
        <f t="shared" si="3"/>
        <v>12</v>
      </c>
      <c r="C34" s="9" t="e">
        <f>Calculations!$B$34</f>
        <v>#VALUE!</v>
      </c>
      <c r="D34" s="9" t="e">
        <f t="shared" si="9"/>
        <v>#VALUE!</v>
      </c>
      <c r="E34" s="9">
        <f>Calculations!$B$37</f>
        <v>1500</v>
      </c>
      <c r="F34" s="9" t="e">
        <f t="shared" si="10"/>
        <v>#VALUE!</v>
      </c>
    </row>
    <row r="35" spans="1:6" x14ac:dyDescent="0.25">
      <c r="A35" s="9">
        <f t="shared" si="8"/>
        <v>34</v>
      </c>
      <c r="B35" s="9">
        <f t="shared" si="3"/>
        <v>11.5</v>
      </c>
      <c r="C35" s="9" t="e">
        <f>Calculations!$B$34</f>
        <v>#VALUE!</v>
      </c>
      <c r="D35" s="9" t="e">
        <f t="shared" si="9"/>
        <v>#VALUE!</v>
      </c>
      <c r="E35" s="9">
        <f>Calculations!$B$37</f>
        <v>1500</v>
      </c>
      <c r="F35" s="9" t="e">
        <f t="shared" si="10"/>
        <v>#VALUE!</v>
      </c>
    </row>
    <row r="36" spans="1:6" x14ac:dyDescent="0.25">
      <c r="A36" s="9">
        <f t="shared" si="8"/>
        <v>35</v>
      </c>
      <c r="B36" s="9">
        <f t="shared" si="3"/>
        <v>11</v>
      </c>
      <c r="C36" s="9" t="e">
        <f>Calculations!$B$34</f>
        <v>#VALUE!</v>
      </c>
      <c r="D36" s="9" t="e">
        <f t="shared" si="9"/>
        <v>#VALUE!</v>
      </c>
      <c r="E36" s="9">
        <f>Calculations!$B$37</f>
        <v>1500</v>
      </c>
      <c r="F36" s="9" t="e">
        <f t="shared" si="10"/>
        <v>#VALUE!</v>
      </c>
    </row>
    <row r="37" spans="1:6" x14ac:dyDescent="0.25">
      <c r="A37" s="9">
        <f t="shared" si="8"/>
        <v>36</v>
      </c>
      <c r="B37" s="9">
        <f t="shared" si="3"/>
        <v>10.5</v>
      </c>
      <c r="C37" s="9" t="e">
        <f>Calculations!$B$34</f>
        <v>#VALUE!</v>
      </c>
      <c r="D37" s="9" t="e">
        <f t="shared" si="9"/>
        <v>#VALUE!</v>
      </c>
      <c r="E37" s="9">
        <f>Calculations!$B$37</f>
        <v>1500</v>
      </c>
      <c r="F37" s="9" t="e">
        <f t="shared" si="10"/>
        <v>#VALUE!</v>
      </c>
    </row>
    <row r="38" spans="1:6" x14ac:dyDescent="0.25">
      <c r="A38" s="9">
        <f t="shared" si="8"/>
        <v>37</v>
      </c>
      <c r="B38" s="9">
        <f t="shared" si="3"/>
        <v>10</v>
      </c>
      <c r="C38" s="9" t="e">
        <f>Calculations!$B$34</f>
        <v>#VALUE!</v>
      </c>
      <c r="D38" s="9" t="e">
        <f t="shared" si="9"/>
        <v>#VALUE!</v>
      </c>
      <c r="E38" s="9">
        <f>Calculations!$B$37</f>
        <v>1500</v>
      </c>
      <c r="F38" s="9" t="e">
        <f t="shared" si="10"/>
        <v>#VALUE!</v>
      </c>
    </row>
    <row r="39" spans="1:6" x14ac:dyDescent="0.25">
      <c r="A39" s="9">
        <f t="shared" ref="A39:A42" si="11">A38+1</f>
        <v>38</v>
      </c>
      <c r="B39" s="9">
        <f>IF(($B38-0.5)&gt;=2,($B38-0.5),2)</f>
        <v>9.5</v>
      </c>
      <c r="C39" s="9" t="e">
        <f>Calculations!$B$34</f>
        <v>#VALUE!</v>
      </c>
      <c r="D39" s="9" t="e">
        <f t="shared" ref="D39:D42" si="12">B39*C39</f>
        <v>#VALUE!</v>
      </c>
      <c r="E39" s="9">
        <f>Calculations!$B$37</f>
        <v>1500</v>
      </c>
      <c r="F39" s="9" t="e">
        <f t="shared" ref="F39:F42" si="13">IF(D39 &lt;  (0.9* E39),TRUE,FALSE)</f>
        <v>#VALUE!</v>
      </c>
    </row>
    <row r="40" spans="1:6" x14ac:dyDescent="0.25">
      <c r="A40" s="9">
        <f t="shared" si="11"/>
        <v>39</v>
      </c>
      <c r="B40" s="9">
        <f t="shared" si="3"/>
        <v>9</v>
      </c>
      <c r="C40" s="9" t="e">
        <f>Calculations!$B$34</f>
        <v>#VALUE!</v>
      </c>
      <c r="D40" s="9" t="e">
        <f t="shared" si="12"/>
        <v>#VALUE!</v>
      </c>
      <c r="E40" s="9">
        <f>Calculations!$B$37</f>
        <v>1500</v>
      </c>
      <c r="F40" s="9" t="e">
        <f t="shared" si="13"/>
        <v>#VALUE!</v>
      </c>
    </row>
    <row r="41" spans="1:6" x14ac:dyDescent="0.25">
      <c r="A41" s="9">
        <f t="shared" si="11"/>
        <v>40</v>
      </c>
      <c r="B41" s="9">
        <f t="shared" si="3"/>
        <v>8.5</v>
      </c>
      <c r="C41" s="9" t="e">
        <f>Calculations!$B$34</f>
        <v>#VALUE!</v>
      </c>
      <c r="D41" s="9" t="e">
        <f t="shared" si="12"/>
        <v>#VALUE!</v>
      </c>
      <c r="E41" s="9">
        <f>Calculations!$B$37</f>
        <v>1500</v>
      </c>
      <c r="F41" s="9" t="e">
        <f t="shared" si="13"/>
        <v>#VALUE!</v>
      </c>
    </row>
    <row r="42" spans="1:6" x14ac:dyDescent="0.25">
      <c r="A42" s="9">
        <f t="shared" si="11"/>
        <v>41</v>
      </c>
      <c r="B42" s="9">
        <f t="shared" si="3"/>
        <v>8</v>
      </c>
      <c r="C42" s="9" t="e">
        <f>Calculations!$B$34</f>
        <v>#VALUE!</v>
      </c>
      <c r="D42" s="9" t="e">
        <f t="shared" si="12"/>
        <v>#VALUE!</v>
      </c>
      <c r="E42" s="9">
        <f>Calculations!$B$37</f>
        <v>1500</v>
      </c>
      <c r="F42" s="9" t="e">
        <f t="shared" si="13"/>
        <v>#VALUE!</v>
      </c>
    </row>
    <row r="43" spans="1:6" x14ac:dyDescent="0.25">
      <c r="B43" s="50" t="str">
        <f>_xlfn.XLOOKUP(TRUE,F2:F42,B2:B42,"No")</f>
        <v>No</v>
      </c>
      <c r="D43" s="50" t="str">
        <f>_xlfn.XLOOKUP(TRUE,F2:F42,D2:D42,"No")</f>
        <v>No</v>
      </c>
      <c r="F43" t="s">
        <v>99</v>
      </c>
    </row>
    <row r="45" spans="1:6" ht="30" x14ac:dyDescent="0.25">
      <c r="A45" s="9" t="s">
        <v>93</v>
      </c>
      <c r="B45" s="9" t="s">
        <v>94</v>
      </c>
      <c r="C45" s="9" t="s">
        <v>95</v>
      </c>
      <c r="D45" s="9" t="s">
        <v>96</v>
      </c>
      <c r="E45" s="9" t="s">
        <v>100</v>
      </c>
      <c r="F45" s="9" t="s">
        <v>98</v>
      </c>
    </row>
    <row r="46" spans="1:6" x14ac:dyDescent="0.25">
      <c r="A46" s="9">
        <v>1</v>
      </c>
      <c r="B46" s="9">
        <f>'Pipe weight, hangers, spacing'!$S$241</f>
        <v>28</v>
      </c>
      <c r="C46" s="9" t="e">
        <f>Calculations!$B$34</f>
        <v>#VALUE!</v>
      </c>
      <c r="D46" s="9" t="e">
        <f>B46*C46</f>
        <v>#VALUE!</v>
      </c>
      <c r="E46" s="9">
        <f>'Strut loads'!I29</f>
        <v>3550</v>
      </c>
      <c r="F46" s="9" t="e">
        <f>IF(D46 &lt;  (0.9* E46),TRUE,FALSE)</f>
        <v>#VALUE!</v>
      </c>
    </row>
    <row r="47" spans="1:6" x14ac:dyDescent="0.25">
      <c r="A47" s="9">
        <f>1+A46</f>
        <v>2</v>
      </c>
      <c r="B47" s="9">
        <f>IF(($B46-0.5)&gt;=2,($B46-0.5),2)</f>
        <v>27.5</v>
      </c>
      <c r="C47" s="9" t="e">
        <f>Calculations!$B$34</f>
        <v>#VALUE!</v>
      </c>
      <c r="D47" s="9" t="e">
        <f t="shared" ref="D47:D55" si="14">B47*C47</f>
        <v>#VALUE!</v>
      </c>
      <c r="E47" s="9">
        <f>'Strut loads'!$I$29</f>
        <v>3550</v>
      </c>
      <c r="F47" s="9" t="e">
        <f t="shared" ref="F47:F55" si="15">IF(D47 &lt;  (0.9* E47),TRUE,FALSE)</f>
        <v>#VALUE!</v>
      </c>
    </row>
    <row r="48" spans="1:6" x14ac:dyDescent="0.25">
      <c r="A48" s="9">
        <f t="shared" ref="A48:A55" si="16">1+A47</f>
        <v>3</v>
      </c>
      <c r="B48" s="9">
        <f t="shared" ref="B48:B91" si="17">IF(($B47-0.5)&gt;=2,($B47-0.5),2)</f>
        <v>27</v>
      </c>
      <c r="C48" s="9" t="e">
        <f>Calculations!$B$34</f>
        <v>#VALUE!</v>
      </c>
      <c r="D48" s="9" t="e">
        <f t="shared" si="14"/>
        <v>#VALUE!</v>
      </c>
      <c r="E48" s="9">
        <f>'Strut loads'!$I$29</f>
        <v>3550</v>
      </c>
      <c r="F48" s="9" t="e">
        <f t="shared" si="15"/>
        <v>#VALUE!</v>
      </c>
    </row>
    <row r="49" spans="1:6" x14ac:dyDescent="0.25">
      <c r="A49" s="9">
        <f t="shared" si="16"/>
        <v>4</v>
      </c>
      <c r="B49" s="9">
        <f t="shared" si="17"/>
        <v>26.5</v>
      </c>
      <c r="C49" s="9" t="e">
        <f>Calculations!$B$34</f>
        <v>#VALUE!</v>
      </c>
      <c r="D49" s="9" t="e">
        <f t="shared" si="14"/>
        <v>#VALUE!</v>
      </c>
      <c r="E49" s="9">
        <f>'Strut loads'!$I$29</f>
        <v>3550</v>
      </c>
      <c r="F49" s="9" t="e">
        <f t="shared" si="15"/>
        <v>#VALUE!</v>
      </c>
    </row>
    <row r="50" spans="1:6" x14ac:dyDescent="0.25">
      <c r="A50" s="9">
        <f t="shared" si="16"/>
        <v>5</v>
      </c>
      <c r="B50" s="9">
        <f t="shared" si="17"/>
        <v>26</v>
      </c>
      <c r="C50" s="9" t="e">
        <f>Calculations!$B$34</f>
        <v>#VALUE!</v>
      </c>
      <c r="D50" s="9" t="e">
        <f t="shared" si="14"/>
        <v>#VALUE!</v>
      </c>
      <c r="E50" s="9">
        <f>'Strut loads'!$I$29</f>
        <v>3550</v>
      </c>
      <c r="F50" s="9" t="e">
        <f t="shared" si="15"/>
        <v>#VALUE!</v>
      </c>
    </row>
    <row r="51" spans="1:6" x14ac:dyDescent="0.25">
      <c r="A51" s="9">
        <f t="shared" si="16"/>
        <v>6</v>
      </c>
      <c r="B51" s="9">
        <f t="shared" si="17"/>
        <v>25.5</v>
      </c>
      <c r="C51" s="9" t="e">
        <f>Calculations!$B$34</f>
        <v>#VALUE!</v>
      </c>
      <c r="D51" s="9" t="e">
        <f t="shared" si="14"/>
        <v>#VALUE!</v>
      </c>
      <c r="E51" s="9">
        <f>'Strut loads'!$I$29</f>
        <v>3550</v>
      </c>
      <c r="F51" s="9" t="e">
        <f t="shared" si="15"/>
        <v>#VALUE!</v>
      </c>
    </row>
    <row r="52" spans="1:6" x14ac:dyDescent="0.25">
      <c r="A52" s="9">
        <f t="shared" si="16"/>
        <v>7</v>
      </c>
      <c r="B52" s="9">
        <f t="shared" si="17"/>
        <v>25</v>
      </c>
      <c r="C52" s="9" t="e">
        <f>Calculations!$B$34</f>
        <v>#VALUE!</v>
      </c>
      <c r="D52" s="9" t="e">
        <f t="shared" si="14"/>
        <v>#VALUE!</v>
      </c>
      <c r="E52" s="9">
        <f>'Strut loads'!$I$29</f>
        <v>3550</v>
      </c>
      <c r="F52" s="9" t="e">
        <f t="shared" si="15"/>
        <v>#VALUE!</v>
      </c>
    </row>
    <row r="53" spans="1:6" x14ac:dyDescent="0.25">
      <c r="A53" s="9">
        <f t="shared" si="16"/>
        <v>8</v>
      </c>
      <c r="B53" s="9">
        <f t="shared" si="17"/>
        <v>24.5</v>
      </c>
      <c r="C53" s="9" t="e">
        <f>Calculations!$B$34</f>
        <v>#VALUE!</v>
      </c>
      <c r="D53" s="9" t="e">
        <f t="shared" si="14"/>
        <v>#VALUE!</v>
      </c>
      <c r="E53" s="9">
        <f>'Strut loads'!$I$29</f>
        <v>3550</v>
      </c>
      <c r="F53" s="9" t="e">
        <f t="shared" si="15"/>
        <v>#VALUE!</v>
      </c>
    </row>
    <row r="54" spans="1:6" x14ac:dyDescent="0.25">
      <c r="A54" s="9">
        <f t="shared" si="16"/>
        <v>9</v>
      </c>
      <c r="B54" s="9">
        <f t="shared" si="17"/>
        <v>24</v>
      </c>
      <c r="C54" s="9" t="e">
        <f>Calculations!$B$34</f>
        <v>#VALUE!</v>
      </c>
      <c r="D54" s="9" t="e">
        <f t="shared" si="14"/>
        <v>#VALUE!</v>
      </c>
      <c r="E54" s="9">
        <f>'Strut loads'!$I$29</f>
        <v>3550</v>
      </c>
      <c r="F54" s="9" t="e">
        <f t="shared" si="15"/>
        <v>#VALUE!</v>
      </c>
    </row>
    <row r="55" spans="1:6" x14ac:dyDescent="0.25">
      <c r="A55" s="9">
        <f t="shared" si="16"/>
        <v>10</v>
      </c>
      <c r="B55" s="9">
        <f t="shared" si="17"/>
        <v>23.5</v>
      </c>
      <c r="C55" s="9" t="e">
        <f>Calculations!$B$34</f>
        <v>#VALUE!</v>
      </c>
      <c r="D55" s="9" t="e">
        <f t="shared" si="14"/>
        <v>#VALUE!</v>
      </c>
      <c r="E55" s="9">
        <f>'Strut loads'!$I$29</f>
        <v>3550</v>
      </c>
      <c r="F55" s="9" t="e">
        <f t="shared" si="15"/>
        <v>#VALUE!</v>
      </c>
    </row>
    <row r="56" spans="1:6" x14ac:dyDescent="0.25">
      <c r="A56" s="9">
        <f>1+A55</f>
        <v>11</v>
      </c>
      <c r="B56" s="9">
        <f t="shared" si="17"/>
        <v>23</v>
      </c>
      <c r="C56" s="9" t="e">
        <f>Calculations!$B$34</f>
        <v>#VALUE!</v>
      </c>
      <c r="D56" s="9" t="e">
        <f t="shared" ref="D56:D73" si="18">B56*C56</f>
        <v>#VALUE!</v>
      </c>
      <c r="E56" s="9">
        <f>'Strut loads'!$I$29</f>
        <v>3550</v>
      </c>
      <c r="F56" s="9" t="e">
        <f t="shared" ref="F56:F73" si="19">IF(D56 &lt;  (0.9* E56),TRUE,FALSE)</f>
        <v>#VALUE!</v>
      </c>
    </row>
    <row r="57" spans="1:6" x14ac:dyDescent="0.25">
      <c r="A57" s="9">
        <f t="shared" ref="A57:A64" si="20">1+A56</f>
        <v>12</v>
      </c>
      <c r="B57" s="9">
        <f t="shared" si="17"/>
        <v>22.5</v>
      </c>
      <c r="C57" s="9" t="e">
        <f>Calculations!$B$34</f>
        <v>#VALUE!</v>
      </c>
      <c r="D57" s="9" t="e">
        <f t="shared" si="18"/>
        <v>#VALUE!</v>
      </c>
      <c r="E57" s="9">
        <f>'Strut loads'!$I$29</f>
        <v>3550</v>
      </c>
      <c r="F57" s="9" t="e">
        <f t="shared" si="19"/>
        <v>#VALUE!</v>
      </c>
    </row>
    <row r="58" spans="1:6" x14ac:dyDescent="0.25">
      <c r="A58" s="9">
        <f t="shared" si="20"/>
        <v>13</v>
      </c>
      <c r="B58" s="9">
        <f t="shared" si="17"/>
        <v>22</v>
      </c>
      <c r="C58" s="9" t="e">
        <f>Calculations!$B$34</f>
        <v>#VALUE!</v>
      </c>
      <c r="D58" s="9" t="e">
        <f t="shared" si="18"/>
        <v>#VALUE!</v>
      </c>
      <c r="E58" s="9">
        <f>'Strut loads'!$I$29</f>
        <v>3550</v>
      </c>
      <c r="F58" s="9" t="e">
        <f t="shared" si="19"/>
        <v>#VALUE!</v>
      </c>
    </row>
    <row r="59" spans="1:6" x14ac:dyDescent="0.25">
      <c r="A59" s="9">
        <f t="shared" si="20"/>
        <v>14</v>
      </c>
      <c r="B59" s="9">
        <f t="shared" si="17"/>
        <v>21.5</v>
      </c>
      <c r="C59" s="9" t="e">
        <f>Calculations!$B$34</f>
        <v>#VALUE!</v>
      </c>
      <c r="D59" s="9" t="e">
        <f t="shared" si="18"/>
        <v>#VALUE!</v>
      </c>
      <c r="E59" s="9">
        <f>'Strut loads'!$I$29</f>
        <v>3550</v>
      </c>
      <c r="F59" s="9" t="e">
        <f t="shared" si="19"/>
        <v>#VALUE!</v>
      </c>
    </row>
    <row r="60" spans="1:6" x14ac:dyDescent="0.25">
      <c r="A60" s="9">
        <f t="shared" si="20"/>
        <v>15</v>
      </c>
      <c r="B60" s="9">
        <f t="shared" si="17"/>
        <v>21</v>
      </c>
      <c r="C60" s="9" t="e">
        <f>Calculations!$B$34</f>
        <v>#VALUE!</v>
      </c>
      <c r="D60" s="9" t="e">
        <f t="shared" si="18"/>
        <v>#VALUE!</v>
      </c>
      <c r="E60" s="9">
        <f>'Strut loads'!$I$29</f>
        <v>3550</v>
      </c>
      <c r="F60" s="9" t="e">
        <f t="shared" si="19"/>
        <v>#VALUE!</v>
      </c>
    </row>
    <row r="61" spans="1:6" x14ac:dyDescent="0.25">
      <c r="A61" s="9">
        <f t="shared" si="20"/>
        <v>16</v>
      </c>
      <c r="B61" s="9">
        <f t="shared" si="17"/>
        <v>20.5</v>
      </c>
      <c r="C61" s="9" t="e">
        <f>Calculations!$B$34</f>
        <v>#VALUE!</v>
      </c>
      <c r="D61" s="9" t="e">
        <f t="shared" si="18"/>
        <v>#VALUE!</v>
      </c>
      <c r="E61" s="9">
        <f>'Strut loads'!$I$29</f>
        <v>3550</v>
      </c>
      <c r="F61" s="9" t="e">
        <f t="shared" si="19"/>
        <v>#VALUE!</v>
      </c>
    </row>
    <row r="62" spans="1:6" x14ac:dyDescent="0.25">
      <c r="A62" s="9">
        <f t="shared" si="20"/>
        <v>17</v>
      </c>
      <c r="B62" s="9">
        <f t="shared" si="17"/>
        <v>20</v>
      </c>
      <c r="C62" s="9" t="e">
        <f>Calculations!$B$34</f>
        <v>#VALUE!</v>
      </c>
      <c r="D62" s="9" t="e">
        <f t="shared" si="18"/>
        <v>#VALUE!</v>
      </c>
      <c r="E62" s="9">
        <f>'Strut loads'!$I$29</f>
        <v>3550</v>
      </c>
      <c r="F62" s="9" t="e">
        <f t="shared" si="19"/>
        <v>#VALUE!</v>
      </c>
    </row>
    <row r="63" spans="1:6" x14ac:dyDescent="0.25">
      <c r="A63" s="9">
        <f t="shared" si="20"/>
        <v>18</v>
      </c>
      <c r="B63" s="9">
        <f t="shared" si="17"/>
        <v>19.5</v>
      </c>
      <c r="C63" s="9" t="e">
        <f>Calculations!$B$34</f>
        <v>#VALUE!</v>
      </c>
      <c r="D63" s="9" t="e">
        <f t="shared" si="18"/>
        <v>#VALUE!</v>
      </c>
      <c r="E63" s="9">
        <f>'Strut loads'!$I$29</f>
        <v>3550</v>
      </c>
      <c r="F63" s="9" t="e">
        <f t="shared" si="19"/>
        <v>#VALUE!</v>
      </c>
    </row>
    <row r="64" spans="1:6" x14ac:dyDescent="0.25">
      <c r="A64" s="9">
        <f t="shared" si="20"/>
        <v>19</v>
      </c>
      <c r="B64" s="9">
        <f t="shared" si="17"/>
        <v>19</v>
      </c>
      <c r="C64" s="9" t="e">
        <f>Calculations!$B$34</f>
        <v>#VALUE!</v>
      </c>
      <c r="D64" s="9" t="e">
        <f t="shared" si="18"/>
        <v>#VALUE!</v>
      </c>
      <c r="E64" s="9">
        <f>'Strut loads'!$I$29</f>
        <v>3550</v>
      </c>
      <c r="F64" s="9" t="e">
        <f t="shared" si="19"/>
        <v>#VALUE!</v>
      </c>
    </row>
    <row r="65" spans="1:6" x14ac:dyDescent="0.25">
      <c r="A65" s="9">
        <f>1+A64</f>
        <v>20</v>
      </c>
      <c r="B65" s="9">
        <f t="shared" si="17"/>
        <v>18.5</v>
      </c>
      <c r="C65" s="9" t="e">
        <f>Calculations!$B$34</f>
        <v>#VALUE!</v>
      </c>
      <c r="D65" s="9" t="e">
        <f t="shared" si="18"/>
        <v>#VALUE!</v>
      </c>
      <c r="E65" s="9">
        <f>'Strut loads'!$I$29</f>
        <v>3550</v>
      </c>
      <c r="F65" s="9" t="e">
        <f t="shared" si="19"/>
        <v>#VALUE!</v>
      </c>
    </row>
    <row r="66" spans="1:6" x14ac:dyDescent="0.25">
      <c r="A66" s="9">
        <f t="shared" ref="A66:A73" si="21">1+A65</f>
        <v>21</v>
      </c>
      <c r="B66" s="9">
        <f t="shared" si="17"/>
        <v>18</v>
      </c>
      <c r="C66" s="9" t="e">
        <f>Calculations!$B$34</f>
        <v>#VALUE!</v>
      </c>
      <c r="D66" s="9" t="e">
        <f t="shared" si="18"/>
        <v>#VALUE!</v>
      </c>
      <c r="E66" s="9">
        <f>'Strut loads'!$I$29</f>
        <v>3550</v>
      </c>
      <c r="F66" s="9" t="e">
        <f t="shared" si="19"/>
        <v>#VALUE!</v>
      </c>
    </row>
    <row r="67" spans="1:6" x14ac:dyDescent="0.25">
      <c r="A67" s="9">
        <f t="shared" si="21"/>
        <v>22</v>
      </c>
      <c r="B67" s="9">
        <f t="shared" si="17"/>
        <v>17.5</v>
      </c>
      <c r="C67" s="9" t="e">
        <f>Calculations!$B$34</f>
        <v>#VALUE!</v>
      </c>
      <c r="D67" s="9" t="e">
        <f t="shared" si="18"/>
        <v>#VALUE!</v>
      </c>
      <c r="E67" s="9">
        <f>'Strut loads'!$I$29</f>
        <v>3550</v>
      </c>
      <c r="F67" s="9" t="e">
        <f t="shared" si="19"/>
        <v>#VALUE!</v>
      </c>
    </row>
    <row r="68" spans="1:6" x14ac:dyDescent="0.25">
      <c r="A68" s="9">
        <f t="shared" si="21"/>
        <v>23</v>
      </c>
      <c r="B68" s="9">
        <f t="shared" si="17"/>
        <v>17</v>
      </c>
      <c r="C68" s="9" t="e">
        <f>Calculations!$B$34</f>
        <v>#VALUE!</v>
      </c>
      <c r="D68" s="9" t="e">
        <f t="shared" si="18"/>
        <v>#VALUE!</v>
      </c>
      <c r="E68" s="9">
        <f>'Strut loads'!$I$29</f>
        <v>3550</v>
      </c>
      <c r="F68" s="9" t="e">
        <f t="shared" si="19"/>
        <v>#VALUE!</v>
      </c>
    </row>
    <row r="69" spans="1:6" x14ac:dyDescent="0.25">
      <c r="A69" s="9">
        <f t="shared" si="21"/>
        <v>24</v>
      </c>
      <c r="B69" s="9">
        <f t="shared" si="17"/>
        <v>16.5</v>
      </c>
      <c r="C69" s="9" t="e">
        <f>Calculations!$B$34</f>
        <v>#VALUE!</v>
      </c>
      <c r="D69" s="9" t="e">
        <f t="shared" si="18"/>
        <v>#VALUE!</v>
      </c>
      <c r="E69" s="9">
        <f>'Strut loads'!$I$29</f>
        <v>3550</v>
      </c>
      <c r="F69" s="9" t="e">
        <f t="shared" si="19"/>
        <v>#VALUE!</v>
      </c>
    </row>
    <row r="70" spans="1:6" x14ac:dyDescent="0.25">
      <c r="A70" s="9">
        <f t="shared" si="21"/>
        <v>25</v>
      </c>
      <c r="B70" s="9">
        <f t="shared" si="17"/>
        <v>16</v>
      </c>
      <c r="C70" s="9" t="e">
        <f>Calculations!$B$34</f>
        <v>#VALUE!</v>
      </c>
      <c r="D70" s="9" t="e">
        <f t="shared" si="18"/>
        <v>#VALUE!</v>
      </c>
      <c r="E70" s="9">
        <f>'Strut loads'!$I$29</f>
        <v>3550</v>
      </c>
      <c r="F70" s="9" t="e">
        <f t="shared" si="19"/>
        <v>#VALUE!</v>
      </c>
    </row>
    <row r="71" spans="1:6" x14ac:dyDescent="0.25">
      <c r="A71" s="9">
        <f t="shared" si="21"/>
        <v>26</v>
      </c>
      <c r="B71" s="9">
        <f t="shared" si="17"/>
        <v>15.5</v>
      </c>
      <c r="C71" s="9" t="e">
        <f>Calculations!$B$34</f>
        <v>#VALUE!</v>
      </c>
      <c r="D71" s="9" t="e">
        <f t="shared" si="18"/>
        <v>#VALUE!</v>
      </c>
      <c r="E71" s="9">
        <f>'Strut loads'!$I$29</f>
        <v>3550</v>
      </c>
      <c r="F71" s="9" t="e">
        <f t="shared" si="19"/>
        <v>#VALUE!</v>
      </c>
    </row>
    <row r="72" spans="1:6" x14ac:dyDescent="0.25">
      <c r="A72" s="9">
        <f t="shared" si="21"/>
        <v>27</v>
      </c>
      <c r="B72" s="9">
        <f t="shared" si="17"/>
        <v>15</v>
      </c>
      <c r="C72" s="9" t="e">
        <f>Calculations!$B$34</f>
        <v>#VALUE!</v>
      </c>
      <c r="D72" s="9" t="e">
        <f t="shared" si="18"/>
        <v>#VALUE!</v>
      </c>
      <c r="E72" s="9">
        <f>'Strut loads'!$I$29</f>
        <v>3550</v>
      </c>
      <c r="F72" s="9" t="e">
        <f t="shared" si="19"/>
        <v>#VALUE!</v>
      </c>
    </row>
    <row r="73" spans="1:6" x14ac:dyDescent="0.25">
      <c r="A73" s="9">
        <f t="shared" si="21"/>
        <v>28</v>
      </c>
      <c r="B73" s="9">
        <f t="shared" si="17"/>
        <v>14.5</v>
      </c>
      <c r="C73" s="9" t="e">
        <f>Calculations!$B$34</f>
        <v>#VALUE!</v>
      </c>
      <c r="D73" s="9" t="e">
        <f t="shared" si="18"/>
        <v>#VALUE!</v>
      </c>
      <c r="E73" s="9">
        <f>'Strut loads'!$I$29</f>
        <v>3550</v>
      </c>
      <c r="F73" s="9" t="e">
        <f t="shared" si="19"/>
        <v>#VALUE!</v>
      </c>
    </row>
    <row r="74" spans="1:6" x14ac:dyDescent="0.25">
      <c r="A74" s="9">
        <f>1+A73</f>
        <v>29</v>
      </c>
      <c r="B74" s="9">
        <f t="shared" si="17"/>
        <v>14</v>
      </c>
      <c r="C74" s="9" t="e">
        <f>Calculations!$B$34</f>
        <v>#VALUE!</v>
      </c>
      <c r="D74" s="9" t="e">
        <f t="shared" ref="D74:D82" si="22">B74*C74</f>
        <v>#VALUE!</v>
      </c>
      <c r="E74" s="9">
        <f>'Strut loads'!$I$29</f>
        <v>3550</v>
      </c>
      <c r="F74" s="9" t="e">
        <f t="shared" ref="F74:F82" si="23">IF(D74 &lt;  (0.9* E74),TRUE,FALSE)</f>
        <v>#VALUE!</v>
      </c>
    </row>
    <row r="75" spans="1:6" x14ac:dyDescent="0.25">
      <c r="A75" s="9">
        <f t="shared" ref="A75:A82" si="24">1+A74</f>
        <v>30</v>
      </c>
      <c r="B75" s="9">
        <f t="shared" si="17"/>
        <v>13.5</v>
      </c>
      <c r="C75" s="9" t="e">
        <f>Calculations!$B$34</f>
        <v>#VALUE!</v>
      </c>
      <c r="D75" s="9" t="e">
        <f t="shared" si="22"/>
        <v>#VALUE!</v>
      </c>
      <c r="E75" s="9">
        <f>'Strut loads'!$I$29</f>
        <v>3550</v>
      </c>
      <c r="F75" s="9" t="e">
        <f t="shared" si="23"/>
        <v>#VALUE!</v>
      </c>
    </row>
    <row r="76" spans="1:6" x14ac:dyDescent="0.25">
      <c r="A76" s="9">
        <f t="shared" si="24"/>
        <v>31</v>
      </c>
      <c r="B76" s="9">
        <f t="shared" si="17"/>
        <v>13</v>
      </c>
      <c r="C76" s="9" t="e">
        <f>Calculations!$B$34</f>
        <v>#VALUE!</v>
      </c>
      <c r="D76" s="9" t="e">
        <f t="shared" si="22"/>
        <v>#VALUE!</v>
      </c>
      <c r="E76" s="9">
        <f>'Strut loads'!$I$29</f>
        <v>3550</v>
      </c>
      <c r="F76" s="9" t="e">
        <f t="shared" si="23"/>
        <v>#VALUE!</v>
      </c>
    </row>
    <row r="77" spans="1:6" x14ac:dyDescent="0.25">
      <c r="A77" s="9">
        <f t="shared" si="24"/>
        <v>32</v>
      </c>
      <c r="B77" s="9">
        <f t="shared" si="17"/>
        <v>12.5</v>
      </c>
      <c r="C77" s="9" t="e">
        <f>Calculations!$B$34</f>
        <v>#VALUE!</v>
      </c>
      <c r="D77" s="9" t="e">
        <f t="shared" si="22"/>
        <v>#VALUE!</v>
      </c>
      <c r="E77" s="9">
        <f>'Strut loads'!$I$29</f>
        <v>3550</v>
      </c>
      <c r="F77" s="9" t="e">
        <f t="shared" si="23"/>
        <v>#VALUE!</v>
      </c>
    </row>
    <row r="78" spans="1:6" x14ac:dyDescent="0.25">
      <c r="A78" s="9">
        <f t="shared" si="24"/>
        <v>33</v>
      </c>
      <c r="B78" s="9">
        <f t="shared" si="17"/>
        <v>12</v>
      </c>
      <c r="C78" s="9" t="e">
        <f>Calculations!$B$34</f>
        <v>#VALUE!</v>
      </c>
      <c r="D78" s="9" t="e">
        <f t="shared" si="22"/>
        <v>#VALUE!</v>
      </c>
      <c r="E78" s="9">
        <f>'Strut loads'!$I$29</f>
        <v>3550</v>
      </c>
      <c r="F78" s="9" t="e">
        <f t="shared" si="23"/>
        <v>#VALUE!</v>
      </c>
    </row>
    <row r="79" spans="1:6" x14ac:dyDescent="0.25">
      <c r="A79" s="9">
        <f t="shared" si="24"/>
        <v>34</v>
      </c>
      <c r="B79" s="9">
        <f t="shared" si="17"/>
        <v>11.5</v>
      </c>
      <c r="C79" s="9" t="e">
        <f>Calculations!$B$34</f>
        <v>#VALUE!</v>
      </c>
      <c r="D79" s="9" t="e">
        <f t="shared" si="22"/>
        <v>#VALUE!</v>
      </c>
      <c r="E79" s="9">
        <f>'Strut loads'!$I$29</f>
        <v>3550</v>
      </c>
      <c r="F79" s="9" t="e">
        <f t="shared" si="23"/>
        <v>#VALUE!</v>
      </c>
    </row>
    <row r="80" spans="1:6" x14ac:dyDescent="0.25">
      <c r="A80" s="9">
        <f t="shared" si="24"/>
        <v>35</v>
      </c>
      <c r="B80" s="9">
        <f t="shared" si="17"/>
        <v>11</v>
      </c>
      <c r="C80" s="9" t="e">
        <f>Calculations!$B$34</f>
        <v>#VALUE!</v>
      </c>
      <c r="D80" s="9" t="e">
        <f t="shared" si="22"/>
        <v>#VALUE!</v>
      </c>
      <c r="E80" s="9">
        <f>'Strut loads'!$I$29</f>
        <v>3550</v>
      </c>
      <c r="F80" s="9" t="e">
        <f t="shared" si="23"/>
        <v>#VALUE!</v>
      </c>
    </row>
    <row r="81" spans="1:6" x14ac:dyDescent="0.25">
      <c r="A81" s="9">
        <f t="shared" si="24"/>
        <v>36</v>
      </c>
      <c r="B81" s="9">
        <f t="shared" si="17"/>
        <v>10.5</v>
      </c>
      <c r="C81" s="9" t="e">
        <f>Calculations!$B$34</f>
        <v>#VALUE!</v>
      </c>
      <c r="D81" s="9" t="e">
        <f t="shared" si="22"/>
        <v>#VALUE!</v>
      </c>
      <c r="E81" s="9">
        <f>'Strut loads'!$I$29</f>
        <v>3550</v>
      </c>
      <c r="F81" s="9" t="e">
        <f t="shared" si="23"/>
        <v>#VALUE!</v>
      </c>
    </row>
    <row r="82" spans="1:6" x14ac:dyDescent="0.25">
      <c r="A82" s="9">
        <f t="shared" si="24"/>
        <v>37</v>
      </c>
      <c r="B82" s="9">
        <f t="shared" si="17"/>
        <v>10</v>
      </c>
      <c r="C82" s="9" t="e">
        <f>Calculations!$B$34</f>
        <v>#VALUE!</v>
      </c>
      <c r="D82" s="9" t="e">
        <f t="shared" si="22"/>
        <v>#VALUE!</v>
      </c>
      <c r="E82" s="9">
        <f>'Strut loads'!$I$29</f>
        <v>3550</v>
      </c>
      <c r="F82" s="9" t="e">
        <f t="shared" si="23"/>
        <v>#VALUE!</v>
      </c>
    </row>
    <row r="83" spans="1:6" x14ac:dyDescent="0.25">
      <c r="A83" s="9">
        <f>1+A82</f>
        <v>38</v>
      </c>
      <c r="B83" s="9">
        <f t="shared" si="17"/>
        <v>9.5</v>
      </c>
      <c r="C83" s="9" t="e">
        <f>Calculations!$B$34</f>
        <v>#VALUE!</v>
      </c>
      <c r="D83" s="9" t="e">
        <f t="shared" ref="D83:D91" si="25">B83*C83</f>
        <v>#VALUE!</v>
      </c>
      <c r="E83" s="9">
        <f>'Strut loads'!$I$29</f>
        <v>3550</v>
      </c>
      <c r="F83" s="9" t="e">
        <f t="shared" ref="F83:F91" si="26">IF(D83 &lt;  (0.9* E83),TRUE,FALSE)</f>
        <v>#VALUE!</v>
      </c>
    </row>
    <row r="84" spans="1:6" x14ac:dyDescent="0.25">
      <c r="A84" s="9">
        <f t="shared" ref="A84:A91" si="27">1+A83</f>
        <v>39</v>
      </c>
      <c r="B84" s="9">
        <f t="shared" si="17"/>
        <v>9</v>
      </c>
      <c r="C84" s="9" t="e">
        <f>Calculations!$B$34</f>
        <v>#VALUE!</v>
      </c>
      <c r="D84" s="9" t="e">
        <f t="shared" si="25"/>
        <v>#VALUE!</v>
      </c>
      <c r="E84" s="9">
        <f>'Strut loads'!$I$29</f>
        <v>3550</v>
      </c>
      <c r="F84" s="9" t="e">
        <f t="shared" si="26"/>
        <v>#VALUE!</v>
      </c>
    </row>
    <row r="85" spans="1:6" x14ac:dyDescent="0.25">
      <c r="A85" s="9">
        <f t="shared" si="27"/>
        <v>40</v>
      </c>
      <c r="B85" s="9">
        <f t="shared" si="17"/>
        <v>8.5</v>
      </c>
      <c r="C85" s="9" t="e">
        <f>Calculations!$B$34</f>
        <v>#VALUE!</v>
      </c>
      <c r="D85" s="9" t="e">
        <f t="shared" si="25"/>
        <v>#VALUE!</v>
      </c>
      <c r="E85" s="9">
        <f>'Strut loads'!$I$29</f>
        <v>3550</v>
      </c>
      <c r="F85" s="9" t="e">
        <f t="shared" si="26"/>
        <v>#VALUE!</v>
      </c>
    </row>
    <row r="86" spans="1:6" x14ac:dyDescent="0.25">
      <c r="A86" s="9">
        <f t="shared" si="27"/>
        <v>41</v>
      </c>
      <c r="B86" s="9">
        <f t="shared" si="17"/>
        <v>8</v>
      </c>
      <c r="C86" s="9" t="e">
        <f>Calculations!$B$34</f>
        <v>#VALUE!</v>
      </c>
      <c r="D86" s="9" t="e">
        <f t="shared" si="25"/>
        <v>#VALUE!</v>
      </c>
      <c r="E86" s="9">
        <f>'Strut loads'!$I$29</f>
        <v>3550</v>
      </c>
      <c r="F86" s="9" t="e">
        <f t="shared" si="26"/>
        <v>#VALUE!</v>
      </c>
    </row>
    <row r="87" spans="1:6" x14ac:dyDescent="0.25">
      <c r="A87" s="9">
        <f t="shared" si="27"/>
        <v>42</v>
      </c>
      <c r="B87" s="9">
        <f t="shared" si="17"/>
        <v>7.5</v>
      </c>
      <c r="C87" s="9" t="e">
        <f>Calculations!$B$34</f>
        <v>#VALUE!</v>
      </c>
      <c r="D87" s="9" t="e">
        <f t="shared" si="25"/>
        <v>#VALUE!</v>
      </c>
      <c r="E87" s="9">
        <f>'Strut loads'!$I$29</f>
        <v>3550</v>
      </c>
      <c r="F87" s="9" t="e">
        <f t="shared" si="26"/>
        <v>#VALUE!</v>
      </c>
    </row>
    <row r="88" spans="1:6" x14ac:dyDescent="0.25">
      <c r="A88" s="9">
        <f t="shared" si="27"/>
        <v>43</v>
      </c>
      <c r="B88" s="9">
        <f t="shared" si="17"/>
        <v>7</v>
      </c>
      <c r="C88" s="9" t="e">
        <f>Calculations!$B$34</f>
        <v>#VALUE!</v>
      </c>
      <c r="D88" s="9" t="e">
        <f t="shared" si="25"/>
        <v>#VALUE!</v>
      </c>
      <c r="E88" s="9">
        <f>'Strut loads'!$I$29</f>
        <v>3550</v>
      </c>
      <c r="F88" s="9" t="e">
        <f t="shared" si="26"/>
        <v>#VALUE!</v>
      </c>
    </row>
    <row r="89" spans="1:6" x14ac:dyDescent="0.25">
      <c r="A89" s="9">
        <f t="shared" si="27"/>
        <v>44</v>
      </c>
      <c r="B89" s="9">
        <f t="shared" si="17"/>
        <v>6.5</v>
      </c>
      <c r="C89" s="9" t="e">
        <f>Calculations!$B$34</f>
        <v>#VALUE!</v>
      </c>
      <c r="D89" s="9" t="e">
        <f t="shared" si="25"/>
        <v>#VALUE!</v>
      </c>
      <c r="E89" s="9">
        <f>'Strut loads'!$I$29</f>
        <v>3550</v>
      </c>
      <c r="F89" s="9" t="e">
        <f t="shared" si="26"/>
        <v>#VALUE!</v>
      </c>
    </row>
    <row r="90" spans="1:6" x14ac:dyDescent="0.25">
      <c r="A90" s="9">
        <f t="shared" si="27"/>
        <v>45</v>
      </c>
      <c r="B90" s="9">
        <f t="shared" si="17"/>
        <v>6</v>
      </c>
      <c r="C90" s="9" t="e">
        <f>Calculations!$B$34</f>
        <v>#VALUE!</v>
      </c>
      <c r="D90" s="9" t="e">
        <f t="shared" si="25"/>
        <v>#VALUE!</v>
      </c>
      <c r="E90" s="9">
        <f>'Strut loads'!$I$29</f>
        <v>3550</v>
      </c>
      <c r="F90" s="9" t="e">
        <f t="shared" si="26"/>
        <v>#VALUE!</v>
      </c>
    </row>
    <row r="91" spans="1:6" x14ac:dyDescent="0.25">
      <c r="A91" s="9">
        <f t="shared" si="27"/>
        <v>46</v>
      </c>
      <c r="B91" s="9">
        <f t="shared" si="17"/>
        <v>5.5</v>
      </c>
      <c r="C91" s="9" t="e">
        <f>Calculations!$B$34</f>
        <v>#VALUE!</v>
      </c>
      <c r="D91" s="9" t="e">
        <f t="shared" si="25"/>
        <v>#VALUE!</v>
      </c>
      <c r="E91" s="9">
        <f>'Strut loads'!$I$29</f>
        <v>3550</v>
      </c>
      <c r="F91" s="9" t="e">
        <f t="shared" si="26"/>
        <v>#VALUE!</v>
      </c>
    </row>
    <row r="92" spans="1:6" x14ac:dyDescent="0.25">
      <c r="B92" s="50" t="str">
        <f>_xlfn.XLOOKUP(TRUE,F46:F91,B46:B91,"No")</f>
        <v>No</v>
      </c>
      <c r="D92" s="50" t="str">
        <f>_xlfn.XLOOKUP(TRUE,F46:F91,D46:D91,"No")</f>
        <v>No</v>
      </c>
      <c r="F92" t="s">
        <v>101</v>
      </c>
    </row>
    <row r="94" spans="1:6" x14ac:dyDescent="0.25">
      <c r="A94" s="9" t="s">
        <v>93</v>
      </c>
      <c r="B94" s="9" t="s">
        <v>94</v>
      </c>
      <c r="C94" s="9" t="s">
        <v>95</v>
      </c>
      <c r="D94" s="9" t="s">
        <v>96</v>
      </c>
      <c r="E94" s="9" t="s">
        <v>102</v>
      </c>
      <c r="F94" s="9" t="s">
        <v>98</v>
      </c>
    </row>
    <row r="95" spans="1:6" x14ac:dyDescent="0.25">
      <c r="A95" s="9">
        <v>1</v>
      </c>
      <c r="B95" s="9">
        <f>'Pipe weight, hangers, spacing'!$S$241</f>
        <v>28</v>
      </c>
      <c r="C95" s="9" t="e">
        <f>Calculations!$B$34</f>
        <v>#VALUE!</v>
      </c>
      <c r="D95" s="9" t="e">
        <f>B95*C95</f>
        <v>#VALUE!</v>
      </c>
      <c r="E95" s="9" t="e">
        <f>'Strut loads'!$D$41</f>
        <v>#VALUE!</v>
      </c>
      <c r="F95" s="9" t="e">
        <f>IF(D95 &lt;  (0.9* E95),TRUE,FALSE)</f>
        <v>#VALUE!</v>
      </c>
    </row>
    <row r="96" spans="1:6" x14ac:dyDescent="0.25">
      <c r="A96" s="9">
        <f>1+A95</f>
        <v>2</v>
      </c>
      <c r="B96" s="9">
        <f>IF(($B95-0.5)&gt;=2,($B95-0.5),2)</f>
        <v>27.5</v>
      </c>
      <c r="C96" s="9" t="e">
        <f>Calculations!$B$34</f>
        <v>#VALUE!</v>
      </c>
      <c r="D96" s="9" t="e">
        <f t="shared" ref="D96:D104" si="28">B96*C96</f>
        <v>#VALUE!</v>
      </c>
      <c r="E96" s="9" t="e">
        <f>'Strut loads'!$D$41</f>
        <v>#VALUE!</v>
      </c>
      <c r="F96" s="9" t="e">
        <f t="shared" ref="F96:F104" si="29">IF(D96 &lt;  (0.9* E96),TRUE,FALSE)</f>
        <v>#VALUE!</v>
      </c>
    </row>
    <row r="97" spans="1:6" x14ac:dyDescent="0.25">
      <c r="A97" s="9">
        <f t="shared" ref="A97:A109" si="30">1+A96</f>
        <v>3</v>
      </c>
      <c r="B97" s="9">
        <f t="shared" ref="B97:B142" si="31">IF(($B96-0.5)&gt;=2,($B96-0.5),2)</f>
        <v>27</v>
      </c>
      <c r="C97" s="9" t="e">
        <f>Calculations!$B$34</f>
        <v>#VALUE!</v>
      </c>
      <c r="D97" s="9" t="e">
        <f t="shared" si="28"/>
        <v>#VALUE!</v>
      </c>
      <c r="E97" s="9" t="e">
        <f>'Strut loads'!$D$41</f>
        <v>#VALUE!</v>
      </c>
      <c r="F97" s="9" t="e">
        <f t="shared" si="29"/>
        <v>#VALUE!</v>
      </c>
    </row>
    <row r="98" spans="1:6" x14ac:dyDescent="0.25">
      <c r="A98" s="9">
        <f t="shared" si="30"/>
        <v>4</v>
      </c>
      <c r="B98" s="9">
        <f t="shared" si="31"/>
        <v>26.5</v>
      </c>
      <c r="C98" s="9" t="e">
        <f>Calculations!$B$34</f>
        <v>#VALUE!</v>
      </c>
      <c r="D98" s="9" t="e">
        <f t="shared" si="28"/>
        <v>#VALUE!</v>
      </c>
      <c r="E98" s="9" t="e">
        <f>'Strut loads'!$D$41</f>
        <v>#VALUE!</v>
      </c>
      <c r="F98" s="9" t="e">
        <f t="shared" si="29"/>
        <v>#VALUE!</v>
      </c>
    </row>
    <row r="99" spans="1:6" x14ac:dyDescent="0.25">
      <c r="A99" s="9">
        <f t="shared" si="30"/>
        <v>5</v>
      </c>
      <c r="B99" s="9">
        <f t="shared" si="31"/>
        <v>26</v>
      </c>
      <c r="C99" s="9" t="e">
        <f>Calculations!$B$34</f>
        <v>#VALUE!</v>
      </c>
      <c r="D99" s="9" t="e">
        <f t="shared" si="28"/>
        <v>#VALUE!</v>
      </c>
      <c r="E99" s="9" t="e">
        <f>'Strut loads'!$D$41</f>
        <v>#VALUE!</v>
      </c>
      <c r="F99" s="9" t="e">
        <f t="shared" si="29"/>
        <v>#VALUE!</v>
      </c>
    </row>
    <row r="100" spans="1:6" x14ac:dyDescent="0.25">
      <c r="A100" s="9">
        <f t="shared" si="30"/>
        <v>6</v>
      </c>
      <c r="B100" s="9">
        <f t="shared" si="31"/>
        <v>25.5</v>
      </c>
      <c r="C100" s="9" t="e">
        <f>Calculations!$B$34</f>
        <v>#VALUE!</v>
      </c>
      <c r="D100" s="9" t="e">
        <f t="shared" si="28"/>
        <v>#VALUE!</v>
      </c>
      <c r="E100" s="9" t="e">
        <f>'Strut loads'!$D$41</f>
        <v>#VALUE!</v>
      </c>
      <c r="F100" s="9" t="e">
        <f t="shared" si="29"/>
        <v>#VALUE!</v>
      </c>
    </row>
    <row r="101" spans="1:6" x14ac:dyDescent="0.25">
      <c r="A101" s="9">
        <f t="shared" si="30"/>
        <v>7</v>
      </c>
      <c r="B101" s="9">
        <f t="shared" si="31"/>
        <v>25</v>
      </c>
      <c r="C101" s="9" t="e">
        <f>Calculations!$B$34</f>
        <v>#VALUE!</v>
      </c>
      <c r="D101" s="9" t="e">
        <f t="shared" si="28"/>
        <v>#VALUE!</v>
      </c>
      <c r="E101" s="9" t="e">
        <f>'Strut loads'!$D$41</f>
        <v>#VALUE!</v>
      </c>
      <c r="F101" s="9" t="e">
        <f t="shared" si="29"/>
        <v>#VALUE!</v>
      </c>
    </row>
    <row r="102" spans="1:6" x14ac:dyDescent="0.25">
      <c r="A102" s="9">
        <f t="shared" si="30"/>
        <v>8</v>
      </c>
      <c r="B102" s="9">
        <f t="shared" si="31"/>
        <v>24.5</v>
      </c>
      <c r="C102" s="9" t="e">
        <f>Calculations!$B$34</f>
        <v>#VALUE!</v>
      </c>
      <c r="D102" s="9" t="e">
        <f t="shared" si="28"/>
        <v>#VALUE!</v>
      </c>
      <c r="E102" s="9" t="e">
        <f>'Strut loads'!$D$41</f>
        <v>#VALUE!</v>
      </c>
      <c r="F102" s="9" t="e">
        <f t="shared" si="29"/>
        <v>#VALUE!</v>
      </c>
    </row>
    <row r="103" spans="1:6" x14ac:dyDescent="0.25">
      <c r="A103" s="9">
        <f t="shared" si="30"/>
        <v>9</v>
      </c>
      <c r="B103" s="9">
        <f t="shared" si="31"/>
        <v>24</v>
      </c>
      <c r="C103" s="9" t="e">
        <f>Calculations!$B$34</f>
        <v>#VALUE!</v>
      </c>
      <c r="D103" s="9" t="e">
        <f t="shared" si="28"/>
        <v>#VALUE!</v>
      </c>
      <c r="E103" s="9" t="e">
        <f>'Strut loads'!$D$41</f>
        <v>#VALUE!</v>
      </c>
      <c r="F103" s="9" t="e">
        <f t="shared" si="29"/>
        <v>#VALUE!</v>
      </c>
    </row>
    <row r="104" spans="1:6" x14ac:dyDescent="0.25">
      <c r="A104" s="9">
        <f t="shared" si="30"/>
        <v>10</v>
      </c>
      <c r="B104" s="9">
        <f t="shared" si="31"/>
        <v>23.5</v>
      </c>
      <c r="C104" s="9" t="e">
        <f>Calculations!$B$34</f>
        <v>#VALUE!</v>
      </c>
      <c r="D104" s="9" t="e">
        <f t="shared" si="28"/>
        <v>#VALUE!</v>
      </c>
      <c r="E104" s="9" t="e">
        <f>'Strut loads'!$D$41</f>
        <v>#VALUE!</v>
      </c>
      <c r="F104" s="9" t="e">
        <f t="shared" si="29"/>
        <v>#VALUE!</v>
      </c>
    </row>
    <row r="105" spans="1:6" x14ac:dyDescent="0.25">
      <c r="A105" s="9">
        <f t="shared" si="30"/>
        <v>11</v>
      </c>
      <c r="B105" s="9">
        <f t="shared" si="31"/>
        <v>23</v>
      </c>
      <c r="C105" s="9" t="e">
        <f>Calculations!$B$34</f>
        <v>#VALUE!</v>
      </c>
      <c r="D105" s="9" t="e">
        <f t="shared" ref="D105:D118" si="32">B105*C105</f>
        <v>#VALUE!</v>
      </c>
      <c r="E105" s="9" t="e">
        <f>'Strut loads'!$D$41</f>
        <v>#VALUE!</v>
      </c>
      <c r="F105" s="9" t="e">
        <f t="shared" ref="F105:F118" si="33">IF(D105 &lt;  (0.9* E105),TRUE,FALSE)</f>
        <v>#VALUE!</v>
      </c>
    </row>
    <row r="106" spans="1:6" x14ac:dyDescent="0.25">
      <c r="A106" s="9">
        <f t="shared" si="30"/>
        <v>12</v>
      </c>
      <c r="B106" s="9">
        <f t="shared" si="31"/>
        <v>22.5</v>
      </c>
      <c r="C106" s="9" t="e">
        <f>Calculations!$B$34</f>
        <v>#VALUE!</v>
      </c>
      <c r="D106" s="9" t="e">
        <f t="shared" si="32"/>
        <v>#VALUE!</v>
      </c>
      <c r="E106" s="9" t="e">
        <f>'Strut loads'!$D$41</f>
        <v>#VALUE!</v>
      </c>
      <c r="F106" s="9" t="e">
        <f t="shared" si="33"/>
        <v>#VALUE!</v>
      </c>
    </row>
    <row r="107" spans="1:6" x14ac:dyDescent="0.25">
      <c r="A107" s="9">
        <f t="shared" si="30"/>
        <v>13</v>
      </c>
      <c r="B107" s="9">
        <f t="shared" si="31"/>
        <v>22</v>
      </c>
      <c r="C107" s="9" t="e">
        <f>Calculations!$B$34</f>
        <v>#VALUE!</v>
      </c>
      <c r="D107" s="9" t="e">
        <f t="shared" si="32"/>
        <v>#VALUE!</v>
      </c>
      <c r="E107" s="9" t="e">
        <f>'Strut loads'!$D$41</f>
        <v>#VALUE!</v>
      </c>
      <c r="F107" s="9" t="e">
        <f t="shared" si="33"/>
        <v>#VALUE!</v>
      </c>
    </row>
    <row r="108" spans="1:6" x14ac:dyDescent="0.25">
      <c r="A108" s="9">
        <f t="shared" si="30"/>
        <v>14</v>
      </c>
      <c r="B108" s="9">
        <f t="shared" si="31"/>
        <v>21.5</v>
      </c>
      <c r="C108" s="9" t="e">
        <f>Calculations!$B$34</f>
        <v>#VALUE!</v>
      </c>
      <c r="D108" s="9" t="e">
        <f t="shared" si="32"/>
        <v>#VALUE!</v>
      </c>
      <c r="E108" s="9" t="e">
        <f>'Strut loads'!$D$41</f>
        <v>#VALUE!</v>
      </c>
      <c r="F108" s="9" t="e">
        <f t="shared" si="33"/>
        <v>#VALUE!</v>
      </c>
    </row>
    <row r="109" spans="1:6" x14ac:dyDescent="0.25">
      <c r="A109" s="9">
        <f t="shared" si="30"/>
        <v>15</v>
      </c>
      <c r="B109" s="9">
        <f t="shared" si="31"/>
        <v>21</v>
      </c>
      <c r="C109" s="9" t="e">
        <f>Calculations!$B$34</f>
        <v>#VALUE!</v>
      </c>
      <c r="D109" s="9" t="e">
        <f t="shared" si="32"/>
        <v>#VALUE!</v>
      </c>
      <c r="E109" s="9" t="e">
        <f>'Strut loads'!$D$41</f>
        <v>#VALUE!</v>
      </c>
      <c r="F109" s="9" t="e">
        <f t="shared" si="33"/>
        <v>#VALUE!</v>
      </c>
    </row>
    <row r="110" spans="1:6" x14ac:dyDescent="0.25">
      <c r="A110" s="9">
        <f>1+A109</f>
        <v>16</v>
      </c>
      <c r="B110" s="9">
        <f t="shared" si="31"/>
        <v>20.5</v>
      </c>
      <c r="C110" s="9" t="e">
        <f>Calculations!$B$34</f>
        <v>#VALUE!</v>
      </c>
      <c r="D110" s="9" t="e">
        <f t="shared" si="32"/>
        <v>#VALUE!</v>
      </c>
      <c r="E110" s="9" t="e">
        <f>'Strut loads'!$D$41</f>
        <v>#VALUE!</v>
      </c>
      <c r="F110" s="9" t="e">
        <f t="shared" si="33"/>
        <v>#VALUE!</v>
      </c>
    </row>
    <row r="111" spans="1:6" x14ac:dyDescent="0.25">
      <c r="A111" s="9">
        <f t="shared" ref="A111:A123" si="34">1+A110</f>
        <v>17</v>
      </c>
      <c r="B111" s="9">
        <f t="shared" si="31"/>
        <v>20</v>
      </c>
      <c r="C111" s="9" t="e">
        <f>Calculations!$B$34</f>
        <v>#VALUE!</v>
      </c>
      <c r="D111" s="9" t="e">
        <f t="shared" si="32"/>
        <v>#VALUE!</v>
      </c>
      <c r="E111" s="9" t="e">
        <f>'Strut loads'!$D$41</f>
        <v>#VALUE!</v>
      </c>
      <c r="F111" s="9" t="e">
        <f t="shared" si="33"/>
        <v>#VALUE!</v>
      </c>
    </row>
    <row r="112" spans="1:6" x14ac:dyDescent="0.25">
      <c r="A112" s="9">
        <f t="shared" si="34"/>
        <v>18</v>
      </c>
      <c r="B112" s="9">
        <f t="shared" si="31"/>
        <v>19.5</v>
      </c>
      <c r="C112" s="9" t="e">
        <f>Calculations!$B$34</f>
        <v>#VALUE!</v>
      </c>
      <c r="D112" s="9" t="e">
        <f t="shared" si="32"/>
        <v>#VALUE!</v>
      </c>
      <c r="E112" s="9" t="e">
        <f>'Strut loads'!$D$41</f>
        <v>#VALUE!</v>
      </c>
      <c r="F112" s="9" t="e">
        <f t="shared" si="33"/>
        <v>#VALUE!</v>
      </c>
    </row>
    <row r="113" spans="1:6" x14ac:dyDescent="0.25">
      <c r="A113" s="9">
        <f t="shared" si="34"/>
        <v>19</v>
      </c>
      <c r="B113" s="9">
        <f t="shared" si="31"/>
        <v>19</v>
      </c>
      <c r="C113" s="9" t="e">
        <f>Calculations!$B$34</f>
        <v>#VALUE!</v>
      </c>
      <c r="D113" s="9" t="e">
        <f t="shared" si="32"/>
        <v>#VALUE!</v>
      </c>
      <c r="E113" s="9" t="e">
        <f>'Strut loads'!$D$41</f>
        <v>#VALUE!</v>
      </c>
      <c r="F113" s="9" t="e">
        <f t="shared" si="33"/>
        <v>#VALUE!</v>
      </c>
    </row>
    <row r="114" spans="1:6" x14ac:dyDescent="0.25">
      <c r="A114" s="9">
        <f t="shared" si="34"/>
        <v>20</v>
      </c>
      <c r="B114" s="9">
        <f t="shared" si="31"/>
        <v>18.5</v>
      </c>
      <c r="C114" s="9" t="e">
        <f>Calculations!$B$34</f>
        <v>#VALUE!</v>
      </c>
      <c r="D114" s="9" t="e">
        <f t="shared" si="32"/>
        <v>#VALUE!</v>
      </c>
      <c r="E114" s="9" t="e">
        <f>'Strut loads'!$D$41</f>
        <v>#VALUE!</v>
      </c>
      <c r="F114" s="9" t="e">
        <f t="shared" si="33"/>
        <v>#VALUE!</v>
      </c>
    </row>
    <row r="115" spans="1:6" x14ac:dyDescent="0.25">
      <c r="A115" s="9">
        <f t="shared" si="34"/>
        <v>21</v>
      </c>
      <c r="B115" s="9">
        <f t="shared" si="31"/>
        <v>18</v>
      </c>
      <c r="C115" s="9" t="e">
        <f>Calculations!$B$34</f>
        <v>#VALUE!</v>
      </c>
      <c r="D115" s="9" t="e">
        <f t="shared" si="32"/>
        <v>#VALUE!</v>
      </c>
      <c r="E115" s="9" t="e">
        <f>'Strut loads'!$D$41</f>
        <v>#VALUE!</v>
      </c>
      <c r="F115" s="9" t="e">
        <f t="shared" si="33"/>
        <v>#VALUE!</v>
      </c>
    </row>
    <row r="116" spans="1:6" x14ac:dyDescent="0.25">
      <c r="A116" s="9">
        <f t="shared" si="34"/>
        <v>22</v>
      </c>
      <c r="B116" s="9">
        <f t="shared" si="31"/>
        <v>17.5</v>
      </c>
      <c r="C116" s="9" t="e">
        <f>Calculations!$B$34</f>
        <v>#VALUE!</v>
      </c>
      <c r="D116" s="9" t="e">
        <f t="shared" si="32"/>
        <v>#VALUE!</v>
      </c>
      <c r="E116" s="9" t="e">
        <f>'Strut loads'!$D$41</f>
        <v>#VALUE!</v>
      </c>
      <c r="F116" s="9" t="e">
        <f t="shared" si="33"/>
        <v>#VALUE!</v>
      </c>
    </row>
    <row r="117" spans="1:6" x14ac:dyDescent="0.25">
      <c r="A117" s="9">
        <f t="shared" si="34"/>
        <v>23</v>
      </c>
      <c r="B117" s="9">
        <f t="shared" si="31"/>
        <v>17</v>
      </c>
      <c r="C117" s="9" t="e">
        <f>Calculations!$B$34</f>
        <v>#VALUE!</v>
      </c>
      <c r="D117" s="9" t="e">
        <f t="shared" si="32"/>
        <v>#VALUE!</v>
      </c>
      <c r="E117" s="9" t="e">
        <f>'Strut loads'!$D$41</f>
        <v>#VALUE!</v>
      </c>
      <c r="F117" s="9" t="e">
        <f t="shared" si="33"/>
        <v>#VALUE!</v>
      </c>
    </row>
    <row r="118" spans="1:6" x14ac:dyDescent="0.25">
      <c r="A118" s="9">
        <f t="shared" si="34"/>
        <v>24</v>
      </c>
      <c r="B118" s="9">
        <f t="shared" si="31"/>
        <v>16.5</v>
      </c>
      <c r="C118" s="9" t="e">
        <f>Calculations!$B$34</f>
        <v>#VALUE!</v>
      </c>
      <c r="D118" s="9" t="e">
        <f t="shared" si="32"/>
        <v>#VALUE!</v>
      </c>
      <c r="E118" s="9" t="e">
        <f>'Strut loads'!$D$41</f>
        <v>#VALUE!</v>
      </c>
      <c r="F118" s="9" t="e">
        <f t="shared" si="33"/>
        <v>#VALUE!</v>
      </c>
    </row>
    <row r="119" spans="1:6" x14ac:dyDescent="0.25">
      <c r="A119" s="9">
        <f t="shared" si="34"/>
        <v>25</v>
      </c>
      <c r="B119" s="9">
        <f t="shared" si="31"/>
        <v>16</v>
      </c>
      <c r="C119" s="9" t="e">
        <f>Calculations!$B$34</f>
        <v>#VALUE!</v>
      </c>
      <c r="D119" s="9" t="e">
        <f t="shared" ref="D119:D142" si="35">B119*C119</f>
        <v>#VALUE!</v>
      </c>
      <c r="E119" s="9" t="e">
        <f>'Strut loads'!$D$41</f>
        <v>#VALUE!</v>
      </c>
      <c r="F119" s="9" t="e">
        <f t="shared" ref="F119:F142" si="36">IF(D119 &lt;  (0.9* E119),TRUE,FALSE)</f>
        <v>#VALUE!</v>
      </c>
    </row>
    <row r="120" spans="1:6" x14ac:dyDescent="0.25">
      <c r="A120" s="9">
        <f t="shared" si="34"/>
        <v>26</v>
      </c>
      <c r="B120" s="9">
        <f t="shared" si="31"/>
        <v>15.5</v>
      </c>
      <c r="C120" s="9" t="e">
        <f>Calculations!$B$34</f>
        <v>#VALUE!</v>
      </c>
      <c r="D120" s="9" t="e">
        <f t="shared" si="35"/>
        <v>#VALUE!</v>
      </c>
      <c r="E120" s="9" t="e">
        <f>'Strut loads'!$D$41</f>
        <v>#VALUE!</v>
      </c>
      <c r="F120" s="9" t="e">
        <f t="shared" si="36"/>
        <v>#VALUE!</v>
      </c>
    </row>
    <row r="121" spans="1:6" x14ac:dyDescent="0.25">
      <c r="A121" s="9">
        <f t="shared" si="34"/>
        <v>27</v>
      </c>
      <c r="B121" s="9">
        <f t="shared" si="31"/>
        <v>15</v>
      </c>
      <c r="C121" s="9" t="e">
        <f>Calculations!$B$34</f>
        <v>#VALUE!</v>
      </c>
      <c r="D121" s="9" t="e">
        <f t="shared" si="35"/>
        <v>#VALUE!</v>
      </c>
      <c r="E121" s="9" t="e">
        <f>'Strut loads'!$D$41</f>
        <v>#VALUE!</v>
      </c>
      <c r="F121" s="9" t="e">
        <f t="shared" si="36"/>
        <v>#VALUE!</v>
      </c>
    </row>
    <row r="122" spans="1:6" x14ac:dyDescent="0.25">
      <c r="A122" s="9">
        <f t="shared" si="34"/>
        <v>28</v>
      </c>
      <c r="B122" s="9">
        <f t="shared" si="31"/>
        <v>14.5</v>
      </c>
      <c r="C122" s="9" t="e">
        <f>Calculations!$B$34</f>
        <v>#VALUE!</v>
      </c>
      <c r="D122" s="9" t="e">
        <f t="shared" si="35"/>
        <v>#VALUE!</v>
      </c>
      <c r="E122" s="9" t="e">
        <f>'Strut loads'!$D$41</f>
        <v>#VALUE!</v>
      </c>
      <c r="F122" s="9" t="e">
        <f t="shared" si="36"/>
        <v>#VALUE!</v>
      </c>
    </row>
    <row r="123" spans="1:6" x14ac:dyDescent="0.25">
      <c r="A123" s="9">
        <f t="shared" si="34"/>
        <v>29</v>
      </c>
      <c r="B123" s="9">
        <f t="shared" si="31"/>
        <v>14</v>
      </c>
      <c r="C123" s="9" t="e">
        <f>Calculations!$B$34</f>
        <v>#VALUE!</v>
      </c>
      <c r="D123" s="9" t="e">
        <f t="shared" si="35"/>
        <v>#VALUE!</v>
      </c>
      <c r="E123" s="9" t="e">
        <f>'Strut loads'!$D$41</f>
        <v>#VALUE!</v>
      </c>
      <c r="F123" s="9" t="e">
        <f t="shared" si="36"/>
        <v>#VALUE!</v>
      </c>
    </row>
    <row r="124" spans="1:6" x14ac:dyDescent="0.25">
      <c r="A124" s="9">
        <f>1+A123</f>
        <v>30</v>
      </c>
      <c r="B124" s="9">
        <f t="shared" si="31"/>
        <v>13.5</v>
      </c>
      <c r="C124" s="9" t="e">
        <f>Calculations!$B$34</f>
        <v>#VALUE!</v>
      </c>
      <c r="D124" s="9" t="e">
        <f t="shared" si="35"/>
        <v>#VALUE!</v>
      </c>
      <c r="E124" s="9" t="e">
        <f>'Strut loads'!$D$41</f>
        <v>#VALUE!</v>
      </c>
      <c r="F124" s="9" t="e">
        <f t="shared" si="36"/>
        <v>#VALUE!</v>
      </c>
    </row>
    <row r="125" spans="1:6" x14ac:dyDescent="0.25">
      <c r="A125" s="9">
        <f t="shared" ref="A125:A137" si="37">1+A124</f>
        <v>31</v>
      </c>
      <c r="B125" s="9">
        <f t="shared" si="31"/>
        <v>13</v>
      </c>
      <c r="C125" s="9" t="e">
        <f>Calculations!$B$34</f>
        <v>#VALUE!</v>
      </c>
      <c r="D125" s="9" t="e">
        <f t="shared" si="35"/>
        <v>#VALUE!</v>
      </c>
      <c r="E125" s="9" t="e">
        <f>'Strut loads'!$D$41</f>
        <v>#VALUE!</v>
      </c>
      <c r="F125" s="9" t="e">
        <f t="shared" si="36"/>
        <v>#VALUE!</v>
      </c>
    </row>
    <row r="126" spans="1:6" x14ac:dyDescent="0.25">
      <c r="A126" s="9">
        <f t="shared" si="37"/>
        <v>32</v>
      </c>
      <c r="B126" s="9">
        <f t="shared" si="31"/>
        <v>12.5</v>
      </c>
      <c r="C126" s="9" t="e">
        <f>Calculations!$B$34</f>
        <v>#VALUE!</v>
      </c>
      <c r="D126" s="9" t="e">
        <f t="shared" si="35"/>
        <v>#VALUE!</v>
      </c>
      <c r="E126" s="9" t="e">
        <f>'Strut loads'!$D$41</f>
        <v>#VALUE!</v>
      </c>
      <c r="F126" s="9" t="e">
        <f t="shared" si="36"/>
        <v>#VALUE!</v>
      </c>
    </row>
    <row r="127" spans="1:6" x14ac:dyDescent="0.25">
      <c r="A127" s="9">
        <f t="shared" si="37"/>
        <v>33</v>
      </c>
      <c r="B127" s="9">
        <f t="shared" si="31"/>
        <v>12</v>
      </c>
      <c r="C127" s="9" t="e">
        <f>Calculations!$B$34</f>
        <v>#VALUE!</v>
      </c>
      <c r="D127" s="9" t="e">
        <f t="shared" si="35"/>
        <v>#VALUE!</v>
      </c>
      <c r="E127" s="9" t="e">
        <f>'Strut loads'!$D$41</f>
        <v>#VALUE!</v>
      </c>
      <c r="F127" s="9" t="e">
        <f t="shared" si="36"/>
        <v>#VALUE!</v>
      </c>
    </row>
    <row r="128" spans="1:6" x14ac:dyDescent="0.25">
      <c r="A128" s="9">
        <f t="shared" si="37"/>
        <v>34</v>
      </c>
      <c r="B128" s="9">
        <f t="shared" si="31"/>
        <v>11.5</v>
      </c>
      <c r="C128" s="9" t="e">
        <f>Calculations!$B$34</f>
        <v>#VALUE!</v>
      </c>
      <c r="D128" s="9" t="e">
        <f t="shared" si="35"/>
        <v>#VALUE!</v>
      </c>
      <c r="E128" s="9" t="e">
        <f>'Strut loads'!$D$41</f>
        <v>#VALUE!</v>
      </c>
      <c r="F128" s="9" t="e">
        <f t="shared" si="36"/>
        <v>#VALUE!</v>
      </c>
    </row>
    <row r="129" spans="1:6" x14ac:dyDescent="0.25">
      <c r="A129" s="9">
        <f t="shared" si="37"/>
        <v>35</v>
      </c>
      <c r="B129" s="9">
        <f t="shared" si="31"/>
        <v>11</v>
      </c>
      <c r="C129" s="9" t="e">
        <f>Calculations!$B$34</f>
        <v>#VALUE!</v>
      </c>
      <c r="D129" s="9" t="e">
        <f t="shared" si="35"/>
        <v>#VALUE!</v>
      </c>
      <c r="E129" s="9" t="e">
        <f>'Strut loads'!$D$41</f>
        <v>#VALUE!</v>
      </c>
      <c r="F129" s="9" t="e">
        <f t="shared" si="36"/>
        <v>#VALUE!</v>
      </c>
    </row>
    <row r="130" spans="1:6" x14ac:dyDescent="0.25">
      <c r="A130" s="9">
        <f t="shared" si="37"/>
        <v>36</v>
      </c>
      <c r="B130" s="9">
        <f t="shared" si="31"/>
        <v>10.5</v>
      </c>
      <c r="C130" s="9" t="e">
        <f>Calculations!$B$34</f>
        <v>#VALUE!</v>
      </c>
      <c r="D130" s="9" t="e">
        <f t="shared" si="35"/>
        <v>#VALUE!</v>
      </c>
      <c r="E130" s="9" t="e">
        <f>'Strut loads'!$D$41</f>
        <v>#VALUE!</v>
      </c>
      <c r="F130" s="9" t="e">
        <f t="shared" si="36"/>
        <v>#VALUE!</v>
      </c>
    </row>
    <row r="131" spans="1:6" x14ac:dyDescent="0.25">
      <c r="A131" s="9">
        <f t="shared" si="37"/>
        <v>37</v>
      </c>
      <c r="B131" s="9">
        <f t="shared" si="31"/>
        <v>10</v>
      </c>
      <c r="C131" s="9" t="e">
        <f>Calculations!$B$34</f>
        <v>#VALUE!</v>
      </c>
      <c r="D131" s="9" t="e">
        <f t="shared" si="35"/>
        <v>#VALUE!</v>
      </c>
      <c r="E131" s="9" t="e">
        <f>'Strut loads'!$D$41</f>
        <v>#VALUE!</v>
      </c>
      <c r="F131" s="9" t="e">
        <f t="shared" si="36"/>
        <v>#VALUE!</v>
      </c>
    </row>
    <row r="132" spans="1:6" x14ac:dyDescent="0.25">
      <c r="A132" s="9">
        <f t="shared" si="37"/>
        <v>38</v>
      </c>
      <c r="B132" s="9">
        <f t="shared" si="31"/>
        <v>9.5</v>
      </c>
      <c r="C132" s="9" t="e">
        <f>Calculations!$B$34</f>
        <v>#VALUE!</v>
      </c>
      <c r="D132" s="9" t="e">
        <f t="shared" si="35"/>
        <v>#VALUE!</v>
      </c>
      <c r="E132" s="9" t="e">
        <f>'Strut loads'!$D$41</f>
        <v>#VALUE!</v>
      </c>
      <c r="F132" s="9" t="e">
        <f t="shared" si="36"/>
        <v>#VALUE!</v>
      </c>
    </row>
    <row r="133" spans="1:6" x14ac:dyDescent="0.25">
      <c r="A133" s="9">
        <f t="shared" si="37"/>
        <v>39</v>
      </c>
      <c r="B133" s="9">
        <f t="shared" si="31"/>
        <v>9</v>
      </c>
      <c r="C133" s="9" t="e">
        <f>Calculations!$B$34</f>
        <v>#VALUE!</v>
      </c>
      <c r="D133" s="9" t="e">
        <f t="shared" si="35"/>
        <v>#VALUE!</v>
      </c>
      <c r="E133" s="9" t="e">
        <f>'Strut loads'!$D$41</f>
        <v>#VALUE!</v>
      </c>
      <c r="F133" s="9" t="e">
        <f t="shared" si="36"/>
        <v>#VALUE!</v>
      </c>
    </row>
    <row r="134" spans="1:6" x14ac:dyDescent="0.25">
      <c r="A134" s="9">
        <f t="shared" si="37"/>
        <v>40</v>
      </c>
      <c r="B134" s="9">
        <f t="shared" si="31"/>
        <v>8.5</v>
      </c>
      <c r="C134" s="9" t="e">
        <f>Calculations!$B$34</f>
        <v>#VALUE!</v>
      </c>
      <c r="D134" s="9" t="e">
        <f t="shared" si="35"/>
        <v>#VALUE!</v>
      </c>
      <c r="E134" s="9" t="e">
        <f>'Strut loads'!$D$41</f>
        <v>#VALUE!</v>
      </c>
      <c r="F134" s="9" t="e">
        <f t="shared" si="36"/>
        <v>#VALUE!</v>
      </c>
    </row>
    <row r="135" spans="1:6" x14ac:dyDescent="0.25">
      <c r="A135" s="9">
        <f t="shared" si="37"/>
        <v>41</v>
      </c>
      <c r="B135" s="9">
        <f t="shared" si="31"/>
        <v>8</v>
      </c>
      <c r="C135" s="9" t="e">
        <f>Calculations!$B$34</f>
        <v>#VALUE!</v>
      </c>
      <c r="D135" s="9" t="e">
        <f t="shared" si="35"/>
        <v>#VALUE!</v>
      </c>
      <c r="E135" s="9" t="e">
        <f>'Strut loads'!$D$41</f>
        <v>#VALUE!</v>
      </c>
      <c r="F135" s="9" t="e">
        <f t="shared" si="36"/>
        <v>#VALUE!</v>
      </c>
    </row>
    <row r="136" spans="1:6" x14ac:dyDescent="0.25">
      <c r="A136" s="9">
        <f t="shared" si="37"/>
        <v>42</v>
      </c>
      <c r="B136" s="9">
        <f t="shared" si="31"/>
        <v>7.5</v>
      </c>
      <c r="C136" s="9" t="e">
        <f>Calculations!$B$34</f>
        <v>#VALUE!</v>
      </c>
      <c r="D136" s="9" t="e">
        <f t="shared" si="35"/>
        <v>#VALUE!</v>
      </c>
      <c r="E136" s="9" t="e">
        <f>'Strut loads'!$D$41</f>
        <v>#VALUE!</v>
      </c>
      <c r="F136" s="9" t="e">
        <f t="shared" si="36"/>
        <v>#VALUE!</v>
      </c>
    </row>
    <row r="137" spans="1:6" x14ac:dyDescent="0.25">
      <c r="A137" s="9">
        <f t="shared" si="37"/>
        <v>43</v>
      </c>
      <c r="B137" s="9">
        <f t="shared" si="31"/>
        <v>7</v>
      </c>
      <c r="C137" s="9" t="e">
        <f>Calculations!$B$34</f>
        <v>#VALUE!</v>
      </c>
      <c r="D137" s="9" t="e">
        <f t="shared" si="35"/>
        <v>#VALUE!</v>
      </c>
      <c r="E137" s="9" t="e">
        <f>'Strut loads'!$D$41</f>
        <v>#VALUE!</v>
      </c>
      <c r="F137" s="9" t="e">
        <f t="shared" si="36"/>
        <v>#VALUE!</v>
      </c>
    </row>
    <row r="138" spans="1:6" x14ac:dyDescent="0.25">
      <c r="A138" s="9">
        <f>1+A137</f>
        <v>44</v>
      </c>
      <c r="B138" s="9">
        <f t="shared" si="31"/>
        <v>6.5</v>
      </c>
      <c r="C138" s="9" t="e">
        <f>Calculations!$B$34</f>
        <v>#VALUE!</v>
      </c>
      <c r="D138" s="9" t="e">
        <f t="shared" si="35"/>
        <v>#VALUE!</v>
      </c>
      <c r="E138" s="9" t="e">
        <f>'Strut loads'!$D$41</f>
        <v>#VALUE!</v>
      </c>
      <c r="F138" s="9" t="e">
        <f t="shared" si="36"/>
        <v>#VALUE!</v>
      </c>
    </row>
    <row r="139" spans="1:6" x14ac:dyDescent="0.25">
      <c r="A139" s="9">
        <f t="shared" ref="A139:A142" si="38">1+A138</f>
        <v>45</v>
      </c>
      <c r="B139" s="9">
        <f t="shared" si="31"/>
        <v>6</v>
      </c>
      <c r="C139" s="9" t="e">
        <f>Calculations!$B$34</f>
        <v>#VALUE!</v>
      </c>
      <c r="D139" s="9" t="e">
        <f t="shared" si="35"/>
        <v>#VALUE!</v>
      </c>
      <c r="E139" s="9" t="e">
        <f>'Strut loads'!$D$41</f>
        <v>#VALUE!</v>
      </c>
      <c r="F139" s="9" t="e">
        <f t="shared" si="36"/>
        <v>#VALUE!</v>
      </c>
    </row>
    <row r="140" spans="1:6" x14ac:dyDescent="0.25">
      <c r="A140" s="9">
        <f t="shared" si="38"/>
        <v>46</v>
      </c>
      <c r="B140" s="9">
        <f t="shared" si="31"/>
        <v>5.5</v>
      </c>
      <c r="C140" s="9" t="e">
        <f>Calculations!$B$34</f>
        <v>#VALUE!</v>
      </c>
      <c r="D140" s="9" t="e">
        <f t="shared" si="35"/>
        <v>#VALUE!</v>
      </c>
      <c r="E140" s="9" t="e">
        <f>'Strut loads'!$D$41</f>
        <v>#VALUE!</v>
      </c>
      <c r="F140" s="9" t="e">
        <f t="shared" si="36"/>
        <v>#VALUE!</v>
      </c>
    </row>
    <row r="141" spans="1:6" x14ac:dyDescent="0.25">
      <c r="A141" s="9">
        <f t="shared" si="38"/>
        <v>47</v>
      </c>
      <c r="B141" s="9">
        <f t="shared" si="31"/>
        <v>5</v>
      </c>
      <c r="C141" s="9" t="e">
        <f>Calculations!$B$34</f>
        <v>#VALUE!</v>
      </c>
      <c r="D141" s="9" t="e">
        <f t="shared" si="35"/>
        <v>#VALUE!</v>
      </c>
      <c r="E141" s="9" t="e">
        <f>'Strut loads'!$D$41</f>
        <v>#VALUE!</v>
      </c>
      <c r="F141" s="9" t="e">
        <f t="shared" si="36"/>
        <v>#VALUE!</v>
      </c>
    </row>
    <row r="142" spans="1:6" x14ac:dyDescent="0.25">
      <c r="A142" s="9">
        <f t="shared" si="38"/>
        <v>48</v>
      </c>
      <c r="B142" s="9">
        <f t="shared" si="31"/>
        <v>4.5</v>
      </c>
      <c r="C142" s="9" t="e">
        <f>Calculations!$B$34</f>
        <v>#VALUE!</v>
      </c>
      <c r="D142" s="9" t="e">
        <f t="shared" si="35"/>
        <v>#VALUE!</v>
      </c>
      <c r="E142" s="9" t="e">
        <f>'Strut loads'!$D$41</f>
        <v>#VALUE!</v>
      </c>
      <c r="F142" s="9" t="e">
        <f t="shared" si="36"/>
        <v>#VALUE!</v>
      </c>
    </row>
    <row r="143" spans="1:6" x14ac:dyDescent="0.25">
      <c r="B143" s="9">
        <f>_xlfn.XLOOKUP(TRUE,F94:F142,B94:B142,0)</f>
        <v>0</v>
      </c>
      <c r="D143" s="9">
        <f>_xlfn.XLOOKUP(TRUE,F94:F142,D94:D142,0)</f>
        <v>0</v>
      </c>
      <c r="F143" t="s">
        <v>103</v>
      </c>
    </row>
    <row r="144" spans="1:6" x14ac:dyDescent="0.25">
      <c r="B144" s="9" t="s">
        <v>104</v>
      </c>
    </row>
    <row r="146" spans="2:6" x14ac:dyDescent="0.25">
      <c r="B146">
        <f>IF(Inputs!C4="Pipe",'Pipe weight, hangers, spacing'!S241,Calculations!#REF!)</f>
        <v>28</v>
      </c>
    </row>
    <row r="147" spans="2:6" x14ac:dyDescent="0.25">
      <c r="B147" s="51" t="s">
        <v>104</v>
      </c>
      <c r="C147" s="50" t="s">
        <v>104</v>
      </c>
      <c r="D147" s="50" t="s">
        <v>104</v>
      </c>
      <c r="F147" t="s">
        <v>104</v>
      </c>
    </row>
    <row r="149" spans="2:6" x14ac:dyDescent="0.25">
      <c r="B149" s="52">
        <f>MIN(B146,B143,B92,B43)</f>
        <v>0</v>
      </c>
      <c r="C149" s="50" t="e">
        <f>Calculations!$B$34</f>
        <v>#VALUE!</v>
      </c>
      <c r="D149" s="52" t="e">
        <f>C149*B149</f>
        <v>#VALUE!</v>
      </c>
      <c r="F149" t="s">
        <v>105</v>
      </c>
    </row>
    <row r="150" spans="2:6" x14ac:dyDescent="0.25">
      <c r="F150" s="49" t="s">
        <v>106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73D793-3999-466C-8DDE-536501C64802}">
  <sheetPr codeName="Sheet5"/>
  <dimension ref="A1:AT55"/>
  <sheetViews>
    <sheetView zoomScale="83" zoomScaleNormal="83" workbookViewId="0">
      <selection activeCell="B41" sqref="B41"/>
    </sheetView>
  </sheetViews>
  <sheetFormatPr defaultRowHeight="15" x14ac:dyDescent="0.25"/>
  <cols>
    <col min="1" max="1" width="11.85546875" customWidth="1"/>
    <col min="2" max="2" width="18" customWidth="1"/>
    <col min="3" max="3" width="16.7109375" customWidth="1"/>
    <col min="4" max="4" width="44.140625" customWidth="1"/>
    <col min="5" max="6" width="23.85546875" customWidth="1"/>
    <col min="7" max="7" width="18.28515625" customWidth="1"/>
    <col min="8" max="8" width="16.42578125" customWidth="1"/>
    <col min="11" max="11" width="13.5703125" customWidth="1"/>
    <col min="20" max="20" width="5.140625" customWidth="1"/>
  </cols>
  <sheetData>
    <row r="1" spans="1:16" x14ac:dyDescent="0.25">
      <c r="A1" t="s">
        <v>776</v>
      </c>
      <c r="B1" t="s">
        <v>777</v>
      </c>
      <c r="C1" t="s">
        <v>778</v>
      </c>
      <c r="D1" t="s">
        <v>779</v>
      </c>
      <c r="E1" t="s">
        <v>780</v>
      </c>
      <c r="G1" t="s">
        <v>776</v>
      </c>
      <c r="H1" t="s">
        <v>781</v>
      </c>
      <c r="I1" t="s">
        <v>782</v>
      </c>
      <c r="J1" t="s">
        <v>783</v>
      </c>
    </row>
    <row r="2" spans="1:16" x14ac:dyDescent="0.25">
      <c r="A2" t="s">
        <v>176</v>
      </c>
      <c r="B2">
        <v>18</v>
      </c>
      <c r="C2">
        <v>1690</v>
      </c>
      <c r="D2">
        <f>Beam_loads[[#This Row],[Max Beam Load]]*0.85</f>
        <v>1436.5</v>
      </c>
      <c r="E2">
        <v>2256</v>
      </c>
      <c r="G2" t="s">
        <v>176</v>
      </c>
      <c r="H2">
        <v>18</v>
      </c>
      <c r="I2">
        <v>3550</v>
      </c>
      <c r="J2" s="55">
        <v>9481</v>
      </c>
      <c r="P2" t="s">
        <v>176</v>
      </c>
    </row>
    <row r="3" spans="1:16" x14ac:dyDescent="0.25">
      <c r="A3" t="s">
        <v>181</v>
      </c>
      <c r="B3">
        <v>18</v>
      </c>
      <c r="C3">
        <v>3500</v>
      </c>
      <c r="D3">
        <f>Beam_loads[[#This Row],[Max Beam Load]]*0.85</f>
        <v>2975</v>
      </c>
      <c r="E3">
        <v>6289</v>
      </c>
      <c r="G3" t="s">
        <v>176</v>
      </c>
      <c r="H3">
        <v>24</v>
      </c>
      <c r="I3">
        <v>3550</v>
      </c>
      <c r="J3" s="54">
        <v>8582</v>
      </c>
      <c r="L3" t="s">
        <v>104</v>
      </c>
    </row>
    <row r="4" spans="1:16" x14ac:dyDescent="0.25">
      <c r="A4" t="s">
        <v>784</v>
      </c>
      <c r="B4">
        <v>18</v>
      </c>
      <c r="C4">
        <v>3500</v>
      </c>
      <c r="D4">
        <f>Beam_loads[[#This Row],[Max Beam Load]]*0.85</f>
        <v>2975</v>
      </c>
      <c r="E4">
        <v>7111</v>
      </c>
      <c r="G4" t="s">
        <v>176</v>
      </c>
      <c r="H4">
        <v>30</v>
      </c>
      <c r="I4">
        <v>3190</v>
      </c>
      <c r="J4" s="55">
        <v>7601</v>
      </c>
    </row>
    <row r="5" spans="1:16" x14ac:dyDescent="0.25">
      <c r="A5" t="s">
        <v>176</v>
      </c>
      <c r="B5">
        <v>24</v>
      </c>
      <c r="C5">
        <v>1690</v>
      </c>
      <c r="D5">
        <f>Beam_loads[[#This Row],[Max Beam Load]]*0.85</f>
        <v>1436.5</v>
      </c>
      <c r="E5">
        <v>1692</v>
      </c>
      <c r="G5" t="s">
        <v>176</v>
      </c>
      <c r="H5">
        <v>36</v>
      </c>
      <c r="I5">
        <v>3190</v>
      </c>
      <c r="J5" s="54">
        <v>6595</v>
      </c>
    </row>
    <row r="6" spans="1:16" x14ac:dyDescent="0.25">
      <c r="A6" t="s">
        <v>181</v>
      </c>
      <c r="B6">
        <v>24</v>
      </c>
      <c r="C6">
        <v>3500</v>
      </c>
      <c r="D6">
        <f>Beam_loads[[#This Row],[Max Beam Load]]*0.85</f>
        <v>2975</v>
      </c>
      <c r="E6">
        <v>4717</v>
      </c>
      <c r="G6" t="s">
        <v>176</v>
      </c>
      <c r="H6">
        <v>42</v>
      </c>
      <c r="I6">
        <v>2770</v>
      </c>
      <c r="J6" s="55">
        <v>5595</v>
      </c>
    </row>
    <row r="7" spans="1:16" x14ac:dyDescent="0.25">
      <c r="A7" t="s">
        <v>784</v>
      </c>
      <c r="B7">
        <v>24</v>
      </c>
      <c r="C7">
        <v>3500</v>
      </c>
      <c r="D7">
        <f>Beam_loads[[#This Row],[Max Beam Load]]*0.85</f>
        <v>2975</v>
      </c>
      <c r="E7">
        <v>5333</v>
      </c>
      <c r="G7" t="s">
        <v>176</v>
      </c>
      <c r="H7">
        <v>48</v>
      </c>
      <c r="I7">
        <v>2770</v>
      </c>
      <c r="J7" s="54">
        <v>4718</v>
      </c>
    </row>
    <row r="8" spans="1:16" x14ac:dyDescent="0.25">
      <c r="A8" t="s">
        <v>176</v>
      </c>
      <c r="B8">
        <v>30</v>
      </c>
      <c r="C8">
        <v>1130</v>
      </c>
      <c r="D8">
        <f>Beam_loads[[#This Row],[Max Beam Load]]*0.85</f>
        <v>960.5</v>
      </c>
      <c r="E8">
        <v>1353</v>
      </c>
      <c r="G8" t="s">
        <v>176</v>
      </c>
      <c r="H8">
        <v>54</v>
      </c>
      <c r="I8">
        <v>2380</v>
      </c>
      <c r="J8" s="55">
        <v>4090</v>
      </c>
    </row>
    <row r="9" spans="1:16" x14ac:dyDescent="0.25">
      <c r="A9" t="s">
        <v>181</v>
      </c>
      <c r="B9">
        <v>30</v>
      </c>
      <c r="C9">
        <v>3190</v>
      </c>
      <c r="D9">
        <f>Beam_loads[[#This Row],[Max Beam Load]]*0.85</f>
        <v>2711.5</v>
      </c>
      <c r="E9">
        <v>3773</v>
      </c>
      <c r="G9" t="s">
        <v>176</v>
      </c>
      <c r="H9">
        <v>60</v>
      </c>
      <c r="I9">
        <v>2380</v>
      </c>
      <c r="J9" s="54">
        <v>3616</v>
      </c>
    </row>
    <row r="10" spans="1:16" x14ac:dyDescent="0.25">
      <c r="A10" t="s">
        <v>784</v>
      </c>
      <c r="B10">
        <v>30</v>
      </c>
      <c r="C10">
        <v>3190</v>
      </c>
      <c r="D10">
        <f>Beam_loads[[#This Row],[Max Beam Load]]*0.85</f>
        <v>2711.5</v>
      </c>
      <c r="E10">
        <v>4267</v>
      </c>
      <c r="G10" t="s">
        <v>176</v>
      </c>
      <c r="H10">
        <v>72</v>
      </c>
      <c r="I10">
        <v>2080</v>
      </c>
      <c r="J10" s="55">
        <v>2936</v>
      </c>
    </row>
    <row r="11" spans="1:16" x14ac:dyDescent="0.25">
      <c r="A11" t="s">
        <v>176</v>
      </c>
      <c r="B11">
        <v>36</v>
      </c>
      <c r="C11">
        <v>1130</v>
      </c>
      <c r="D11">
        <f>Beam_loads[[#This Row],[Max Beam Load]]*0.85</f>
        <v>960.5</v>
      </c>
      <c r="E11">
        <v>1128</v>
      </c>
      <c r="G11" t="s">
        <v>176</v>
      </c>
      <c r="H11">
        <v>84</v>
      </c>
      <c r="I11">
        <v>1860</v>
      </c>
      <c r="J11" s="54">
        <v>2461</v>
      </c>
      <c r="L11" cm="1">
        <f t="array" ref="L11">INDEX(Column_load[Column Height (inches)],L14)</f>
        <v>18</v>
      </c>
    </row>
    <row r="12" spans="1:16" x14ac:dyDescent="0.25">
      <c r="A12" t="s">
        <v>181</v>
      </c>
      <c r="B12">
        <v>36</v>
      </c>
      <c r="C12">
        <v>3190</v>
      </c>
      <c r="D12">
        <f>Beam_loads[[#This Row],[Max Beam Load]]*0.85</f>
        <v>2711.5</v>
      </c>
      <c r="E12">
        <v>3144</v>
      </c>
      <c r="G12" t="s">
        <v>176</v>
      </c>
      <c r="H12">
        <v>96</v>
      </c>
      <c r="I12">
        <v>1670</v>
      </c>
      <c r="J12" s="55">
        <v>2101</v>
      </c>
    </row>
    <row r="13" spans="1:16" x14ac:dyDescent="0.25">
      <c r="A13" t="s">
        <v>784</v>
      </c>
      <c r="B13">
        <v>36</v>
      </c>
      <c r="C13">
        <v>3190</v>
      </c>
      <c r="D13">
        <f>Beam_loads[[#This Row],[Max Beam Load]]*0.85</f>
        <v>2711.5</v>
      </c>
      <c r="E13">
        <v>3556</v>
      </c>
      <c r="G13" t="s">
        <v>176</v>
      </c>
      <c r="H13">
        <v>108</v>
      </c>
      <c r="I13">
        <v>1510</v>
      </c>
      <c r="J13" s="54">
        <v>1816</v>
      </c>
    </row>
    <row r="14" spans="1:16" x14ac:dyDescent="0.25">
      <c r="A14" t="s">
        <v>176</v>
      </c>
      <c r="B14">
        <v>42</v>
      </c>
      <c r="C14">
        <v>850</v>
      </c>
      <c r="D14">
        <f>Beam_loads[[#This Row],[Max Beam Load]]*0.85</f>
        <v>722.5</v>
      </c>
      <c r="E14">
        <v>967</v>
      </c>
      <c r="G14" t="s">
        <v>176</v>
      </c>
      <c r="H14">
        <v>120</v>
      </c>
      <c r="I14">
        <v>1380</v>
      </c>
      <c r="J14" s="55">
        <v>1583</v>
      </c>
      <c r="L14">
        <f>MATCH(H29,Column_load[Column Height (inches)],1)</f>
        <v>1</v>
      </c>
    </row>
    <row r="15" spans="1:16" x14ac:dyDescent="0.25">
      <c r="A15" t="s">
        <v>181</v>
      </c>
      <c r="B15">
        <v>42</v>
      </c>
      <c r="C15">
        <v>2390</v>
      </c>
      <c r="D15">
        <f>Beam_loads[[#This Row],[Max Beam Load]]*0.85</f>
        <v>2031.5</v>
      </c>
      <c r="E15">
        <v>2695</v>
      </c>
      <c r="G15" t="s">
        <v>181</v>
      </c>
      <c r="H15">
        <v>18</v>
      </c>
      <c r="I15">
        <v>6430</v>
      </c>
    </row>
    <row r="16" spans="1:16" x14ac:dyDescent="0.25">
      <c r="A16" t="s">
        <v>784</v>
      </c>
      <c r="B16">
        <v>42</v>
      </c>
      <c r="C16">
        <v>2390</v>
      </c>
      <c r="D16">
        <f>Beam_loads[[#This Row],[Max Beam Load]]*0.85</f>
        <v>2031.5</v>
      </c>
      <c r="E16">
        <v>3048</v>
      </c>
      <c r="G16" t="s">
        <v>181</v>
      </c>
      <c r="H16">
        <v>24</v>
      </c>
      <c r="I16">
        <v>6430</v>
      </c>
    </row>
    <row r="17" spans="1:16" x14ac:dyDescent="0.25">
      <c r="A17" t="s">
        <v>176</v>
      </c>
      <c r="B17">
        <v>48</v>
      </c>
      <c r="C17">
        <v>850</v>
      </c>
      <c r="D17">
        <f>Beam_loads[[#This Row],[Max Beam Load]]*0.85</f>
        <v>722.5</v>
      </c>
      <c r="E17">
        <v>757</v>
      </c>
      <c r="G17" t="s">
        <v>181</v>
      </c>
      <c r="H17">
        <v>30</v>
      </c>
      <c r="I17">
        <v>6290</v>
      </c>
    </row>
    <row r="18" spans="1:16" x14ac:dyDescent="0.25">
      <c r="A18" t="s">
        <v>181</v>
      </c>
      <c r="B18">
        <v>48</v>
      </c>
      <c r="C18">
        <v>2390</v>
      </c>
      <c r="D18">
        <f>Beam_loads[[#This Row],[Max Beam Load]]*0.85</f>
        <v>2031.5</v>
      </c>
      <c r="E18">
        <v>2358</v>
      </c>
      <c r="G18" t="s">
        <v>181</v>
      </c>
      <c r="H18">
        <v>36</v>
      </c>
      <c r="I18">
        <v>6290</v>
      </c>
    </row>
    <row r="19" spans="1:16" x14ac:dyDescent="0.25">
      <c r="A19" t="s">
        <v>784</v>
      </c>
      <c r="B19">
        <v>48</v>
      </c>
      <c r="C19">
        <v>2390</v>
      </c>
      <c r="D19">
        <f>Beam_loads[[#This Row],[Max Beam Load]]*0.85</f>
        <v>2031.5</v>
      </c>
      <c r="E19">
        <v>2667</v>
      </c>
      <c r="G19" t="s">
        <v>181</v>
      </c>
      <c r="H19">
        <v>42</v>
      </c>
      <c r="I19">
        <v>6160</v>
      </c>
    </row>
    <row r="20" spans="1:16" x14ac:dyDescent="0.25">
      <c r="A20" t="s">
        <v>176</v>
      </c>
      <c r="B20">
        <v>54</v>
      </c>
      <c r="C20">
        <v>680</v>
      </c>
      <c r="D20">
        <f>Beam_loads[[#This Row],[Max Beam Load]]*0.85</f>
        <v>578</v>
      </c>
      <c r="E20">
        <v>598</v>
      </c>
      <c r="G20" t="s">
        <v>181</v>
      </c>
      <c r="H20">
        <v>48</v>
      </c>
      <c r="I20">
        <v>6160</v>
      </c>
    </row>
    <row r="21" spans="1:16" x14ac:dyDescent="0.25">
      <c r="A21" t="s">
        <v>181</v>
      </c>
      <c r="B21">
        <v>54</v>
      </c>
      <c r="C21">
        <v>1910</v>
      </c>
      <c r="D21">
        <f>Beam_loads[[#This Row],[Max Beam Load]]*0.85</f>
        <v>1623.5</v>
      </c>
      <c r="E21">
        <v>2096</v>
      </c>
      <c r="G21" t="s">
        <v>181</v>
      </c>
      <c r="H21">
        <v>54</v>
      </c>
      <c r="I21">
        <v>6000</v>
      </c>
      <c r="P21" t="s">
        <v>181</v>
      </c>
    </row>
    <row r="22" spans="1:16" x14ac:dyDescent="0.25">
      <c r="A22" t="s">
        <v>784</v>
      </c>
      <c r="B22">
        <v>54</v>
      </c>
      <c r="C22">
        <v>1910</v>
      </c>
      <c r="D22">
        <f>Beam_loads[[#This Row],[Max Beam Load]]*0.85</f>
        <v>1623.5</v>
      </c>
      <c r="E22">
        <v>2370</v>
      </c>
      <c r="G22" t="s">
        <v>181</v>
      </c>
      <c r="H22">
        <v>60</v>
      </c>
      <c r="I22">
        <v>6000</v>
      </c>
    </row>
    <row r="23" spans="1:16" x14ac:dyDescent="0.25">
      <c r="A23" t="s">
        <v>176</v>
      </c>
      <c r="B23">
        <v>60</v>
      </c>
      <c r="C23">
        <v>680</v>
      </c>
      <c r="D23">
        <f>Beam_loads[[#This Row],[Max Beam Load]]*0.85</f>
        <v>578</v>
      </c>
      <c r="E23">
        <v>485</v>
      </c>
      <c r="G23" t="s">
        <v>181</v>
      </c>
      <c r="H23">
        <v>72</v>
      </c>
      <c r="I23">
        <v>5620</v>
      </c>
    </row>
    <row r="24" spans="1:16" x14ac:dyDescent="0.25">
      <c r="A24" t="s">
        <v>181</v>
      </c>
      <c r="B24">
        <v>60</v>
      </c>
      <c r="C24">
        <v>1910</v>
      </c>
      <c r="D24">
        <f>Beam_loads[[#This Row],[Max Beam Load]]*0.85</f>
        <v>1623.5</v>
      </c>
      <c r="E24">
        <v>1887</v>
      </c>
      <c r="G24" t="s">
        <v>181</v>
      </c>
      <c r="H24">
        <v>84</v>
      </c>
      <c r="I24">
        <v>5170</v>
      </c>
    </row>
    <row r="25" spans="1:16" x14ac:dyDescent="0.25">
      <c r="A25" t="s">
        <v>784</v>
      </c>
      <c r="B25">
        <v>60</v>
      </c>
      <c r="C25">
        <v>1910</v>
      </c>
      <c r="D25">
        <f>Beam_loads[[#This Row],[Max Beam Load]]*0.85</f>
        <v>1623.5</v>
      </c>
      <c r="E25">
        <v>2133</v>
      </c>
      <c r="G25" t="s">
        <v>181</v>
      </c>
      <c r="H25">
        <v>96</v>
      </c>
      <c r="I25">
        <v>4690</v>
      </c>
    </row>
    <row r="26" spans="1:16" x14ac:dyDescent="0.25">
      <c r="A26" t="s">
        <v>176</v>
      </c>
      <c r="B26">
        <v>72</v>
      </c>
      <c r="C26">
        <v>560</v>
      </c>
      <c r="D26">
        <f>Beam_loads[[#This Row],[Max Beam Load]]*0.85</f>
        <v>476</v>
      </c>
      <c r="E26">
        <v>337</v>
      </c>
      <c r="G26" t="s">
        <v>181</v>
      </c>
      <c r="H26">
        <v>108</v>
      </c>
      <c r="I26">
        <v>4170</v>
      </c>
    </row>
    <row r="27" spans="1:16" x14ac:dyDescent="0.25">
      <c r="A27" t="s">
        <v>181</v>
      </c>
      <c r="B27">
        <v>72</v>
      </c>
      <c r="C27">
        <v>1600</v>
      </c>
      <c r="D27">
        <f>Beam_loads[[#This Row],[Max Beam Load]]*0.85</f>
        <v>1360</v>
      </c>
      <c r="E27">
        <v>1572</v>
      </c>
      <c r="G27" t="s">
        <v>181</v>
      </c>
      <c r="H27">
        <v>120</v>
      </c>
      <c r="I27">
        <v>3690</v>
      </c>
    </row>
    <row r="28" spans="1:16" x14ac:dyDescent="0.25">
      <c r="A28" t="s">
        <v>784</v>
      </c>
      <c r="B28">
        <v>72</v>
      </c>
      <c r="C28">
        <v>1600</v>
      </c>
      <c r="D28">
        <f>Beam_loads[[#This Row],[Max Beam Load]]*0.85</f>
        <v>1360</v>
      </c>
      <c r="E28">
        <v>1778</v>
      </c>
    </row>
    <row r="29" spans="1:16" x14ac:dyDescent="0.25">
      <c r="A29" t="s">
        <v>176</v>
      </c>
      <c r="B29">
        <v>84</v>
      </c>
      <c r="C29">
        <v>480</v>
      </c>
      <c r="D29">
        <f>Beam_loads[[#This Row],[Max Beam Load]]*0.85</f>
        <v>408</v>
      </c>
      <c r="E29">
        <v>247</v>
      </c>
      <c r="G29">
        <f>Calculations!B36</f>
        <v>14</v>
      </c>
      <c r="H29" s="52">
        <f>IF($G$29&lt;=18,18,IF(AND($G$29&gt;18,$G$29&lt;=24),24,IF(AND($G$29&gt;24,$G$29&lt;=30),30,IF(AND($G$29&gt;30,$G$29&lt;=36),36,IF(AND($G$29&gt;36,$G$29&lt;=42),42,IF(AND($G$29&gt;42,$G$29&lt;=48),48,IF(AND($G$29&gt;48,$G$29&lt;54),54,IF(AND($G$29&gt;54,$G$29&lt;=60),60,IF(AND($G$29&gt;60,$G$29&lt;=72),72,IF(AND($G$29&gt;72,$G$29&lt;=84),84,IF(AND($G$29&gt;84,$G$29&lt;=96),96,IF(AND($G$29&gt;96,$G$29&lt;=108),108,IF(AND($G$29&gt;108,$G$29&lt;=120),120,1)))))))))))))</f>
        <v>18</v>
      </c>
      <c r="I29" s="52">
        <f>VLOOKUP(H29,Column_load[[Column Height (inches)]:[Max column load]],2,FALSE)</f>
        <v>3550</v>
      </c>
    </row>
    <row r="30" spans="1:16" x14ac:dyDescent="0.25">
      <c r="A30" t="s">
        <v>181</v>
      </c>
      <c r="B30">
        <v>84</v>
      </c>
      <c r="C30">
        <v>1370</v>
      </c>
      <c r="D30">
        <f>Beam_loads[[#This Row],[Max Beam Load]]*0.85</f>
        <v>1164.5</v>
      </c>
      <c r="E30">
        <v>1210</v>
      </c>
    </row>
    <row r="31" spans="1:16" x14ac:dyDescent="0.25">
      <c r="A31" t="s">
        <v>784</v>
      </c>
      <c r="B31">
        <v>84</v>
      </c>
      <c r="C31">
        <v>1370</v>
      </c>
      <c r="D31">
        <f>Beam_loads[[#This Row],[Max Beam Load]]*0.85</f>
        <v>1164.5</v>
      </c>
      <c r="E31">
        <v>1461</v>
      </c>
    </row>
    <row r="32" spans="1:16" x14ac:dyDescent="0.25">
      <c r="A32" t="s">
        <v>176</v>
      </c>
      <c r="B32">
        <v>96</v>
      </c>
      <c r="C32">
        <v>420</v>
      </c>
      <c r="D32">
        <f>Beam_loads[[#This Row],[Max Beam Load]]*0.85</f>
        <v>357</v>
      </c>
      <c r="E32">
        <v>189</v>
      </c>
    </row>
    <row r="33" spans="1:46" x14ac:dyDescent="0.25">
      <c r="A33" t="s">
        <v>181</v>
      </c>
      <c r="B33">
        <v>96</v>
      </c>
      <c r="C33">
        <v>1200</v>
      </c>
      <c r="D33">
        <f>Beam_loads[[#This Row],[Max Beam Load]]*0.85</f>
        <v>1020</v>
      </c>
      <c r="E33">
        <v>926</v>
      </c>
    </row>
    <row r="34" spans="1:46" x14ac:dyDescent="0.25">
      <c r="A34" t="s">
        <v>784</v>
      </c>
      <c r="B34">
        <v>96</v>
      </c>
      <c r="C34">
        <v>1200</v>
      </c>
      <c r="D34">
        <f>Beam_loads[[#This Row],[Max Beam Load]]*0.85</f>
        <v>1020</v>
      </c>
      <c r="E34">
        <v>1119</v>
      </c>
    </row>
    <row r="35" spans="1:46" x14ac:dyDescent="0.25">
      <c r="A35" t="s">
        <v>176</v>
      </c>
      <c r="B35">
        <v>108</v>
      </c>
      <c r="C35">
        <v>380</v>
      </c>
      <c r="D35">
        <f>Beam_loads[[#This Row],[Max Beam Load]]*0.85</f>
        <v>323</v>
      </c>
      <c r="E35">
        <v>150</v>
      </c>
    </row>
    <row r="36" spans="1:46" x14ac:dyDescent="0.25">
      <c r="A36" t="s">
        <v>181</v>
      </c>
      <c r="B36">
        <v>108</v>
      </c>
      <c r="C36">
        <v>1060</v>
      </c>
      <c r="D36">
        <f>Beam_loads[[#This Row],[Max Beam Load]]*0.85</f>
        <v>901</v>
      </c>
      <c r="E36">
        <v>732</v>
      </c>
      <c r="AT36" t="s">
        <v>790</v>
      </c>
    </row>
    <row r="37" spans="1:46" x14ac:dyDescent="0.25">
      <c r="A37" t="s">
        <v>784</v>
      </c>
      <c r="B37">
        <v>108</v>
      </c>
      <c r="C37">
        <v>1060</v>
      </c>
      <c r="D37">
        <f>Beam_loads[[#This Row],[Max Beam Load]]*0.85</f>
        <v>901</v>
      </c>
      <c r="E37">
        <v>884</v>
      </c>
    </row>
    <row r="38" spans="1:46" x14ac:dyDescent="0.25">
      <c r="A38" t="s">
        <v>176</v>
      </c>
      <c r="B38">
        <v>120</v>
      </c>
      <c r="C38">
        <v>340</v>
      </c>
      <c r="D38">
        <f>Beam_loads[[#This Row],[Max Beam Load]]*0.85</f>
        <v>289</v>
      </c>
      <c r="E38">
        <v>121</v>
      </c>
    </row>
    <row r="39" spans="1:46" x14ac:dyDescent="0.25">
      <c r="A39" t="s">
        <v>181</v>
      </c>
      <c r="B39">
        <v>120</v>
      </c>
      <c r="C39">
        <v>960</v>
      </c>
      <c r="D39">
        <f>Beam_loads[[#This Row],[Max Beam Load]]*0.85</f>
        <v>816</v>
      </c>
      <c r="E39">
        <v>593</v>
      </c>
    </row>
    <row r="40" spans="1:46" x14ac:dyDescent="0.25">
      <c r="A40" t="s">
        <v>784</v>
      </c>
      <c r="B40">
        <v>120</v>
      </c>
      <c r="C40">
        <v>960</v>
      </c>
      <c r="D40">
        <f>Beam_loads[[#This Row],[Max Beam Load]]*0.85</f>
        <v>816</v>
      </c>
      <c r="E40">
        <v>716</v>
      </c>
    </row>
    <row r="41" spans="1:46" x14ac:dyDescent="0.25">
      <c r="A41" t="e">
        <f>Calculations!B35</f>
        <v>#VALUE!</v>
      </c>
      <c r="B41" s="52" t="e">
        <f>IF($A$41&lt;=18,18,IF(AND($A$41&gt;18,$A$41&lt;=24),24,IF(AND($A$41&gt;24,$A$41&lt;=30),30,IF(AND($A$41&gt;30,$A$41&lt;=36),36,IF(AND($A$41&gt;36,$A$41&lt;=42),42,IF(AND($A$41&gt;42,$A$41&lt;=48),48,IF(AND($A$41&gt;48,$A$41&lt;=54),54,IF(AND($A$41&gt;54,$A$41&lt;=60),60,IF(AND($A$41&gt;60,$A$41&lt;=72),72,IF(AND($A$41&gt;72,$A$41&lt;=84),84,IF(AND($A$41&gt;84,$A$41&lt;=96),96,IF(AND($A$41&gt;96,$A$41&lt;=108),108,IF(AND($A$41&gt;108,$A$41&lt;=120),120,1)))))))))))))</f>
        <v>#VALUE!</v>
      </c>
      <c r="D41" s="52" t="e">
        <f>VLOOKUP(B41,B2:D40,3,FALSE)</f>
        <v>#VALUE!</v>
      </c>
    </row>
    <row r="42" spans="1:46" x14ac:dyDescent="0.25">
      <c r="A42" s="53"/>
      <c r="B42" s="53"/>
      <c r="C42" s="53"/>
      <c r="D42" s="53"/>
      <c r="L42" s="53"/>
      <c r="M42" s="53"/>
      <c r="N42" s="53"/>
      <c r="O42" s="53"/>
      <c r="P42" s="53"/>
      <c r="Q42" s="53"/>
      <c r="R42" s="53"/>
      <c r="S42" s="53"/>
      <c r="T42" s="53"/>
      <c r="U42" s="53"/>
      <c r="V42" s="53"/>
      <c r="W42" s="53"/>
      <c r="X42" s="12"/>
      <c r="Y42" s="64"/>
      <c r="Z42" s="64"/>
      <c r="AA42" s="64"/>
      <c r="AB42" s="64"/>
      <c r="AC42" s="64"/>
      <c r="AD42" s="64"/>
      <c r="AE42" s="64"/>
      <c r="AF42" s="64"/>
      <c r="AG42" s="64"/>
      <c r="AH42" s="64"/>
      <c r="AI42" s="64"/>
      <c r="AJ42" s="64"/>
      <c r="AK42" s="64"/>
      <c r="AL42" s="64"/>
      <c r="AM42" s="64"/>
      <c r="AN42" s="64"/>
      <c r="AO42" s="64"/>
      <c r="AP42" s="64"/>
      <c r="AQ42" s="64"/>
    </row>
    <row r="55" spans="5:5" x14ac:dyDescent="0.25">
      <c r="E55" s="53"/>
    </row>
  </sheetData>
  <mergeCells count="1">
    <mergeCell ref="Y42:AQ42"/>
  </mergeCells>
  <phoneticPr fontId="2" type="noConversion"/>
  <pageMargins left="0.7" right="0.7" top="0.75" bottom="0.75" header="0.3" footer="0.3"/>
  <pageSetup orientation="portrait" r:id="rId1"/>
  <drawing r:id="rId2"/>
  <tableParts count="2">
    <tablePart r:id="rId3"/>
    <tablePart r:id="rId4"/>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B6E7D-71FC-4A1F-A20F-FA605DAADF92}">
  <sheetPr codeName="Sheet6"/>
  <dimension ref="A1:S256"/>
  <sheetViews>
    <sheetView topLeftCell="G238" zoomScale="130" zoomScaleNormal="130" workbookViewId="0">
      <selection activeCell="K255" sqref="K255"/>
    </sheetView>
  </sheetViews>
  <sheetFormatPr defaultRowHeight="15" x14ac:dyDescent="0.25"/>
  <cols>
    <col min="1" max="1" width="11" customWidth="1"/>
    <col min="2" max="2" width="15" customWidth="1"/>
    <col min="3" max="4" width="16.140625" customWidth="1"/>
    <col min="5" max="5" width="10.28515625" customWidth="1"/>
    <col min="6" max="6" width="21.140625" customWidth="1"/>
    <col min="7" max="7" width="26.28515625" customWidth="1"/>
    <col min="9" max="9" width="15" customWidth="1"/>
    <col min="10" max="10" width="11" customWidth="1"/>
    <col min="11" max="11" width="10.28515625" customWidth="1"/>
    <col min="12" max="12" width="20.7109375" customWidth="1"/>
    <col min="13" max="14" width="21.42578125" customWidth="1"/>
    <col min="16" max="16" width="11" customWidth="1"/>
    <col min="17" max="17" width="22.140625" customWidth="1"/>
    <col min="18" max="18" width="12.85546875" customWidth="1"/>
    <col min="19" max="19" width="14.85546875" customWidth="1"/>
  </cols>
  <sheetData>
    <row r="1" spans="1:19" x14ac:dyDescent="0.25">
      <c r="A1" t="s">
        <v>750</v>
      </c>
      <c r="B1" t="s">
        <v>122</v>
      </c>
      <c r="C1" t="s">
        <v>751</v>
      </c>
      <c r="D1" t="s">
        <v>752</v>
      </c>
      <c r="E1" t="s">
        <v>753</v>
      </c>
      <c r="F1" t="s">
        <v>754</v>
      </c>
      <c r="G1" t="s">
        <v>755</v>
      </c>
      <c r="I1" t="s">
        <v>122</v>
      </c>
      <c r="J1" t="s">
        <v>750</v>
      </c>
      <c r="K1" t="s">
        <v>753</v>
      </c>
      <c r="L1" t="s">
        <v>756</v>
      </c>
      <c r="M1" t="s">
        <v>757</v>
      </c>
      <c r="N1" t="s">
        <v>758</v>
      </c>
      <c r="P1" t="s">
        <v>750</v>
      </c>
      <c r="Q1" t="s">
        <v>759</v>
      </c>
      <c r="R1" t="s">
        <v>760</v>
      </c>
      <c r="S1" t="s">
        <v>761</v>
      </c>
    </row>
    <row r="2" spans="1:19" x14ac:dyDescent="0.25">
      <c r="A2">
        <v>0.5</v>
      </c>
      <c r="B2" t="s">
        <v>762</v>
      </c>
      <c r="C2">
        <v>40</v>
      </c>
      <c r="D2" t="s">
        <v>132</v>
      </c>
      <c r="E2">
        <v>0.84</v>
      </c>
      <c r="F2">
        <v>0.85</v>
      </c>
      <c r="G2">
        <v>0.98</v>
      </c>
      <c r="I2" t="s">
        <v>763</v>
      </c>
      <c r="J2">
        <v>0.5</v>
      </c>
      <c r="K2">
        <v>0.625</v>
      </c>
      <c r="L2">
        <v>0.5</v>
      </c>
      <c r="M2">
        <v>1.5</v>
      </c>
      <c r="N2">
        <v>5</v>
      </c>
      <c r="P2">
        <v>0.25</v>
      </c>
      <c r="Q2" t="s">
        <v>137</v>
      </c>
      <c r="R2" t="s">
        <v>23</v>
      </c>
      <c r="S2">
        <v>5</v>
      </c>
    </row>
    <row r="3" spans="1:19" x14ac:dyDescent="0.25">
      <c r="A3">
        <v>0.75</v>
      </c>
      <c r="B3" t="s">
        <v>762</v>
      </c>
      <c r="C3">
        <v>40</v>
      </c>
      <c r="D3" t="s">
        <v>132</v>
      </c>
      <c r="E3">
        <v>1.05</v>
      </c>
      <c r="F3">
        <v>1.1299999999999999</v>
      </c>
      <c r="G3">
        <v>1.36</v>
      </c>
      <c r="I3" t="s">
        <v>763</v>
      </c>
      <c r="J3">
        <v>0.5</v>
      </c>
      <c r="K3">
        <v>0.625</v>
      </c>
      <c r="L3">
        <v>0.75</v>
      </c>
      <c r="M3">
        <v>1.5</v>
      </c>
      <c r="N3">
        <v>5</v>
      </c>
      <c r="P3">
        <v>0.25</v>
      </c>
      <c r="Q3" t="s">
        <v>137</v>
      </c>
      <c r="R3" t="s">
        <v>24</v>
      </c>
      <c r="S3">
        <v>5</v>
      </c>
    </row>
    <row r="4" spans="1:19" x14ac:dyDescent="0.25">
      <c r="A4">
        <v>1</v>
      </c>
      <c r="B4" t="s">
        <v>762</v>
      </c>
      <c r="C4">
        <v>40</v>
      </c>
      <c r="D4" t="s">
        <v>132</v>
      </c>
      <c r="E4">
        <v>1.3149999999999999</v>
      </c>
      <c r="F4">
        <v>1.68</v>
      </c>
      <c r="G4">
        <v>1.99</v>
      </c>
      <c r="I4" t="s">
        <v>763</v>
      </c>
      <c r="J4">
        <v>0.5</v>
      </c>
      <c r="K4">
        <v>0.625</v>
      </c>
      <c r="L4">
        <v>1</v>
      </c>
      <c r="M4">
        <v>2.5</v>
      </c>
      <c r="N4">
        <f>6.1875</f>
        <v>6.1875</v>
      </c>
      <c r="P4">
        <v>0.25</v>
      </c>
      <c r="Q4" t="s">
        <v>139</v>
      </c>
      <c r="R4" t="s">
        <v>23</v>
      </c>
      <c r="S4">
        <v>5</v>
      </c>
    </row>
    <row r="5" spans="1:19" x14ac:dyDescent="0.25">
      <c r="A5">
        <v>1.25</v>
      </c>
      <c r="B5" t="s">
        <v>762</v>
      </c>
      <c r="C5">
        <v>40</v>
      </c>
      <c r="D5" t="s">
        <v>132</v>
      </c>
      <c r="E5">
        <v>1.66</v>
      </c>
      <c r="F5">
        <v>2.27</v>
      </c>
      <c r="G5">
        <v>2.92</v>
      </c>
      <c r="I5" t="s">
        <v>763</v>
      </c>
      <c r="J5">
        <v>0.5</v>
      </c>
      <c r="K5">
        <v>0.625</v>
      </c>
      <c r="L5">
        <v>1.5</v>
      </c>
      <c r="M5">
        <v>3.5</v>
      </c>
      <c r="N5">
        <v>7.25</v>
      </c>
      <c r="P5">
        <v>0.25</v>
      </c>
      <c r="Q5" t="s">
        <v>139</v>
      </c>
      <c r="R5" t="s">
        <v>24</v>
      </c>
      <c r="S5">
        <v>5</v>
      </c>
    </row>
    <row r="6" spans="1:19" x14ac:dyDescent="0.25">
      <c r="A6">
        <v>1.5</v>
      </c>
      <c r="B6" t="s">
        <v>762</v>
      </c>
      <c r="C6">
        <v>40</v>
      </c>
      <c r="D6" t="s">
        <v>132</v>
      </c>
      <c r="E6">
        <v>1.9</v>
      </c>
      <c r="F6">
        <v>2.72</v>
      </c>
      <c r="G6">
        <v>3.6</v>
      </c>
      <c r="I6" t="s">
        <v>765</v>
      </c>
      <c r="J6">
        <v>0.5</v>
      </c>
      <c r="K6">
        <v>0.84</v>
      </c>
      <c r="L6">
        <v>0.5</v>
      </c>
      <c r="M6">
        <v>2</v>
      </c>
      <c r="N6">
        <f>5.3125</f>
        <v>5.3125</v>
      </c>
      <c r="P6">
        <v>0.25</v>
      </c>
      <c r="Q6" t="s">
        <v>140</v>
      </c>
      <c r="R6" t="s">
        <v>23</v>
      </c>
      <c r="S6">
        <v>3</v>
      </c>
    </row>
    <row r="7" spans="1:19" x14ac:dyDescent="0.25">
      <c r="A7">
        <v>2</v>
      </c>
      <c r="B7" t="s">
        <v>762</v>
      </c>
      <c r="C7">
        <v>40</v>
      </c>
      <c r="D7" t="s">
        <v>132</v>
      </c>
      <c r="E7">
        <v>2.375</v>
      </c>
      <c r="F7">
        <v>3.65</v>
      </c>
      <c r="G7">
        <v>5.0999999999999996</v>
      </c>
      <c r="I7" t="s">
        <v>765</v>
      </c>
      <c r="J7">
        <v>0.5</v>
      </c>
      <c r="K7">
        <v>0.84</v>
      </c>
      <c r="L7">
        <v>0.75</v>
      </c>
      <c r="M7">
        <v>2</v>
      </c>
      <c r="N7">
        <v>5.3125</v>
      </c>
      <c r="P7">
        <v>0.25</v>
      </c>
      <c r="Q7" t="s">
        <v>140</v>
      </c>
      <c r="R7" t="s">
        <v>24</v>
      </c>
      <c r="S7">
        <v>3</v>
      </c>
    </row>
    <row r="8" spans="1:19" x14ac:dyDescent="0.25">
      <c r="A8">
        <v>2.5</v>
      </c>
      <c r="B8" t="s">
        <v>762</v>
      </c>
      <c r="C8">
        <v>40</v>
      </c>
      <c r="D8" t="s">
        <v>132</v>
      </c>
      <c r="E8">
        <v>2.875</v>
      </c>
      <c r="F8">
        <v>5.79</v>
      </c>
      <c r="G8">
        <v>7.86</v>
      </c>
      <c r="I8" t="s">
        <v>765</v>
      </c>
      <c r="J8">
        <v>0.5</v>
      </c>
      <c r="K8">
        <v>0.84</v>
      </c>
      <c r="L8">
        <v>1</v>
      </c>
      <c r="M8">
        <v>2.5</v>
      </c>
      <c r="N8">
        <f>6.1875</f>
        <v>6.1875</v>
      </c>
      <c r="P8">
        <v>0.25</v>
      </c>
      <c r="Q8" t="s">
        <v>141</v>
      </c>
      <c r="R8" t="s">
        <v>23</v>
      </c>
      <c r="S8">
        <v>3</v>
      </c>
    </row>
    <row r="9" spans="1:19" x14ac:dyDescent="0.25">
      <c r="A9">
        <v>3</v>
      </c>
      <c r="B9" t="s">
        <v>762</v>
      </c>
      <c r="C9">
        <v>40</v>
      </c>
      <c r="D9" t="s">
        <v>132</v>
      </c>
      <c r="E9">
        <v>3.5</v>
      </c>
      <c r="F9">
        <v>7.58</v>
      </c>
      <c r="G9">
        <v>10.78</v>
      </c>
      <c r="I9" t="s">
        <v>765</v>
      </c>
      <c r="J9">
        <v>0.5</v>
      </c>
      <c r="K9">
        <v>0.84</v>
      </c>
      <c r="L9">
        <v>1.5</v>
      </c>
      <c r="M9">
        <v>3.5</v>
      </c>
      <c r="N9">
        <v>7.25</v>
      </c>
      <c r="P9">
        <v>0.25</v>
      </c>
      <c r="Q9" t="s">
        <v>141</v>
      </c>
      <c r="R9" t="s">
        <v>24</v>
      </c>
      <c r="S9">
        <v>3</v>
      </c>
    </row>
    <row r="10" spans="1:19" x14ac:dyDescent="0.25">
      <c r="A10">
        <v>3.5</v>
      </c>
      <c r="B10" t="s">
        <v>762</v>
      </c>
      <c r="C10">
        <v>40</v>
      </c>
      <c r="D10" t="s">
        <v>132</v>
      </c>
      <c r="E10">
        <v>4</v>
      </c>
      <c r="F10">
        <v>9.11</v>
      </c>
      <c r="G10">
        <v>13.39</v>
      </c>
      <c r="I10" t="s">
        <v>765</v>
      </c>
      <c r="J10">
        <v>0.5</v>
      </c>
      <c r="K10">
        <v>0.84</v>
      </c>
      <c r="L10">
        <v>2</v>
      </c>
      <c r="M10">
        <v>5</v>
      </c>
      <c r="N10">
        <v>10</v>
      </c>
      <c r="P10">
        <v>0.375</v>
      </c>
      <c r="Q10" t="s">
        <v>132</v>
      </c>
      <c r="R10" t="s">
        <v>23</v>
      </c>
      <c r="S10">
        <v>7</v>
      </c>
    </row>
    <row r="11" spans="1:19" x14ac:dyDescent="0.25">
      <c r="A11">
        <v>4</v>
      </c>
      <c r="B11" t="s">
        <v>762</v>
      </c>
      <c r="C11">
        <v>40</v>
      </c>
      <c r="D11" t="s">
        <v>132</v>
      </c>
      <c r="E11">
        <v>4.5</v>
      </c>
      <c r="F11">
        <v>10.79</v>
      </c>
      <c r="G11">
        <v>16.3</v>
      </c>
      <c r="I11" t="s">
        <v>765</v>
      </c>
      <c r="J11">
        <v>0.5</v>
      </c>
      <c r="K11">
        <v>0.84</v>
      </c>
      <c r="L11">
        <v>2.5</v>
      </c>
      <c r="M11">
        <v>6</v>
      </c>
      <c r="N11">
        <v>11.0625</v>
      </c>
      <c r="P11">
        <v>0.375</v>
      </c>
      <c r="Q11" t="s">
        <v>132</v>
      </c>
      <c r="R11" t="s">
        <v>24</v>
      </c>
      <c r="S11">
        <v>8</v>
      </c>
    </row>
    <row r="12" spans="1:19" x14ac:dyDescent="0.25">
      <c r="A12">
        <v>5</v>
      </c>
      <c r="B12" t="s">
        <v>762</v>
      </c>
      <c r="C12">
        <v>40</v>
      </c>
      <c r="D12" t="s">
        <v>132</v>
      </c>
      <c r="E12">
        <v>5.5629999999999997</v>
      </c>
      <c r="F12">
        <v>14.62</v>
      </c>
      <c r="G12">
        <v>23.28</v>
      </c>
      <c r="I12" t="s">
        <v>765</v>
      </c>
      <c r="J12">
        <v>0.5</v>
      </c>
      <c r="K12">
        <v>0.84</v>
      </c>
      <c r="L12">
        <v>3</v>
      </c>
      <c r="M12">
        <v>8</v>
      </c>
      <c r="N12">
        <f>13.8125</f>
        <v>13.8125</v>
      </c>
      <c r="P12">
        <v>0.375</v>
      </c>
      <c r="Q12" t="s">
        <v>20</v>
      </c>
      <c r="R12" t="s">
        <v>23</v>
      </c>
      <c r="S12">
        <v>7</v>
      </c>
    </row>
    <row r="13" spans="1:19" x14ac:dyDescent="0.25">
      <c r="A13">
        <v>6</v>
      </c>
      <c r="B13" t="s">
        <v>762</v>
      </c>
      <c r="C13">
        <v>40</v>
      </c>
      <c r="D13" t="s">
        <v>132</v>
      </c>
      <c r="E13">
        <v>6.625</v>
      </c>
      <c r="F13">
        <v>18.98</v>
      </c>
      <c r="G13">
        <v>31.49</v>
      </c>
      <c r="I13" t="s">
        <v>762</v>
      </c>
      <c r="J13">
        <v>0.5</v>
      </c>
      <c r="K13">
        <v>0.84</v>
      </c>
      <c r="L13">
        <v>0.5</v>
      </c>
      <c r="M13">
        <v>2</v>
      </c>
      <c r="N13">
        <f>5.3125</f>
        <v>5.3125</v>
      </c>
      <c r="P13">
        <v>0.375</v>
      </c>
      <c r="Q13" t="s">
        <v>20</v>
      </c>
      <c r="R13" t="s">
        <v>24</v>
      </c>
      <c r="S13">
        <v>8</v>
      </c>
    </row>
    <row r="14" spans="1:19" x14ac:dyDescent="0.25">
      <c r="A14">
        <v>8</v>
      </c>
      <c r="B14" t="s">
        <v>762</v>
      </c>
      <c r="C14">
        <v>40</v>
      </c>
      <c r="D14" t="s">
        <v>132</v>
      </c>
      <c r="E14">
        <v>8.625</v>
      </c>
      <c r="F14">
        <v>25.55</v>
      </c>
      <c r="G14">
        <v>47.15</v>
      </c>
      <c r="I14" t="s">
        <v>762</v>
      </c>
      <c r="J14">
        <v>0.5</v>
      </c>
      <c r="K14">
        <v>0.84</v>
      </c>
      <c r="L14">
        <v>0.75</v>
      </c>
      <c r="M14">
        <v>2</v>
      </c>
      <c r="N14">
        <v>5.3125</v>
      </c>
      <c r="P14">
        <v>0.375</v>
      </c>
      <c r="Q14" t="s">
        <v>137</v>
      </c>
      <c r="R14" t="s">
        <v>23</v>
      </c>
      <c r="S14">
        <v>5</v>
      </c>
    </row>
    <row r="15" spans="1:19" x14ac:dyDescent="0.25">
      <c r="A15">
        <v>10</v>
      </c>
      <c r="B15" t="s">
        <v>762</v>
      </c>
      <c r="C15">
        <v>40</v>
      </c>
      <c r="D15" t="s">
        <v>132</v>
      </c>
      <c r="E15">
        <v>10.75</v>
      </c>
      <c r="F15">
        <v>40.5</v>
      </c>
      <c r="G15">
        <v>74.599999999999994</v>
      </c>
      <c r="I15" t="s">
        <v>762</v>
      </c>
      <c r="J15">
        <v>0.5</v>
      </c>
      <c r="K15">
        <v>0.84</v>
      </c>
      <c r="L15">
        <v>1</v>
      </c>
      <c r="M15">
        <v>2.5</v>
      </c>
      <c r="N15">
        <f>6.1875</f>
        <v>6.1875</v>
      </c>
      <c r="P15">
        <v>0.375</v>
      </c>
      <c r="Q15" t="s">
        <v>137</v>
      </c>
      <c r="R15" t="s">
        <v>24</v>
      </c>
      <c r="S15">
        <v>6</v>
      </c>
    </row>
    <row r="16" spans="1:19" x14ac:dyDescent="0.25">
      <c r="A16">
        <v>12</v>
      </c>
      <c r="B16" t="s">
        <v>762</v>
      </c>
      <c r="C16">
        <v>40</v>
      </c>
      <c r="D16" t="s">
        <v>132</v>
      </c>
      <c r="E16">
        <v>12.75</v>
      </c>
      <c r="F16">
        <v>53.6</v>
      </c>
      <c r="G16">
        <v>102.1</v>
      </c>
      <c r="I16" t="s">
        <v>762</v>
      </c>
      <c r="J16">
        <v>0.5</v>
      </c>
      <c r="K16">
        <v>0.84</v>
      </c>
      <c r="L16">
        <v>1.5</v>
      </c>
      <c r="M16">
        <v>3.5</v>
      </c>
      <c r="N16">
        <v>7.25</v>
      </c>
      <c r="P16">
        <v>0.375</v>
      </c>
      <c r="Q16" t="s">
        <v>139</v>
      </c>
      <c r="R16" t="s">
        <v>23</v>
      </c>
      <c r="S16">
        <v>5</v>
      </c>
    </row>
    <row r="17" spans="1:19" x14ac:dyDescent="0.25">
      <c r="A17">
        <v>14</v>
      </c>
      <c r="B17" t="s">
        <v>762</v>
      </c>
      <c r="C17">
        <v>40</v>
      </c>
      <c r="D17" t="s">
        <v>132</v>
      </c>
      <c r="E17">
        <v>14</v>
      </c>
      <c r="F17">
        <v>63.37</v>
      </c>
      <c r="G17">
        <v>121.87</v>
      </c>
      <c r="I17" t="s">
        <v>762</v>
      </c>
      <c r="J17">
        <v>0.5</v>
      </c>
      <c r="K17">
        <v>0.84</v>
      </c>
      <c r="L17">
        <v>2</v>
      </c>
      <c r="M17">
        <v>5</v>
      </c>
      <c r="N17">
        <v>10</v>
      </c>
      <c r="P17">
        <v>0.375</v>
      </c>
      <c r="Q17" t="s">
        <v>139</v>
      </c>
      <c r="R17" t="s">
        <v>24</v>
      </c>
      <c r="S17">
        <v>6</v>
      </c>
    </row>
    <row r="18" spans="1:19" x14ac:dyDescent="0.25">
      <c r="A18">
        <v>16</v>
      </c>
      <c r="B18" t="s">
        <v>762</v>
      </c>
      <c r="C18">
        <v>40</v>
      </c>
      <c r="D18" t="s">
        <v>132</v>
      </c>
      <c r="E18">
        <v>16</v>
      </c>
      <c r="F18">
        <v>83</v>
      </c>
      <c r="G18">
        <v>159.5</v>
      </c>
      <c r="I18" t="s">
        <v>762</v>
      </c>
      <c r="J18">
        <v>0.5</v>
      </c>
      <c r="K18">
        <v>0.84</v>
      </c>
      <c r="L18">
        <v>2.5</v>
      </c>
      <c r="M18">
        <v>6</v>
      </c>
      <c r="N18">
        <v>11.0625</v>
      </c>
      <c r="P18">
        <v>0.375</v>
      </c>
      <c r="Q18" t="s">
        <v>140</v>
      </c>
      <c r="R18" t="s">
        <v>23</v>
      </c>
      <c r="S18">
        <v>3</v>
      </c>
    </row>
    <row r="19" spans="1:19" x14ac:dyDescent="0.25">
      <c r="A19">
        <v>18</v>
      </c>
      <c r="B19" t="s">
        <v>762</v>
      </c>
      <c r="C19">
        <v>40</v>
      </c>
      <c r="D19" t="s">
        <v>132</v>
      </c>
      <c r="E19">
        <v>18</v>
      </c>
      <c r="F19">
        <v>105</v>
      </c>
      <c r="G19">
        <v>202.2</v>
      </c>
      <c r="I19" t="s">
        <v>762</v>
      </c>
      <c r="J19">
        <v>0.5</v>
      </c>
      <c r="K19">
        <v>0.84</v>
      </c>
      <c r="L19">
        <v>3</v>
      </c>
      <c r="M19">
        <v>8</v>
      </c>
      <c r="N19">
        <f>13.8125</f>
        <v>13.8125</v>
      </c>
      <c r="P19">
        <v>0.375</v>
      </c>
      <c r="Q19" t="s">
        <v>140</v>
      </c>
      <c r="R19" t="s">
        <v>24</v>
      </c>
      <c r="S19">
        <v>3</v>
      </c>
    </row>
    <row r="20" spans="1:19" x14ac:dyDescent="0.25">
      <c r="A20">
        <v>20</v>
      </c>
      <c r="B20" t="s">
        <v>762</v>
      </c>
      <c r="C20">
        <v>40</v>
      </c>
      <c r="D20" t="s">
        <v>132</v>
      </c>
      <c r="E20">
        <v>20</v>
      </c>
      <c r="F20">
        <v>123</v>
      </c>
      <c r="G20">
        <v>243.4</v>
      </c>
      <c r="I20" t="s">
        <v>763</v>
      </c>
      <c r="J20">
        <v>0.75</v>
      </c>
      <c r="K20">
        <v>0.875</v>
      </c>
      <c r="L20">
        <v>0.5</v>
      </c>
      <c r="M20">
        <v>2</v>
      </c>
      <c r="N20">
        <v>5.3125</v>
      </c>
      <c r="P20">
        <v>0.375</v>
      </c>
      <c r="Q20" t="s">
        <v>141</v>
      </c>
      <c r="R20" t="s">
        <v>23</v>
      </c>
      <c r="S20">
        <v>3</v>
      </c>
    </row>
    <row r="21" spans="1:19" x14ac:dyDescent="0.25">
      <c r="A21">
        <v>24</v>
      </c>
      <c r="B21" t="s">
        <v>762</v>
      </c>
      <c r="C21">
        <v>40</v>
      </c>
      <c r="D21" t="s">
        <v>132</v>
      </c>
      <c r="E21">
        <v>24</v>
      </c>
      <c r="F21">
        <v>171</v>
      </c>
      <c r="G21">
        <v>345.2</v>
      </c>
      <c r="I21" t="s">
        <v>763</v>
      </c>
      <c r="J21">
        <v>0.75</v>
      </c>
      <c r="K21">
        <v>0.875</v>
      </c>
      <c r="L21">
        <v>0.75</v>
      </c>
      <c r="M21">
        <v>2</v>
      </c>
      <c r="N21">
        <v>5.3125</v>
      </c>
      <c r="P21">
        <v>0.375</v>
      </c>
      <c r="Q21" t="s">
        <v>141</v>
      </c>
      <c r="R21" t="s">
        <v>24</v>
      </c>
      <c r="S21">
        <v>3</v>
      </c>
    </row>
    <row r="22" spans="1:19" x14ac:dyDescent="0.25">
      <c r="A22">
        <v>0.375</v>
      </c>
      <c r="B22" t="s">
        <v>762</v>
      </c>
      <c r="C22">
        <v>80</v>
      </c>
      <c r="D22" t="s">
        <v>20</v>
      </c>
      <c r="E22">
        <v>0.67500000000000004</v>
      </c>
      <c r="F22">
        <v>0.73799999999999999</v>
      </c>
      <c r="G22">
        <v>0.79800000000000004</v>
      </c>
      <c r="I22" t="s">
        <v>763</v>
      </c>
      <c r="J22">
        <v>0.75</v>
      </c>
      <c r="K22">
        <v>0.875</v>
      </c>
      <c r="L22">
        <v>1</v>
      </c>
      <c r="M22">
        <v>2.5</v>
      </c>
      <c r="N22">
        <f>6.1875</f>
        <v>6.1875</v>
      </c>
      <c r="P22">
        <v>0.5</v>
      </c>
      <c r="Q22" t="s">
        <v>132</v>
      </c>
      <c r="R22" t="s">
        <v>23</v>
      </c>
      <c r="S22">
        <v>7</v>
      </c>
    </row>
    <row r="23" spans="1:19" x14ac:dyDescent="0.25">
      <c r="A23">
        <v>0.5</v>
      </c>
      <c r="B23" t="s">
        <v>762</v>
      </c>
      <c r="C23">
        <v>80</v>
      </c>
      <c r="D23" t="s">
        <v>20</v>
      </c>
      <c r="E23">
        <v>0.84</v>
      </c>
      <c r="F23">
        <v>1.0900000000000001</v>
      </c>
      <c r="G23">
        <v>1.19</v>
      </c>
      <c r="I23" t="s">
        <v>763</v>
      </c>
      <c r="J23">
        <v>0.75</v>
      </c>
      <c r="K23">
        <v>0.875</v>
      </c>
      <c r="L23">
        <v>1.5</v>
      </c>
      <c r="M23">
        <v>3.5</v>
      </c>
      <c r="N23">
        <v>7.25</v>
      </c>
      <c r="P23">
        <v>0.5</v>
      </c>
      <c r="Q23" t="s">
        <v>132</v>
      </c>
      <c r="R23" t="s">
        <v>24</v>
      </c>
      <c r="S23">
        <v>8</v>
      </c>
    </row>
    <row r="24" spans="1:19" x14ac:dyDescent="0.25">
      <c r="A24">
        <v>0.75</v>
      </c>
      <c r="B24" t="s">
        <v>762</v>
      </c>
      <c r="C24">
        <v>80</v>
      </c>
      <c r="D24" t="s">
        <v>20</v>
      </c>
      <c r="E24">
        <v>1.05</v>
      </c>
      <c r="F24">
        <v>1.47</v>
      </c>
      <c r="G24">
        <v>1.66</v>
      </c>
      <c r="I24" t="s">
        <v>765</v>
      </c>
      <c r="J24">
        <v>0.75</v>
      </c>
      <c r="K24">
        <v>1.05</v>
      </c>
      <c r="L24">
        <v>0.5</v>
      </c>
      <c r="M24">
        <v>2</v>
      </c>
      <c r="N24">
        <v>5.3125</v>
      </c>
      <c r="P24">
        <v>0.5</v>
      </c>
      <c r="Q24" t="s">
        <v>20</v>
      </c>
      <c r="R24" t="s">
        <v>23</v>
      </c>
      <c r="S24">
        <v>7</v>
      </c>
    </row>
    <row r="25" spans="1:19" x14ac:dyDescent="0.25">
      <c r="A25">
        <v>1</v>
      </c>
      <c r="B25" t="s">
        <v>762</v>
      </c>
      <c r="C25">
        <v>80</v>
      </c>
      <c r="D25" t="s">
        <v>20</v>
      </c>
      <c r="E25">
        <v>1.3149999999999999</v>
      </c>
      <c r="F25">
        <v>2.17</v>
      </c>
      <c r="G25">
        <v>2.54</v>
      </c>
      <c r="I25" t="s">
        <v>765</v>
      </c>
      <c r="J25">
        <v>0.75</v>
      </c>
      <c r="K25">
        <v>1.05</v>
      </c>
      <c r="L25">
        <v>0.75</v>
      </c>
      <c r="M25">
        <v>2.5</v>
      </c>
      <c r="N25">
        <f>6.1875</f>
        <v>6.1875</v>
      </c>
      <c r="P25">
        <v>0.5</v>
      </c>
      <c r="Q25" t="s">
        <v>20</v>
      </c>
      <c r="R25" t="s">
        <v>24</v>
      </c>
      <c r="S25">
        <v>8</v>
      </c>
    </row>
    <row r="26" spans="1:19" x14ac:dyDescent="0.25">
      <c r="A26">
        <v>1.25</v>
      </c>
      <c r="B26" t="s">
        <v>762</v>
      </c>
      <c r="C26">
        <v>80</v>
      </c>
      <c r="D26" t="s">
        <v>20</v>
      </c>
      <c r="E26">
        <v>1.66</v>
      </c>
      <c r="F26">
        <v>3</v>
      </c>
      <c r="G26">
        <v>3.56</v>
      </c>
      <c r="I26" t="s">
        <v>765</v>
      </c>
      <c r="J26">
        <v>0.75</v>
      </c>
      <c r="K26">
        <v>1.05</v>
      </c>
      <c r="L26">
        <v>1</v>
      </c>
      <c r="M26">
        <v>2.5</v>
      </c>
      <c r="N26">
        <f>6.1875</f>
        <v>6.1875</v>
      </c>
      <c r="P26">
        <v>0.5</v>
      </c>
      <c r="Q26" t="s">
        <v>137</v>
      </c>
      <c r="R26" t="s">
        <v>23</v>
      </c>
      <c r="S26">
        <v>5</v>
      </c>
    </row>
    <row r="27" spans="1:19" x14ac:dyDescent="0.25">
      <c r="A27">
        <v>1.5</v>
      </c>
      <c r="B27" t="s">
        <v>762</v>
      </c>
      <c r="C27">
        <v>80</v>
      </c>
      <c r="D27" t="s">
        <v>20</v>
      </c>
      <c r="E27">
        <v>1.9</v>
      </c>
      <c r="F27">
        <v>3.63</v>
      </c>
      <c r="G27">
        <v>4.4000000000000004</v>
      </c>
      <c r="I27" t="s">
        <v>765</v>
      </c>
      <c r="J27">
        <v>0.75</v>
      </c>
      <c r="K27">
        <v>1.05</v>
      </c>
      <c r="L27">
        <v>1.5</v>
      </c>
      <c r="M27">
        <v>3.5</v>
      </c>
      <c r="N27">
        <v>7.25</v>
      </c>
      <c r="P27">
        <v>0.5</v>
      </c>
      <c r="Q27" t="s">
        <v>137</v>
      </c>
      <c r="R27" t="s">
        <v>24</v>
      </c>
      <c r="S27">
        <v>6</v>
      </c>
    </row>
    <row r="28" spans="1:19" x14ac:dyDescent="0.25">
      <c r="A28">
        <v>2</v>
      </c>
      <c r="B28" t="s">
        <v>762</v>
      </c>
      <c r="C28">
        <v>80</v>
      </c>
      <c r="D28" t="s">
        <v>20</v>
      </c>
      <c r="E28">
        <v>2.375</v>
      </c>
      <c r="F28">
        <v>5.0199999999999996</v>
      </c>
      <c r="G28">
        <v>6.3</v>
      </c>
      <c r="I28" t="s">
        <v>765</v>
      </c>
      <c r="J28">
        <v>0.75</v>
      </c>
      <c r="K28">
        <v>1.05</v>
      </c>
      <c r="L28">
        <v>2</v>
      </c>
      <c r="M28">
        <v>5</v>
      </c>
      <c r="N28">
        <v>10</v>
      </c>
      <c r="P28">
        <v>0.5</v>
      </c>
      <c r="Q28" t="s">
        <v>139</v>
      </c>
      <c r="R28" t="s">
        <v>23</v>
      </c>
      <c r="S28">
        <v>5</v>
      </c>
    </row>
    <row r="29" spans="1:19" x14ac:dyDescent="0.25">
      <c r="A29">
        <v>2.5</v>
      </c>
      <c r="B29" t="s">
        <v>762</v>
      </c>
      <c r="C29">
        <v>80</v>
      </c>
      <c r="D29" t="s">
        <v>20</v>
      </c>
      <c r="E29">
        <v>2.875</v>
      </c>
      <c r="F29">
        <v>7.66</v>
      </c>
      <c r="G29">
        <v>9.49</v>
      </c>
      <c r="I29" t="s">
        <v>765</v>
      </c>
      <c r="J29">
        <v>0.75</v>
      </c>
      <c r="K29">
        <v>1.05</v>
      </c>
      <c r="L29">
        <v>2.5</v>
      </c>
      <c r="M29">
        <v>6</v>
      </c>
      <c r="N29">
        <v>11.0625</v>
      </c>
      <c r="P29">
        <v>0.5</v>
      </c>
      <c r="Q29" t="s">
        <v>139</v>
      </c>
      <c r="R29" t="s">
        <v>24</v>
      </c>
      <c r="S29">
        <v>6</v>
      </c>
    </row>
    <row r="30" spans="1:19" x14ac:dyDescent="0.25">
      <c r="A30">
        <v>3</v>
      </c>
      <c r="B30" t="s">
        <v>762</v>
      </c>
      <c r="C30">
        <v>80</v>
      </c>
      <c r="D30" t="s">
        <v>20</v>
      </c>
      <c r="E30">
        <v>3.5</v>
      </c>
      <c r="F30">
        <v>10.25</v>
      </c>
      <c r="G30">
        <v>13.11</v>
      </c>
      <c r="I30" t="s">
        <v>765</v>
      </c>
      <c r="J30">
        <v>0.75</v>
      </c>
      <c r="K30">
        <v>1.05</v>
      </c>
      <c r="L30">
        <v>3</v>
      </c>
      <c r="M30">
        <v>8</v>
      </c>
      <c r="N30">
        <f>13.8125</f>
        <v>13.8125</v>
      </c>
      <c r="P30">
        <v>0.5</v>
      </c>
      <c r="Q30" t="s">
        <v>140</v>
      </c>
      <c r="R30" t="s">
        <v>23</v>
      </c>
      <c r="S30">
        <v>3</v>
      </c>
    </row>
    <row r="31" spans="1:19" x14ac:dyDescent="0.25">
      <c r="A31">
        <v>3.5</v>
      </c>
      <c r="B31" t="s">
        <v>762</v>
      </c>
      <c r="C31">
        <v>80</v>
      </c>
      <c r="D31" t="s">
        <v>20</v>
      </c>
      <c r="E31">
        <v>4</v>
      </c>
      <c r="F31">
        <v>12.51</v>
      </c>
      <c r="G31">
        <v>16.36</v>
      </c>
      <c r="I31" t="s">
        <v>762</v>
      </c>
      <c r="J31">
        <v>0.75</v>
      </c>
      <c r="K31">
        <v>1.05</v>
      </c>
      <c r="L31">
        <v>0.5</v>
      </c>
      <c r="M31">
        <v>2</v>
      </c>
      <c r="N31">
        <v>5.3125</v>
      </c>
      <c r="P31">
        <v>0.5</v>
      </c>
      <c r="Q31" t="s">
        <v>772</v>
      </c>
      <c r="R31" t="s">
        <v>24</v>
      </c>
      <c r="S31">
        <v>3</v>
      </c>
    </row>
    <row r="32" spans="1:19" x14ac:dyDescent="0.25">
      <c r="A32">
        <v>4</v>
      </c>
      <c r="B32" t="s">
        <v>762</v>
      </c>
      <c r="C32">
        <v>80</v>
      </c>
      <c r="D32" t="s">
        <v>20</v>
      </c>
      <c r="E32">
        <v>4.5</v>
      </c>
      <c r="F32">
        <v>14.98</v>
      </c>
      <c r="G32">
        <v>19.96</v>
      </c>
      <c r="I32" t="s">
        <v>762</v>
      </c>
      <c r="J32">
        <v>0.75</v>
      </c>
      <c r="K32">
        <v>1.05</v>
      </c>
      <c r="L32">
        <v>0.75</v>
      </c>
      <c r="M32">
        <v>2.5</v>
      </c>
      <c r="N32">
        <f>6.1875</f>
        <v>6.1875</v>
      </c>
      <c r="P32">
        <v>0.5</v>
      </c>
      <c r="Q32" t="s">
        <v>141</v>
      </c>
      <c r="R32" t="s">
        <v>23</v>
      </c>
      <c r="S32">
        <v>3</v>
      </c>
    </row>
    <row r="33" spans="1:19" x14ac:dyDescent="0.25">
      <c r="A33">
        <v>5</v>
      </c>
      <c r="B33" t="s">
        <v>762</v>
      </c>
      <c r="C33">
        <v>80</v>
      </c>
      <c r="D33" t="s">
        <v>20</v>
      </c>
      <c r="E33">
        <v>5.5629999999999997</v>
      </c>
      <c r="F33">
        <v>20.78</v>
      </c>
      <c r="G33">
        <v>28.65</v>
      </c>
      <c r="I33" t="s">
        <v>762</v>
      </c>
      <c r="J33">
        <v>0.75</v>
      </c>
      <c r="K33">
        <v>1.05</v>
      </c>
      <c r="L33">
        <v>1</v>
      </c>
      <c r="M33">
        <v>2.5</v>
      </c>
      <c r="N33">
        <f>6.1875</f>
        <v>6.1875</v>
      </c>
      <c r="P33">
        <v>0.5</v>
      </c>
      <c r="Q33" t="s">
        <v>141</v>
      </c>
      <c r="R33" t="s">
        <v>24</v>
      </c>
      <c r="S33">
        <v>3</v>
      </c>
    </row>
    <row r="34" spans="1:19" x14ac:dyDescent="0.25">
      <c r="A34">
        <v>6</v>
      </c>
      <c r="B34" t="s">
        <v>762</v>
      </c>
      <c r="C34">
        <v>80</v>
      </c>
      <c r="D34" t="s">
        <v>20</v>
      </c>
      <c r="E34">
        <v>6.625</v>
      </c>
      <c r="F34">
        <v>28.57</v>
      </c>
      <c r="G34">
        <v>39.86</v>
      </c>
      <c r="I34" t="s">
        <v>762</v>
      </c>
      <c r="J34">
        <v>0.75</v>
      </c>
      <c r="K34">
        <v>1.05</v>
      </c>
      <c r="L34">
        <v>1.5</v>
      </c>
      <c r="M34">
        <v>3.5</v>
      </c>
      <c r="N34">
        <v>7.25</v>
      </c>
      <c r="P34">
        <v>0.75</v>
      </c>
      <c r="Q34" t="s">
        <v>132</v>
      </c>
      <c r="R34" t="s">
        <v>23</v>
      </c>
      <c r="S34">
        <v>7</v>
      </c>
    </row>
    <row r="35" spans="1:19" x14ac:dyDescent="0.25">
      <c r="A35">
        <v>8</v>
      </c>
      <c r="B35" t="s">
        <v>762</v>
      </c>
      <c r="C35">
        <v>80</v>
      </c>
      <c r="D35" t="s">
        <v>20</v>
      </c>
      <c r="E35">
        <v>8.625</v>
      </c>
      <c r="F35">
        <v>43.4</v>
      </c>
      <c r="G35">
        <v>63.2</v>
      </c>
      <c r="I35" t="s">
        <v>762</v>
      </c>
      <c r="J35">
        <v>0.75</v>
      </c>
      <c r="K35">
        <v>1.05</v>
      </c>
      <c r="L35">
        <v>2</v>
      </c>
      <c r="M35">
        <v>5</v>
      </c>
      <c r="N35">
        <v>10</v>
      </c>
      <c r="P35">
        <v>0.75</v>
      </c>
      <c r="Q35" t="s">
        <v>132</v>
      </c>
      <c r="R35" t="s">
        <v>24</v>
      </c>
      <c r="S35">
        <v>9</v>
      </c>
    </row>
    <row r="36" spans="1:19" x14ac:dyDescent="0.25">
      <c r="A36">
        <v>10</v>
      </c>
      <c r="B36" t="s">
        <v>762</v>
      </c>
      <c r="C36">
        <v>80</v>
      </c>
      <c r="D36" t="s">
        <v>20</v>
      </c>
      <c r="E36">
        <v>10.75</v>
      </c>
      <c r="F36">
        <v>64.739999999999995</v>
      </c>
      <c r="G36">
        <v>95.84</v>
      </c>
      <c r="I36" t="s">
        <v>762</v>
      </c>
      <c r="J36">
        <v>0.75</v>
      </c>
      <c r="K36">
        <v>1.05</v>
      </c>
      <c r="L36">
        <v>2.5</v>
      </c>
      <c r="M36">
        <v>6</v>
      </c>
      <c r="N36">
        <v>11.0625</v>
      </c>
      <c r="P36">
        <v>0.75</v>
      </c>
      <c r="Q36" t="s">
        <v>20</v>
      </c>
      <c r="R36" t="s">
        <v>23</v>
      </c>
      <c r="S36">
        <v>7</v>
      </c>
    </row>
    <row r="37" spans="1:19" x14ac:dyDescent="0.25">
      <c r="A37">
        <v>12</v>
      </c>
      <c r="B37" t="s">
        <v>762</v>
      </c>
      <c r="C37">
        <v>80</v>
      </c>
      <c r="D37" t="s">
        <v>20</v>
      </c>
      <c r="E37">
        <v>12.75</v>
      </c>
      <c r="F37">
        <v>88.6</v>
      </c>
      <c r="G37">
        <v>132.6</v>
      </c>
      <c r="I37" t="s">
        <v>762</v>
      </c>
      <c r="J37">
        <v>0.75</v>
      </c>
      <c r="K37">
        <v>1.05</v>
      </c>
      <c r="L37">
        <v>3</v>
      </c>
      <c r="M37">
        <v>8</v>
      </c>
      <c r="N37">
        <f>13.8125</f>
        <v>13.8125</v>
      </c>
      <c r="P37">
        <v>0.75</v>
      </c>
      <c r="Q37" t="s">
        <v>20</v>
      </c>
      <c r="R37" t="s">
        <v>24</v>
      </c>
      <c r="S37">
        <v>9</v>
      </c>
    </row>
    <row r="38" spans="1:19" x14ac:dyDescent="0.25">
      <c r="A38">
        <v>14</v>
      </c>
      <c r="B38" t="s">
        <v>762</v>
      </c>
      <c r="C38">
        <v>80</v>
      </c>
      <c r="D38" t="s">
        <v>20</v>
      </c>
      <c r="E38">
        <v>14</v>
      </c>
      <c r="F38">
        <v>107</v>
      </c>
      <c r="G38">
        <v>158.19999999999999</v>
      </c>
      <c r="I38" t="s">
        <v>763</v>
      </c>
      <c r="J38">
        <v>1</v>
      </c>
      <c r="K38">
        <v>1.125</v>
      </c>
      <c r="L38">
        <v>0.5</v>
      </c>
      <c r="M38">
        <v>2</v>
      </c>
      <c r="N38">
        <v>5.3125</v>
      </c>
      <c r="P38">
        <v>0.75</v>
      </c>
      <c r="Q38" t="s">
        <v>137</v>
      </c>
      <c r="R38" t="s">
        <v>23</v>
      </c>
      <c r="S38">
        <v>5</v>
      </c>
    </row>
    <row r="39" spans="1:19" x14ac:dyDescent="0.25">
      <c r="A39">
        <v>16</v>
      </c>
      <c r="B39" t="s">
        <v>762</v>
      </c>
      <c r="C39">
        <v>80</v>
      </c>
      <c r="D39" t="s">
        <v>20</v>
      </c>
      <c r="E39">
        <v>16</v>
      </c>
      <c r="F39">
        <v>137</v>
      </c>
      <c r="G39">
        <v>206.7</v>
      </c>
      <c r="I39" t="s">
        <v>763</v>
      </c>
      <c r="J39">
        <v>1</v>
      </c>
      <c r="K39">
        <v>1.125</v>
      </c>
      <c r="L39">
        <v>0.75</v>
      </c>
      <c r="M39">
        <v>2.5</v>
      </c>
      <c r="N39">
        <f>6.1875</f>
        <v>6.1875</v>
      </c>
      <c r="P39">
        <v>0.75</v>
      </c>
      <c r="Q39" t="s">
        <v>137</v>
      </c>
      <c r="R39" t="s">
        <v>24</v>
      </c>
      <c r="S39">
        <v>7</v>
      </c>
    </row>
    <row r="40" spans="1:19" x14ac:dyDescent="0.25">
      <c r="A40">
        <v>18</v>
      </c>
      <c r="B40" t="s">
        <v>762</v>
      </c>
      <c r="C40">
        <v>80</v>
      </c>
      <c r="D40" t="s">
        <v>20</v>
      </c>
      <c r="E40">
        <v>18</v>
      </c>
      <c r="F40">
        <v>171</v>
      </c>
      <c r="G40">
        <v>259.5</v>
      </c>
      <c r="I40" t="s">
        <v>763</v>
      </c>
      <c r="J40">
        <v>1</v>
      </c>
      <c r="K40">
        <v>1.125</v>
      </c>
      <c r="L40">
        <v>1</v>
      </c>
      <c r="M40">
        <v>3</v>
      </c>
      <c r="N40">
        <v>6.75</v>
      </c>
      <c r="P40">
        <v>0.75</v>
      </c>
      <c r="Q40" t="s">
        <v>139</v>
      </c>
      <c r="R40" t="s">
        <v>23</v>
      </c>
      <c r="S40">
        <v>5</v>
      </c>
    </row>
    <row r="41" spans="1:19" x14ac:dyDescent="0.25">
      <c r="A41">
        <v>20</v>
      </c>
      <c r="B41" t="s">
        <v>762</v>
      </c>
      <c r="C41">
        <v>80</v>
      </c>
      <c r="D41" t="s">
        <v>20</v>
      </c>
      <c r="E41">
        <v>20</v>
      </c>
      <c r="F41">
        <v>209</v>
      </c>
      <c r="G41">
        <v>318.39999999999998</v>
      </c>
      <c r="I41" t="s">
        <v>763</v>
      </c>
      <c r="J41">
        <v>1</v>
      </c>
      <c r="K41">
        <v>1.125</v>
      </c>
      <c r="L41">
        <v>1.5</v>
      </c>
      <c r="M41">
        <v>3.5</v>
      </c>
      <c r="N41">
        <v>7.25</v>
      </c>
      <c r="P41">
        <v>0.75</v>
      </c>
      <c r="Q41" t="s">
        <v>139</v>
      </c>
      <c r="R41" t="s">
        <v>24</v>
      </c>
      <c r="S41">
        <v>7</v>
      </c>
    </row>
    <row r="42" spans="1:19" x14ac:dyDescent="0.25">
      <c r="A42">
        <v>24</v>
      </c>
      <c r="B42" t="s">
        <v>762</v>
      </c>
      <c r="C42">
        <v>80</v>
      </c>
      <c r="D42" t="s">
        <v>20</v>
      </c>
      <c r="E42">
        <v>24</v>
      </c>
      <c r="F42">
        <v>297</v>
      </c>
      <c r="G42">
        <v>455.2</v>
      </c>
      <c r="I42" t="s">
        <v>765</v>
      </c>
      <c r="J42">
        <v>1</v>
      </c>
      <c r="K42">
        <v>1.3149999999999999</v>
      </c>
      <c r="L42">
        <v>0.5</v>
      </c>
      <c r="M42">
        <v>2</v>
      </c>
      <c r="N42">
        <v>5.3125</v>
      </c>
      <c r="P42">
        <v>0.75</v>
      </c>
      <c r="Q42" t="s">
        <v>140</v>
      </c>
      <c r="R42" t="s">
        <v>23</v>
      </c>
      <c r="S42">
        <v>3</v>
      </c>
    </row>
    <row r="43" spans="1:19" x14ac:dyDescent="0.25">
      <c r="A43">
        <v>0.25</v>
      </c>
      <c r="B43" t="s">
        <v>763</v>
      </c>
      <c r="C43" t="s">
        <v>764</v>
      </c>
      <c r="D43" t="s">
        <v>137</v>
      </c>
      <c r="E43">
        <v>0.375</v>
      </c>
      <c r="F43">
        <v>0.14499999999999999</v>
      </c>
      <c r="G43">
        <v>0.17699999999999999</v>
      </c>
      <c r="I43" t="s">
        <v>765</v>
      </c>
      <c r="J43">
        <v>1</v>
      </c>
      <c r="K43">
        <v>1.3149999999999999</v>
      </c>
      <c r="L43">
        <v>0.75</v>
      </c>
      <c r="M43">
        <v>2.5</v>
      </c>
      <c r="N43">
        <f>6.1875</f>
        <v>6.1875</v>
      </c>
      <c r="P43">
        <v>0.75</v>
      </c>
      <c r="Q43" t="s">
        <v>140</v>
      </c>
      <c r="R43" t="s">
        <v>24</v>
      </c>
      <c r="S43">
        <v>3</v>
      </c>
    </row>
    <row r="44" spans="1:19" x14ac:dyDescent="0.25">
      <c r="A44">
        <v>0.375</v>
      </c>
      <c r="B44" t="s">
        <v>763</v>
      </c>
      <c r="C44" t="s">
        <v>764</v>
      </c>
      <c r="D44" t="s">
        <v>137</v>
      </c>
      <c r="E44">
        <v>0.5</v>
      </c>
      <c r="F44">
        <v>0.26900000000000002</v>
      </c>
      <c r="G44">
        <v>0.27500000000000002</v>
      </c>
      <c r="I44" t="s">
        <v>765</v>
      </c>
      <c r="J44">
        <v>1</v>
      </c>
      <c r="K44">
        <v>1.3149999999999999</v>
      </c>
      <c r="L44">
        <v>1</v>
      </c>
      <c r="M44">
        <v>3</v>
      </c>
      <c r="N44">
        <v>6.75</v>
      </c>
      <c r="P44">
        <v>0.75</v>
      </c>
      <c r="Q44" t="s">
        <v>141</v>
      </c>
      <c r="R44" t="s">
        <v>23</v>
      </c>
      <c r="S44">
        <v>3</v>
      </c>
    </row>
    <row r="45" spans="1:19" x14ac:dyDescent="0.25">
      <c r="A45">
        <v>0.5</v>
      </c>
      <c r="B45" t="s">
        <v>763</v>
      </c>
      <c r="C45" t="s">
        <v>764</v>
      </c>
      <c r="D45" t="s">
        <v>137</v>
      </c>
      <c r="E45">
        <v>0.625</v>
      </c>
      <c r="F45">
        <v>0.34399999999999997</v>
      </c>
      <c r="G45">
        <v>0.438</v>
      </c>
      <c r="I45" t="s">
        <v>765</v>
      </c>
      <c r="J45">
        <v>1</v>
      </c>
      <c r="K45">
        <v>1.3149999999999999</v>
      </c>
      <c r="L45">
        <v>1.5</v>
      </c>
      <c r="M45">
        <v>4</v>
      </c>
      <c r="N45">
        <v>7.25</v>
      </c>
      <c r="P45">
        <v>0.75</v>
      </c>
      <c r="Q45" t="s">
        <v>141</v>
      </c>
      <c r="R45" t="s">
        <v>24</v>
      </c>
      <c r="S45">
        <v>3</v>
      </c>
    </row>
    <row r="46" spans="1:19" x14ac:dyDescent="0.25">
      <c r="A46">
        <v>0.625</v>
      </c>
      <c r="B46" t="s">
        <v>763</v>
      </c>
      <c r="C46" t="s">
        <v>764</v>
      </c>
      <c r="D46" t="s">
        <v>137</v>
      </c>
      <c r="E46">
        <v>0.75</v>
      </c>
      <c r="F46">
        <v>0.41799999999999998</v>
      </c>
      <c r="G46">
        <v>0.56299999999999994</v>
      </c>
      <c r="I46" t="s">
        <v>765</v>
      </c>
      <c r="J46">
        <v>1</v>
      </c>
      <c r="K46">
        <v>1.3149999999999999</v>
      </c>
      <c r="L46">
        <v>2</v>
      </c>
      <c r="M46">
        <v>5</v>
      </c>
      <c r="N46">
        <v>10</v>
      </c>
      <c r="P46">
        <v>1</v>
      </c>
      <c r="Q46" t="s">
        <v>132</v>
      </c>
      <c r="R46" t="s">
        <v>23</v>
      </c>
      <c r="S46">
        <v>7</v>
      </c>
    </row>
    <row r="47" spans="1:19" x14ac:dyDescent="0.25">
      <c r="A47">
        <v>0.75</v>
      </c>
      <c r="B47" t="s">
        <v>763</v>
      </c>
      <c r="C47" t="s">
        <v>764</v>
      </c>
      <c r="D47" t="s">
        <v>137</v>
      </c>
      <c r="E47">
        <v>0.875</v>
      </c>
      <c r="F47">
        <v>0.64100000000000001</v>
      </c>
      <c r="G47">
        <v>0.82899999999999996</v>
      </c>
      <c r="I47" t="s">
        <v>765</v>
      </c>
      <c r="J47">
        <v>1</v>
      </c>
      <c r="K47">
        <v>1.3149999999999999</v>
      </c>
      <c r="L47">
        <v>2.5</v>
      </c>
      <c r="M47">
        <v>6</v>
      </c>
      <c r="N47">
        <v>11.0625</v>
      </c>
      <c r="P47">
        <v>1</v>
      </c>
      <c r="Q47" t="s">
        <v>132</v>
      </c>
      <c r="R47" t="s">
        <v>24</v>
      </c>
      <c r="S47">
        <v>9</v>
      </c>
    </row>
    <row r="48" spans="1:19" x14ac:dyDescent="0.25">
      <c r="A48">
        <v>1</v>
      </c>
      <c r="B48" t="s">
        <v>763</v>
      </c>
      <c r="C48" t="s">
        <v>764</v>
      </c>
      <c r="D48" t="s">
        <v>137</v>
      </c>
      <c r="E48">
        <v>1.125</v>
      </c>
      <c r="F48">
        <v>0.83899999999999997</v>
      </c>
      <c r="G48">
        <v>1.1759999999999999</v>
      </c>
      <c r="I48" t="s">
        <v>765</v>
      </c>
      <c r="J48">
        <v>1</v>
      </c>
      <c r="K48">
        <v>1.3149999999999999</v>
      </c>
      <c r="L48">
        <v>3</v>
      </c>
      <c r="M48">
        <v>8</v>
      </c>
      <c r="N48">
        <f>13.8125</f>
        <v>13.8125</v>
      </c>
      <c r="P48">
        <v>1</v>
      </c>
      <c r="Q48" t="s">
        <v>20</v>
      </c>
      <c r="R48" t="s">
        <v>23</v>
      </c>
      <c r="S48">
        <v>7</v>
      </c>
    </row>
    <row r="49" spans="1:19" x14ac:dyDescent="0.25">
      <c r="A49">
        <v>1.25</v>
      </c>
      <c r="B49" t="s">
        <v>763</v>
      </c>
      <c r="C49" t="s">
        <v>764</v>
      </c>
      <c r="D49" t="s">
        <v>137</v>
      </c>
      <c r="E49">
        <v>1.375</v>
      </c>
      <c r="F49">
        <v>1.04</v>
      </c>
      <c r="G49">
        <v>1.57</v>
      </c>
      <c r="I49" t="s">
        <v>762</v>
      </c>
      <c r="J49">
        <v>1</v>
      </c>
      <c r="K49">
        <v>1.3149999999999999</v>
      </c>
      <c r="L49">
        <v>0.5</v>
      </c>
      <c r="M49">
        <v>2</v>
      </c>
      <c r="N49">
        <v>5.3125</v>
      </c>
      <c r="P49">
        <v>1</v>
      </c>
      <c r="Q49" t="s">
        <v>20</v>
      </c>
      <c r="R49" t="s">
        <v>24</v>
      </c>
      <c r="S49">
        <v>9</v>
      </c>
    </row>
    <row r="50" spans="1:19" x14ac:dyDescent="0.25">
      <c r="A50">
        <v>1.5</v>
      </c>
      <c r="B50" t="s">
        <v>763</v>
      </c>
      <c r="C50" t="s">
        <v>764</v>
      </c>
      <c r="D50" t="s">
        <v>137</v>
      </c>
      <c r="E50">
        <v>1.625</v>
      </c>
      <c r="F50">
        <v>1.36</v>
      </c>
      <c r="G50">
        <v>2.109</v>
      </c>
      <c r="I50" t="s">
        <v>762</v>
      </c>
      <c r="J50">
        <v>1</v>
      </c>
      <c r="K50">
        <v>1.3149999999999999</v>
      </c>
      <c r="L50">
        <v>0.75</v>
      </c>
      <c r="M50">
        <v>2.5</v>
      </c>
      <c r="N50">
        <f>6.1875</f>
        <v>6.1875</v>
      </c>
      <c r="P50">
        <v>1</v>
      </c>
      <c r="Q50" t="s">
        <v>137</v>
      </c>
      <c r="R50" t="s">
        <v>23</v>
      </c>
      <c r="S50">
        <v>6</v>
      </c>
    </row>
    <row r="51" spans="1:19" x14ac:dyDescent="0.25">
      <c r="A51">
        <v>2</v>
      </c>
      <c r="B51" t="s">
        <v>763</v>
      </c>
      <c r="C51" t="s">
        <v>764</v>
      </c>
      <c r="D51" t="s">
        <v>137</v>
      </c>
      <c r="E51">
        <v>2.125</v>
      </c>
      <c r="F51">
        <v>2.06</v>
      </c>
      <c r="G51">
        <v>3.3639999999999999</v>
      </c>
      <c r="I51" t="s">
        <v>762</v>
      </c>
      <c r="J51">
        <v>1</v>
      </c>
      <c r="K51">
        <v>1.3149999999999999</v>
      </c>
      <c r="L51">
        <v>1</v>
      </c>
      <c r="M51">
        <v>3</v>
      </c>
      <c r="N51">
        <v>6.75</v>
      </c>
      <c r="P51">
        <v>1</v>
      </c>
      <c r="Q51" t="s">
        <v>137</v>
      </c>
      <c r="R51" t="s">
        <v>24</v>
      </c>
      <c r="S51">
        <v>8</v>
      </c>
    </row>
    <row r="52" spans="1:19" x14ac:dyDescent="0.25">
      <c r="A52">
        <v>2.5</v>
      </c>
      <c r="B52" t="s">
        <v>763</v>
      </c>
      <c r="C52" t="s">
        <v>764</v>
      </c>
      <c r="D52" t="s">
        <v>137</v>
      </c>
      <c r="E52">
        <v>2.625</v>
      </c>
      <c r="F52">
        <v>2.93</v>
      </c>
      <c r="G52">
        <v>4.9269999999999996</v>
      </c>
      <c r="I52" t="s">
        <v>762</v>
      </c>
      <c r="J52">
        <v>1</v>
      </c>
      <c r="K52">
        <v>1.3149999999999999</v>
      </c>
      <c r="L52">
        <v>1.5</v>
      </c>
      <c r="M52">
        <v>4</v>
      </c>
      <c r="N52">
        <v>7.25</v>
      </c>
      <c r="P52">
        <v>1</v>
      </c>
      <c r="Q52" t="s">
        <v>139</v>
      </c>
      <c r="R52" t="s">
        <v>23</v>
      </c>
      <c r="S52">
        <v>6</v>
      </c>
    </row>
    <row r="53" spans="1:19" x14ac:dyDescent="0.25">
      <c r="A53">
        <v>3</v>
      </c>
      <c r="B53" t="s">
        <v>763</v>
      </c>
      <c r="C53" t="s">
        <v>764</v>
      </c>
      <c r="D53" t="s">
        <v>137</v>
      </c>
      <c r="E53">
        <v>3.125</v>
      </c>
      <c r="F53">
        <v>4</v>
      </c>
      <c r="G53">
        <v>6.87</v>
      </c>
      <c r="I53" t="s">
        <v>762</v>
      </c>
      <c r="J53">
        <v>1</v>
      </c>
      <c r="K53">
        <v>1.3149999999999999</v>
      </c>
      <c r="L53">
        <v>2</v>
      </c>
      <c r="M53">
        <v>5</v>
      </c>
      <c r="N53">
        <v>10</v>
      </c>
      <c r="P53">
        <v>1</v>
      </c>
      <c r="Q53" t="s">
        <v>139</v>
      </c>
      <c r="R53" t="s">
        <v>24</v>
      </c>
      <c r="S53">
        <v>8</v>
      </c>
    </row>
    <row r="54" spans="1:19" x14ac:dyDescent="0.25">
      <c r="A54">
        <v>3.5</v>
      </c>
      <c r="B54" t="s">
        <v>763</v>
      </c>
      <c r="C54" t="s">
        <v>764</v>
      </c>
      <c r="D54" t="s">
        <v>137</v>
      </c>
      <c r="E54">
        <v>3.625</v>
      </c>
      <c r="F54">
        <v>5.12</v>
      </c>
      <c r="G54">
        <v>9.0510000000000002</v>
      </c>
      <c r="I54" t="s">
        <v>762</v>
      </c>
      <c r="J54">
        <v>1</v>
      </c>
      <c r="K54">
        <v>1.3149999999999999</v>
      </c>
      <c r="L54">
        <v>2.5</v>
      </c>
      <c r="M54">
        <v>6</v>
      </c>
      <c r="N54">
        <v>11.0625</v>
      </c>
      <c r="P54">
        <v>1</v>
      </c>
      <c r="Q54" t="s">
        <v>140</v>
      </c>
      <c r="R54" t="s">
        <v>23</v>
      </c>
      <c r="S54">
        <v>3</v>
      </c>
    </row>
    <row r="55" spans="1:19" x14ac:dyDescent="0.25">
      <c r="A55">
        <v>4</v>
      </c>
      <c r="B55" t="s">
        <v>763</v>
      </c>
      <c r="C55" t="s">
        <v>764</v>
      </c>
      <c r="D55" t="s">
        <v>137</v>
      </c>
      <c r="E55">
        <v>4.125</v>
      </c>
      <c r="F55">
        <v>6.51</v>
      </c>
      <c r="G55">
        <v>11.564</v>
      </c>
      <c r="I55" t="s">
        <v>762</v>
      </c>
      <c r="J55">
        <v>1</v>
      </c>
      <c r="K55">
        <v>1.3149999999999999</v>
      </c>
      <c r="L55">
        <v>3</v>
      </c>
      <c r="M55">
        <v>8</v>
      </c>
      <c r="N55">
        <f>13.8125</f>
        <v>13.8125</v>
      </c>
      <c r="P55">
        <v>1</v>
      </c>
      <c r="Q55" t="s">
        <v>140</v>
      </c>
      <c r="R55" t="s">
        <v>24</v>
      </c>
      <c r="S55">
        <v>3</v>
      </c>
    </row>
    <row r="56" spans="1:19" x14ac:dyDescent="0.25">
      <c r="A56">
        <v>5</v>
      </c>
      <c r="B56" t="s">
        <v>763</v>
      </c>
      <c r="C56" t="s">
        <v>764</v>
      </c>
      <c r="D56" t="s">
        <v>137</v>
      </c>
      <c r="E56">
        <v>5.125</v>
      </c>
      <c r="F56">
        <v>9.67</v>
      </c>
      <c r="G56">
        <v>17.532</v>
      </c>
      <c r="I56" t="s">
        <v>763</v>
      </c>
      <c r="J56">
        <v>1.25</v>
      </c>
      <c r="K56">
        <v>1.375</v>
      </c>
      <c r="L56">
        <v>0.5</v>
      </c>
      <c r="M56">
        <v>2</v>
      </c>
      <c r="N56">
        <v>5.3125</v>
      </c>
      <c r="P56">
        <v>1</v>
      </c>
      <c r="Q56" t="s">
        <v>141</v>
      </c>
      <c r="R56" t="s">
        <v>23</v>
      </c>
      <c r="S56">
        <v>3</v>
      </c>
    </row>
    <row r="57" spans="1:19" x14ac:dyDescent="0.25">
      <c r="A57">
        <v>6</v>
      </c>
      <c r="B57" t="s">
        <v>763</v>
      </c>
      <c r="C57" t="s">
        <v>764</v>
      </c>
      <c r="D57" t="s">
        <v>137</v>
      </c>
      <c r="E57">
        <v>6.125</v>
      </c>
      <c r="F57">
        <v>13.9</v>
      </c>
      <c r="G57">
        <v>25.132000000000001</v>
      </c>
      <c r="I57" t="s">
        <v>763</v>
      </c>
      <c r="J57">
        <v>1.25</v>
      </c>
      <c r="K57">
        <v>1.375</v>
      </c>
      <c r="L57">
        <v>0.75</v>
      </c>
      <c r="M57">
        <v>2.5</v>
      </c>
      <c r="N57">
        <f>6.1875</f>
        <v>6.1875</v>
      </c>
      <c r="P57">
        <v>1</v>
      </c>
      <c r="Q57" t="s">
        <v>141</v>
      </c>
      <c r="R57" t="s">
        <v>24</v>
      </c>
      <c r="S57">
        <v>3</v>
      </c>
    </row>
    <row r="58" spans="1:19" x14ac:dyDescent="0.25">
      <c r="A58">
        <v>8</v>
      </c>
      <c r="B58" t="s">
        <v>763</v>
      </c>
      <c r="C58" t="s">
        <v>764</v>
      </c>
      <c r="D58" t="s">
        <v>137</v>
      </c>
      <c r="E58">
        <v>8.125</v>
      </c>
      <c r="F58">
        <v>25.9</v>
      </c>
      <c r="G58">
        <v>45.494</v>
      </c>
      <c r="I58" t="s">
        <v>763</v>
      </c>
      <c r="J58">
        <v>1.25</v>
      </c>
      <c r="K58">
        <v>1.375</v>
      </c>
      <c r="L58">
        <v>1</v>
      </c>
      <c r="M58">
        <v>3</v>
      </c>
      <c r="N58">
        <v>6.75</v>
      </c>
      <c r="P58">
        <v>1.25</v>
      </c>
      <c r="Q58" t="s">
        <v>132</v>
      </c>
      <c r="R58" t="s">
        <v>23</v>
      </c>
      <c r="S58">
        <v>7</v>
      </c>
    </row>
    <row r="59" spans="1:19" x14ac:dyDescent="0.25">
      <c r="A59">
        <v>10</v>
      </c>
      <c r="B59" t="s">
        <v>763</v>
      </c>
      <c r="C59" t="s">
        <v>764</v>
      </c>
      <c r="D59" t="s">
        <v>137</v>
      </c>
      <c r="E59">
        <v>10.125</v>
      </c>
      <c r="F59">
        <v>40.299999999999997</v>
      </c>
      <c r="G59">
        <v>70.688999999999993</v>
      </c>
      <c r="I59" t="s">
        <v>763</v>
      </c>
      <c r="J59">
        <v>1.25</v>
      </c>
      <c r="K59">
        <v>1.375</v>
      </c>
      <c r="L59">
        <v>1.5</v>
      </c>
      <c r="M59">
        <v>4</v>
      </c>
      <c r="N59">
        <v>7.25</v>
      </c>
      <c r="P59">
        <v>1.25</v>
      </c>
      <c r="Q59" t="s">
        <v>132</v>
      </c>
      <c r="R59" t="s">
        <v>24</v>
      </c>
      <c r="S59">
        <v>9</v>
      </c>
    </row>
    <row r="60" spans="1:19" x14ac:dyDescent="0.25">
      <c r="A60">
        <v>12</v>
      </c>
      <c r="B60" t="s">
        <v>763</v>
      </c>
      <c r="C60" t="s">
        <v>764</v>
      </c>
      <c r="D60" t="s">
        <v>137</v>
      </c>
      <c r="E60">
        <v>12.125</v>
      </c>
      <c r="F60">
        <v>57.8</v>
      </c>
      <c r="G60">
        <v>101.355</v>
      </c>
      <c r="I60" t="s">
        <v>765</v>
      </c>
      <c r="J60">
        <v>1.25</v>
      </c>
      <c r="K60">
        <v>1.66</v>
      </c>
      <c r="L60">
        <v>0.5</v>
      </c>
      <c r="M60">
        <v>2.5</v>
      </c>
      <c r="N60">
        <f>6.1875</f>
        <v>6.1875</v>
      </c>
      <c r="P60">
        <v>1.25</v>
      </c>
      <c r="Q60" t="s">
        <v>20</v>
      </c>
      <c r="R60" t="s">
        <v>23</v>
      </c>
      <c r="S60">
        <v>7</v>
      </c>
    </row>
    <row r="61" spans="1:19" x14ac:dyDescent="0.25">
      <c r="A61">
        <v>0.25</v>
      </c>
      <c r="B61" t="s">
        <v>763</v>
      </c>
      <c r="C61" t="s">
        <v>766</v>
      </c>
      <c r="D61" t="s">
        <v>139</v>
      </c>
      <c r="E61">
        <v>0.375</v>
      </c>
      <c r="F61">
        <v>0.126</v>
      </c>
      <c r="G61">
        <v>0.16</v>
      </c>
      <c r="I61" t="s">
        <v>765</v>
      </c>
      <c r="J61">
        <v>1.25</v>
      </c>
      <c r="K61">
        <v>1.66</v>
      </c>
      <c r="L61">
        <v>0.75</v>
      </c>
      <c r="M61">
        <v>3</v>
      </c>
      <c r="N61">
        <v>6.75</v>
      </c>
      <c r="P61">
        <v>1.25</v>
      </c>
      <c r="Q61" t="s">
        <v>20</v>
      </c>
      <c r="R61" t="s">
        <v>24</v>
      </c>
      <c r="S61">
        <v>9</v>
      </c>
    </row>
    <row r="62" spans="1:19" x14ac:dyDescent="0.25">
      <c r="A62">
        <v>0.375</v>
      </c>
      <c r="B62" t="s">
        <v>763</v>
      </c>
      <c r="C62" t="s">
        <v>766</v>
      </c>
      <c r="D62" t="s">
        <v>139</v>
      </c>
      <c r="E62">
        <v>0.5</v>
      </c>
      <c r="F62">
        <v>0.19800000000000001</v>
      </c>
      <c r="G62">
        <v>0.26100000000000001</v>
      </c>
      <c r="I62" t="s">
        <v>765</v>
      </c>
      <c r="J62">
        <v>1.25</v>
      </c>
      <c r="K62">
        <v>1.66</v>
      </c>
      <c r="L62">
        <v>1</v>
      </c>
      <c r="M62">
        <v>3</v>
      </c>
      <c r="N62">
        <v>6.75</v>
      </c>
      <c r="P62">
        <v>1.25</v>
      </c>
      <c r="Q62" t="s">
        <v>137</v>
      </c>
      <c r="R62" t="s">
        <v>23</v>
      </c>
      <c r="S62">
        <v>7</v>
      </c>
    </row>
    <row r="63" spans="1:19" x14ac:dyDescent="0.25">
      <c r="A63">
        <v>0.5</v>
      </c>
      <c r="B63" t="s">
        <v>763</v>
      </c>
      <c r="C63" t="s">
        <v>766</v>
      </c>
      <c r="D63" t="s">
        <v>139</v>
      </c>
      <c r="E63">
        <v>0.625</v>
      </c>
      <c r="F63">
        <v>0.28499999999999998</v>
      </c>
      <c r="G63">
        <v>0.38500000000000001</v>
      </c>
      <c r="I63" t="s">
        <v>765</v>
      </c>
      <c r="J63">
        <v>1.25</v>
      </c>
      <c r="K63">
        <v>1.66</v>
      </c>
      <c r="L63">
        <v>1.5</v>
      </c>
      <c r="M63">
        <v>5</v>
      </c>
      <c r="N63">
        <v>10</v>
      </c>
      <c r="P63">
        <v>1.25</v>
      </c>
      <c r="Q63" t="s">
        <v>137</v>
      </c>
      <c r="R63" t="s">
        <v>24</v>
      </c>
      <c r="S63">
        <v>9</v>
      </c>
    </row>
    <row r="64" spans="1:19" x14ac:dyDescent="0.25">
      <c r="A64">
        <v>0.625</v>
      </c>
      <c r="B64" t="s">
        <v>763</v>
      </c>
      <c r="C64" t="s">
        <v>766</v>
      </c>
      <c r="D64" t="s">
        <v>139</v>
      </c>
      <c r="E64">
        <v>0.75</v>
      </c>
      <c r="F64">
        <v>0.36199999999999999</v>
      </c>
      <c r="G64">
        <v>0.51200000000000001</v>
      </c>
      <c r="I64" t="s">
        <v>765</v>
      </c>
      <c r="J64">
        <v>1.25</v>
      </c>
      <c r="K64">
        <v>1.66</v>
      </c>
      <c r="L64">
        <v>2</v>
      </c>
      <c r="M64">
        <v>5</v>
      </c>
      <c r="N64">
        <v>10</v>
      </c>
      <c r="P64">
        <v>1.25</v>
      </c>
      <c r="Q64" t="s">
        <v>139</v>
      </c>
      <c r="R64" t="s">
        <v>23</v>
      </c>
      <c r="S64">
        <v>7</v>
      </c>
    </row>
    <row r="65" spans="1:19" x14ac:dyDescent="0.25">
      <c r="A65">
        <v>0.75</v>
      </c>
      <c r="B65" t="s">
        <v>763</v>
      </c>
      <c r="C65" t="s">
        <v>766</v>
      </c>
      <c r="D65" t="s">
        <v>139</v>
      </c>
      <c r="E65">
        <v>0.875</v>
      </c>
      <c r="F65">
        <v>0.45500000000000002</v>
      </c>
      <c r="G65">
        <v>0.66700000000000004</v>
      </c>
      <c r="I65" t="s">
        <v>765</v>
      </c>
      <c r="J65">
        <v>1.25</v>
      </c>
      <c r="K65">
        <v>1.66</v>
      </c>
      <c r="L65">
        <v>2.5</v>
      </c>
      <c r="M65">
        <v>6</v>
      </c>
      <c r="N65">
        <v>11.0625</v>
      </c>
      <c r="P65">
        <v>1.25</v>
      </c>
      <c r="Q65" t="s">
        <v>139</v>
      </c>
      <c r="R65" t="s">
        <v>24</v>
      </c>
      <c r="S65">
        <v>9</v>
      </c>
    </row>
    <row r="66" spans="1:19" x14ac:dyDescent="0.25">
      <c r="A66">
        <v>1</v>
      </c>
      <c r="B66" t="s">
        <v>763</v>
      </c>
      <c r="C66" t="s">
        <v>766</v>
      </c>
      <c r="D66" t="s">
        <v>139</v>
      </c>
      <c r="E66">
        <v>1.125</v>
      </c>
      <c r="F66">
        <v>0.65500000000000003</v>
      </c>
      <c r="G66">
        <v>1.0109999999999999</v>
      </c>
      <c r="I66" t="s">
        <v>765</v>
      </c>
      <c r="J66">
        <v>1.25</v>
      </c>
      <c r="K66">
        <v>1.66</v>
      </c>
      <c r="L66">
        <v>3</v>
      </c>
      <c r="M66">
        <v>8</v>
      </c>
      <c r="N66">
        <f>13.8125</f>
        <v>13.8125</v>
      </c>
      <c r="P66">
        <v>1.25</v>
      </c>
      <c r="Q66" t="s">
        <v>140</v>
      </c>
      <c r="R66" t="s">
        <v>23</v>
      </c>
      <c r="S66">
        <v>4</v>
      </c>
    </row>
    <row r="67" spans="1:19" x14ac:dyDescent="0.25">
      <c r="A67">
        <v>1.25</v>
      </c>
      <c r="B67" t="s">
        <v>763</v>
      </c>
      <c r="C67" t="s">
        <v>766</v>
      </c>
      <c r="D67" t="s">
        <v>139</v>
      </c>
      <c r="E67">
        <v>1.375</v>
      </c>
      <c r="F67">
        <v>0.88400000000000001</v>
      </c>
      <c r="G67">
        <v>1.427</v>
      </c>
      <c r="I67" t="s">
        <v>762</v>
      </c>
      <c r="J67">
        <v>1.25</v>
      </c>
      <c r="K67">
        <v>1.66</v>
      </c>
      <c r="L67">
        <v>0.5</v>
      </c>
      <c r="M67">
        <v>2.5</v>
      </c>
      <c r="N67">
        <f>6.1875</f>
        <v>6.1875</v>
      </c>
      <c r="P67">
        <v>1.25</v>
      </c>
      <c r="Q67" t="s">
        <v>140</v>
      </c>
      <c r="R67" t="s">
        <v>24</v>
      </c>
      <c r="S67">
        <v>4</v>
      </c>
    </row>
    <row r="68" spans="1:19" x14ac:dyDescent="0.25">
      <c r="A68">
        <v>1.5</v>
      </c>
      <c r="B68" t="s">
        <v>763</v>
      </c>
      <c r="C68" t="s">
        <v>766</v>
      </c>
      <c r="D68" t="s">
        <v>139</v>
      </c>
      <c r="E68">
        <v>1.625</v>
      </c>
      <c r="F68">
        <v>1.1399999999999999</v>
      </c>
      <c r="G68">
        <v>1.889</v>
      </c>
      <c r="I68" t="s">
        <v>762</v>
      </c>
      <c r="J68">
        <v>1.25</v>
      </c>
      <c r="K68">
        <v>1.66</v>
      </c>
      <c r="L68">
        <v>0.75</v>
      </c>
      <c r="M68">
        <v>3</v>
      </c>
      <c r="N68">
        <v>6.75</v>
      </c>
      <c r="P68">
        <v>1.25</v>
      </c>
      <c r="Q68" t="s">
        <v>141</v>
      </c>
      <c r="R68" t="s">
        <v>23</v>
      </c>
      <c r="S68">
        <v>4</v>
      </c>
    </row>
    <row r="69" spans="1:19" x14ac:dyDescent="0.25">
      <c r="A69">
        <v>2</v>
      </c>
      <c r="B69" t="s">
        <v>763</v>
      </c>
      <c r="C69" t="s">
        <v>766</v>
      </c>
      <c r="D69" t="s">
        <v>139</v>
      </c>
      <c r="E69">
        <v>2.125</v>
      </c>
      <c r="F69">
        <v>1.75</v>
      </c>
      <c r="G69">
        <v>3.0920000000000001</v>
      </c>
      <c r="I69" t="s">
        <v>762</v>
      </c>
      <c r="J69">
        <v>1.25</v>
      </c>
      <c r="K69">
        <v>1.66</v>
      </c>
      <c r="L69">
        <v>1</v>
      </c>
      <c r="M69">
        <v>3</v>
      </c>
      <c r="N69">
        <v>6.75</v>
      </c>
      <c r="P69">
        <v>1.25</v>
      </c>
      <c r="Q69" t="s">
        <v>141</v>
      </c>
      <c r="R69" t="s">
        <v>24</v>
      </c>
      <c r="S69">
        <v>4</v>
      </c>
    </row>
    <row r="70" spans="1:19" x14ac:dyDescent="0.25">
      <c r="A70">
        <v>2.5</v>
      </c>
      <c r="B70" t="s">
        <v>763</v>
      </c>
      <c r="C70" t="s">
        <v>766</v>
      </c>
      <c r="D70" t="s">
        <v>139</v>
      </c>
      <c r="E70">
        <v>2.625</v>
      </c>
      <c r="F70">
        <v>2.48</v>
      </c>
      <c r="G70">
        <v>4.5389999999999997</v>
      </c>
      <c r="I70" t="s">
        <v>762</v>
      </c>
      <c r="J70">
        <v>1.25</v>
      </c>
      <c r="K70">
        <v>1.66</v>
      </c>
      <c r="L70">
        <v>1.5</v>
      </c>
      <c r="M70">
        <v>5</v>
      </c>
      <c r="N70">
        <v>10</v>
      </c>
      <c r="P70">
        <v>1.5</v>
      </c>
      <c r="Q70" t="s">
        <v>132</v>
      </c>
      <c r="R70" t="s">
        <v>23</v>
      </c>
      <c r="S70">
        <v>9</v>
      </c>
    </row>
    <row r="71" spans="1:19" x14ac:dyDescent="0.25">
      <c r="A71">
        <v>3</v>
      </c>
      <c r="B71" t="s">
        <v>763</v>
      </c>
      <c r="C71" t="s">
        <v>766</v>
      </c>
      <c r="D71" t="s">
        <v>139</v>
      </c>
      <c r="E71">
        <v>3.125</v>
      </c>
      <c r="F71">
        <v>3.33</v>
      </c>
      <c r="G71">
        <v>6.2629999999999999</v>
      </c>
      <c r="I71" t="s">
        <v>762</v>
      </c>
      <c r="J71">
        <v>1.25</v>
      </c>
      <c r="K71">
        <v>1.66</v>
      </c>
      <c r="L71">
        <v>2</v>
      </c>
      <c r="M71">
        <v>5</v>
      </c>
      <c r="N71">
        <v>10</v>
      </c>
      <c r="P71">
        <v>1.5</v>
      </c>
      <c r="Q71" t="s">
        <v>132</v>
      </c>
      <c r="R71" t="s">
        <v>24</v>
      </c>
      <c r="S71">
        <v>12</v>
      </c>
    </row>
    <row r="72" spans="1:19" x14ac:dyDescent="0.25">
      <c r="A72">
        <v>3.5</v>
      </c>
      <c r="B72" t="s">
        <v>763</v>
      </c>
      <c r="C72" t="s">
        <v>766</v>
      </c>
      <c r="D72" t="s">
        <v>139</v>
      </c>
      <c r="E72">
        <v>3.625</v>
      </c>
      <c r="F72">
        <v>4.29</v>
      </c>
      <c r="G72">
        <v>8.2840000000000007</v>
      </c>
      <c r="I72" t="s">
        <v>762</v>
      </c>
      <c r="J72">
        <v>1.25</v>
      </c>
      <c r="K72">
        <v>1.66</v>
      </c>
      <c r="L72">
        <v>2.5</v>
      </c>
      <c r="M72">
        <v>6</v>
      </c>
      <c r="N72">
        <v>11.0625</v>
      </c>
      <c r="P72">
        <v>1.5</v>
      </c>
      <c r="Q72" t="s">
        <v>20</v>
      </c>
      <c r="R72" t="s">
        <v>23</v>
      </c>
      <c r="S72">
        <v>9</v>
      </c>
    </row>
    <row r="73" spans="1:19" x14ac:dyDescent="0.25">
      <c r="A73">
        <v>4</v>
      </c>
      <c r="B73" t="s">
        <v>763</v>
      </c>
      <c r="C73" t="s">
        <v>766</v>
      </c>
      <c r="D73" t="s">
        <v>139</v>
      </c>
      <c r="E73">
        <v>4.125</v>
      </c>
      <c r="F73">
        <v>5.38</v>
      </c>
      <c r="G73">
        <v>10.558999999999999</v>
      </c>
      <c r="I73" t="s">
        <v>762</v>
      </c>
      <c r="J73">
        <v>1.25</v>
      </c>
      <c r="K73">
        <v>1.66</v>
      </c>
      <c r="L73">
        <v>3</v>
      </c>
      <c r="M73">
        <v>8</v>
      </c>
      <c r="N73">
        <f>13.8125</f>
        <v>13.8125</v>
      </c>
      <c r="P73">
        <v>1.5</v>
      </c>
      <c r="Q73" t="s">
        <v>20</v>
      </c>
      <c r="R73" t="s">
        <v>24</v>
      </c>
      <c r="S73">
        <v>12</v>
      </c>
    </row>
    <row r="74" spans="1:19" x14ac:dyDescent="0.25">
      <c r="A74">
        <v>5</v>
      </c>
      <c r="B74" t="s">
        <v>763</v>
      </c>
      <c r="C74" t="s">
        <v>766</v>
      </c>
      <c r="D74" t="s">
        <v>139</v>
      </c>
      <c r="E74">
        <v>5.125</v>
      </c>
      <c r="F74">
        <v>7.61</v>
      </c>
      <c r="G74">
        <v>15.696999999999999</v>
      </c>
      <c r="I74" t="s">
        <v>763</v>
      </c>
      <c r="J74">
        <v>1.5</v>
      </c>
      <c r="K74">
        <v>1.625</v>
      </c>
      <c r="L74">
        <v>0.5</v>
      </c>
      <c r="M74">
        <v>2.5</v>
      </c>
      <c r="N74">
        <f>6.1875</f>
        <v>6.1875</v>
      </c>
      <c r="P74">
        <v>1.5</v>
      </c>
      <c r="Q74" t="s">
        <v>137</v>
      </c>
      <c r="R74" t="s">
        <v>23</v>
      </c>
      <c r="S74">
        <v>8</v>
      </c>
    </row>
    <row r="75" spans="1:19" x14ac:dyDescent="0.25">
      <c r="A75">
        <v>6</v>
      </c>
      <c r="B75" t="s">
        <v>763</v>
      </c>
      <c r="C75" t="s">
        <v>766</v>
      </c>
      <c r="D75" t="s">
        <v>139</v>
      </c>
      <c r="E75">
        <v>6.125</v>
      </c>
      <c r="F75">
        <v>10.199999999999999</v>
      </c>
      <c r="G75">
        <v>21.806000000000001</v>
      </c>
      <c r="I75" t="s">
        <v>763</v>
      </c>
      <c r="J75">
        <v>1.5</v>
      </c>
      <c r="K75">
        <v>1.625</v>
      </c>
      <c r="L75">
        <v>0.75</v>
      </c>
      <c r="M75">
        <v>3</v>
      </c>
      <c r="N75">
        <v>6.75</v>
      </c>
      <c r="P75">
        <v>1.5</v>
      </c>
      <c r="Q75" t="s">
        <v>137</v>
      </c>
      <c r="R75" t="s">
        <v>24</v>
      </c>
      <c r="S75">
        <v>10</v>
      </c>
    </row>
    <row r="76" spans="1:19" x14ac:dyDescent="0.25">
      <c r="A76">
        <v>8</v>
      </c>
      <c r="B76" t="s">
        <v>763</v>
      </c>
      <c r="C76" t="s">
        <v>766</v>
      </c>
      <c r="D76" t="s">
        <v>139</v>
      </c>
      <c r="E76">
        <v>8.125</v>
      </c>
      <c r="F76">
        <v>19.3</v>
      </c>
      <c r="G76">
        <v>39.58</v>
      </c>
      <c r="I76" t="s">
        <v>763</v>
      </c>
      <c r="J76">
        <v>1.5</v>
      </c>
      <c r="K76">
        <v>1.625</v>
      </c>
      <c r="L76">
        <v>1</v>
      </c>
      <c r="M76">
        <v>3.5</v>
      </c>
      <c r="N76">
        <v>7.25</v>
      </c>
      <c r="P76">
        <v>1.5</v>
      </c>
      <c r="Q76" t="s">
        <v>139</v>
      </c>
      <c r="R76" t="s">
        <v>23</v>
      </c>
      <c r="S76">
        <v>8</v>
      </c>
    </row>
    <row r="77" spans="1:19" x14ac:dyDescent="0.25">
      <c r="A77">
        <v>10</v>
      </c>
      <c r="B77" t="s">
        <v>763</v>
      </c>
      <c r="C77" t="s">
        <v>766</v>
      </c>
      <c r="D77" t="s">
        <v>139</v>
      </c>
      <c r="E77">
        <v>10.125</v>
      </c>
      <c r="F77">
        <v>30.1</v>
      </c>
      <c r="G77">
        <v>61.612000000000002</v>
      </c>
      <c r="I77" t="s">
        <v>763</v>
      </c>
      <c r="J77">
        <v>1.5</v>
      </c>
      <c r="K77">
        <v>1.625</v>
      </c>
      <c r="L77">
        <v>1.5</v>
      </c>
      <c r="M77">
        <v>5</v>
      </c>
      <c r="N77">
        <v>10</v>
      </c>
      <c r="P77">
        <v>1.5</v>
      </c>
      <c r="Q77" t="s">
        <v>139</v>
      </c>
      <c r="R77" t="s">
        <v>24</v>
      </c>
      <c r="S77">
        <v>10</v>
      </c>
    </row>
    <row r="78" spans="1:19" x14ac:dyDescent="0.25">
      <c r="A78">
        <v>12</v>
      </c>
      <c r="B78" t="s">
        <v>763</v>
      </c>
      <c r="C78" t="s">
        <v>766</v>
      </c>
      <c r="D78" t="s">
        <v>139</v>
      </c>
      <c r="E78">
        <v>12.125</v>
      </c>
      <c r="F78">
        <v>40.4</v>
      </c>
      <c r="G78">
        <v>85.89</v>
      </c>
      <c r="I78" t="s">
        <v>765</v>
      </c>
      <c r="J78">
        <v>1.5</v>
      </c>
      <c r="K78">
        <v>1.9</v>
      </c>
      <c r="L78">
        <v>0.5</v>
      </c>
      <c r="M78">
        <v>2.5</v>
      </c>
      <c r="N78">
        <f>6.1875</f>
        <v>6.1875</v>
      </c>
      <c r="P78">
        <v>1.5</v>
      </c>
      <c r="Q78" t="s">
        <v>140</v>
      </c>
      <c r="R78" t="s">
        <v>23</v>
      </c>
      <c r="S78">
        <v>4</v>
      </c>
    </row>
    <row r="79" spans="1:19" x14ac:dyDescent="0.25">
      <c r="A79">
        <v>0.125</v>
      </c>
      <c r="B79" t="s">
        <v>765</v>
      </c>
      <c r="C79">
        <v>40</v>
      </c>
      <c r="D79" t="s">
        <v>140</v>
      </c>
      <c r="E79">
        <v>0.40500000000000003</v>
      </c>
      <c r="F79">
        <v>4.2999999999999997E-2</v>
      </c>
      <c r="G79">
        <v>6.8000000000000005E-2</v>
      </c>
      <c r="I79" t="s">
        <v>765</v>
      </c>
      <c r="J79">
        <v>1.5</v>
      </c>
      <c r="K79">
        <v>1.9</v>
      </c>
      <c r="L79">
        <v>0.75</v>
      </c>
      <c r="M79">
        <v>3</v>
      </c>
      <c r="N79">
        <v>6.75</v>
      </c>
      <c r="P79">
        <v>1.5</v>
      </c>
      <c r="Q79" t="s">
        <v>140</v>
      </c>
      <c r="R79" t="s">
        <v>24</v>
      </c>
      <c r="S79">
        <v>4</v>
      </c>
    </row>
    <row r="80" spans="1:19" x14ac:dyDescent="0.25">
      <c r="A80">
        <v>0.25</v>
      </c>
      <c r="B80" t="s">
        <v>765</v>
      </c>
      <c r="C80">
        <v>40</v>
      </c>
      <c r="D80" t="s">
        <v>140</v>
      </c>
      <c r="E80">
        <v>0.54</v>
      </c>
      <c r="F80">
        <v>7.3999999999999996E-2</v>
      </c>
      <c r="G80">
        <v>0.11899999999999999</v>
      </c>
      <c r="I80" t="s">
        <v>765</v>
      </c>
      <c r="J80">
        <v>1.5</v>
      </c>
      <c r="K80">
        <v>1.9</v>
      </c>
      <c r="L80">
        <v>1</v>
      </c>
      <c r="M80">
        <v>3.5</v>
      </c>
      <c r="N80">
        <v>7.25</v>
      </c>
      <c r="P80">
        <v>1.5</v>
      </c>
      <c r="Q80" t="s">
        <v>141</v>
      </c>
      <c r="R80" t="s">
        <v>23</v>
      </c>
      <c r="S80">
        <v>4</v>
      </c>
    </row>
    <row r="81" spans="1:19" x14ac:dyDescent="0.25">
      <c r="A81">
        <v>0.375</v>
      </c>
      <c r="B81" t="s">
        <v>765</v>
      </c>
      <c r="C81">
        <v>40</v>
      </c>
      <c r="D81" t="s">
        <v>140</v>
      </c>
      <c r="E81">
        <v>0.67500000000000004</v>
      </c>
      <c r="F81">
        <v>0.1</v>
      </c>
      <c r="G81">
        <v>0.183</v>
      </c>
      <c r="I81" t="s">
        <v>765</v>
      </c>
      <c r="J81">
        <v>1.5</v>
      </c>
      <c r="K81">
        <v>1.9</v>
      </c>
      <c r="L81">
        <v>1.5</v>
      </c>
      <c r="M81">
        <v>5</v>
      </c>
      <c r="N81">
        <v>10</v>
      </c>
      <c r="P81">
        <v>1.5</v>
      </c>
      <c r="Q81" t="s">
        <v>141</v>
      </c>
      <c r="R81" t="s">
        <v>24</v>
      </c>
      <c r="S81">
        <v>4</v>
      </c>
    </row>
    <row r="82" spans="1:19" x14ac:dyDescent="0.25">
      <c r="A82">
        <v>0.5</v>
      </c>
      <c r="B82" t="s">
        <v>765</v>
      </c>
      <c r="C82">
        <v>40</v>
      </c>
      <c r="D82" t="s">
        <v>140</v>
      </c>
      <c r="E82">
        <v>0.84</v>
      </c>
      <c r="F82">
        <v>0.15</v>
      </c>
      <c r="G82">
        <v>0.28199999999999997</v>
      </c>
      <c r="I82" t="s">
        <v>765</v>
      </c>
      <c r="J82">
        <v>1.5</v>
      </c>
      <c r="K82">
        <v>1.9</v>
      </c>
      <c r="L82">
        <v>2</v>
      </c>
      <c r="M82">
        <v>6</v>
      </c>
      <c r="N82">
        <v>11.0625</v>
      </c>
      <c r="P82">
        <v>2</v>
      </c>
      <c r="Q82" t="s">
        <v>132</v>
      </c>
      <c r="R82" t="s">
        <v>23</v>
      </c>
      <c r="S82">
        <v>10</v>
      </c>
    </row>
    <row r="83" spans="1:19" x14ac:dyDescent="0.25">
      <c r="A83">
        <v>0.75</v>
      </c>
      <c r="B83" t="s">
        <v>765</v>
      </c>
      <c r="C83">
        <v>40</v>
      </c>
      <c r="D83" t="s">
        <v>140</v>
      </c>
      <c r="E83">
        <v>1.05</v>
      </c>
      <c r="F83">
        <v>0.19900000000000001</v>
      </c>
      <c r="G83">
        <v>0.42899999999999999</v>
      </c>
      <c r="I83" t="s">
        <v>765</v>
      </c>
      <c r="J83">
        <v>1.5</v>
      </c>
      <c r="K83">
        <v>1.9</v>
      </c>
      <c r="L83">
        <v>2.5</v>
      </c>
      <c r="M83">
        <v>8</v>
      </c>
      <c r="N83">
        <f>13.8125</f>
        <v>13.8125</v>
      </c>
      <c r="P83">
        <v>2</v>
      </c>
      <c r="Q83" t="s">
        <v>132</v>
      </c>
      <c r="R83" t="s">
        <v>24</v>
      </c>
      <c r="S83">
        <v>13</v>
      </c>
    </row>
    <row r="84" spans="1:19" x14ac:dyDescent="0.25">
      <c r="A84">
        <v>1</v>
      </c>
      <c r="B84" t="s">
        <v>765</v>
      </c>
      <c r="C84">
        <v>40</v>
      </c>
      <c r="D84" t="s">
        <v>140</v>
      </c>
      <c r="E84">
        <v>1.3149999999999999</v>
      </c>
      <c r="F84">
        <v>0.29499999999999998</v>
      </c>
      <c r="G84">
        <v>0.66900000000000004</v>
      </c>
      <c r="I84" t="s">
        <v>765</v>
      </c>
      <c r="J84">
        <v>1.5</v>
      </c>
      <c r="K84">
        <v>1.9</v>
      </c>
      <c r="L84">
        <v>3</v>
      </c>
      <c r="M84">
        <v>8</v>
      </c>
      <c r="N84">
        <f>13.8125</f>
        <v>13.8125</v>
      </c>
      <c r="P84">
        <v>2</v>
      </c>
      <c r="Q84" t="s">
        <v>20</v>
      </c>
      <c r="R84" t="s">
        <v>23</v>
      </c>
      <c r="S84">
        <v>10</v>
      </c>
    </row>
    <row r="85" spans="1:19" x14ac:dyDescent="0.25">
      <c r="A85">
        <v>1.25</v>
      </c>
      <c r="B85" t="s">
        <v>765</v>
      </c>
      <c r="C85">
        <v>40</v>
      </c>
      <c r="D85" t="s">
        <v>140</v>
      </c>
      <c r="E85">
        <v>1.66</v>
      </c>
      <c r="F85">
        <v>0.4</v>
      </c>
      <c r="G85">
        <v>1.0469999999999999</v>
      </c>
      <c r="I85" t="s">
        <v>762</v>
      </c>
      <c r="J85">
        <v>1.5</v>
      </c>
      <c r="K85">
        <v>1.9</v>
      </c>
      <c r="L85">
        <v>0.5</v>
      </c>
      <c r="M85">
        <v>2.5</v>
      </c>
      <c r="N85">
        <f>6.1875</f>
        <v>6.1875</v>
      </c>
      <c r="P85">
        <v>2</v>
      </c>
      <c r="Q85" t="s">
        <v>20</v>
      </c>
      <c r="R85" t="s">
        <v>24</v>
      </c>
      <c r="S85">
        <v>13</v>
      </c>
    </row>
    <row r="86" spans="1:19" x14ac:dyDescent="0.25">
      <c r="A86">
        <v>1.5</v>
      </c>
      <c r="B86" t="s">
        <v>765</v>
      </c>
      <c r="C86">
        <v>40</v>
      </c>
      <c r="D86" t="s">
        <v>140</v>
      </c>
      <c r="E86">
        <v>1.9</v>
      </c>
      <c r="F86">
        <v>0.47799999999999998</v>
      </c>
      <c r="G86">
        <v>1.36</v>
      </c>
      <c r="I86" t="s">
        <v>762</v>
      </c>
      <c r="J86">
        <v>1.5</v>
      </c>
      <c r="K86">
        <v>1.9</v>
      </c>
      <c r="L86">
        <v>0.75</v>
      </c>
      <c r="M86">
        <v>3</v>
      </c>
      <c r="N86">
        <v>6.75</v>
      </c>
      <c r="P86">
        <v>2</v>
      </c>
      <c r="Q86" t="s">
        <v>137</v>
      </c>
      <c r="R86" t="s">
        <v>23</v>
      </c>
      <c r="S86">
        <v>8</v>
      </c>
    </row>
    <row r="87" spans="1:19" x14ac:dyDescent="0.25">
      <c r="A87">
        <v>2</v>
      </c>
      <c r="B87" t="s">
        <v>765</v>
      </c>
      <c r="C87">
        <v>40</v>
      </c>
      <c r="D87" t="s">
        <v>140</v>
      </c>
      <c r="E87">
        <v>2.375</v>
      </c>
      <c r="F87">
        <v>0.64300000000000002</v>
      </c>
      <c r="G87">
        <v>2.0950000000000002</v>
      </c>
      <c r="I87" t="s">
        <v>762</v>
      </c>
      <c r="J87">
        <v>1.5</v>
      </c>
      <c r="K87">
        <v>1.9</v>
      </c>
      <c r="L87">
        <v>1</v>
      </c>
      <c r="M87">
        <v>3.5</v>
      </c>
      <c r="N87">
        <v>7.25</v>
      </c>
      <c r="P87">
        <v>2</v>
      </c>
      <c r="Q87" t="s">
        <v>137</v>
      </c>
      <c r="R87" t="s">
        <v>24</v>
      </c>
      <c r="S87">
        <v>11</v>
      </c>
    </row>
    <row r="88" spans="1:19" x14ac:dyDescent="0.25">
      <c r="A88">
        <v>2.5</v>
      </c>
      <c r="B88" t="s">
        <v>765</v>
      </c>
      <c r="C88">
        <v>40</v>
      </c>
      <c r="D88" t="s">
        <v>140</v>
      </c>
      <c r="E88">
        <v>2.875</v>
      </c>
      <c r="F88">
        <v>1.02</v>
      </c>
      <c r="G88">
        <v>3.0920000000000001</v>
      </c>
      <c r="I88" t="s">
        <v>762</v>
      </c>
      <c r="J88">
        <v>1.5</v>
      </c>
      <c r="K88">
        <v>1.9</v>
      </c>
      <c r="L88">
        <v>1.5</v>
      </c>
      <c r="M88">
        <v>5</v>
      </c>
      <c r="N88">
        <v>10</v>
      </c>
      <c r="P88">
        <v>2</v>
      </c>
      <c r="Q88" t="s">
        <v>139</v>
      </c>
      <c r="R88" t="s">
        <v>23</v>
      </c>
      <c r="S88">
        <v>8</v>
      </c>
    </row>
    <row r="89" spans="1:19" x14ac:dyDescent="0.25">
      <c r="A89">
        <v>3</v>
      </c>
      <c r="B89" t="s">
        <v>765</v>
      </c>
      <c r="C89">
        <v>40</v>
      </c>
      <c r="D89" t="s">
        <v>140</v>
      </c>
      <c r="E89">
        <v>3.5</v>
      </c>
      <c r="F89">
        <v>1.333</v>
      </c>
      <c r="G89">
        <v>4.5330000000000004</v>
      </c>
      <c r="I89" t="s">
        <v>762</v>
      </c>
      <c r="J89">
        <v>1.5</v>
      </c>
      <c r="K89">
        <v>1.9</v>
      </c>
      <c r="L89">
        <v>2</v>
      </c>
      <c r="M89">
        <v>6</v>
      </c>
      <c r="N89">
        <v>11.0625</v>
      </c>
      <c r="P89">
        <v>2</v>
      </c>
      <c r="Q89" t="s">
        <v>139</v>
      </c>
      <c r="R89" t="s">
        <v>24</v>
      </c>
      <c r="S89">
        <v>11</v>
      </c>
    </row>
    <row r="90" spans="1:19" x14ac:dyDescent="0.25">
      <c r="A90">
        <v>3.5</v>
      </c>
      <c r="B90" t="s">
        <v>765</v>
      </c>
      <c r="C90">
        <v>40</v>
      </c>
      <c r="D90" t="s">
        <v>140</v>
      </c>
      <c r="E90">
        <v>4</v>
      </c>
      <c r="F90">
        <v>1.5980000000000001</v>
      </c>
      <c r="G90">
        <v>5.8780000000000001</v>
      </c>
      <c r="I90" t="s">
        <v>762</v>
      </c>
      <c r="J90">
        <v>1.5</v>
      </c>
      <c r="K90">
        <v>1.9</v>
      </c>
      <c r="L90">
        <v>2.5</v>
      </c>
      <c r="M90">
        <v>8</v>
      </c>
      <c r="N90">
        <f>13.8125</f>
        <v>13.8125</v>
      </c>
      <c r="P90">
        <v>2</v>
      </c>
      <c r="Q90" t="s">
        <v>140</v>
      </c>
      <c r="R90" t="s">
        <v>23</v>
      </c>
      <c r="S90">
        <v>4</v>
      </c>
    </row>
    <row r="91" spans="1:19" x14ac:dyDescent="0.25">
      <c r="A91">
        <v>4</v>
      </c>
      <c r="B91" t="s">
        <v>765</v>
      </c>
      <c r="C91">
        <v>40</v>
      </c>
      <c r="D91" t="s">
        <v>140</v>
      </c>
      <c r="E91">
        <v>4.5</v>
      </c>
      <c r="F91">
        <v>1.899</v>
      </c>
      <c r="G91">
        <v>7.4089999999999998</v>
      </c>
      <c r="I91" t="s">
        <v>762</v>
      </c>
      <c r="J91">
        <v>1.5</v>
      </c>
      <c r="K91">
        <v>1.9</v>
      </c>
      <c r="L91">
        <v>3</v>
      </c>
      <c r="M91">
        <v>8</v>
      </c>
      <c r="N91">
        <f>13.8125</f>
        <v>13.8125</v>
      </c>
      <c r="P91">
        <v>2</v>
      </c>
      <c r="Q91" t="s">
        <v>140</v>
      </c>
      <c r="R91" t="s">
        <v>24</v>
      </c>
      <c r="S91">
        <v>4</v>
      </c>
    </row>
    <row r="92" spans="1:19" x14ac:dyDescent="0.25">
      <c r="A92">
        <v>5</v>
      </c>
      <c r="B92" t="s">
        <v>765</v>
      </c>
      <c r="C92">
        <v>40</v>
      </c>
      <c r="D92" t="s">
        <v>140</v>
      </c>
      <c r="E92">
        <v>5.5629999999999997</v>
      </c>
      <c r="F92">
        <v>2.77</v>
      </c>
      <c r="G92">
        <v>11.43</v>
      </c>
      <c r="I92" t="s">
        <v>763</v>
      </c>
      <c r="J92">
        <v>2</v>
      </c>
      <c r="K92">
        <v>2.125</v>
      </c>
      <c r="L92">
        <v>0.5</v>
      </c>
      <c r="M92">
        <v>3</v>
      </c>
      <c r="N92">
        <v>6.75</v>
      </c>
      <c r="P92">
        <v>2</v>
      </c>
      <c r="Q92" t="s">
        <v>141</v>
      </c>
      <c r="R92" t="s">
        <v>23</v>
      </c>
      <c r="S92">
        <v>4</v>
      </c>
    </row>
    <row r="93" spans="1:19" x14ac:dyDescent="0.25">
      <c r="A93">
        <v>6</v>
      </c>
      <c r="B93" t="s">
        <v>765</v>
      </c>
      <c r="C93">
        <v>40</v>
      </c>
      <c r="D93" t="s">
        <v>140</v>
      </c>
      <c r="E93">
        <v>6.625</v>
      </c>
      <c r="F93">
        <v>3.339</v>
      </c>
      <c r="G93">
        <v>15.489000000000001</v>
      </c>
      <c r="I93" t="s">
        <v>763</v>
      </c>
      <c r="J93">
        <v>2</v>
      </c>
      <c r="K93">
        <v>2.125</v>
      </c>
      <c r="L93">
        <v>0.75</v>
      </c>
      <c r="M93">
        <v>3.5</v>
      </c>
      <c r="N93">
        <v>7.25</v>
      </c>
      <c r="P93">
        <v>2</v>
      </c>
      <c r="Q93" t="s">
        <v>141</v>
      </c>
      <c r="R93" t="s">
        <v>24</v>
      </c>
      <c r="S93">
        <v>4</v>
      </c>
    </row>
    <row r="94" spans="1:19" x14ac:dyDescent="0.25">
      <c r="A94">
        <v>8</v>
      </c>
      <c r="B94" t="s">
        <v>765</v>
      </c>
      <c r="C94">
        <v>40</v>
      </c>
      <c r="D94" t="s">
        <v>140</v>
      </c>
      <c r="E94">
        <v>8.625</v>
      </c>
      <c r="F94">
        <v>5.28</v>
      </c>
      <c r="G94">
        <v>26.88</v>
      </c>
      <c r="I94" t="s">
        <v>763</v>
      </c>
      <c r="J94">
        <v>2</v>
      </c>
      <c r="K94">
        <v>2.125</v>
      </c>
      <c r="L94">
        <v>1</v>
      </c>
      <c r="M94">
        <v>4</v>
      </c>
      <c r="N94">
        <v>7.25</v>
      </c>
      <c r="P94">
        <v>2.5</v>
      </c>
      <c r="Q94" t="s">
        <v>132</v>
      </c>
      <c r="R94" t="s">
        <v>23</v>
      </c>
      <c r="S94">
        <v>11</v>
      </c>
    </row>
    <row r="95" spans="1:19" x14ac:dyDescent="0.25">
      <c r="A95">
        <v>10</v>
      </c>
      <c r="B95" t="s">
        <v>765</v>
      </c>
      <c r="C95">
        <v>40</v>
      </c>
      <c r="D95" t="s">
        <v>140</v>
      </c>
      <c r="E95">
        <v>10.75</v>
      </c>
      <c r="F95">
        <v>7.5049999999999999</v>
      </c>
      <c r="G95">
        <v>41.604999999999997</v>
      </c>
      <c r="I95" t="s">
        <v>763</v>
      </c>
      <c r="J95">
        <v>2</v>
      </c>
      <c r="K95">
        <v>2.125</v>
      </c>
      <c r="L95">
        <v>1.5</v>
      </c>
      <c r="M95">
        <v>5</v>
      </c>
      <c r="N95">
        <v>10</v>
      </c>
      <c r="P95">
        <v>2.5</v>
      </c>
      <c r="Q95" t="s">
        <v>132</v>
      </c>
      <c r="R95" t="s">
        <v>24</v>
      </c>
      <c r="S95">
        <v>14</v>
      </c>
    </row>
    <row r="96" spans="1:19" x14ac:dyDescent="0.25">
      <c r="A96">
        <v>12</v>
      </c>
      <c r="B96" t="s">
        <v>765</v>
      </c>
      <c r="C96">
        <v>40</v>
      </c>
      <c r="D96" t="s">
        <v>140</v>
      </c>
      <c r="E96">
        <v>12.75</v>
      </c>
      <c r="F96">
        <v>10.023</v>
      </c>
      <c r="G96">
        <v>58.523000000000003</v>
      </c>
      <c r="I96" t="s">
        <v>765</v>
      </c>
      <c r="J96">
        <v>2</v>
      </c>
      <c r="K96">
        <v>2.375</v>
      </c>
      <c r="L96">
        <v>0.5</v>
      </c>
      <c r="M96">
        <v>3</v>
      </c>
      <c r="N96">
        <v>6.75</v>
      </c>
      <c r="P96">
        <v>2.5</v>
      </c>
      <c r="Q96" t="s">
        <v>20</v>
      </c>
      <c r="R96" t="s">
        <v>23</v>
      </c>
      <c r="S96">
        <v>11</v>
      </c>
    </row>
    <row r="97" spans="1:19" x14ac:dyDescent="0.25">
      <c r="A97">
        <v>0.125</v>
      </c>
      <c r="B97" t="s">
        <v>765</v>
      </c>
      <c r="C97">
        <v>80</v>
      </c>
      <c r="D97" t="s">
        <v>141</v>
      </c>
      <c r="E97">
        <v>0.40500000000000003</v>
      </c>
      <c r="F97">
        <v>5.5E-2</v>
      </c>
      <c r="G97">
        <v>7.0999999999999994E-2</v>
      </c>
      <c r="I97" t="s">
        <v>765</v>
      </c>
      <c r="J97">
        <v>2</v>
      </c>
      <c r="K97">
        <v>2.375</v>
      </c>
      <c r="L97">
        <v>0.75</v>
      </c>
      <c r="M97">
        <v>3.5</v>
      </c>
      <c r="N97">
        <v>7.25</v>
      </c>
      <c r="P97">
        <v>2.5</v>
      </c>
      <c r="Q97" t="s">
        <v>20</v>
      </c>
      <c r="R97" t="s">
        <v>24</v>
      </c>
      <c r="S97">
        <v>14</v>
      </c>
    </row>
    <row r="98" spans="1:19" x14ac:dyDescent="0.25">
      <c r="A98">
        <v>0.25</v>
      </c>
      <c r="B98" t="s">
        <v>765</v>
      </c>
      <c r="C98">
        <v>80</v>
      </c>
      <c r="D98" t="s">
        <v>141</v>
      </c>
      <c r="E98">
        <v>0.54</v>
      </c>
      <c r="F98">
        <v>9.4E-2</v>
      </c>
      <c r="G98">
        <v>0.125</v>
      </c>
      <c r="I98" t="s">
        <v>765</v>
      </c>
      <c r="J98">
        <v>2</v>
      </c>
      <c r="K98">
        <v>2.375</v>
      </c>
      <c r="L98">
        <v>1</v>
      </c>
      <c r="M98">
        <v>4</v>
      </c>
      <c r="N98">
        <v>7.25</v>
      </c>
      <c r="P98">
        <v>2.5</v>
      </c>
      <c r="Q98" t="s">
        <v>137</v>
      </c>
      <c r="R98" t="s">
        <v>23</v>
      </c>
      <c r="S98">
        <v>9</v>
      </c>
    </row>
    <row r="99" spans="1:19" x14ac:dyDescent="0.25">
      <c r="A99">
        <v>0.375</v>
      </c>
      <c r="B99" t="s">
        <v>765</v>
      </c>
      <c r="C99">
        <v>80</v>
      </c>
      <c r="D99" t="s">
        <v>141</v>
      </c>
      <c r="E99">
        <v>0.67500000000000004</v>
      </c>
      <c r="F99">
        <v>0.129</v>
      </c>
      <c r="G99">
        <v>0.19</v>
      </c>
      <c r="I99" t="s">
        <v>765</v>
      </c>
      <c r="J99">
        <v>2</v>
      </c>
      <c r="K99">
        <v>2.375</v>
      </c>
      <c r="L99">
        <v>1.5</v>
      </c>
      <c r="M99">
        <v>5</v>
      </c>
      <c r="N99">
        <v>10</v>
      </c>
      <c r="P99">
        <v>2.5</v>
      </c>
      <c r="Q99" t="s">
        <v>137</v>
      </c>
      <c r="R99" t="s">
        <v>24</v>
      </c>
      <c r="S99">
        <v>13</v>
      </c>
    </row>
    <row r="100" spans="1:19" x14ac:dyDescent="0.25">
      <c r="A100">
        <v>0.5</v>
      </c>
      <c r="B100" t="s">
        <v>765</v>
      </c>
      <c r="C100">
        <v>80</v>
      </c>
      <c r="D100" t="s">
        <v>141</v>
      </c>
      <c r="E100">
        <v>0.84</v>
      </c>
      <c r="F100">
        <v>0.15</v>
      </c>
      <c r="G100">
        <v>0.251</v>
      </c>
      <c r="I100" t="s">
        <v>765</v>
      </c>
      <c r="J100">
        <v>2</v>
      </c>
      <c r="K100">
        <v>2.375</v>
      </c>
      <c r="L100">
        <v>2</v>
      </c>
      <c r="M100">
        <v>6</v>
      </c>
      <c r="N100">
        <v>11.0625</v>
      </c>
      <c r="P100">
        <v>2.5</v>
      </c>
      <c r="Q100" t="s">
        <v>139</v>
      </c>
      <c r="R100" t="s">
        <v>23</v>
      </c>
      <c r="S100">
        <v>9</v>
      </c>
    </row>
    <row r="101" spans="1:19" x14ac:dyDescent="0.25">
      <c r="A101">
        <v>0.75</v>
      </c>
      <c r="B101" t="s">
        <v>765</v>
      </c>
      <c r="C101">
        <v>80</v>
      </c>
      <c r="D101" t="s">
        <v>141</v>
      </c>
      <c r="E101">
        <v>1.05</v>
      </c>
      <c r="F101">
        <v>0.29499999999999998</v>
      </c>
      <c r="G101">
        <v>0.48099999999999998</v>
      </c>
      <c r="I101" t="s">
        <v>765</v>
      </c>
      <c r="J101">
        <v>2</v>
      </c>
      <c r="K101">
        <v>2.375</v>
      </c>
      <c r="L101">
        <v>2.5</v>
      </c>
      <c r="M101">
        <v>8</v>
      </c>
      <c r="N101">
        <f>13.8125</f>
        <v>13.8125</v>
      </c>
      <c r="P101">
        <v>2.5</v>
      </c>
      <c r="Q101" t="s">
        <v>139</v>
      </c>
      <c r="R101" t="s">
        <v>24</v>
      </c>
      <c r="S101">
        <v>13</v>
      </c>
    </row>
    <row r="102" spans="1:19" x14ac:dyDescent="0.25">
      <c r="A102">
        <v>1</v>
      </c>
      <c r="B102" t="s">
        <v>765</v>
      </c>
      <c r="C102">
        <v>80</v>
      </c>
      <c r="D102" t="s">
        <v>141</v>
      </c>
      <c r="E102">
        <v>1.3149999999999999</v>
      </c>
      <c r="F102">
        <v>0.38200000000000001</v>
      </c>
      <c r="G102">
        <v>0.69299999999999995</v>
      </c>
      <c r="I102" t="s">
        <v>765</v>
      </c>
      <c r="J102">
        <v>2</v>
      </c>
      <c r="K102">
        <v>2.375</v>
      </c>
      <c r="L102">
        <v>3</v>
      </c>
      <c r="M102">
        <v>8</v>
      </c>
      <c r="N102">
        <f>13.8125</f>
        <v>13.8125</v>
      </c>
      <c r="P102">
        <v>2.5</v>
      </c>
      <c r="Q102" t="s">
        <v>140</v>
      </c>
      <c r="R102" t="s">
        <v>23</v>
      </c>
      <c r="S102">
        <v>4</v>
      </c>
    </row>
    <row r="103" spans="1:19" x14ac:dyDescent="0.25">
      <c r="A103">
        <v>1.25</v>
      </c>
      <c r="B103" t="s">
        <v>765</v>
      </c>
      <c r="C103">
        <v>80</v>
      </c>
      <c r="D103" t="s">
        <v>141</v>
      </c>
      <c r="E103">
        <v>1.66</v>
      </c>
      <c r="F103">
        <v>0.52700000000000002</v>
      </c>
      <c r="G103">
        <v>1.0820000000000001</v>
      </c>
      <c r="I103" t="s">
        <v>765</v>
      </c>
      <c r="J103">
        <v>2</v>
      </c>
      <c r="K103">
        <v>2.375</v>
      </c>
      <c r="L103">
        <v>3.5</v>
      </c>
      <c r="M103">
        <v>10</v>
      </c>
      <c r="N103">
        <f>16.3125</f>
        <v>16.3125</v>
      </c>
      <c r="P103">
        <v>2.5</v>
      </c>
      <c r="Q103" t="s">
        <v>140</v>
      </c>
      <c r="R103" t="s">
        <v>24</v>
      </c>
      <c r="S103">
        <v>4</v>
      </c>
    </row>
    <row r="104" spans="1:19" x14ac:dyDescent="0.25">
      <c r="A104">
        <v>1.5</v>
      </c>
      <c r="B104" t="s">
        <v>765</v>
      </c>
      <c r="C104">
        <v>80</v>
      </c>
      <c r="D104" t="s">
        <v>141</v>
      </c>
      <c r="E104">
        <v>1.9</v>
      </c>
      <c r="F104">
        <v>0.63900000000000001</v>
      </c>
      <c r="G104">
        <v>1.4039999999999999</v>
      </c>
      <c r="I104" t="s">
        <v>762</v>
      </c>
      <c r="J104">
        <v>2</v>
      </c>
      <c r="K104">
        <v>2.375</v>
      </c>
      <c r="L104">
        <v>0.5</v>
      </c>
      <c r="M104">
        <v>3</v>
      </c>
      <c r="N104">
        <v>6.75</v>
      </c>
      <c r="P104">
        <v>2.5</v>
      </c>
      <c r="Q104" t="s">
        <v>141</v>
      </c>
      <c r="R104" t="s">
        <v>23</v>
      </c>
      <c r="S104">
        <v>4</v>
      </c>
    </row>
    <row r="105" spans="1:19" x14ac:dyDescent="0.25">
      <c r="A105">
        <v>2</v>
      </c>
      <c r="B105" t="s">
        <v>765</v>
      </c>
      <c r="C105">
        <v>80</v>
      </c>
      <c r="D105" t="s">
        <v>141</v>
      </c>
      <c r="E105">
        <v>2.375</v>
      </c>
      <c r="F105">
        <v>0.88400000000000001</v>
      </c>
      <c r="G105">
        <v>2.1629999999999998</v>
      </c>
      <c r="I105" t="s">
        <v>762</v>
      </c>
      <c r="J105">
        <v>2</v>
      </c>
      <c r="K105">
        <v>2.375</v>
      </c>
      <c r="L105">
        <v>0.75</v>
      </c>
      <c r="M105">
        <v>3.5</v>
      </c>
      <c r="N105">
        <v>7.25</v>
      </c>
      <c r="P105">
        <v>2.5</v>
      </c>
      <c r="Q105" t="s">
        <v>141</v>
      </c>
      <c r="R105" t="s">
        <v>24</v>
      </c>
      <c r="S105">
        <v>4</v>
      </c>
    </row>
    <row r="106" spans="1:19" x14ac:dyDescent="0.25">
      <c r="A106">
        <v>2.5</v>
      </c>
      <c r="B106" t="s">
        <v>765</v>
      </c>
      <c r="C106">
        <v>80</v>
      </c>
      <c r="D106" t="s">
        <v>141</v>
      </c>
      <c r="E106">
        <v>2.875</v>
      </c>
      <c r="F106">
        <v>1.35</v>
      </c>
      <c r="G106">
        <v>3.1840000000000002</v>
      </c>
      <c r="I106" t="s">
        <v>762</v>
      </c>
      <c r="J106">
        <v>2</v>
      </c>
      <c r="K106">
        <v>2.375</v>
      </c>
      <c r="L106">
        <v>1</v>
      </c>
      <c r="M106">
        <v>4</v>
      </c>
      <c r="N106">
        <v>7.25</v>
      </c>
      <c r="P106">
        <v>3</v>
      </c>
      <c r="Q106" t="s">
        <v>132</v>
      </c>
      <c r="R106" t="s">
        <v>23</v>
      </c>
      <c r="S106">
        <v>12</v>
      </c>
    </row>
    <row r="107" spans="1:19" x14ac:dyDescent="0.25">
      <c r="A107">
        <v>3</v>
      </c>
      <c r="B107" t="s">
        <v>765</v>
      </c>
      <c r="C107">
        <v>80</v>
      </c>
      <c r="D107" t="s">
        <v>141</v>
      </c>
      <c r="E107">
        <v>3.5</v>
      </c>
      <c r="F107">
        <v>1.804</v>
      </c>
      <c r="G107">
        <v>4.6639999999999997</v>
      </c>
      <c r="I107" t="s">
        <v>762</v>
      </c>
      <c r="J107">
        <v>2</v>
      </c>
      <c r="K107">
        <v>2.375</v>
      </c>
      <c r="L107">
        <v>1.5</v>
      </c>
      <c r="M107">
        <v>5</v>
      </c>
      <c r="N107">
        <v>10</v>
      </c>
      <c r="P107">
        <v>3</v>
      </c>
      <c r="Q107" t="s">
        <v>132</v>
      </c>
      <c r="R107" t="s">
        <v>24</v>
      </c>
      <c r="S107">
        <v>15</v>
      </c>
    </row>
    <row r="108" spans="1:19" x14ac:dyDescent="0.25">
      <c r="A108">
        <v>3.5</v>
      </c>
      <c r="B108" t="s">
        <v>765</v>
      </c>
      <c r="C108">
        <v>80</v>
      </c>
      <c r="D108" t="s">
        <v>141</v>
      </c>
      <c r="E108">
        <v>4</v>
      </c>
      <c r="F108">
        <v>2.1949999999999998</v>
      </c>
      <c r="G108">
        <v>6.0449999999999999</v>
      </c>
      <c r="I108" t="s">
        <v>762</v>
      </c>
      <c r="J108">
        <v>2</v>
      </c>
      <c r="K108">
        <v>2.375</v>
      </c>
      <c r="L108">
        <v>2</v>
      </c>
      <c r="M108">
        <v>6</v>
      </c>
      <c r="N108">
        <v>11.0625</v>
      </c>
      <c r="P108">
        <v>3</v>
      </c>
      <c r="Q108" t="s">
        <v>20</v>
      </c>
      <c r="R108" t="s">
        <v>23</v>
      </c>
      <c r="S108">
        <v>12</v>
      </c>
    </row>
    <row r="109" spans="1:19" x14ac:dyDescent="0.25">
      <c r="A109">
        <v>4</v>
      </c>
      <c r="B109" t="s">
        <v>765</v>
      </c>
      <c r="C109">
        <v>80</v>
      </c>
      <c r="D109" t="s">
        <v>141</v>
      </c>
      <c r="E109">
        <v>4.5</v>
      </c>
      <c r="F109">
        <v>2.6360000000000001</v>
      </c>
      <c r="G109">
        <v>7.6159999999999997</v>
      </c>
      <c r="I109" t="s">
        <v>762</v>
      </c>
      <c r="J109">
        <v>2</v>
      </c>
      <c r="K109">
        <v>2.375</v>
      </c>
      <c r="L109">
        <v>2.5</v>
      </c>
      <c r="M109">
        <v>8</v>
      </c>
      <c r="N109">
        <f>13.8125</f>
        <v>13.8125</v>
      </c>
      <c r="P109">
        <v>3</v>
      </c>
      <c r="Q109" t="s">
        <v>20</v>
      </c>
      <c r="R109" t="s">
        <v>24</v>
      </c>
      <c r="S109">
        <v>15</v>
      </c>
    </row>
    <row r="110" spans="1:19" x14ac:dyDescent="0.25">
      <c r="A110">
        <v>5</v>
      </c>
      <c r="B110" t="s">
        <v>765</v>
      </c>
      <c r="C110">
        <v>80</v>
      </c>
      <c r="D110" t="s">
        <v>141</v>
      </c>
      <c r="E110">
        <v>5.5629999999999997</v>
      </c>
      <c r="F110">
        <v>4.1260000000000003</v>
      </c>
      <c r="G110">
        <v>11.996</v>
      </c>
      <c r="I110" t="s">
        <v>762</v>
      </c>
      <c r="J110">
        <v>2</v>
      </c>
      <c r="K110">
        <v>2.375</v>
      </c>
      <c r="L110">
        <v>3</v>
      </c>
      <c r="M110">
        <v>8</v>
      </c>
      <c r="N110">
        <f>13.8125</f>
        <v>13.8125</v>
      </c>
      <c r="P110">
        <v>3</v>
      </c>
      <c r="Q110" t="s">
        <v>137</v>
      </c>
      <c r="R110" t="s">
        <v>23</v>
      </c>
      <c r="S110">
        <v>10</v>
      </c>
    </row>
    <row r="111" spans="1:19" x14ac:dyDescent="0.25">
      <c r="A111">
        <v>6</v>
      </c>
      <c r="B111" t="s">
        <v>765</v>
      </c>
      <c r="C111">
        <v>80</v>
      </c>
      <c r="D111" t="s">
        <v>141</v>
      </c>
      <c r="E111">
        <v>6.625</v>
      </c>
      <c r="F111">
        <v>5.0279999999999996</v>
      </c>
      <c r="G111">
        <v>16.318000000000001</v>
      </c>
      <c r="I111" t="s">
        <v>762</v>
      </c>
      <c r="J111">
        <v>2</v>
      </c>
      <c r="K111">
        <v>2.375</v>
      </c>
      <c r="L111">
        <v>3.5</v>
      </c>
      <c r="M111">
        <v>10</v>
      </c>
      <c r="N111">
        <f>16.3125</f>
        <v>16.3125</v>
      </c>
      <c r="P111">
        <v>3</v>
      </c>
      <c r="Q111" t="s">
        <v>137</v>
      </c>
      <c r="R111" t="s">
        <v>24</v>
      </c>
      <c r="S111">
        <v>14</v>
      </c>
    </row>
    <row r="112" spans="1:19" x14ac:dyDescent="0.25">
      <c r="A112">
        <v>8</v>
      </c>
      <c r="B112" t="s">
        <v>765</v>
      </c>
      <c r="C112">
        <v>80</v>
      </c>
      <c r="D112" t="s">
        <v>141</v>
      </c>
      <c r="E112">
        <v>8.625</v>
      </c>
      <c r="F112">
        <v>8.0229999999999997</v>
      </c>
      <c r="G112">
        <v>27.823</v>
      </c>
      <c r="I112" t="s">
        <v>763</v>
      </c>
      <c r="J112">
        <v>2.5</v>
      </c>
      <c r="K112">
        <v>2.625</v>
      </c>
      <c r="L112">
        <v>0.5</v>
      </c>
      <c r="M112">
        <v>3.5</v>
      </c>
      <c r="N112">
        <v>7.25</v>
      </c>
      <c r="P112">
        <v>3</v>
      </c>
      <c r="Q112" t="s">
        <v>139</v>
      </c>
      <c r="R112" t="s">
        <v>23</v>
      </c>
      <c r="S112">
        <v>10</v>
      </c>
    </row>
    <row r="113" spans="1:19" x14ac:dyDescent="0.25">
      <c r="A113">
        <v>10</v>
      </c>
      <c r="B113" t="s">
        <v>765</v>
      </c>
      <c r="C113">
        <v>80</v>
      </c>
      <c r="D113" t="s">
        <v>141</v>
      </c>
      <c r="E113">
        <v>10.75</v>
      </c>
      <c r="F113">
        <v>11.894</v>
      </c>
      <c r="G113">
        <v>42.994</v>
      </c>
      <c r="I113" t="s">
        <v>763</v>
      </c>
      <c r="J113">
        <v>2.5</v>
      </c>
      <c r="K113">
        <v>2.625</v>
      </c>
      <c r="L113">
        <v>0.75</v>
      </c>
      <c r="M113">
        <v>4</v>
      </c>
      <c r="N113">
        <v>7.25</v>
      </c>
      <c r="P113">
        <v>3</v>
      </c>
      <c r="Q113" t="s">
        <v>139</v>
      </c>
      <c r="R113" t="s">
        <v>24</v>
      </c>
      <c r="S113">
        <v>14</v>
      </c>
    </row>
    <row r="114" spans="1:19" x14ac:dyDescent="0.25">
      <c r="A114">
        <v>12</v>
      </c>
      <c r="B114" t="s">
        <v>765</v>
      </c>
      <c r="C114">
        <v>80</v>
      </c>
      <c r="D114" t="s">
        <v>141</v>
      </c>
      <c r="E114">
        <v>12.75</v>
      </c>
      <c r="F114">
        <v>16.364999999999998</v>
      </c>
      <c r="G114">
        <v>60.365000000000002</v>
      </c>
      <c r="I114" t="s">
        <v>763</v>
      </c>
      <c r="J114">
        <v>2.5</v>
      </c>
      <c r="K114">
        <v>2.625</v>
      </c>
      <c r="L114">
        <v>1</v>
      </c>
      <c r="M114">
        <v>4</v>
      </c>
      <c r="N114">
        <v>7.25</v>
      </c>
      <c r="P114">
        <v>3</v>
      </c>
      <c r="Q114" t="s">
        <v>140</v>
      </c>
      <c r="R114" t="s">
        <v>23</v>
      </c>
      <c r="S114">
        <v>4</v>
      </c>
    </row>
    <row r="115" spans="1:19" x14ac:dyDescent="0.25">
      <c r="I115" t="s">
        <v>763</v>
      </c>
      <c r="J115">
        <v>2.5</v>
      </c>
      <c r="K115">
        <v>2.625</v>
      </c>
      <c r="L115">
        <v>1.5</v>
      </c>
      <c r="M115">
        <v>5</v>
      </c>
      <c r="N115">
        <v>10</v>
      </c>
      <c r="P115">
        <v>3</v>
      </c>
      <c r="Q115" t="s">
        <v>140</v>
      </c>
      <c r="R115" t="s">
        <v>24</v>
      </c>
      <c r="S115">
        <v>4</v>
      </c>
    </row>
    <row r="116" spans="1:19" x14ac:dyDescent="0.25">
      <c r="B116" t="s">
        <v>767</v>
      </c>
      <c r="C116" t="s">
        <v>169</v>
      </c>
      <c r="F116" t="s">
        <v>767</v>
      </c>
      <c r="G116" t="s">
        <v>169</v>
      </c>
      <c r="I116" t="s">
        <v>765</v>
      </c>
      <c r="J116">
        <v>2.5</v>
      </c>
      <c r="K116">
        <v>2.875</v>
      </c>
      <c r="L116">
        <v>0.5</v>
      </c>
      <c r="M116">
        <v>3.5</v>
      </c>
      <c r="N116">
        <v>7.25</v>
      </c>
      <c r="P116">
        <v>3</v>
      </c>
      <c r="Q116" t="s">
        <v>141</v>
      </c>
      <c r="R116" t="s">
        <v>23</v>
      </c>
      <c r="S116">
        <v>4</v>
      </c>
    </row>
    <row r="117" spans="1:19" x14ac:dyDescent="0.25">
      <c r="A117" t="s">
        <v>768</v>
      </c>
      <c r="B117" t="str">
        <f>Calculations!B9</f>
        <v>Copper - type K</v>
      </c>
      <c r="C117">
        <f>Calculations!B11</f>
        <v>12</v>
      </c>
      <c r="E117" t="s">
        <v>769</v>
      </c>
      <c r="F117" t="str">
        <f>Calculations!B21</f>
        <v>None</v>
      </c>
      <c r="G117">
        <f>Calculations!B23</f>
        <v>0</v>
      </c>
      <c r="I117" t="s">
        <v>765</v>
      </c>
      <c r="J117">
        <v>2.5</v>
      </c>
      <c r="K117">
        <v>2.875</v>
      </c>
      <c r="L117">
        <v>0.75</v>
      </c>
      <c r="M117">
        <v>4</v>
      </c>
      <c r="N117">
        <v>7.25</v>
      </c>
      <c r="P117">
        <v>3</v>
      </c>
      <c r="Q117" t="s">
        <v>141</v>
      </c>
      <c r="R117" t="s">
        <v>24</v>
      </c>
      <c r="S117">
        <v>4</v>
      </c>
    </row>
    <row r="118" spans="1:19" x14ac:dyDescent="0.25">
      <c r="A118" t="s">
        <v>770</v>
      </c>
      <c r="B118" t="s">
        <v>771</v>
      </c>
      <c r="E118" t="s">
        <v>770</v>
      </c>
      <c r="F118" t="s">
        <v>771</v>
      </c>
      <c r="I118" t="s">
        <v>765</v>
      </c>
      <c r="J118">
        <v>2.5</v>
      </c>
      <c r="K118">
        <v>2.875</v>
      </c>
      <c r="L118">
        <v>1</v>
      </c>
      <c r="M118">
        <v>5</v>
      </c>
      <c r="N118">
        <v>10</v>
      </c>
      <c r="P118">
        <v>3.5</v>
      </c>
      <c r="Q118" t="s">
        <v>132</v>
      </c>
      <c r="R118" t="s">
        <v>23</v>
      </c>
      <c r="S118">
        <v>13</v>
      </c>
    </row>
    <row r="119" spans="1:19" x14ac:dyDescent="0.25">
      <c r="A119" cm="1">
        <f t="array" ref="A119:B119">_xlfn._xlws.FILTER(Pipe_weight[[Empty weight (lb/ft)]:[Water filled weight (lb/ft)]],(Pipe_weight[Input name]=B117)*(Pipe_weight[Pipe size]=C117),"no results")</f>
        <v>57.8</v>
      </c>
      <c r="B119">
        <v>101.355</v>
      </c>
      <c r="E119" t="str" cm="1">
        <f t="array" ref="E119">_xlfn._xlws.FILTER(Pipe_weight[[Empty weight (lb/ft)]:[Water filled weight (lb/ft)]],(Pipe_weight[Input name]=F117)*(Pipe_weight[Pipe size]=G117),"no results")</f>
        <v>no results</v>
      </c>
      <c r="I119" t="s">
        <v>765</v>
      </c>
      <c r="J119">
        <v>2.5</v>
      </c>
      <c r="K119">
        <v>2.875</v>
      </c>
      <c r="L119">
        <v>1.5</v>
      </c>
      <c r="M119">
        <v>6</v>
      </c>
      <c r="N119">
        <v>11.0625</v>
      </c>
      <c r="P119">
        <v>3.5</v>
      </c>
      <c r="Q119" t="s">
        <v>132</v>
      </c>
      <c r="R119" t="s">
        <v>24</v>
      </c>
      <c r="S119">
        <v>16</v>
      </c>
    </row>
    <row r="120" spans="1:19" x14ac:dyDescent="0.25">
      <c r="A120" t="s">
        <v>104</v>
      </c>
      <c r="B120" t="s">
        <v>104</v>
      </c>
      <c r="E120" t="s">
        <v>104</v>
      </c>
      <c r="F120" t="s">
        <v>104</v>
      </c>
      <c r="I120" t="s">
        <v>765</v>
      </c>
      <c r="J120">
        <v>2.5</v>
      </c>
      <c r="K120">
        <v>2.875</v>
      </c>
      <c r="L120">
        <v>2</v>
      </c>
      <c r="M120">
        <v>8</v>
      </c>
      <c r="N120">
        <f>13.8125</f>
        <v>13.8125</v>
      </c>
      <c r="P120">
        <v>3.5</v>
      </c>
      <c r="Q120" t="s">
        <v>20</v>
      </c>
      <c r="R120" t="s">
        <v>23</v>
      </c>
      <c r="S120">
        <v>13</v>
      </c>
    </row>
    <row r="121" spans="1:19" x14ac:dyDescent="0.25">
      <c r="I121" t="s">
        <v>765</v>
      </c>
      <c r="J121">
        <v>2.5</v>
      </c>
      <c r="K121">
        <v>2.875</v>
      </c>
      <c r="L121">
        <v>2.5</v>
      </c>
      <c r="M121">
        <v>8</v>
      </c>
      <c r="N121">
        <f>13.8125</f>
        <v>13.8125</v>
      </c>
      <c r="P121">
        <v>3.5</v>
      </c>
      <c r="Q121" t="s">
        <v>20</v>
      </c>
      <c r="R121" t="s">
        <v>24</v>
      </c>
      <c r="S121">
        <v>16</v>
      </c>
    </row>
    <row r="122" spans="1:19" x14ac:dyDescent="0.25">
      <c r="I122" t="s">
        <v>765</v>
      </c>
      <c r="J122">
        <v>2.5</v>
      </c>
      <c r="K122">
        <v>2.875</v>
      </c>
      <c r="L122">
        <v>3</v>
      </c>
      <c r="M122">
        <v>10</v>
      </c>
      <c r="N122">
        <f>16.3125</f>
        <v>16.3125</v>
      </c>
      <c r="P122">
        <v>3.5</v>
      </c>
      <c r="Q122" t="s">
        <v>137</v>
      </c>
      <c r="R122" t="s">
        <v>23</v>
      </c>
      <c r="S122">
        <v>11</v>
      </c>
    </row>
    <row r="123" spans="1:19" x14ac:dyDescent="0.25">
      <c r="I123" t="s">
        <v>765</v>
      </c>
      <c r="J123">
        <v>2.5</v>
      </c>
      <c r="K123">
        <v>2.875</v>
      </c>
      <c r="L123">
        <v>3.5</v>
      </c>
      <c r="M123">
        <v>10</v>
      </c>
      <c r="N123">
        <f>16.3125</f>
        <v>16.3125</v>
      </c>
      <c r="P123">
        <v>3.5</v>
      </c>
      <c r="Q123" t="s">
        <v>137</v>
      </c>
      <c r="R123" t="s">
        <v>24</v>
      </c>
      <c r="S123">
        <v>15</v>
      </c>
    </row>
    <row r="124" spans="1:19" x14ac:dyDescent="0.25">
      <c r="I124" t="s">
        <v>762</v>
      </c>
      <c r="J124">
        <v>2.5</v>
      </c>
      <c r="K124">
        <v>2.875</v>
      </c>
      <c r="L124">
        <v>0.5</v>
      </c>
      <c r="M124">
        <v>3.5</v>
      </c>
      <c r="N124">
        <v>7.25</v>
      </c>
      <c r="P124">
        <v>3.5</v>
      </c>
      <c r="Q124" t="s">
        <v>139</v>
      </c>
      <c r="R124" t="s">
        <v>23</v>
      </c>
      <c r="S124">
        <v>11</v>
      </c>
    </row>
    <row r="125" spans="1:19" x14ac:dyDescent="0.25">
      <c r="I125" t="s">
        <v>762</v>
      </c>
      <c r="J125">
        <v>2.5</v>
      </c>
      <c r="K125">
        <v>2.875</v>
      </c>
      <c r="L125">
        <v>0.75</v>
      </c>
      <c r="M125">
        <v>4</v>
      </c>
      <c r="N125">
        <v>7.25</v>
      </c>
      <c r="P125">
        <v>3.5</v>
      </c>
      <c r="Q125" t="s">
        <v>139</v>
      </c>
      <c r="R125" t="s">
        <v>24</v>
      </c>
      <c r="S125">
        <v>15</v>
      </c>
    </row>
    <row r="126" spans="1:19" x14ac:dyDescent="0.25">
      <c r="I126" t="s">
        <v>762</v>
      </c>
      <c r="J126">
        <v>2.5</v>
      </c>
      <c r="K126">
        <v>2.875</v>
      </c>
      <c r="L126">
        <v>1</v>
      </c>
      <c r="M126">
        <v>5</v>
      </c>
      <c r="N126">
        <v>10</v>
      </c>
      <c r="P126">
        <v>3.5</v>
      </c>
      <c r="Q126" t="s">
        <v>140</v>
      </c>
      <c r="R126" t="s">
        <v>23</v>
      </c>
      <c r="S126">
        <v>4</v>
      </c>
    </row>
    <row r="127" spans="1:19" x14ac:dyDescent="0.25">
      <c r="I127" t="s">
        <v>762</v>
      </c>
      <c r="J127">
        <v>2.5</v>
      </c>
      <c r="K127">
        <v>2.875</v>
      </c>
      <c r="L127">
        <v>1.5</v>
      </c>
      <c r="M127">
        <v>6</v>
      </c>
      <c r="N127">
        <v>11.0625</v>
      </c>
      <c r="P127">
        <v>3.5</v>
      </c>
      <c r="Q127" t="s">
        <v>140</v>
      </c>
      <c r="R127" t="s">
        <v>24</v>
      </c>
      <c r="S127">
        <v>4</v>
      </c>
    </row>
    <row r="128" spans="1:19" x14ac:dyDescent="0.25">
      <c r="I128" t="s">
        <v>762</v>
      </c>
      <c r="J128">
        <v>2.5</v>
      </c>
      <c r="K128">
        <v>2.875</v>
      </c>
      <c r="L128">
        <v>2</v>
      </c>
      <c r="M128">
        <v>8</v>
      </c>
      <c r="N128">
        <f>13.8125</f>
        <v>13.8125</v>
      </c>
      <c r="P128">
        <v>3.5</v>
      </c>
      <c r="Q128" t="s">
        <v>141</v>
      </c>
      <c r="R128" t="s">
        <v>23</v>
      </c>
      <c r="S128">
        <v>4</v>
      </c>
    </row>
    <row r="129" spans="9:19" x14ac:dyDescent="0.25">
      <c r="I129" t="s">
        <v>762</v>
      </c>
      <c r="J129">
        <v>2.5</v>
      </c>
      <c r="K129">
        <v>2.875</v>
      </c>
      <c r="L129">
        <v>2.5</v>
      </c>
      <c r="M129">
        <v>8</v>
      </c>
      <c r="N129">
        <f>13.8125</f>
        <v>13.8125</v>
      </c>
      <c r="P129">
        <v>3.5</v>
      </c>
      <c r="Q129" t="s">
        <v>141</v>
      </c>
      <c r="R129" t="s">
        <v>24</v>
      </c>
      <c r="S129">
        <v>4</v>
      </c>
    </row>
    <row r="130" spans="9:19" x14ac:dyDescent="0.25">
      <c r="I130" t="s">
        <v>762</v>
      </c>
      <c r="J130">
        <v>2.5</v>
      </c>
      <c r="K130">
        <v>2.875</v>
      </c>
      <c r="L130">
        <v>3</v>
      </c>
      <c r="M130">
        <v>10</v>
      </c>
      <c r="N130">
        <f>16.3125</f>
        <v>16.3125</v>
      </c>
      <c r="P130">
        <v>4</v>
      </c>
      <c r="Q130" t="s">
        <v>132</v>
      </c>
      <c r="R130" t="s">
        <v>23</v>
      </c>
      <c r="S130">
        <v>14</v>
      </c>
    </row>
    <row r="131" spans="9:19" x14ac:dyDescent="0.25">
      <c r="I131" t="s">
        <v>762</v>
      </c>
      <c r="J131">
        <v>2.5</v>
      </c>
      <c r="K131">
        <v>2.875</v>
      </c>
      <c r="L131">
        <v>3.5</v>
      </c>
      <c r="M131">
        <v>10</v>
      </c>
      <c r="N131">
        <f>16.3125</f>
        <v>16.3125</v>
      </c>
      <c r="P131">
        <v>4</v>
      </c>
      <c r="Q131" t="s">
        <v>132</v>
      </c>
      <c r="R131" t="s">
        <v>24</v>
      </c>
      <c r="S131">
        <v>17</v>
      </c>
    </row>
    <row r="132" spans="9:19" x14ac:dyDescent="0.25">
      <c r="I132" t="s">
        <v>763</v>
      </c>
      <c r="J132">
        <v>3</v>
      </c>
      <c r="K132">
        <v>3.125</v>
      </c>
      <c r="L132">
        <v>0.5</v>
      </c>
      <c r="M132">
        <v>4</v>
      </c>
      <c r="N132">
        <v>7.25</v>
      </c>
      <c r="P132">
        <v>4</v>
      </c>
      <c r="Q132" t="s">
        <v>20</v>
      </c>
      <c r="R132" t="s">
        <v>23</v>
      </c>
      <c r="S132">
        <v>14</v>
      </c>
    </row>
    <row r="133" spans="9:19" x14ac:dyDescent="0.25">
      <c r="I133" t="s">
        <v>763</v>
      </c>
      <c r="J133">
        <v>3</v>
      </c>
      <c r="K133">
        <v>3.125</v>
      </c>
      <c r="L133">
        <v>0.75</v>
      </c>
      <c r="M133">
        <v>5</v>
      </c>
      <c r="N133">
        <v>10</v>
      </c>
      <c r="P133">
        <v>4</v>
      </c>
      <c r="Q133" t="s">
        <v>20</v>
      </c>
      <c r="R133" t="s">
        <v>24</v>
      </c>
      <c r="S133">
        <v>17</v>
      </c>
    </row>
    <row r="134" spans="9:19" x14ac:dyDescent="0.25">
      <c r="I134" t="s">
        <v>763</v>
      </c>
      <c r="J134">
        <v>3</v>
      </c>
      <c r="K134">
        <v>3.125</v>
      </c>
      <c r="L134">
        <v>1</v>
      </c>
      <c r="M134">
        <v>5</v>
      </c>
      <c r="N134">
        <v>10</v>
      </c>
      <c r="P134">
        <v>4</v>
      </c>
      <c r="Q134" t="s">
        <v>137</v>
      </c>
      <c r="R134" t="s">
        <v>23</v>
      </c>
      <c r="S134">
        <v>12</v>
      </c>
    </row>
    <row r="135" spans="9:19" x14ac:dyDescent="0.25">
      <c r="I135" t="s">
        <v>763</v>
      </c>
      <c r="J135">
        <v>3</v>
      </c>
      <c r="K135">
        <v>3.125</v>
      </c>
      <c r="L135">
        <v>1.5</v>
      </c>
      <c r="M135">
        <v>6</v>
      </c>
      <c r="N135">
        <v>11.0625</v>
      </c>
      <c r="P135">
        <v>4</v>
      </c>
      <c r="Q135" t="s">
        <v>137</v>
      </c>
      <c r="R135" t="s">
        <v>24</v>
      </c>
      <c r="S135">
        <v>16</v>
      </c>
    </row>
    <row r="136" spans="9:19" x14ac:dyDescent="0.25">
      <c r="I136" t="s">
        <v>765</v>
      </c>
      <c r="J136">
        <v>3</v>
      </c>
      <c r="K136">
        <v>3.5</v>
      </c>
      <c r="L136">
        <v>0.5</v>
      </c>
      <c r="M136">
        <v>4</v>
      </c>
      <c r="N136">
        <v>7.25</v>
      </c>
      <c r="P136">
        <v>4</v>
      </c>
      <c r="Q136" t="s">
        <v>139</v>
      </c>
      <c r="R136" t="s">
        <v>23</v>
      </c>
      <c r="S136">
        <v>12</v>
      </c>
    </row>
    <row r="137" spans="9:19" x14ac:dyDescent="0.25">
      <c r="I137" t="s">
        <v>765</v>
      </c>
      <c r="J137">
        <v>3</v>
      </c>
      <c r="K137">
        <v>3.5</v>
      </c>
      <c r="L137">
        <v>0.75</v>
      </c>
      <c r="M137">
        <v>5</v>
      </c>
      <c r="N137">
        <v>10</v>
      </c>
      <c r="P137">
        <v>4</v>
      </c>
      <c r="Q137" t="s">
        <v>139</v>
      </c>
      <c r="R137" t="s">
        <v>24</v>
      </c>
      <c r="S137">
        <v>16</v>
      </c>
    </row>
    <row r="138" spans="9:19" x14ac:dyDescent="0.25">
      <c r="I138" t="s">
        <v>765</v>
      </c>
      <c r="J138">
        <v>3</v>
      </c>
      <c r="K138">
        <v>3.5</v>
      </c>
      <c r="L138">
        <v>1</v>
      </c>
      <c r="M138">
        <v>5</v>
      </c>
      <c r="N138">
        <v>10</v>
      </c>
      <c r="P138">
        <v>4</v>
      </c>
      <c r="Q138" t="s">
        <v>140</v>
      </c>
      <c r="R138" t="s">
        <v>23</v>
      </c>
      <c r="S138">
        <v>4</v>
      </c>
    </row>
    <row r="139" spans="9:19" x14ac:dyDescent="0.25">
      <c r="I139" t="s">
        <v>765</v>
      </c>
      <c r="J139">
        <v>3</v>
      </c>
      <c r="K139">
        <v>3.5</v>
      </c>
      <c r="L139">
        <v>1.5</v>
      </c>
      <c r="M139">
        <v>8</v>
      </c>
      <c r="N139">
        <f>13.8125</f>
        <v>13.8125</v>
      </c>
      <c r="P139">
        <v>4</v>
      </c>
      <c r="Q139" t="s">
        <v>140</v>
      </c>
      <c r="R139" t="s">
        <v>24</v>
      </c>
      <c r="S139">
        <v>4</v>
      </c>
    </row>
    <row r="140" spans="9:19" x14ac:dyDescent="0.25">
      <c r="I140" t="s">
        <v>765</v>
      </c>
      <c r="J140">
        <v>3</v>
      </c>
      <c r="K140">
        <v>3.5</v>
      </c>
      <c r="L140">
        <v>2</v>
      </c>
      <c r="M140">
        <v>8</v>
      </c>
      <c r="N140">
        <f>13.8125</f>
        <v>13.8125</v>
      </c>
      <c r="P140">
        <v>4</v>
      </c>
      <c r="Q140" t="s">
        <v>141</v>
      </c>
      <c r="R140" t="s">
        <v>23</v>
      </c>
      <c r="S140">
        <v>4</v>
      </c>
    </row>
    <row r="141" spans="9:19" x14ac:dyDescent="0.25">
      <c r="I141" t="s">
        <v>765</v>
      </c>
      <c r="J141">
        <v>3</v>
      </c>
      <c r="K141">
        <v>3.5</v>
      </c>
      <c r="L141">
        <v>2.5</v>
      </c>
      <c r="M141">
        <v>10</v>
      </c>
      <c r="N141">
        <f>16.3125</f>
        <v>16.3125</v>
      </c>
      <c r="P141">
        <v>4</v>
      </c>
      <c r="Q141" t="s">
        <v>141</v>
      </c>
      <c r="R141" t="s">
        <v>24</v>
      </c>
      <c r="S141">
        <v>4</v>
      </c>
    </row>
    <row r="142" spans="9:19" x14ac:dyDescent="0.25">
      <c r="I142" t="s">
        <v>765</v>
      </c>
      <c r="J142">
        <v>3</v>
      </c>
      <c r="K142">
        <v>3.5</v>
      </c>
      <c r="L142">
        <v>3</v>
      </c>
      <c r="M142">
        <v>10</v>
      </c>
      <c r="N142">
        <f>16.3125</f>
        <v>16.3125</v>
      </c>
      <c r="P142">
        <v>5</v>
      </c>
      <c r="Q142" t="s">
        <v>132</v>
      </c>
      <c r="R142" t="s">
        <v>23</v>
      </c>
      <c r="S142">
        <v>16</v>
      </c>
    </row>
    <row r="143" spans="9:19" x14ac:dyDescent="0.25">
      <c r="I143" t="s">
        <v>765</v>
      </c>
      <c r="J143">
        <v>3</v>
      </c>
      <c r="K143">
        <v>3.5</v>
      </c>
      <c r="L143">
        <v>3.5</v>
      </c>
      <c r="M143">
        <v>10</v>
      </c>
      <c r="N143">
        <f>16.3125</f>
        <v>16.3125</v>
      </c>
      <c r="P143">
        <v>5</v>
      </c>
      <c r="Q143" t="s">
        <v>132</v>
      </c>
      <c r="R143" t="s">
        <v>24</v>
      </c>
      <c r="S143">
        <v>19</v>
      </c>
    </row>
    <row r="144" spans="9:19" x14ac:dyDescent="0.25">
      <c r="I144" t="s">
        <v>765</v>
      </c>
      <c r="J144">
        <v>3</v>
      </c>
      <c r="K144">
        <v>3.5</v>
      </c>
      <c r="L144">
        <v>4</v>
      </c>
      <c r="M144">
        <v>12</v>
      </c>
      <c r="N144">
        <v>19.625</v>
      </c>
      <c r="P144">
        <v>5</v>
      </c>
      <c r="Q144" t="s">
        <v>20</v>
      </c>
      <c r="R144" t="s">
        <v>23</v>
      </c>
      <c r="S144">
        <v>16</v>
      </c>
    </row>
    <row r="145" spans="9:19" x14ac:dyDescent="0.25">
      <c r="I145" t="s">
        <v>762</v>
      </c>
      <c r="J145">
        <v>3</v>
      </c>
      <c r="K145">
        <v>3.5</v>
      </c>
      <c r="L145">
        <v>0.5</v>
      </c>
      <c r="M145">
        <v>4</v>
      </c>
      <c r="N145">
        <v>7.25</v>
      </c>
      <c r="P145">
        <v>5</v>
      </c>
      <c r="Q145" t="s">
        <v>20</v>
      </c>
      <c r="R145" t="s">
        <v>24</v>
      </c>
      <c r="S145">
        <v>19</v>
      </c>
    </row>
    <row r="146" spans="9:19" x14ac:dyDescent="0.25">
      <c r="I146" t="s">
        <v>762</v>
      </c>
      <c r="J146">
        <v>3</v>
      </c>
      <c r="K146">
        <v>3.5</v>
      </c>
      <c r="L146">
        <v>0.75</v>
      </c>
      <c r="M146">
        <v>5</v>
      </c>
      <c r="N146">
        <v>10</v>
      </c>
      <c r="P146">
        <v>5</v>
      </c>
      <c r="Q146" t="s">
        <v>137</v>
      </c>
      <c r="R146" t="s">
        <v>23</v>
      </c>
      <c r="S146">
        <v>13</v>
      </c>
    </row>
    <row r="147" spans="9:19" x14ac:dyDescent="0.25">
      <c r="I147" t="s">
        <v>762</v>
      </c>
      <c r="J147">
        <v>3</v>
      </c>
      <c r="K147">
        <v>3.5</v>
      </c>
      <c r="L147">
        <v>1</v>
      </c>
      <c r="M147">
        <v>5</v>
      </c>
      <c r="N147">
        <v>10</v>
      </c>
      <c r="P147">
        <v>5</v>
      </c>
      <c r="Q147" t="s">
        <v>137</v>
      </c>
      <c r="R147" t="s">
        <v>24</v>
      </c>
      <c r="S147">
        <v>18</v>
      </c>
    </row>
    <row r="148" spans="9:19" x14ac:dyDescent="0.25">
      <c r="I148" t="s">
        <v>762</v>
      </c>
      <c r="J148">
        <v>3</v>
      </c>
      <c r="K148">
        <v>3.5</v>
      </c>
      <c r="L148">
        <v>1.5</v>
      </c>
      <c r="M148">
        <v>8</v>
      </c>
      <c r="N148">
        <f>13.8125</f>
        <v>13.8125</v>
      </c>
      <c r="P148">
        <v>5</v>
      </c>
      <c r="Q148" t="s">
        <v>139</v>
      </c>
      <c r="R148" t="s">
        <v>23</v>
      </c>
      <c r="S148">
        <v>13</v>
      </c>
    </row>
    <row r="149" spans="9:19" x14ac:dyDescent="0.25">
      <c r="I149" t="s">
        <v>762</v>
      </c>
      <c r="J149">
        <v>3</v>
      </c>
      <c r="K149">
        <v>3.5</v>
      </c>
      <c r="L149">
        <v>2</v>
      </c>
      <c r="M149">
        <v>8</v>
      </c>
      <c r="N149">
        <f>13.8125</f>
        <v>13.8125</v>
      </c>
      <c r="P149">
        <v>5</v>
      </c>
      <c r="Q149" t="s">
        <v>139</v>
      </c>
      <c r="R149" t="s">
        <v>24</v>
      </c>
      <c r="S149">
        <v>18</v>
      </c>
    </row>
    <row r="150" spans="9:19" x14ac:dyDescent="0.25">
      <c r="I150" t="s">
        <v>762</v>
      </c>
      <c r="J150">
        <v>3</v>
      </c>
      <c r="K150">
        <v>3.5</v>
      </c>
      <c r="L150">
        <v>2.5</v>
      </c>
      <c r="M150">
        <v>10</v>
      </c>
      <c r="N150">
        <f>16.3125</f>
        <v>16.3125</v>
      </c>
      <c r="P150">
        <v>5</v>
      </c>
      <c r="Q150" t="s">
        <v>140</v>
      </c>
      <c r="R150" t="s">
        <v>23</v>
      </c>
      <c r="S150">
        <v>4</v>
      </c>
    </row>
    <row r="151" spans="9:19" x14ac:dyDescent="0.25">
      <c r="I151" t="s">
        <v>762</v>
      </c>
      <c r="J151">
        <v>3</v>
      </c>
      <c r="K151">
        <v>3.5</v>
      </c>
      <c r="L151">
        <v>3</v>
      </c>
      <c r="M151">
        <v>10</v>
      </c>
      <c r="N151">
        <f>16.3125</f>
        <v>16.3125</v>
      </c>
      <c r="P151">
        <v>5</v>
      </c>
      <c r="Q151" t="s">
        <v>140</v>
      </c>
      <c r="R151" t="s">
        <v>24</v>
      </c>
      <c r="S151">
        <v>4</v>
      </c>
    </row>
    <row r="152" spans="9:19" x14ac:dyDescent="0.25">
      <c r="I152" t="s">
        <v>762</v>
      </c>
      <c r="J152">
        <v>3</v>
      </c>
      <c r="K152">
        <v>3.5</v>
      </c>
      <c r="L152">
        <v>3.5</v>
      </c>
      <c r="M152">
        <v>10</v>
      </c>
      <c r="N152">
        <f>16.3125</f>
        <v>16.3125</v>
      </c>
      <c r="P152">
        <v>5</v>
      </c>
      <c r="Q152" t="s">
        <v>141</v>
      </c>
      <c r="R152" t="s">
        <v>23</v>
      </c>
      <c r="S152">
        <v>4</v>
      </c>
    </row>
    <row r="153" spans="9:19" x14ac:dyDescent="0.25">
      <c r="I153" t="s">
        <v>762</v>
      </c>
      <c r="J153">
        <v>3</v>
      </c>
      <c r="K153">
        <v>3.5</v>
      </c>
      <c r="L153">
        <v>4</v>
      </c>
      <c r="M153">
        <v>12</v>
      </c>
      <c r="N153">
        <v>19.625</v>
      </c>
      <c r="P153">
        <v>5</v>
      </c>
      <c r="Q153" t="s">
        <v>141</v>
      </c>
      <c r="R153" t="s">
        <v>24</v>
      </c>
      <c r="S153">
        <v>4</v>
      </c>
    </row>
    <row r="154" spans="9:19" x14ac:dyDescent="0.25">
      <c r="I154" t="s">
        <v>763</v>
      </c>
      <c r="J154">
        <v>3.5</v>
      </c>
      <c r="K154">
        <v>3.625</v>
      </c>
      <c r="L154">
        <v>0.5</v>
      </c>
      <c r="M154">
        <v>5</v>
      </c>
      <c r="N154">
        <v>10</v>
      </c>
      <c r="P154">
        <v>6</v>
      </c>
      <c r="Q154" t="s">
        <v>132</v>
      </c>
      <c r="R154" t="s">
        <v>23</v>
      </c>
      <c r="S154">
        <v>17</v>
      </c>
    </row>
    <row r="155" spans="9:19" x14ac:dyDescent="0.25">
      <c r="I155" t="s">
        <v>763</v>
      </c>
      <c r="J155">
        <v>3.5</v>
      </c>
      <c r="K155">
        <v>3.625</v>
      </c>
      <c r="L155">
        <v>0.75</v>
      </c>
      <c r="M155">
        <v>5</v>
      </c>
      <c r="N155">
        <v>10</v>
      </c>
      <c r="P155">
        <v>6</v>
      </c>
      <c r="Q155" t="s">
        <v>132</v>
      </c>
      <c r="R155" t="s">
        <v>24</v>
      </c>
      <c r="S155">
        <v>21</v>
      </c>
    </row>
    <row r="156" spans="9:19" x14ac:dyDescent="0.25">
      <c r="I156" t="s">
        <v>763</v>
      </c>
      <c r="J156">
        <v>3.5</v>
      </c>
      <c r="K156">
        <v>3.625</v>
      </c>
      <c r="L156">
        <v>1</v>
      </c>
      <c r="M156">
        <v>6</v>
      </c>
      <c r="N156">
        <v>11.0625</v>
      </c>
      <c r="P156">
        <v>6</v>
      </c>
      <c r="Q156" t="s">
        <v>20</v>
      </c>
      <c r="R156" t="s">
        <v>23</v>
      </c>
      <c r="S156">
        <v>17</v>
      </c>
    </row>
    <row r="157" spans="9:19" x14ac:dyDescent="0.25">
      <c r="I157" t="s">
        <v>763</v>
      </c>
      <c r="J157">
        <v>3.5</v>
      </c>
      <c r="K157">
        <v>3.625</v>
      </c>
      <c r="L157">
        <v>1.5</v>
      </c>
      <c r="M157">
        <v>6</v>
      </c>
      <c r="N157">
        <v>11.0625</v>
      </c>
      <c r="P157">
        <v>6</v>
      </c>
      <c r="Q157" t="s">
        <v>20</v>
      </c>
      <c r="R157" t="s">
        <v>24</v>
      </c>
      <c r="S157">
        <v>21</v>
      </c>
    </row>
    <row r="158" spans="9:19" x14ac:dyDescent="0.25">
      <c r="I158" t="s">
        <v>765</v>
      </c>
      <c r="J158">
        <v>3.5</v>
      </c>
      <c r="K158">
        <v>4</v>
      </c>
      <c r="L158">
        <v>0.5</v>
      </c>
      <c r="M158">
        <v>5</v>
      </c>
      <c r="N158">
        <v>10</v>
      </c>
      <c r="P158">
        <v>6</v>
      </c>
      <c r="Q158" t="s">
        <v>137</v>
      </c>
      <c r="R158" t="s">
        <v>23</v>
      </c>
      <c r="S158">
        <v>14</v>
      </c>
    </row>
    <row r="159" spans="9:19" x14ac:dyDescent="0.25">
      <c r="I159" t="s">
        <v>765</v>
      </c>
      <c r="J159">
        <v>3.5</v>
      </c>
      <c r="K159">
        <v>4</v>
      </c>
      <c r="L159">
        <v>0.75</v>
      </c>
      <c r="M159">
        <v>5</v>
      </c>
      <c r="N159">
        <v>10</v>
      </c>
      <c r="P159">
        <v>6</v>
      </c>
      <c r="Q159" t="s">
        <v>137</v>
      </c>
      <c r="R159" t="s">
        <v>24</v>
      </c>
      <c r="S159">
        <v>20</v>
      </c>
    </row>
    <row r="160" spans="9:19" x14ac:dyDescent="0.25">
      <c r="I160" t="s">
        <v>765</v>
      </c>
      <c r="J160">
        <v>3.5</v>
      </c>
      <c r="K160">
        <v>4</v>
      </c>
      <c r="L160">
        <v>1</v>
      </c>
      <c r="M160">
        <v>6</v>
      </c>
      <c r="N160">
        <v>11.0625</v>
      </c>
      <c r="P160">
        <v>6</v>
      </c>
      <c r="Q160" t="s">
        <v>139</v>
      </c>
      <c r="R160" t="s">
        <v>23</v>
      </c>
      <c r="S160">
        <v>14</v>
      </c>
    </row>
    <row r="161" spans="9:19" x14ac:dyDescent="0.25">
      <c r="I161" t="s">
        <v>765</v>
      </c>
      <c r="J161">
        <v>3.5</v>
      </c>
      <c r="K161">
        <v>4</v>
      </c>
      <c r="L161">
        <v>1.5</v>
      </c>
      <c r="M161">
        <v>8</v>
      </c>
      <c r="N161">
        <f>13.8125</f>
        <v>13.8125</v>
      </c>
      <c r="P161">
        <v>6</v>
      </c>
      <c r="Q161" t="s">
        <v>139</v>
      </c>
      <c r="R161" t="s">
        <v>24</v>
      </c>
      <c r="S161">
        <v>20</v>
      </c>
    </row>
    <row r="162" spans="9:19" x14ac:dyDescent="0.25">
      <c r="I162" t="s">
        <v>765</v>
      </c>
      <c r="J162">
        <v>3.5</v>
      </c>
      <c r="K162">
        <v>4</v>
      </c>
      <c r="L162">
        <v>2</v>
      </c>
      <c r="M162">
        <v>8</v>
      </c>
      <c r="N162">
        <f>13.8125</f>
        <v>13.8125</v>
      </c>
      <c r="P162">
        <v>6</v>
      </c>
      <c r="Q162" t="s">
        <v>140</v>
      </c>
      <c r="R162" t="s">
        <v>23</v>
      </c>
      <c r="S162">
        <v>4</v>
      </c>
    </row>
    <row r="163" spans="9:19" x14ac:dyDescent="0.25">
      <c r="I163" t="s">
        <v>765</v>
      </c>
      <c r="J163">
        <v>3.5</v>
      </c>
      <c r="K163">
        <v>4</v>
      </c>
      <c r="L163">
        <v>2.5</v>
      </c>
      <c r="M163">
        <v>10</v>
      </c>
      <c r="N163">
        <f>16.3125</f>
        <v>16.3125</v>
      </c>
      <c r="P163">
        <v>6</v>
      </c>
      <c r="Q163" t="s">
        <v>140</v>
      </c>
      <c r="R163" t="s">
        <v>24</v>
      </c>
      <c r="S163">
        <v>4</v>
      </c>
    </row>
    <row r="164" spans="9:19" x14ac:dyDescent="0.25">
      <c r="I164" t="s">
        <v>765</v>
      </c>
      <c r="J164">
        <v>3.5</v>
      </c>
      <c r="K164">
        <v>4</v>
      </c>
      <c r="L164">
        <v>3</v>
      </c>
      <c r="M164">
        <v>10</v>
      </c>
      <c r="N164">
        <f>16.3125</f>
        <v>16.3125</v>
      </c>
      <c r="P164">
        <v>6</v>
      </c>
      <c r="Q164" t="s">
        <v>141</v>
      </c>
      <c r="R164" t="s">
        <v>23</v>
      </c>
      <c r="S164">
        <v>4</v>
      </c>
    </row>
    <row r="165" spans="9:19" x14ac:dyDescent="0.25">
      <c r="I165" t="s">
        <v>765</v>
      </c>
      <c r="J165">
        <v>3.5</v>
      </c>
      <c r="K165">
        <v>4</v>
      </c>
      <c r="L165">
        <v>3.5</v>
      </c>
      <c r="M165">
        <v>12</v>
      </c>
      <c r="N165">
        <v>19.625</v>
      </c>
      <c r="P165">
        <v>6</v>
      </c>
      <c r="Q165" t="s">
        <v>141</v>
      </c>
      <c r="R165" t="s">
        <v>24</v>
      </c>
      <c r="S165">
        <v>4</v>
      </c>
    </row>
    <row r="166" spans="9:19" x14ac:dyDescent="0.25">
      <c r="I166" t="s">
        <v>765</v>
      </c>
      <c r="J166">
        <v>3.5</v>
      </c>
      <c r="K166">
        <v>4</v>
      </c>
      <c r="L166">
        <v>4</v>
      </c>
      <c r="M166">
        <v>12</v>
      </c>
      <c r="N166">
        <v>19.625</v>
      </c>
      <c r="P166">
        <v>8</v>
      </c>
      <c r="Q166" t="s">
        <v>132</v>
      </c>
      <c r="R166" t="s">
        <v>23</v>
      </c>
      <c r="S166">
        <v>19</v>
      </c>
    </row>
    <row r="167" spans="9:19" x14ac:dyDescent="0.25">
      <c r="I167" t="s">
        <v>762</v>
      </c>
      <c r="J167">
        <v>3.5</v>
      </c>
      <c r="K167">
        <v>4</v>
      </c>
      <c r="L167">
        <v>0.5</v>
      </c>
      <c r="M167">
        <v>5</v>
      </c>
      <c r="N167">
        <v>10</v>
      </c>
      <c r="P167">
        <v>8</v>
      </c>
      <c r="Q167" t="s">
        <v>132</v>
      </c>
      <c r="R167" t="s">
        <v>24</v>
      </c>
      <c r="S167">
        <v>24</v>
      </c>
    </row>
    <row r="168" spans="9:19" x14ac:dyDescent="0.25">
      <c r="I168" t="s">
        <v>762</v>
      </c>
      <c r="J168">
        <v>3.5</v>
      </c>
      <c r="K168">
        <v>4</v>
      </c>
      <c r="L168">
        <v>0.75</v>
      </c>
      <c r="M168">
        <v>5</v>
      </c>
      <c r="N168">
        <v>10</v>
      </c>
      <c r="P168">
        <v>8</v>
      </c>
      <c r="Q168" t="s">
        <v>20</v>
      </c>
      <c r="R168" t="s">
        <v>23</v>
      </c>
      <c r="S168">
        <v>19</v>
      </c>
    </row>
    <row r="169" spans="9:19" x14ac:dyDescent="0.25">
      <c r="I169" t="s">
        <v>762</v>
      </c>
      <c r="J169">
        <v>3.5</v>
      </c>
      <c r="K169">
        <v>4</v>
      </c>
      <c r="L169">
        <v>1</v>
      </c>
      <c r="M169">
        <v>6</v>
      </c>
      <c r="N169">
        <v>11.0625</v>
      </c>
      <c r="P169">
        <v>8</v>
      </c>
      <c r="Q169" t="s">
        <v>20</v>
      </c>
      <c r="R169" t="s">
        <v>24</v>
      </c>
      <c r="S169">
        <v>24</v>
      </c>
    </row>
    <row r="170" spans="9:19" x14ac:dyDescent="0.25">
      <c r="I170" t="s">
        <v>762</v>
      </c>
      <c r="J170">
        <v>3.5</v>
      </c>
      <c r="K170">
        <v>4</v>
      </c>
      <c r="L170">
        <v>1.5</v>
      </c>
      <c r="M170">
        <v>8</v>
      </c>
      <c r="N170">
        <f>13.8125</f>
        <v>13.8125</v>
      </c>
      <c r="P170">
        <v>8</v>
      </c>
      <c r="Q170" t="s">
        <v>137</v>
      </c>
      <c r="R170" t="s">
        <v>23</v>
      </c>
      <c r="S170">
        <v>16</v>
      </c>
    </row>
    <row r="171" spans="9:19" x14ac:dyDescent="0.25">
      <c r="I171" t="s">
        <v>762</v>
      </c>
      <c r="J171">
        <v>3.5</v>
      </c>
      <c r="K171">
        <v>4</v>
      </c>
      <c r="L171">
        <v>2</v>
      </c>
      <c r="M171">
        <v>8</v>
      </c>
      <c r="N171">
        <f>13.8125</f>
        <v>13.8125</v>
      </c>
      <c r="P171">
        <v>8</v>
      </c>
      <c r="Q171" t="s">
        <v>137</v>
      </c>
      <c r="R171" t="s">
        <v>24</v>
      </c>
      <c r="S171">
        <v>23</v>
      </c>
    </row>
    <row r="172" spans="9:19" x14ac:dyDescent="0.25">
      <c r="I172" t="s">
        <v>762</v>
      </c>
      <c r="J172">
        <v>3.5</v>
      </c>
      <c r="K172">
        <v>4</v>
      </c>
      <c r="L172">
        <v>2.5</v>
      </c>
      <c r="M172">
        <v>10</v>
      </c>
      <c r="N172">
        <f>16.3125</f>
        <v>16.3125</v>
      </c>
      <c r="P172">
        <v>8</v>
      </c>
      <c r="Q172" t="s">
        <v>139</v>
      </c>
      <c r="R172" t="s">
        <v>23</v>
      </c>
      <c r="S172">
        <v>16</v>
      </c>
    </row>
    <row r="173" spans="9:19" x14ac:dyDescent="0.25">
      <c r="I173" t="s">
        <v>762</v>
      </c>
      <c r="J173">
        <v>3.5</v>
      </c>
      <c r="K173">
        <v>4</v>
      </c>
      <c r="L173">
        <v>3</v>
      </c>
      <c r="M173">
        <v>10</v>
      </c>
      <c r="N173">
        <f>16.3125</f>
        <v>16.3125</v>
      </c>
      <c r="P173">
        <v>8</v>
      </c>
      <c r="Q173" t="s">
        <v>139</v>
      </c>
      <c r="R173" t="s">
        <v>24</v>
      </c>
      <c r="S173">
        <v>23</v>
      </c>
    </row>
    <row r="174" spans="9:19" x14ac:dyDescent="0.25">
      <c r="I174" t="s">
        <v>762</v>
      </c>
      <c r="J174">
        <v>3.5</v>
      </c>
      <c r="K174">
        <v>4</v>
      </c>
      <c r="L174">
        <v>3.5</v>
      </c>
      <c r="M174">
        <v>12</v>
      </c>
      <c r="N174">
        <v>19.625</v>
      </c>
      <c r="P174">
        <v>8</v>
      </c>
      <c r="Q174" t="s">
        <v>140</v>
      </c>
      <c r="R174" t="s">
        <v>23</v>
      </c>
      <c r="S174">
        <v>4</v>
      </c>
    </row>
    <row r="175" spans="9:19" x14ac:dyDescent="0.25">
      <c r="I175" t="s">
        <v>762</v>
      </c>
      <c r="J175">
        <v>3.5</v>
      </c>
      <c r="K175">
        <v>4</v>
      </c>
      <c r="L175">
        <v>4</v>
      </c>
      <c r="M175">
        <v>12</v>
      </c>
      <c r="N175">
        <v>19.625</v>
      </c>
      <c r="P175">
        <v>8</v>
      </c>
      <c r="Q175" t="s">
        <v>140</v>
      </c>
      <c r="R175" t="s">
        <v>24</v>
      </c>
      <c r="S175">
        <v>4</v>
      </c>
    </row>
    <row r="176" spans="9:19" x14ac:dyDescent="0.25">
      <c r="I176" t="s">
        <v>763</v>
      </c>
      <c r="J176">
        <v>4</v>
      </c>
      <c r="K176">
        <v>4.125</v>
      </c>
      <c r="L176">
        <v>0.5</v>
      </c>
      <c r="M176">
        <v>5</v>
      </c>
      <c r="N176">
        <v>10</v>
      </c>
      <c r="P176">
        <v>8</v>
      </c>
      <c r="Q176" t="s">
        <v>141</v>
      </c>
      <c r="R176" t="s">
        <v>23</v>
      </c>
      <c r="S176">
        <v>4</v>
      </c>
    </row>
    <row r="177" spans="9:19" x14ac:dyDescent="0.25">
      <c r="I177" t="s">
        <v>763</v>
      </c>
      <c r="J177">
        <v>4</v>
      </c>
      <c r="K177">
        <v>4.125</v>
      </c>
      <c r="L177">
        <v>0.75</v>
      </c>
      <c r="M177">
        <v>5</v>
      </c>
      <c r="N177">
        <v>10</v>
      </c>
      <c r="P177">
        <v>8</v>
      </c>
      <c r="Q177" t="s">
        <v>141</v>
      </c>
      <c r="R177" t="s">
        <v>24</v>
      </c>
      <c r="S177">
        <v>4</v>
      </c>
    </row>
    <row r="178" spans="9:19" x14ac:dyDescent="0.25">
      <c r="I178" t="s">
        <v>763</v>
      </c>
      <c r="J178">
        <v>4</v>
      </c>
      <c r="K178">
        <v>4.125</v>
      </c>
      <c r="L178">
        <v>1</v>
      </c>
      <c r="M178">
        <v>8</v>
      </c>
      <c r="N178">
        <f>13.8125</f>
        <v>13.8125</v>
      </c>
      <c r="P178">
        <v>10</v>
      </c>
      <c r="Q178" t="s">
        <v>132</v>
      </c>
      <c r="R178" t="s">
        <v>23</v>
      </c>
      <c r="S178">
        <v>22</v>
      </c>
    </row>
    <row r="179" spans="9:19" x14ac:dyDescent="0.25">
      <c r="I179" t="s">
        <v>763</v>
      </c>
      <c r="J179">
        <v>4</v>
      </c>
      <c r="K179">
        <v>4.125</v>
      </c>
      <c r="L179">
        <v>1.5</v>
      </c>
      <c r="M179">
        <v>8</v>
      </c>
      <c r="N179">
        <f>13.8125</f>
        <v>13.8125</v>
      </c>
      <c r="P179">
        <v>10</v>
      </c>
      <c r="Q179" t="s">
        <v>132</v>
      </c>
      <c r="R179" t="s">
        <v>24</v>
      </c>
      <c r="S179">
        <v>26</v>
      </c>
    </row>
    <row r="180" spans="9:19" x14ac:dyDescent="0.25">
      <c r="I180" t="s">
        <v>765</v>
      </c>
      <c r="J180">
        <v>4</v>
      </c>
      <c r="K180">
        <v>4.5</v>
      </c>
      <c r="L180">
        <v>0.5</v>
      </c>
      <c r="M180">
        <v>5</v>
      </c>
      <c r="N180">
        <v>10</v>
      </c>
      <c r="P180">
        <v>10</v>
      </c>
      <c r="Q180" t="s">
        <v>20</v>
      </c>
      <c r="R180" t="s">
        <v>23</v>
      </c>
      <c r="S180">
        <v>22</v>
      </c>
    </row>
    <row r="181" spans="9:19" x14ac:dyDescent="0.25">
      <c r="I181" t="s">
        <v>765</v>
      </c>
      <c r="J181">
        <v>4</v>
      </c>
      <c r="K181">
        <v>4.5</v>
      </c>
      <c r="L181">
        <v>0.75</v>
      </c>
      <c r="M181">
        <v>6</v>
      </c>
      <c r="N181">
        <v>11.0625</v>
      </c>
      <c r="P181">
        <v>10</v>
      </c>
      <c r="Q181" t="s">
        <v>20</v>
      </c>
      <c r="R181" t="s">
        <v>24</v>
      </c>
      <c r="S181">
        <v>26</v>
      </c>
    </row>
    <row r="182" spans="9:19" x14ac:dyDescent="0.25">
      <c r="I182" t="s">
        <v>765</v>
      </c>
      <c r="J182">
        <v>4</v>
      </c>
      <c r="K182">
        <v>4.5</v>
      </c>
      <c r="L182">
        <v>1</v>
      </c>
      <c r="M182">
        <v>6</v>
      </c>
      <c r="N182">
        <v>11.0625</v>
      </c>
      <c r="P182">
        <v>10</v>
      </c>
      <c r="Q182" t="s">
        <v>137</v>
      </c>
      <c r="R182" t="s">
        <v>23</v>
      </c>
      <c r="S182">
        <v>18</v>
      </c>
    </row>
    <row r="183" spans="9:19" x14ac:dyDescent="0.25">
      <c r="I183" t="s">
        <v>765</v>
      </c>
      <c r="J183">
        <v>4</v>
      </c>
      <c r="K183">
        <v>4.5</v>
      </c>
      <c r="L183">
        <v>1.5</v>
      </c>
      <c r="M183">
        <v>8</v>
      </c>
      <c r="N183">
        <f>13.8125</f>
        <v>13.8125</v>
      </c>
      <c r="P183">
        <v>10</v>
      </c>
      <c r="Q183" t="s">
        <v>137</v>
      </c>
      <c r="R183" t="s">
        <v>24</v>
      </c>
      <c r="S183">
        <v>25</v>
      </c>
    </row>
    <row r="184" spans="9:19" x14ac:dyDescent="0.25">
      <c r="I184" t="s">
        <v>765</v>
      </c>
      <c r="J184">
        <v>4</v>
      </c>
      <c r="K184">
        <v>4.5</v>
      </c>
      <c r="L184">
        <v>2</v>
      </c>
      <c r="M184">
        <v>8</v>
      </c>
      <c r="N184">
        <f>13.8125</f>
        <v>13.8125</v>
      </c>
      <c r="P184">
        <v>10</v>
      </c>
      <c r="Q184" t="s">
        <v>139</v>
      </c>
      <c r="R184" t="s">
        <v>23</v>
      </c>
      <c r="S184">
        <v>18</v>
      </c>
    </row>
    <row r="185" spans="9:19" x14ac:dyDescent="0.25">
      <c r="I185" t="s">
        <v>765</v>
      </c>
      <c r="J185">
        <v>4</v>
      </c>
      <c r="K185">
        <v>4.5</v>
      </c>
      <c r="L185">
        <v>2.5</v>
      </c>
      <c r="M185">
        <v>10</v>
      </c>
      <c r="N185">
        <f>16.3125</f>
        <v>16.3125</v>
      </c>
      <c r="P185">
        <v>10</v>
      </c>
      <c r="Q185" t="s">
        <v>139</v>
      </c>
      <c r="R185" t="s">
        <v>24</v>
      </c>
      <c r="S185">
        <v>25</v>
      </c>
    </row>
    <row r="186" spans="9:19" x14ac:dyDescent="0.25">
      <c r="I186" t="s">
        <v>765</v>
      </c>
      <c r="J186">
        <v>4</v>
      </c>
      <c r="K186">
        <v>4.5</v>
      </c>
      <c r="L186">
        <v>3</v>
      </c>
      <c r="M186">
        <v>10</v>
      </c>
      <c r="N186">
        <f>16.3125</f>
        <v>16.3125</v>
      </c>
      <c r="P186">
        <v>10</v>
      </c>
      <c r="Q186" t="s">
        <v>140</v>
      </c>
      <c r="R186" t="s">
        <v>23</v>
      </c>
      <c r="S186">
        <v>4</v>
      </c>
    </row>
    <row r="187" spans="9:19" x14ac:dyDescent="0.25">
      <c r="I187" t="s">
        <v>765</v>
      </c>
      <c r="J187">
        <v>4</v>
      </c>
      <c r="K187">
        <v>4.5</v>
      </c>
      <c r="L187">
        <v>3.5</v>
      </c>
      <c r="M187">
        <v>12</v>
      </c>
      <c r="N187">
        <v>19.625</v>
      </c>
      <c r="P187">
        <v>10</v>
      </c>
      <c r="Q187" t="s">
        <v>140</v>
      </c>
      <c r="R187" t="s">
        <v>24</v>
      </c>
      <c r="S187">
        <v>4</v>
      </c>
    </row>
    <row r="188" spans="9:19" x14ac:dyDescent="0.25">
      <c r="I188" t="s">
        <v>765</v>
      </c>
      <c r="J188">
        <v>4</v>
      </c>
      <c r="K188">
        <v>4.5</v>
      </c>
      <c r="L188">
        <v>4</v>
      </c>
      <c r="M188">
        <v>12</v>
      </c>
      <c r="N188">
        <v>19.625</v>
      </c>
      <c r="P188">
        <v>10</v>
      </c>
      <c r="Q188" t="s">
        <v>141</v>
      </c>
      <c r="R188" t="s">
        <v>23</v>
      </c>
      <c r="S188">
        <v>4</v>
      </c>
    </row>
    <row r="189" spans="9:19" x14ac:dyDescent="0.25">
      <c r="I189" t="s">
        <v>762</v>
      </c>
      <c r="J189">
        <v>4</v>
      </c>
      <c r="K189">
        <v>4.5</v>
      </c>
      <c r="L189">
        <v>0.5</v>
      </c>
      <c r="M189">
        <v>5</v>
      </c>
      <c r="N189">
        <v>10</v>
      </c>
      <c r="P189">
        <v>10</v>
      </c>
      <c r="Q189" t="s">
        <v>141</v>
      </c>
      <c r="R189" t="s">
        <v>24</v>
      </c>
      <c r="S189">
        <v>4</v>
      </c>
    </row>
    <row r="190" spans="9:19" x14ac:dyDescent="0.25">
      <c r="I190" t="s">
        <v>762</v>
      </c>
      <c r="J190">
        <v>4</v>
      </c>
      <c r="K190">
        <v>4.5</v>
      </c>
      <c r="L190">
        <v>0.75</v>
      </c>
      <c r="M190">
        <v>6</v>
      </c>
      <c r="N190">
        <v>11.0625</v>
      </c>
      <c r="P190">
        <v>12</v>
      </c>
      <c r="Q190" t="s">
        <v>132</v>
      </c>
      <c r="R190" t="s">
        <v>23</v>
      </c>
      <c r="S190">
        <v>23</v>
      </c>
    </row>
    <row r="191" spans="9:19" x14ac:dyDescent="0.25">
      <c r="I191" t="s">
        <v>762</v>
      </c>
      <c r="J191">
        <v>4</v>
      </c>
      <c r="K191">
        <v>4.5</v>
      </c>
      <c r="L191">
        <v>1</v>
      </c>
      <c r="M191">
        <v>6</v>
      </c>
      <c r="N191">
        <v>11.0625</v>
      </c>
      <c r="P191">
        <v>12</v>
      </c>
      <c r="Q191" t="s">
        <v>132</v>
      </c>
      <c r="R191" t="s">
        <v>24</v>
      </c>
      <c r="S191">
        <v>30</v>
      </c>
    </row>
    <row r="192" spans="9:19" x14ac:dyDescent="0.25">
      <c r="I192" t="s">
        <v>762</v>
      </c>
      <c r="J192">
        <v>4</v>
      </c>
      <c r="K192">
        <v>4.5</v>
      </c>
      <c r="L192">
        <v>1.5</v>
      </c>
      <c r="M192">
        <v>8</v>
      </c>
      <c r="N192">
        <f>13.8125</f>
        <v>13.8125</v>
      </c>
      <c r="P192">
        <v>12</v>
      </c>
      <c r="Q192" t="s">
        <v>20</v>
      </c>
      <c r="R192" t="s">
        <v>23</v>
      </c>
      <c r="S192">
        <v>23</v>
      </c>
    </row>
    <row r="193" spans="9:19" x14ac:dyDescent="0.25">
      <c r="I193" t="s">
        <v>762</v>
      </c>
      <c r="J193">
        <v>4</v>
      </c>
      <c r="K193">
        <v>4.5</v>
      </c>
      <c r="L193">
        <v>2</v>
      </c>
      <c r="M193">
        <v>8</v>
      </c>
      <c r="N193">
        <f>13.8125</f>
        <v>13.8125</v>
      </c>
      <c r="P193">
        <v>12</v>
      </c>
      <c r="Q193" t="s">
        <v>20</v>
      </c>
      <c r="R193" t="s">
        <v>24</v>
      </c>
      <c r="S193">
        <v>30</v>
      </c>
    </row>
    <row r="194" spans="9:19" x14ac:dyDescent="0.25">
      <c r="I194" t="s">
        <v>762</v>
      </c>
      <c r="J194">
        <v>4</v>
      </c>
      <c r="K194">
        <v>4.5</v>
      </c>
      <c r="L194">
        <v>2.5</v>
      </c>
      <c r="M194">
        <v>10</v>
      </c>
      <c r="N194">
        <f>16.3125</f>
        <v>16.3125</v>
      </c>
      <c r="P194">
        <v>12</v>
      </c>
      <c r="Q194" t="s">
        <v>137</v>
      </c>
      <c r="R194" t="s">
        <v>23</v>
      </c>
      <c r="S194">
        <v>19</v>
      </c>
    </row>
    <row r="195" spans="9:19" x14ac:dyDescent="0.25">
      <c r="I195" t="s">
        <v>762</v>
      </c>
      <c r="J195">
        <v>4</v>
      </c>
      <c r="K195">
        <v>4.5</v>
      </c>
      <c r="L195">
        <v>3</v>
      </c>
      <c r="M195">
        <v>10</v>
      </c>
      <c r="N195">
        <f>16.3125</f>
        <v>16.3125</v>
      </c>
      <c r="P195">
        <v>12</v>
      </c>
      <c r="Q195" t="s">
        <v>137</v>
      </c>
      <c r="R195" t="s">
        <v>24</v>
      </c>
      <c r="S195">
        <v>28</v>
      </c>
    </row>
    <row r="196" spans="9:19" x14ac:dyDescent="0.25">
      <c r="I196" t="s">
        <v>762</v>
      </c>
      <c r="J196">
        <v>4</v>
      </c>
      <c r="K196">
        <v>4.5</v>
      </c>
      <c r="L196">
        <v>3.5</v>
      </c>
      <c r="M196">
        <v>12</v>
      </c>
      <c r="N196">
        <v>19.625</v>
      </c>
      <c r="P196">
        <v>12</v>
      </c>
      <c r="Q196" t="s">
        <v>139</v>
      </c>
      <c r="R196" t="s">
        <v>23</v>
      </c>
      <c r="S196">
        <v>19</v>
      </c>
    </row>
    <row r="197" spans="9:19" x14ac:dyDescent="0.25">
      <c r="I197" t="s">
        <v>762</v>
      </c>
      <c r="J197">
        <v>4</v>
      </c>
      <c r="K197">
        <v>4.5</v>
      </c>
      <c r="L197">
        <v>4</v>
      </c>
      <c r="M197">
        <v>12</v>
      </c>
      <c r="N197">
        <v>19.625</v>
      </c>
      <c r="P197">
        <v>12</v>
      </c>
      <c r="Q197" t="s">
        <v>139</v>
      </c>
      <c r="R197" t="s">
        <v>24</v>
      </c>
      <c r="S197">
        <v>28</v>
      </c>
    </row>
    <row r="198" spans="9:19" x14ac:dyDescent="0.25">
      <c r="I198" t="s">
        <v>763</v>
      </c>
      <c r="J198">
        <v>5</v>
      </c>
      <c r="K198">
        <v>5.125</v>
      </c>
      <c r="L198">
        <v>0.5</v>
      </c>
      <c r="M198">
        <v>6</v>
      </c>
      <c r="N198">
        <v>11.0625</v>
      </c>
      <c r="P198">
        <v>12</v>
      </c>
      <c r="Q198" t="s">
        <v>140</v>
      </c>
      <c r="R198" t="s">
        <v>23</v>
      </c>
      <c r="S198">
        <v>4</v>
      </c>
    </row>
    <row r="199" spans="9:19" x14ac:dyDescent="0.25">
      <c r="I199" t="s">
        <v>763</v>
      </c>
      <c r="J199">
        <v>5</v>
      </c>
      <c r="K199">
        <v>5.125</v>
      </c>
      <c r="L199">
        <v>0.75</v>
      </c>
      <c r="M199">
        <v>6</v>
      </c>
      <c r="N199">
        <v>11.0625</v>
      </c>
      <c r="P199">
        <v>12</v>
      </c>
      <c r="Q199" t="s">
        <v>140</v>
      </c>
      <c r="R199" t="s">
        <v>24</v>
      </c>
      <c r="S199">
        <v>4</v>
      </c>
    </row>
    <row r="200" spans="9:19" x14ac:dyDescent="0.25">
      <c r="I200" t="s">
        <v>763</v>
      </c>
      <c r="J200">
        <v>5</v>
      </c>
      <c r="K200">
        <v>5.125</v>
      </c>
      <c r="L200">
        <v>1</v>
      </c>
      <c r="M200">
        <v>8</v>
      </c>
      <c r="N200">
        <f>13.8125</f>
        <v>13.8125</v>
      </c>
      <c r="P200">
        <v>12</v>
      </c>
      <c r="Q200" t="s">
        <v>141</v>
      </c>
      <c r="R200" t="s">
        <v>23</v>
      </c>
      <c r="S200">
        <v>4</v>
      </c>
    </row>
    <row r="201" spans="9:19" x14ac:dyDescent="0.25">
      <c r="I201" t="s">
        <v>763</v>
      </c>
      <c r="J201">
        <v>5</v>
      </c>
      <c r="K201">
        <v>5.125</v>
      </c>
      <c r="L201">
        <v>1.5</v>
      </c>
      <c r="M201">
        <v>8</v>
      </c>
      <c r="N201">
        <f>13.8125</f>
        <v>13.8125</v>
      </c>
      <c r="P201">
        <v>12</v>
      </c>
      <c r="Q201" t="s">
        <v>141</v>
      </c>
      <c r="R201" t="s">
        <v>24</v>
      </c>
      <c r="S201">
        <v>4</v>
      </c>
    </row>
    <row r="202" spans="9:19" x14ac:dyDescent="0.25">
      <c r="I202" t="s">
        <v>765</v>
      </c>
      <c r="J202">
        <v>5</v>
      </c>
      <c r="K202">
        <v>5.5629999999999997</v>
      </c>
      <c r="L202">
        <v>0.5</v>
      </c>
      <c r="M202">
        <v>6</v>
      </c>
      <c r="N202">
        <v>11.0625</v>
      </c>
      <c r="P202">
        <v>14</v>
      </c>
      <c r="Q202" t="s">
        <v>132</v>
      </c>
      <c r="R202" t="s">
        <v>23</v>
      </c>
      <c r="S202">
        <v>25</v>
      </c>
    </row>
    <row r="203" spans="9:19" x14ac:dyDescent="0.25">
      <c r="I203" t="s">
        <v>765</v>
      </c>
      <c r="J203">
        <v>5</v>
      </c>
      <c r="K203">
        <v>5.5629999999999997</v>
      </c>
      <c r="L203">
        <v>0.75</v>
      </c>
      <c r="M203">
        <v>8</v>
      </c>
      <c r="N203">
        <f>13.8125</f>
        <v>13.8125</v>
      </c>
      <c r="P203">
        <v>14</v>
      </c>
      <c r="Q203" t="s">
        <v>132</v>
      </c>
      <c r="R203" t="s">
        <v>24</v>
      </c>
      <c r="S203">
        <v>32</v>
      </c>
    </row>
    <row r="204" spans="9:19" x14ac:dyDescent="0.25">
      <c r="I204" t="s">
        <v>765</v>
      </c>
      <c r="J204">
        <v>5</v>
      </c>
      <c r="K204">
        <v>5.5629999999999997</v>
      </c>
      <c r="L204">
        <v>1</v>
      </c>
      <c r="M204">
        <v>8</v>
      </c>
      <c r="N204">
        <f>13.8125</f>
        <v>13.8125</v>
      </c>
      <c r="P204">
        <v>14</v>
      </c>
      <c r="Q204" t="s">
        <v>20</v>
      </c>
      <c r="R204" t="s">
        <v>23</v>
      </c>
      <c r="S204">
        <v>25</v>
      </c>
    </row>
    <row r="205" spans="9:19" x14ac:dyDescent="0.25">
      <c r="I205" t="s">
        <v>765</v>
      </c>
      <c r="J205">
        <v>5</v>
      </c>
      <c r="K205">
        <v>5.5629999999999997</v>
      </c>
      <c r="L205">
        <v>1.5</v>
      </c>
      <c r="M205">
        <v>8</v>
      </c>
      <c r="N205">
        <f>13.8125</f>
        <v>13.8125</v>
      </c>
      <c r="P205">
        <v>14</v>
      </c>
      <c r="Q205" t="s">
        <v>20</v>
      </c>
      <c r="R205" t="s">
        <v>24</v>
      </c>
      <c r="S205">
        <v>32</v>
      </c>
    </row>
    <row r="206" spans="9:19" x14ac:dyDescent="0.25">
      <c r="I206" t="s">
        <v>765</v>
      </c>
      <c r="J206">
        <v>5</v>
      </c>
      <c r="K206">
        <v>5.5629999999999997</v>
      </c>
      <c r="L206">
        <v>2</v>
      </c>
      <c r="M206">
        <v>10</v>
      </c>
      <c r="N206">
        <f>16.3125</f>
        <v>16.3125</v>
      </c>
      <c r="P206">
        <v>14</v>
      </c>
      <c r="Q206" t="s">
        <v>140</v>
      </c>
      <c r="R206" t="s">
        <v>23</v>
      </c>
      <c r="S206">
        <v>4</v>
      </c>
    </row>
    <row r="207" spans="9:19" x14ac:dyDescent="0.25">
      <c r="I207" t="s">
        <v>765</v>
      </c>
      <c r="J207">
        <v>5</v>
      </c>
      <c r="K207">
        <v>5.5629999999999997</v>
      </c>
      <c r="L207">
        <v>2.5</v>
      </c>
      <c r="M207">
        <v>10</v>
      </c>
      <c r="N207">
        <f>16.3125</f>
        <v>16.3125</v>
      </c>
      <c r="P207">
        <v>14</v>
      </c>
      <c r="Q207" t="s">
        <v>140</v>
      </c>
      <c r="R207" t="s">
        <v>24</v>
      </c>
      <c r="S207">
        <v>4</v>
      </c>
    </row>
    <row r="208" spans="9:19" x14ac:dyDescent="0.25">
      <c r="I208" t="s">
        <v>765</v>
      </c>
      <c r="J208">
        <v>5</v>
      </c>
      <c r="K208">
        <v>5.5629999999999997</v>
      </c>
      <c r="L208">
        <v>3</v>
      </c>
      <c r="M208">
        <v>12</v>
      </c>
      <c r="N208">
        <v>19.625</v>
      </c>
      <c r="P208">
        <v>14</v>
      </c>
      <c r="Q208" t="s">
        <v>141</v>
      </c>
      <c r="R208" t="s">
        <v>23</v>
      </c>
      <c r="S208">
        <v>4</v>
      </c>
    </row>
    <row r="209" spans="9:19" x14ac:dyDescent="0.25">
      <c r="I209" t="s">
        <v>765</v>
      </c>
      <c r="J209">
        <v>5</v>
      </c>
      <c r="K209">
        <v>5.5629999999999997</v>
      </c>
      <c r="L209">
        <v>3.5</v>
      </c>
      <c r="M209">
        <v>12</v>
      </c>
      <c r="N209">
        <v>19.625</v>
      </c>
      <c r="P209">
        <v>14</v>
      </c>
      <c r="Q209" t="s">
        <v>141</v>
      </c>
      <c r="R209" t="s">
        <v>24</v>
      </c>
      <c r="S209">
        <v>4</v>
      </c>
    </row>
    <row r="210" spans="9:19" x14ac:dyDescent="0.25">
      <c r="I210" t="s">
        <v>762</v>
      </c>
      <c r="J210">
        <v>5</v>
      </c>
      <c r="K210">
        <v>5.5620000000000003</v>
      </c>
      <c r="L210">
        <v>0.5</v>
      </c>
      <c r="M210">
        <v>6</v>
      </c>
      <c r="N210">
        <v>11.0625</v>
      </c>
      <c r="P210">
        <v>16</v>
      </c>
      <c r="Q210" t="s">
        <v>132</v>
      </c>
      <c r="R210" t="s">
        <v>23</v>
      </c>
      <c r="S210">
        <v>27</v>
      </c>
    </row>
    <row r="211" spans="9:19" x14ac:dyDescent="0.25">
      <c r="I211" t="s">
        <v>762</v>
      </c>
      <c r="J211">
        <v>5</v>
      </c>
      <c r="K211">
        <v>5.5620000000000003</v>
      </c>
      <c r="L211">
        <v>0.75</v>
      </c>
      <c r="M211">
        <v>8</v>
      </c>
      <c r="N211">
        <f>13.8125</f>
        <v>13.8125</v>
      </c>
      <c r="P211">
        <v>16</v>
      </c>
      <c r="Q211" t="s">
        <v>132</v>
      </c>
      <c r="R211" t="s">
        <v>24</v>
      </c>
      <c r="S211">
        <v>35</v>
      </c>
    </row>
    <row r="212" spans="9:19" x14ac:dyDescent="0.25">
      <c r="I212" t="s">
        <v>762</v>
      </c>
      <c r="J212">
        <v>5</v>
      </c>
      <c r="K212">
        <v>5.5620000000000003</v>
      </c>
      <c r="L212">
        <v>1</v>
      </c>
      <c r="M212">
        <v>8</v>
      </c>
      <c r="N212">
        <f>13.8125</f>
        <v>13.8125</v>
      </c>
      <c r="P212">
        <v>16</v>
      </c>
      <c r="Q212" t="s">
        <v>20</v>
      </c>
      <c r="R212" t="s">
        <v>23</v>
      </c>
      <c r="S212">
        <v>27</v>
      </c>
    </row>
    <row r="213" spans="9:19" x14ac:dyDescent="0.25">
      <c r="I213" t="s">
        <v>762</v>
      </c>
      <c r="J213">
        <v>5</v>
      </c>
      <c r="K213">
        <v>5.5620000000000003</v>
      </c>
      <c r="L213">
        <v>1.5</v>
      </c>
      <c r="M213">
        <v>8</v>
      </c>
      <c r="N213">
        <f>13.8125</f>
        <v>13.8125</v>
      </c>
      <c r="P213">
        <v>16</v>
      </c>
      <c r="Q213" t="s">
        <v>20</v>
      </c>
      <c r="R213" t="s">
        <v>24</v>
      </c>
      <c r="S213">
        <v>35</v>
      </c>
    </row>
    <row r="214" spans="9:19" x14ac:dyDescent="0.25">
      <c r="I214" t="s">
        <v>762</v>
      </c>
      <c r="J214">
        <v>5</v>
      </c>
      <c r="K214">
        <v>5.5620000000000003</v>
      </c>
      <c r="L214">
        <v>2</v>
      </c>
      <c r="M214">
        <v>10</v>
      </c>
      <c r="N214">
        <f>16.3125</f>
        <v>16.3125</v>
      </c>
      <c r="P214">
        <v>16</v>
      </c>
      <c r="Q214" t="s">
        <v>140</v>
      </c>
      <c r="R214" t="s">
        <v>23</v>
      </c>
      <c r="S214">
        <v>4</v>
      </c>
    </row>
    <row r="215" spans="9:19" x14ac:dyDescent="0.25">
      <c r="I215" t="s">
        <v>762</v>
      </c>
      <c r="J215">
        <v>5</v>
      </c>
      <c r="K215">
        <v>5.5620000000000003</v>
      </c>
      <c r="L215">
        <v>2.5</v>
      </c>
      <c r="M215">
        <v>10</v>
      </c>
      <c r="N215">
        <f>16.3125</f>
        <v>16.3125</v>
      </c>
      <c r="P215">
        <v>16</v>
      </c>
      <c r="Q215" t="s">
        <v>140</v>
      </c>
      <c r="R215" t="s">
        <v>24</v>
      </c>
      <c r="S215">
        <v>4</v>
      </c>
    </row>
    <row r="216" spans="9:19" x14ac:dyDescent="0.25">
      <c r="I216" t="s">
        <v>762</v>
      </c>
      <c r="J216">
        <v>5</v>
      </c>
      <c r="K216">
        <v>5.5620000000000003</v>
      </c>
      <c r="L216">
        <v>3</v>
      </c>
      <c r="M216">
        <v>12</v>
      </c>
      <c r="N216">
        <v>19.625</v>
      </c>
      <c r="P216">
        <v>16</v>
      </c>
      <c r="Q216" t="s">
        <v>141</v>
      </c>
      <c r="R216" t="s">
        <v>23</v>
      </c>
      <c r="S216">
        <v>4</v>
      </c>
    </row>
    <row r="217" spans="9:19" x14ac:dyDescent="0.25">
      <c r="I217" t="s">
        <v>762</v>
      </c>
      <c r="J217">
        <v>5</v>
      </c>
      <c r="K217">
        <v>5.5620000000000003</v>
      </c>
      <c r="L217">
        <v>3.5</v>
      </c>
      <c r="M217">
        <v>12</v>
      </c>
      <c r="N217">
        <v>19.625</v>
      </c>
      <c r="P217">
        <v>16</v>
      </c>
      <c r="Q217" t="s">
        <v>141</v>
      </c>
      <c r="R217" t="s">
        <v>24</v>
      </c>
      <c r="S217">
        <v>4</v>
      </c>
    </row>
    <row r="218" spans="9:19" x14ac:dyDescent="0.25">
      <c r="I218" t="s">
        <v>763</v>
      </c>
      <c r="J218">
        <v>6</v>
      </c>
      <c r="K218">
        <v>6.125</v>
      </c>
      <c r="L218">
        <v>0.5</v>
      </c>
      <c r="M218">
        <v>8</v>
      </c>
      <c r="N218">
        <f>13.8125</f>
        <v>13.8125</v>
      </c>
      <c r="P218">
        <v>18</v>
      </c>
      <c r="Q218" t="s">
        <v>132</v>
      </c>
      <c r="R218" t="s">
        <v>23</v>
      </c>
      <c r="S218">
        <v>28</v>
      </c>
    </row>
    <row r="219" spans="9:19" x14ac:dyDescent="0.25">
      <c r="I219" t="s">
        <v>763</v>
      </c>
      <c r="J219">
        <v>6</v>
      </c>
      <c r="K219">
        <v>6.125</v>
      </c>
      <c r="L219">
        <v>0.75</v>
      </c>
      <c r="M219">
        <v>8</v>
      </c>
      <c r="N219">
        <f>13.8125</f>
        <v>13.8125</v>
      </c>
      <c r="P219">
        <v>18</v>
      </c>
      <c r="Q219" t="s">
        <v>132</v>
      </c>
      <c r="R219" t="s">
        <v>24</v>
      </c>
      <c r="S219">
        <v>37</v>
      </c>
    </row>
    <row r="220" spans="9:19" x14ac:dyDescent="0.25">
      <c r="I220" t="s">
        <v>763</v>
      </c>
      <c r="J220">
        <v>6</v>
      </c>
      <c r="K220">
        <v>6.125</v>
      </c>
      <c r="L220">
        <v>1</v>
      </c>
      <c r="M220">
        <v>10</v>
      </c>
      <c r="N220">
        <f>16.3125</f>
        <v>16.3125</v>
      </c>
      <c r="P220">
        <v>18</v>
      </c>
      <c r="Q220" t="s">
        <v>20</v>
      </c>
      <c r="R220" t="s">
        <v>23</v>
      </c>
      <c r="S220">
        <v>28</v>
      </c>
    </row>
    <row r="221" spans="9:19" x14ac:dyDescent="0.25">
      <c r="I221" t="s">
        <v>763</v>
      </c>
      <c r="J221">
        <v>6</v>
      </c>
      <c r="K221">
        <v>6.125</v>
      </c>
      <c r="L221">
        <v>1.5</v>
      </c>
      <c r="M221">
        <v>10</v>
      </c>
      <c r="N221">
        <f>16.3125</f>
        <v>16.3125</v>
      </c>
      <c r="P221">
        <v>18</v>
      </c>
      <c r="Q221" t="s">
        <v>20</v>
      </c>
      <c r="R221" t="s">
        <v>24</v>
      </c>
      <c r="S221">
        <v>37</v>
      </c>
    </row>
    <row r="222" spans="9:19" x14ac:dyDescent="0.25">
      <c r="I222" t="s">
        <v>765</v>
      </c>
      <c r="J222">
        <v>6</v>
      </c>
      <c r="K222">
        <v>6.625</v>
      </c>
      <c r="L222">
        <v>0.5</v>
      </c>
      <c r="M222">
        <v>8</v>
      </c>
      <c r="N222">
        <f>13.8125</f>
        <v>13.8125</v>
      </c>
      <c r="P222">
        <v>20</v>
      </c>
      <c r="Q222" t="s">
        <v>132</v>
      </c>
      <c r="R222" t="s">
        <v>23</v>
      </c>
      <c r="S222">
        <v>30</v>
      </c>
    </row>
    <row r="223" spans="9:19" x14ac:dyDescent="0.25">
      <c r="I223" t="s">
        <v>765</v>
      </c>
      <c r="J223">
        <v>6</v>
      </c>
      <c r="K223">
        <v>6.625</v>
      </c>
      <c r="L223">
        <v>0.75</v>
      </c>
      <c r="M223">
        <v>8</v>
      </c>
      <c r="N223">
        <f>13.8125</f>
        <v>13.8125</v>
      </c>
      <c r="P223">
        <v>20</v>
      </c>
      <c r="Q223" t="s">
        <v>132</v>
      </c>
      <c r="R223" t="s">
        <v>24</v>
      </c>
      <c r="S223">
        <v>39</v>
      </c>
    </row>
    <row r="224" spans="9:19" x14ac:dyDescent="0.25">
      <c r="I224" t="s">
        <v>765</v>
      </c>
      <c r="J224">
        <v>6</v>
      </c>
      <c r="K224">
        <v>6.625</v>
      </c>
      <c r="L224">
        <v>1</v>
      </c>
      <c r="M224">
        <v>8</v>
      </c>
      <c r="N224">
        <f>13.8125</f>
        <v>13.8125</v>
      </c>
      <c r="P224">
        <v>20</v>
      </c>
      <c r="Q224" t="s">
        <v>20</v>
      </c>
      <c r="R224" t="s">
        <v>23</v>
      </c>
      <c r="S224">
        <v>30</v>
      </c>
    </row>
    <row r="225" spans="9:19" x14ac:dyDescent="0.25">
      <c r="I225" t="s">
        <v>765</v>
      </c>
      <c r="J225">
        <v>6</v>
      </c>
      <c r="K225">
        <v>6.625</v>
      </c>
      <c r="L225">
        <v>1.5</v>
      </c>
      <c r="M225">
        <v>10</v>
      </c>
      <c r="N225">
        <f>16.3125</f>
        <v>16.3125</v>
      </c>
      <c r="P225">
        <v>20</v>
      </c>
      <c r="Q225" t="s">
        <v>20</v>
      </c>
      <c r="R225" t="s">
        <v>24</v>
      </c>
      <c r="S225">
        <v>39</v>
      </c>
    </row>
    <row r="226" spans="9:19" x14ac:dyDescent="0.25">
      <c r="I226" t="s">
        <v>765</v>
      </c>
      <c r="J226">
        <v>6</v>
      </c>
      <c r="K226">
        <v>6.625</v>
      </c>
      <c r="L226">
        <v>2</v>
      </c>
      <c r="M226">
        <v>10</v>
      </c>
      <c r="N226">
        <f>16.3125</f>
        <v>16.3125</v>
      </c>
      <c r="P226">
        <v>24</v>
      </c>
      <c r="Q226" t="s">
        <v>132</v>
      </c>
      <c r="R226" t="s">
        <v>23</v>
      </c>
      <c r="S226">
        <v>32</v>
      </c>
    </row>
    <row r="227" spans="9:19" x14ac:dyDescent="0.25">
      <c r="I227" t="s">
        <v>765</v>
      </c>
      <c r="J227">
        <v>6</v>
      </c>
      <c r="K227">
        <v>6.625</v>
      </c>
      <c r="L227">
        <v>2.5</v>
      </c>
      <c r="M227">
        <v>12</v>
      </c>
      <c r="N227">
        <v>19.625</v>
      </c>
      <c r="P227">
        <v>24</v>
      </c>
      <c r="Q227" t="s">
        <v>132</v>
      </c>
      <c r="R227" t="s">
        <v>24</v>
      </c>
      <c r="S227">
        <v>42</v>
      </c>
    </row>
    <row r="228" spans="9:19" x14ac:dyDescent="0.25">
      <c r="I228" t="s">
        <v>765</v>
      </c>
      <c r="J228">
        <v>6</v>
      </c>
      <c r="K228">
        <v>6.625</v>
      </c>
      <c r="L228">
        <v>3</v>
      </c>
      <c r="M228">
        <v>12</v>
      </c>
      <c r="N228">
        <v>19.625</v>
      </c>
      <c r="P228">
        <v>24</v>
      </c>
      <c r="Q228" t="s">
        <v>20</v>
      </c>
      <c r="R228" t="s">
        <v>23</v>
      </c>
      <c r="S228">
        <v>32</v>
      </c>
    </row>
    <row r="229" spans="9:19" x14ac:dyDescent="0.25">
      <c r="I229" t="s">
        <v>762</v>
      </c>
      <c r="J229">
        <v>6</v>
      </c>
      <c r="K229">
        <v>6.625</v>
      </c>
      <c r="L229">
        <v>0.5</v>
      </c>
      <c r="M229">
        <v>8</v>
      </c>
      <c r="N229">
        <f>13.8125</f>
        <v>13.8125</v>
      </c>
      <c r="P229">
        <v>24</v>
      </c>
      <c r="Q229" t="s">
        <v>20</v>
      </c>
      <c r="R229" t="s">
        <v>24</v>
      </c>
      <c r="S229">
        <v>42</v>
      </c>
    </row>
    <row r="230" spans="9:19" x14ac:dyDescent="0.25">
      <c r="I230" t="s">
        <v>762</v>
      </c>
      <c r="J230">
        <v>6</v>
      </c>
      <c r="K230">
        <v>6.625</v>
      </c>
      <c r="L230">
        <v>0.75</v>
      </c>
      <c r="M230">
        <v>8</v>
      </c>
      <c r="N230">
        <f>13.8125</f>
        <v>13.8125</v>
      </c>
      <c r="P230">
        <v>30</v>
      </c>
      <c r="Q230" t="s">
        <v>132</v>
      </c>
      <c r="R230" t="s">
        <v>23</v>
      </c>
      <c r="S230">
        <v>33</v>
      </c>
    </row>
    <row r="231" spans="9:19" x14ac:dyDescent="0.25">
      <c r="I231" t="s">
        <v>762</v>
      </c>
      <c r="J231">
        <v>6</v>
      </c>
      <c r="K231">
        <v>6.625</v>
      </c>
      <c r="L231">
        <v>1</v>
      </c>
      <c r="M231">
        <v>8</v>
      </c>
      <c r="N231">
        <f>13.8125</f>
        <v>13.8125</v>
      </c>
      <c r="P231">
        <v>30</v>
      </c>
      <c r="Q231" t="s">
        <v>132</v>
      </c>
      <c r="R231" t="s">
        <v>24</v>
      </c>
      <c r="S231">
        <v>44</v>
      </c>
    </row>
    <row r="232" spans="9:19" x14ac:dyDescent="0.25">
      <c r="I232" t="s">
        <v>762</v>
      </c>
      <c r="J232">
        <v>6</v>
      </c>
      <c r="K232">
        <v>6.625</v>
      </c>
      <c r="L232">
        <v>1.5</v>
      </c>
      <c r="M232">
        <v>10</v>
      </c>
      <c r="N232">
        <f>16.3125</f>
        <v>16.3125</v>
      </c>
      <c r="P232">
        <v>30</v>
      </c>
      <c r="Q232" t="s">
        <v>20</v>
      </c>
      <c r="R232" t="s">
        <v>23</v>
      </c>
      <c r="S232">
        <v>33</v>
      </c>
    </row>
    <row r="233" spans="9:19" x14ac:dyDescent="0.25">
      <c r="I233" t="s">
        <v>762</v>
      </c>
      <c r="J233">
        <v>6</v>
      </c>
      <c r="K233">
        <v>6.625</v>
      </c>
      <c r="L233">
        <v>2</v>
      </c>
      <c r="M233">
        <v>10</v>
      </c>
      <c r="N233">
        <f>16.3125</f>
        <v>16.3125</v>
      </c>
      <c r="P233">
        <v>30</v>
      </c>
      <c r="Q233" t="s">
        <v>20</v>
      </c>
      <c r="R233" t="s">
        <v>24</v>
      </c>
      <c r="S233">
        <v>44</v>
      </c>
    </row>
    <row r="234" spans="9:19" x14ac:dyDescent="0.25">
      <c r="I234" t="s">
        <v>762</v>
      </c>
      <c r="J234">
        <v>6</v>
      </c>
      <c r="K234">
        <v>6.625</v>
      </c>
      <c r="L234">
        <v>2.5</v>
      </c>
      <c r="M234">
        <v>12</v>
      </c>
      <c r="N234">
        <v>19.625</v>
      </c>
    </row>
    <row r="235" spans="9:19" x14ac:dyDescent="0.25">
      <c r="I235" t="s">
        <v>762</v>
      </c>
      <c r="J235">
        <v>6</v>
      </c>
      <c r="K235">
        <v>6.625</v>
      </c>
      <c r="L235">
        <v>3</v>
      </c>
      <c r="M235">
        <v>12</v>
      </c>
      <c r="N235">
        <v>19.625</v>
      </c>
      <c r="P235" t="s">
        <v>748</v>
      </c>
    </row>
    <row r="236" spans="9:19" x14ac:dyDescent="0.25">
      <c r="I236" t="s">
        <v>765</v>
      </c>
      <c r="J236">
        <v>8</v>
      </c>
      <c r="K236">
        <v>8.625</v>
      </c>
      <c r="L236">
        <v>0.5</v>
      </c>
      <c r="M236">
        <v>10</v>
      </c>
      <c r="N236">
        <f>16.3125</f>
        <v>16.3125</v>
      </c>
      <c r="P236">
        <f>Calculations!B11</f>
        <v>12</v>
      </c>
      <c r="Q236" t="str">
        <f>Calculations!B9</f>
        <v>Copper - type K</v>
      </c>
      <c r="R236" t="str">
        <f>Calculations!B10</f>
        <v>Gas</v>
      </c>
      <c r="S236" cm="1">
        <f t="array" ref="S236">_xlfn._xlws.FILTER(Pipe_spacing[Max spacing],(Pipe_spacing[Pipe size]=P236)*(Pipe_spacing[Material]=Q236)*(Pipe_spacing[contents]=R236),"no results")</f>
        <v>28</v>
      </c>
    </row>
    <row r="237" spans="9:19" x14ac:dyDescent="0.25">
      <c r="I237" t="s">
        <v>765</v>
      </c>
      <c r="J237">
        <v>8</v>
      </c>
      <c r="K237">
        <v>8.625</v>
      </c>
      <c r="L237">
        <v>0.75</v>
      </c>
      <c r="M237">
        <v>10</v>
      </c>
      <c r="N237">
        <f>16.3125</f>
        <v>16.3125</v>
      </c>
    </row>
    <row r="238" spans="9:19" x14ac:dyDescent="0.25">
      <c r="I238" t="s">
        <v>765</v>
      </c>
      <c r="J238">
        <v>8</v>
      </c>
      <c r="K238">
        <v>8.625</v>
      </c>
      <c r="L238">
        <v>1</v>
      </c>
      <c r="M238">
        <v>10</v>
      </c>
      <c r="N238">
        <f>16.3125</f>
        <v>16.3125</v>
      </c>
      <c r="P238" t="s">
        <v>749</v>
      </c>
    </row>
    <row r="239" spans="9:19" x14ac:dyDescent="0.25">
      <c r="I239" t="s">
        <v>765</v>
      </c>
      <c r="J239">
        <v>8</v>
      </c>
      <c r="K239">
        <v>8.625</v>
      </c>
      <c r="L239">
        <v>1.5</v>
      </c>
      <c r="M239">
        <v>12</v>
      </c>
      <c r="N239">
        <v>19.625</v>
      </c>
      <c r="P239">
        <f>Calculations!B23</f>
        <v>0</v>
      </c>
      <c r="Q239" t="str">
        <f>Calculations!B21</f>
        <v>None</v>
      </c>
      <c r="R239" t="str">
        <f>Calculations!B22</f>
        <v>None</v>
      </c>
      <c r="S239" t="str" cm="1">
        <f t="array" ref="S239">_xlfn._xlws.FILTER(Pipe_spacing[Max spacing],(Pipe_spacing[Pipe size]=P239)*(Pipe_spacing[Material]=Q239)*(Pipe_spacing[contents]=R239),"no results")</f>
        <v>no results</v>
      </c>
    </row>
    <row r="240" spans="9:19" x14ac:dyDescent="0.25">
      <c r="I240" t="s">
        <v>765</v>
      </c>
      <c r="J240">
        <v>8</v>
      </c>
      <c r="K240">
        <v>8.625</v>
      </c>
      <c r="L240">
        <v>2</v>
      </c>
      <c r="M240">
        <v>12</v>
      </c>
      <c r="N240">
        <v>19.625</v>
      </c>
    </row>
    <row r="241" spans="9:19" x14ac:dyDescent="0.25">
      <c r="I241" t="s">
        <v>762</v>
      </c>
      <c r="J241">
        <v>8</v>
      </c>
      <c r="K241">
        <v>8.625</v>
      </c>
      <c r="L241">
        <v>0.5</v>
      </c>
      <c r="M241">
        <v>10</v>
      </c>
      <c r="N241">
        <f>16.3125</f>
        <v>16.3125</v>
      </c>
      <c r="S241">
        <f>MIN(S236,S239)</f>
        <v>28</v>
      </c>
    </row>
    <row r="242" spans="9:19" x14ac:dyDescent="0.25">
      <c r="I242" t="s">
        <v>762</v>
      </c>
      <c r="J242">
        <v>8</v>
      </c>
      <c r="K242">
        <v>8.625</v>
      </c>
      <c r="L242">
        <v>0.75</v>
      </c>
      <c r="M242">
        <v>10</v>
      </c>
      <c r="N242">
        <f>16.3125</f>
        <v>16.3125</v>
      </c>
    </row>
    <row r="243" spans="9:19" x14ac:dyDescent="0.25">
      <c r="I243" t="s">
        <v>762</v>
      </c>
      <c r="J243">
        <v>8</v>
      </c>
      <c r="K243">
        <v>8.625</v>
      </c>
      <c r="L243">
        <v>1</v>
      </c>
      <c r="M243">
        <v>10</v>
      </c>
      <c r="N243">
        <f>16.3125</f>
        <v>16.3125</v>
      </c>
    </row>
    <row r="244" spans="9:19" x14ac:dyDescent="0.25">
      <c r="I244" t="s">
        <v>762</v>
      </c>
      <c r="J244">
        <v>8</v>
      </c>
      <c r="K244">
        <v>8.625</v>
      </c>
      <c r="L244">
        <v>1.5</v>
      </c>
      <c r="M244">
        <v>12</v>
      </c>
      <c r="N244">
        <v>19.625</v>
      </c>
    </row>
    <row r="245" spans="9:19" x14ac:dyDescent="0.25">
      <c r="I245" t="s">
        <v>762</v>
      </c>
      <c r="J245">
        <v>8</v>
      </c>
      <c r="K245">
        <v>8.625</v>
      </c>
      <c r="L245">
        <v>2</v>
      </c>
      <c r="M245">
        <v>12</v>
      </c>
      <c r="N245">
        <v>19.625</v>
      </c>
    </row>
    <row r="246" spans="9:19" x14ac:dyDescent="0.25">
      <c r="I246" t="s">
        <v>765</v>
      </c>
      <c r="J246">
        <v>10</v>
      </c>
      <c r="K246">
        <v>10.75</v>
      </c>
      <c r="L246">
        <v>0.5</v>
      </c>
      <c r="M246">
        <v>12</v>
      </c>
      <c r="N246">
        <v>19.625</v>
      </c>
    </row>
    <row r="247" spans="9:19" x14ac:dyDescent="0.25">
      <c r="I247" t="s">
        <v>765</v>
      </c>
      <c r="J247">
        <v>10</v>
      </c>
      <c r="K247">
        <v>10.75</v>
      </c>
      <c r="L247">
        <v>0.75</v>
      </c>
      <c r="M247">
        <v>12</v>
      </c>
      <c r="N247">
        <v>19.625</v>
      </c>
    </row>
    <row r="248" spans="9:19" x14ac:dyDescent="0.25">
      <c r="I248" t="s">
        <v>765</v>
      </c>
      <c r="J248">
        <v>10</v>
      </c>
      <c r="K248">
        <v>10.75</v>
      </c>
      <c r="L248">
        <v>1</v>
      </c>
      <c r="M248">
        <v>12</v>
      </c>
      <c r="N248">
        <v>19.625</v>
      </c>
    </row>
    <row r="249" spans="9:19" x14ac:dyDescent="0.25">
      <c r="I249" t="s">
        <v>762</v>
      </c>
      <c r="J249">
        <v>10</v>
      </c>
      <c r="K249">
        <v>10.75</v>
      </c>
      <c r="L249">
        <v>0.5</v>
      </c>
      <c r="M249">
        <v>12</v>
      </c>
      <c r="N249">
        <v>19.625</v>
      </c>
    </row>
    <row r="250" spans="9:19" x14ac:dyDescent="0.25">
      <c r="I250" t="s">
        <v>762</v>
      </c>
      <c r="J250">
        <v>10</v>
      </c>
      <c r="K250">
        <v>10.75</v>
      </c>
      <c r="L250">
        <v>0.75</v>
      </c>
      <c r="M250">
        <v>12</v>
      </c>
      <c r="N250">
        <v>19.625</v>
      </c>
    </row>
    <row r="251" spans="9:19" x14ac:dyDescent="0.25">
      <c r="I251" t="s">
        <v>762</v>
      </c>
      <c r="J251">
        <v>10</v>
      </c>
      <c r="K251">
        <v>10.75</v>
      </c>
      <c r="L251">
        <v>1</v>
      </c>
      <c r="M251">
        <v>12</v>
      </c>
      <c r="N251">
        <v>19.625</v>
      </c>
    </row>
    <row r="254" spans="9:19" x14ac:dyDescent="0.25">
      <c r="J254" t="s">
        <v>773</v>
      </c>
      <c r="K254" t="s">
        <v>169</v>
      </c>
      <c r="L254" t="s">
        <v>774</v>
      </c>
      <c r="M254" t="s">
        <v>775</v>
      </c>
    </row>
    <row r="255" spans="9:19" x14ac:dyDescent="0.25">
      <c r="I255" t="s">
        <v>18</v>
      </c>
      <c r="J255" t="str">
        <f>LEFT(Calculations!B9,FIND("-",Calculations!B9,1)-2)</f>
        <v>Copper</v>
      </c>
      <c r="K255">
        <f>Calculations!B11</f>
        <v>12</v>
      </c>
      <c r="L255">
        <f>Calculations!B12</f>
        <v>1</v>
      </c>
      <c r="M255" t="str" cm="1">
        <f t="array" ref="M255">_xlfn._xlws.FILTER(Hanger_size[Shield or hanger size],(Hanger_size[Pipe material]=J255)*(Hanger_size[Pipe size]=K255)*(Hanger_size[Insulation thickness]=L255),"no results")</f>
        <v>no results</v>
      </c>
    </row>
    <row r="256" spans="9:19" x14ac:dyDescent="0.25">
      <c r="I256" t="s">
        <v>19</v>
      </c>
      <c r="J256" t="e">
        <f>LEFT(Calculations!B21,FIND("-",Calculations!B21,1)-2)</f>
        <v>#VALUE!</v>
      </c>
      <c r="K256">
        <f>Calculations!B23</f>
        <v>0</v>
      </c>
      <c r="L256">
        <f>Calculations!B24</f>
        <v>0</v>
      </c>
      <c r="M256" t="e" cm="1">
        <f t="array" ref="M256">_xlfn._xlws.FILTER(Hanger_size[Shield or hanger size],(Hanger_size[Pipe material]=J256)*(Hanger_size[Pipe size]=K256)*(Hanger_size[Insulation thickness]=L256),"no results")</f>
        <v>#VALUE!</v>
      </c>
    </row>
  </sheetData>
  <phoneticPr fontId="2" type="noConversion"/>
  <pageMargins left="0.7" right="0.7" top="0.75" bottom="0.75" header="0.3" footer="0.3"/>
  <tableParts count="3">
    <tablePart r:id="rId1"/>
    <tablePart r:id="rId2"/>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2718E8-E812-4D7D-8796-6BD78E722C6B}">
  <sheetPr codeName="Sheet7"/>
  <dimension ref="A2:G6"/>
  <sheetViews>
    <sheetView zoomScale="70" zoomScaleNormal="70" workbookViewId="0">
      <selection activeCell="B11" sqref="B11"/>
    </sheetView>
  </sheetViews>
  <sheetFormatPr defaultRowHeight="15" x14ac:dyDescent="0.25"/>
  <cols>
    <col min="1" max="1" width="15.85546875" customWidth="1"/>
    <col min="2" max="2" width="58.5703125" customWidth="1"/>
    <col min="5" max="5" width="63" customWidth="1"/>
    <col min="7" max="7" width="106.42578125" customWidth="1"/>
  </cols>
  <sheetData>
    <row r="2" spans="1:7" ht="282" customHeight="1" x14ac:dyDescent="0.25">
      <c r="A2" t="s">
        <v>131</v>
      </c>
      <c r="E2" t="str">
        <f>IF(Inputs!C16="strut clamp","Pipe_to_strut",Inputs!C4)</f>
        <v>Pipe</v>
      </c>
      <c r="F2" t="s">
        <v>131</v>
      </c>
      <c r="G2" t="e">
        <f>IF(Calculations!#REF!=0,"We recommend frames "&amp;'H-frame item list'!E245&amp;" inches tall x "&amp;'H-frame item list'!F245&amp;" inches wide with "&amp;SUM(2+Calculations!#REF!)&amp;" bases per frame and the duct "&amp;Calculations!B5&amp;" inches off the deck. The bottom cross piece will be "&amp;Calculations!#REF!&amp;" strut for the standard spacing of "&amp;Calculations!#REF!&amp;" feet between frames. Any elbows or branches will likely require an additional frame leading to the total of "&amp;Calculations!#REF!&amp;" frames.","We recommend frames "&amp;'H-frame item list'!E245&amp;" inches tall x "&amp;'H-frame item list'!F245&amp;" inches wide with "&amp;SUM(2+Calculations!#REF!)&amp;" bases per frame and the duct "&amp;Calculations!B5&amp;" inches off the deck. The bottom cross piece will be "&amp;Calculations!#REF!&amp;" strut for the standard spacing of "&amp;Calculations!#REF!&amp;" feet between frames and there will be an extra cross piece of A12 strut at the top. Any elbows or branches will likely require an additional frame leading to the total of "&amp;Calculations!#REF!&amp;" frames.")</f>
        <v>#REF!</v>
      </c>
    </row>
    <row r="3" spans="1:7" ht="259.5" customHeight="1" x14ac:dyDescent="0.25">
      <c r="A3" t="s">
        <v>10</v>
      </c>
      <c r="F3" t="s">
        <v>10</v>
      </c>
      <c r="G3" t="e">
        <f>IF(Inputs!C18="Yes","We recommend frames "&amp;'H-frame item list'!E245&amp;" inches tall x "&amp;'H-frame item list'!F245&amp;" inches wide with "&amp;SUM(2+Calculations!#REF!)&amp;" bases per frame and the pipes "&amp;Calculations!B5&amp;" inches off the deck. The bottom cross piece will be "&amp;Calculations!#REF!&amp;" strut for the standard spacing of "&amp;Calculations!#REF!&amp;" feet between frames. Any elbows or branches will likely require an additional frame leading to the total of "&amp;Calculations!#REF!&amp;" frames. Pipe type 1 will be secured by "&amp;Calculations!B13&amp;", and Pipe type 2 will be secured by "&amp;Calculations!B25&amp;".","We recommend frames "&amp;'H-frame item list'!E245&amp;" inches tall x "&amp;'H-frame item list'!F245&amp;" inches wide with "&amp;SUM(2+Calculations!#REF!)&amp;" bases per frame and the pipes "&amp;Calculations!B5&amp;" inches off the deck. The bottom cross piece will be "&amp;Calculations!#REF!&amp;" strut for the standard spacing of "&amp;Calculations!#REF!&amp;" feet between frames. Any elbows or branches will likely require an additional frame leading to the total of "&amp;Calculations!#REF!&amp;" frames. Pipe type 1 will be secured by "&amp;Calculations!B13&amp;".")</f>
        <v>#REF!</v>
      </c>
    </row>
    <row r="4" spans="1:7" ht="259.5" customHeight="1" x14ac:dyDescent="0.25"/>
    <row r="5" spans="1:7" ht="259.5" customHeight="1" x14ac:dyDescent="0.25">
      <c r="A5" t="s">
        <v>136</v>
      </c>
      <c r="F5" t="s">
        <v>136</v>
      </c>
      <c r="G5" t="e">
        <f>IF(Calculations!#REF!=0,"We recommend frames "&amp;'H-frame item list'!E245&amp;" inches tall x "&amp;'H-frame item list'!F245&amp;" inches wide with "&amp;SUM(2+Calculations!#REF!)&amp;" bases per frame and the utility will be "&amp;Calculations!B5&amp;" inches off the deck. The bottom cross piece will be "&amp;Calculations!#REF!&amp;" strut for the standard spacing of "&amp;Calculations!#REF!&amp;" feet between frames. Any elbows or branches will likely require an additional frame leading to the total of "&amp;Calculations!#REF!&amp;" frames.","We recommend frames "&amp;Calculations!#REF!&amp;" inches tall x "&amp;Calculations!#REF!&amp;" inches wide with "&amp;SUM(2+Calculations!#REF!)&amp;" bases per frame and the utility will be "&amp;Calculations!B5&amp;" inches off the deck. The bottom cross piece will be "&amp;Calculations!#REF!&amp;" strut for the standard spacing of "&amp;Calculations!#REF!&amp;" feet between frames and there will be an extra cross piece of A12 strut at the top. Any elbows or branches will likely require an additional frame leading to the total of "&amp;Calculations!#REF!&amp;" frames.")</f>
        <v>#REF!</v>
      </c>
    </row>
    <row r="6" spans="1:7" ht="259.5" customHeight="1" x14ac:dyDescent="0.25">
      <c r="A6" t="s">
        <v>797</v>
      </c>
      <c r="F6" t="s">
        <v>797</v>
      </c>
      <c r="G6" t="e">
        <f>"We recommend frames "&amp;'H-frame item list'!E245&amp;" inches tall x "&amp;'H-frame item list'!F245&amp;" inches wide with "&amp;SUM(2+Calculations!#REF!)&amp;" bases per frame and the pipes "&amp;Calculations!B5&amp;" inches off the deck. The bottom cross piece will be "&amp;Calculations!#REF!&amp;" strut for the standard spacing of "&amp;Calculations!#REF!&amp;" feet between frames. Any elbows or branches will likely require an additional frame leading to the total of "&amp;Calculations!#REF!&amp;" frames. Pipe type 1 will be secured by "&amp;Calculations!B13&amp;" , and Pipe type 2 will be secured by "&amp;Calculations!B25&amp;"."</f>
        <v>#REF!</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F44353-9BF4-447E-8DE7-547828C574EB}">
  <sheetPr codeName="Sheet8"/>
  <dimension ref="A1:AP44"/>
  <sheetViews>
    <sheetView topLeftCell="A4" zoomScale="83" zoomScaleNormal="83" workbookViewId="0">
      <selection activeCell="B11" sqref="B11"/>
    </sheetView>
  </sheetViews>
  <sheetFormatPr defaultRowHeight="15" x14ac:dyDescent="0.25"/>
  <cols>
    <col min="1" max="1" width="11.85546875" customWidth="1"/>
    <col min="2" max="2" width="18" customWidth="1"/>
    <col min="3" max="4" width="16.7109375" customWidth="1"/>
    <col min="6" max="6" width="12" bestFit="1" customWidth="1"/>
    <col min="7" max="7" width="23.85546875" customWidth="1"/>
    <col min="8" max="8" width="18.28515625" customWidth="1"/>
    <col min="21" max="21" width="5.140625" customWidth="1"/>
  </cols>
  <sheetData>
    <row r="1" spans="1:8" x14ac:dyDescent="0.25">
      <c r="A1" t="s">
        <v>776</v>
      </c>
      <c r="B1" t="s">
        <v>777</v>
      </c>
      <c r="C1" t="s">
        <v>798</v>
      </c>
      <c r="D1" t="s">
        <v>799</v>
      </c>
      <c r="F1" t="s">
        <v>776</v>
      </c>
      <c r="G1" t="s">
        <v>781</v>
      </c>
      <c r="H1" t="s">
        <v>782</v>
      </c>
    </row>
    <row r="2" spans="1:8" x14ac:dyDescent="0.25">
      <c r="A2" t="s">
        <v>176</v>
      </c>
      <c r="B2">
        <v>18</v>
      </c>
      <c r="C2">
        <v>2256</v>
      </c>
      <c r="D2">
        <v>0</v>
      </c>
      <c r="F2" t="s">
        <v>176</v>
      </c>
      <c r="G2">
        <v>18</v>
      </c>
      <c r="H2">
        <v>9481</v>
      </c>
    </row>
    <row r="3" spans="1:8" x14ac:dyDescent="0.25">
      <c r="A3" t="s">
        <v>181</v>
      </c>
      <c r="B3">
        <v>18</v>
      </c>
      <c r="C3">
        <v>6289</v>
      </c>
      <c r="D3">
        <v>0</v>
      </c>
      <c r="F3" t="s">
        <v>176</v>
      </c>
      <c r="G3">
        <v>24</v>
      </c>
      <c r="H3">
        <v>8582</v>
      </c>
    </row>
    <row r="4" spans="1:8" x14ac:dyDescent="0.25">
      <c r="A4" t="s">
        <v>784</v>
      </c>
      <c r="B4">
        <v>18</v>
      </c>
      <c r="C4">
        <v>7111</v>
      </c>
      <c r="D4">
        <v>0</v>
      </c>
      <c r="F4" t="s">
        <v>176</v>
      </c>
      <c r="G4">
        <v>30</v>
      </c>
      <c r="H4">
        <v>7601</v>
      </c>
    </row>
    <row r="5" spans="1:8" x14ac:dyDescent="0.25">
      <c r="A5" t="s">
        <v>176</v>
      </c>
      <c r="B5">
        <v>24</v>
      </c>
      <c r="C5">
        <v>1692</v>
      </c>
      <c r="D5">
        <v>0</v>
      </c>
      <c r="F5" t="s">
        <v>176</v>
      </c>
      <c r="G5">
        <v>36</v>
      </c>
      <c r="H5">
        <v>6595</v>
      </c>
    </row>
    <row r="6" spans="1:8" x14ac:dyDescent="0.25">
      <c r="A6" t="s">
        <v>181</v>
      </c>
      <c r="B6">
        <v>24</v>
      </c>
      <c r="C6">
        <v>4717</v>
      </c>
      <c r="D6">
        <v>0</v>
      </c>
      <c r="F6" t="s">
        <v>176</v>
      </c>
      <c r="G6">
        <v>42</v>
      </c>
      <c r="H6">
        <v>5595</v>
      </c>
    </row>
    <row r="7" spans="1:8" x14ac:dyDescent="0.25">
      <c r="A7" t="s">
        <v>784</v>
      </c>
      <c r="B7">
        <v>24</v>
      </c>
      <c r="C7">
        <v>5333</v>
      </c>
      <c r="D7">
        <v>0</v>
      </c>
      <c r="F7" t="s">
        <v>176</v>
      </c>
      <c r="G7">
        <v>48</v>
      </c>
      <c r="H7">
        <v>4718</v>
      </c>
    </row>
    <row r="8" spans="1:8" x14ac:dyDescent="0.25">
      <c r="A8" t="s">
        <v>176</v>
      </c>
      <c r="B8">
        <v>30</v>
      </c>
      <c r="C8">
        <v>1353</v>
      </c>
      <c r="D8">
        <v>0</v>
      </c>
      <c r="F8" t="s">
        <v>176</v>
      </c>
      <c r="G8">
        <v>54</v>
      </c>
      <c r="H8">
        <v>4090</v>
      </c>
    </row>
    <row r="9" spans="1:8" x14ac:dyDescent="0.25">
      <c r="A9" t="s">
        <v>181</v>
      </c>
      <c r="B9">
        <v>30</v>
      </c>
      <c r="C9">
        <v>3773</v>
      </c>
      <c r="D9">
        <v>0</v>
      </c>
      <c r="F9" t="s">
        <v>176</v>
      </c>
      <c r="G9">
        <v>60</v>
      </c>
      <c r="H9">
        <v>3616</v>
      </c>
    </row>
    <row r="10" spans="1:8" x14ac:dyDescent="0.25">
      <c r="A10" t="s">
        <v>784</v>
      </c>
      <c r="B10">
        <v>30</v>
      </c>
      <c r="C10">
        <v>4267</v>
      </c>
      <c r="D10">
        <v>0</v>
      </c>
      <c r="F10" t="s">
        <v>176</v>
      </c>
      <c r="G10">
        <v>72</v>
      </c>
      <c r="H10">
        <v>2936</v>
      </c>
    </row>
    <row r="11" spans="1:8" x14ac:dyDescent="0.25">
      <c r="A11" t="s">
        <v>176</v>
      </c>
      <c r="B11">
        <v>36</v>
      </c>
      <c r="C11">
        <v>1128</v>
      </c>
      <c r="D11">
        <v>0</v>
      </c>
      <c r="F11" t="s">
        <v>176</v>
      </c>
      <c r="G11">
        <v>84</v>
      </c>
      <c r="H11">
        <v>2461</v>
      </c>
    </row>
    <row r="12" spans="1:8" x14ac:dyDescent="0.25">
      <c r="A12" t="s">
        <v>181</v>
      </c>
      <c r="B12">
        <v>36</v>
      </c>
      <c r="C12">
        <v>3144</v>
      </c>
      <c r="D12">
        <v>0</v>
      </c>
      <c r="F12" t="s">
        <v>176</v>
      </c>
      <c r="G12">
        <v>96</v>
      </c>
      <c r="H12">
        <v>2101</v>
      </c>
    </row>
    <row r="13" spans="1:8" x14ac:dyDescent="0.25">
      <c r="A13" t="s">
        <v>784</v>
      </c>
      <c r="B13">
        <v>36</v>
      </c>
      <c r="C13">
        <v>3556</v>
      </c>
      <c r="D13">
        <v>0</v>
      </c>
      <c r="F13" t="s">
        <v>176</v>
      </c>
      <c r="G13">
        <v>108</v>
      </c>
      <c r="H13">
        <v>1816</v>
      </c>
    </row>
    <row r="14" spans="1:8" x14ac:dyDescent="0.25">
      <c r="A14" t="s">
        <v>176</v>
      </c>
      <c r="B14">
        <v>42</v>
      </c>
      <c r="C14">
        <v>967</v>
      </c>
      <c r="D14">
        <v>0</v>
      </c>
      <c r="F14" t="s">
        <v>176</v>
      </c>
      <c r="G14">
        <v>120</v>
      </c>
      <c r="H14">
        <v>1583</v>
      </c>
    </row>
    <row r="15" spans="1:8" x14ac:dyDescent="0.25">
      <c r="A15" t="s">
        <v>181</v>
      </c>
      <c r="B15">
        <v>42</v>
      </c>
      <c r="C15">
        <v>2695</v>
      </c>
      <c r="D15">
        <v>0</v>
      </c>
    </row>
    <row r="16" spans="1:8" x14ac:dyDescent="0.25">
      <c r="A16" t="s">
        <v>784</v>
      </c>
      <c r="B16">
        <v>42</v>
      </c>
      <c r="C16">
        <v>3048</v>
      </c>
      <c r="D16">
        <v>0</v>
      </c>
    </row>
    <row r="17" spans="1:10" x14ac:dyDescent="0.25">
      <c r="A17" t="s">
        <v>176</v>
      </c>
      <c r="B17">
        <v>48</v>
      </c>
      <c r="C17">
        <v>757</v>
      </c>
      <c r="D17">
        <v>0</v>
      </c>
    </row>
    <row r="18" spans="1:10" x14ac:dyDescent="0.25">
      <c r="A18" t="s">
        <v>181</v>
      </c>
      <c r="B18">
        <v>48</v>
      </c>
      <c r="C18">
        <v>2358</v>
      </c>
      <c r="D18">
        <v>0</v>
      </c>
    </row>
    <row r="19" spans="1:10" x14ac:dyDescent="0.25">
      <c r="A19" t="s">
        <v>784</v>
      </c>
      <c r="B19">
        <v>48</v>
      </c>
      <c r="C19">
        <v>2667</v>
      </c>
      <c r="D19">
        <v>0</v>
      </c>
    </row>
    <row r="20" spans="1:10" x14ac:dyDescent="0.25">
      <c r="A20" t="s">
        <v>176</v>
      </c>
      <c r="B20">
        <v>54</v>
      </c>
      <c r="C20">
        <v>598</v>
      </c>
      <c r="D20">
        <v>0</v>
      </c>
    </row>
    <row r="21" spans="1:10" x14ac:dyDescent="0.25">
      <c r="A21" t="s">
        <v>181</v>
      </c>
      <c r="B21">
        <v>54</v>
      </c>
      <c r="C21">
        <v>2096</v>
      </c>
      <c r="D21">
        <v>0</v>
      </c>
    </row>
    <row r="22" spans="1:10" x14ac:dyDescent="0.25">
      <c r="A22" t="s">
        <v>784</v>
      </c>
      <c r="B22">
        <v>54</v>
      </c>
      <c r="C22">
        <v>2370</v>
      </c>
      <c r="D22">
        <v>0</v>
      </c>
    </row>
    <row r="23" spans="1:10" x14ac:dyDescent="0.25">
      <c r="A23" t="s">
        <v>176</v>
      </c>
      <c r="B23">
        <v>60</v>
      </c>
      <c r="C23">
        <v>485</v>
      </c>
      <c r="D23">
        <v>0</v>
      </c>
    </row>
    <row r="24" spans="1:10" x14ac:dyDescent="0.25">
      <c r="A24" t="s">
        <v>181</v>
      </c>
      <c r="B24">
        <v>60</v>
      </c>
      <c r="C24">
        <v>1887</v>
      </c>
      <c r="D24">
        <v>0</v>
      </c>
    </row>
    <row r="25" spans="1:10" x14ac:dyDescent="0.25">
      <c r="A25" t="s">
        <v>784</v>
      </c>
      <c r="B25">
        <v>60</v>
      </c>
      <c r="C25">
        <v>2133</v>
      </c>
      <c r="D25">
        <v>0</v>
      </c>
    </row>
    <row r="26" spans="1:10" x14ac:dyDescent="0.25">
      <c r="A26" t="s">
        <v>176</v>
      </c>
      <c r="B26">
        <v>72</v>
      </c>
      <c r="C26">
        <v>337</v>
      </c>
      <c r="D26">
        <v>0</v>
      </c>
    </row>
    <row r="27" spans="1:10" x14ac:dyDescent="0.25">
      <c r="A27" t="s">
        <v>181</v>
      </c>
      <c r="B27">
        <v>72</v>
      </c>
      <c r="C27">
        <v>1572</v>
      </c>
      <c r="D27">
        <v>0</v>
      </c>
      <c r="F27" t="s">
        <v>785</v>
      </c>
    </row>
    <row r="28" spans="1:10" x14ac:dyDescent="0.25">
      <c r="A28" t="s">
        <v>784</v>
      </c>
      <c r="B28">
        <v>72</v>
      </c>
      <c r="C28">
        <v>1778</v>
      </c>
      <c r="D28">
        <v>0</v>
      </c>
      <c r="F28" t="s">
        <v>786</v>
      </c>
      <c r="G28" t="s">
        <v>777</v>
      </c>
      <c r="H28" t="s">
        <v>787</v>
      </c>
      <c r="J28" t="s">
        <v>788</v>
      </c>
    </row>
    <row r="29" spans="1:10" x14ac:dyDescent="0.25">
      <c r="A29" t="s">
        <v>176</v>
      </c>
      <c r="B29">
        <v>84</v>
      </c>
      <c r="C29">
        <v>247</v>
      </c>
      <c r="D29">
        <v>0</v>
      </c>
      <c r="F29" t="e">
        <f>IF($E44="no results",
IF($J44="no results",
IF($N44="no results",
IF($R44="no results",V44,R44),
N44),
J44),
E44)</f>
        <v>#VALUE!</v>
      </c>
      <c r="G29" t="e">
        <f>IF($E44="no results",
IF($J44="no results",
IF($N44="no results",
IF($R44="no results",W44,S44),
O44),
K44),
F44)</f>
        <v>#VALUE!</v>
      </c>
      <c r="H29" t="e">
        <f>IF($E44="no results",
IF($J44="no results",
IF($N44="no results",
IF($R44="no results",X44,T44),
P44),
L44),
G44)</f>
        <v>#VALUE!</v>
      </c>
      <c r="J29" t="e">
        <f>ROUNDDOWN(Calculations!B$35/'Strut loadsAltered'!G29,0)</f>
        <v>#VALUE!</v>
      </c>
    </row>
    <row r="30" spans="1:10" x14ac:dyDescent="0.25">
      <c r="A30" t="s">
        <v>181</v>
      </c>
      <c r="B30">
        <v>84</v>
      </c>
      <c r="C30">
        <v>1210</v>
      </c>
      <c r="D30">
        <v>0</v>
      </c>
    </row>
    <row r="31" spans="1:10" x14ac:dyDescent="0.25">
      <c r="A31" t="s">
        <v>784</v>
      </c>
      <c r="B31">
        <v>84</v>
      </c>
      <c r="C31">
        <v>1461</v>
      </c>
      <c r="D31">
        <v>0</v>
      </c>
      <c r="F31" t="s">
        <v>789</v>
      </c>
      <c r="J31" t="s">
        <v>788</v>
      </c>
    </row>
    <row r="32" spans="1:10" x14ac:dyDescent="0.25">
      <c r="A32" t="s">
        <v>176</v>
      </c>
      <c r="B32">
        <v>96</v>
      </c>
      <c r="C32">
        <v>189</v>
      </c>
      <c r="D32">
        <v>0</v>
      </c>
      <c r="F32" t="e">
        <f>IF($Z44="no results",
IF($AD44="no results",
IF($AH44="no results",
IF($AL44="no results",AP44,AL44),
AH44),
AD44),
Z44)</f>
        <v>#REF!</v>
      </c>
      <c r="G32" t="e">
        <f t="shared" ref="G32:H32" si="0">IF($Z44="no results",
IF($AD44="no results",
IF($AH44="no results",
IF($AL44="no results",AQ44,AM44),
AI44),
AE44),
AA44)</f>
        <v>#REF!</v>
      </c>
      <c r="H32" t="e">
        <f t="shared" si="0"/>
        <v>#REF!</v>
      </c>
      <c r="J32" t="e">
        <f>ROUNDDOWN(Calculations!B$35/'Strut loadsAltered'!G32,0)</f>
        <v>#VALUE!</v>
      </c>
    </row>
    <row r="33" spans="1:42" x14ac:dyDescent="0.25">
      <c r="A33" t="s">
        <v>181</v>
      </c>
      <c r="B33">
        <v>96</v>
      </c>
      <c r="C33">
        <v>926</v>
      </c>
      <c r="D33">
        <v>0</v>
      </c>
    </row>
    <row r="34" spans="1:42" x14ac:dyDescent="0.25">
      <c r="A34" t="s">
        <v>784</v>
      </c>
      <c r="B34">
        <v>96</v>
      </c>
      <c r="C34">
        <v>1119</v>
      </c>
      <c r="D34">
        <v>0</v>
      </c>
    </row>
    <row r="35" spans="1:42" x14ac:dyDescent="0.25">
      <c r="A35" t="s">
        <v>176</v>
      </c>
      <c r="B35">
        <v>108</v>
      </c>
      <c r="C35">
        <v>150</v>
      </c>
      <c r="D35">
        <v>0</v>
      </c>
    </row>
    <row r="36" spans="1:42" x14ac:dyDescent="0.25">
      <c r="A36" t="s">
        <v>181</v>
      </c>
      <c r="B36">
        <v>108</v>
      </c>
      <c r="C36">
        <v>732</v>
      </c>
      <c r="D36">
        <v>0</v>
      </c>
    </row>
    <row r="37" spans="1:42" x14ac:dyDescent="0.25">
      <c r="A37" t="s">
        <v>784</v>
      </c>
      <c r="B37">
        <v>108</v>
      </c>
      <c r="C37">
        <v>884</v>
      </c>
      <c r="D37">
        <v>0</v>
      </c>
    </row>
    <row r="38" spans="1:42" x14ac:dyDescent="0.25">
      <c r="A38" t="s">
        <v>176</v>
      </c>
      <c r="B38">
        <v>120</v>
      </c>
      <c r="C38">
        <v>121</v>
      </c>
      <c r="D38">
        <v>0</v>
      </c>
    </row>
    <row r="39" spans="1:42" x14ac:dyDescent="0.25">
      <c r="A39" t="s">
        <v>181</v>
      </c>
      <c r="B39">
        <v>120</v>
      </c>
      <c r="C39">
        <v>593</v>
      </c>
      <c r="D39">
        <v>0</v>
      </c>
    </row>
    <row r="40" spans="1:42" x14ac:dyDescent="0.25">
      <c r="A40" t="s">
        <v>784</v>
      </c>
      <c r="B40">
        <v>120</v>
      </c>
      <c r="C40">
        <v>716</v>
      </c>
      <c r="D40">
        <v>0</v>
      </c>
    </row>
    <row r="42" spans="1:42" x14ac:dyDescent="0.25">
      <c r="A42" s="64" t="s">
        <v>791</v>
      </c>
      <c r="B42" s="64"/>
      <c r="C42" s="64"/>
      <c r="D42" s="64"/>
      <c r="E42" s="64"/>
      <c r="F42" s="64"/>
      <c r="G42" s="64"/>
      <c r="H42" s="64"/>
      <c r="I42" s="64"/>
      <c r="J42" s="64"/>
      <c r="K42" s="64"/>
      <c r="L42" s="64"/>
      <c r="M42" s="64"/>
      <c r="N42" s="64"/>
      <c r="O42" s="64"/>
      <c r="P42" s="64"/>
      <c r="Q42" s="64"/>
      <c r="R42" s="64"/>
      <c r="S42" s="64"/>
      <c r="T42" s="64"/>
      <c r="U42" s="12"/>
      <c r="V42" s="64" t="s">
        <v>92</v>
      </c>
      <c r="W42" s="64"/>
      <c r="X42" s="64"/>
      <c r="Y42" s="64"/>
      <c r="Z42" s="64"/>
      <c r="AA42" s="64"/>
      <c r="AB42" s="64"/>
      <c r="AC42" s="64"/>
      <c r="AD42" s="64"/>
      <c r="AE42" s="64"/>
      <c r="AF42" s="64"/>
      <c r="AG42" s="64"/>
      <c r="AH42" s="64"/>
      <c r="AI42" s="64"/>
      <c r="AJ42" s="64"/>
      <c r="AK42" s="64"/>
      <c r="AL42" s="64"/>
      <c r="AM42" s="64"/>
      <c r="AN42" s="64"/>
    </row>
    <row r="43" spans="1:42" x14ac:dyDescent="0.25">
      <c r="E43" t="s">
        <v>792</v>
      </c>
      <c r="J43" t="s">
        <v>796</v>
      </c>
      <c r="N43" t="s">
        <v>793</v>
      </c>
      <c r="R43" t="s">
        <v>794</v>
      </c>
      <c r="V43" t="s">
        <v>795</v>
      </c>
      <c r="Z43" t="s">
        <v>792</v>
      </c>
      <c r="AD43" t="s">
        <v>796</v>
      </c>
      <c r="AH43" t="s">
        <v>793</v>
      </c>
      <c r="AL43" t="s">
        <v>794</v>
      </c>
      <c r="AP43" t="s">
        <v>795</v>
      </c>
    </row>
    <row r="44" spans="1:42" x14ac:dyDescent="0.25">
      <c r="E44" t="e" cm="1">
        <f t="array" ref="E44">_xlfn._xlws.FILTER(Beam_loads10[],(Beam_loads10[Beam span]&gt;Calculations!B35)*(Beam_loads10[Max beam load]&gt;Calculations!#REF!),"no results")</f>
        <v>#VALUE!</v>
      </c>
      <c r="J44" t="e" cm="1">
        <f t="array" ref="J44">_xlfn._xlws.FILTER(Beam_loads10[],(Beam_loads10[Beam span]&gt;(Calculations!B35/2))*(Beam_loads10[Max beam load]&gt;Calculations!#REF!),"no results")</f>
        <v>#VALUE!</v>
      </c>
      <c r="N44" t="e" cm="1">
        <f t="array" ref="N44">_xlfn._xlws.FILTER(Beam_loads10[],(Beam_loads10[Beam span]&gt;(Calculations!B35/3))*(Beam_loads10[Max beam load]&gt;Calculations!#REF!),"no results")</f>
        <v>#VALUE!</v>
      </c>
      <c r="R44" t="e" cm="1">
        <f t="array" ref="R44">_xlfn._xlws.FILTER(Beam_loads10[],(Beam_loads10[Beam span]&gt;(Calculations!B35/4))*(Beam_loads10[Max beam load]&gt;Calculations!#REF!),"no results")</f>
        <v>#VALUE!</v>
      </c>
      <c r="V44" t="e" cm="1">
        <f t="array" ref="V44">_xlfn._xlws.FILTER(Beam_loads10[],(Beam_loads10[Beam span]&gt;(Calculations!B35/5))*(Beam_loads10[Max beam load]&gt;Calculations!#REF!),"no results")</f>
        <v>#VALUE!</v>
      </c>
      <c r="Z44" t="e" cm="1">
        <f t="array" ref="Z44">_xlfn._xlws.FILTER(Beam_loads10[],(Beam_loads10[Beam span]&gt;Calculations!#REF!)*(Beam_loads10[Max beam load]&gt;Calculations!#REF!),"no results")</f>
        <v>#REF!</v>
      </c>
      <c r="AD44" t="e" cm="1">
        <f t="array" ref="AD44">_xlfn._xlws.FILTER(Beam_loads10[],(Beam_loads10[Beam span]&gt;(Calculations!#REF!/2))*(Beam_loads10[Max beam load]&gt;Calculations!#REF!),"no results")</f>
        <v>#REF!</v>
      </c>
      <c r="AH44" t="e" cm="1">
        <f t="array" ref="AH44">_xlfn._xlws.FILTER(Beam_loads10[],(Beam_loads10[Beam span]&gt;(Calculations!#REF!/3))*(Beam_loads10[Max beam load]&gt;Calculations!#REF!),"no results")</f>
        <v>#REF!</v>
      </c>
      <c r="AL44" t="e" cm="1">
        <f t="array" ref="AL44">_xlfn._xlws.FILTER(Beam_loads10[],(Beam_loads10[Beam span]&gt;(Calculations!#REF!/4))*(Beam_loads10[Max beam load]&gt;Calculations!#REF!),"no results")</f>
        <v>#REF!</v>
      </c>
      <c r="AP44" t="e" cm="1">
        <f t="array" ref="AP44">_xlfn._xlws.FILTER(Beam_loads10[],(Beam_loads10[Beam span]&gt;(Calculations!#REF!/5))*(Beam_loads10[Max beam load]&gt;Calculations!#REF!),"no results")</f>
        <v>#REF!</v>
      </c>
    </row>
  </sheetData>
  <mergeCells count="2">
    <mergeCell ref="A42:T42"/>
    <mergeCell ref="V42:AN42"/>
  </mergeCells>
  <pageMargins left="0.7" right="0.7" top="0.75" bottom="0.75" header="0.3" footer="0.3"/>
  <pageSetup orientation="portrait" r:id="rId1"/>
  <tableParts count="2">
    <tablePart r:id="rId2"/>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32E448-C2AB-4AD4-B5B7-F319E90F4C23}">
  <sheetPr codeName="Sheet9"/>
  <dimension ref="A1:R44"/>
  <sheetViews>
    <sheetView zoomScale="208" zoomScaleNormal="208" workbookViewId="0">
      <selection activeCell="B11" sqref="B11"/>
    </sheetView>
  </sheetViews>
  <sheetFormatPr defaultRowHeight="15" x14ac:dyDescent="0.25"/>
  <cols>
    <col min="1" max="1" width="14.7109375" customWidth="1"/>
    <col min="2" max="2" width="41.28515625" customWidth="1"/>
    <col min="3" max="3" width="15.28515625" customWidth="1"/>
    <col min="4" max="4" width="16.85546875" customWidth="1"/>
    <col min="5" max="5" width="29.5703125" customWidth="1"/>
    <col min="6" max="6" width="21.85546875" bestFit="1" customWidth="1"/>
    <col min="7" max="7" width="12.42578125" customWidth="1"/>
    <col min="8" max="8" width="12" customWidth="1"/>
    <col min="14" max="14" width="10.42578125" customWidth="1"/>
    <col min="15" max="15" width="11.85546875" customWidth="1"/>
    <col min="17" max="17" width="17.5703125" customWidth="1"/>
    <col min="18" max="18" width="11.85546875" customWidth="1"/>
  </cols>
  <sheetData>
    <row r="1" spans="1:18" x14ac:dyDescent="0.25">
      <c r="A1" t="s">
        <v>111</v>
      </c>
      <c r="B1" t="s">
        <v>112</v>
      </c>
      <c r="C1" t="s">
        <v>123</v>
      </c>
      <c r="D1" t="s">
        <v>697</v>
      </c>
      <c r="E1" t="s">
        <v>698</v>
      </c>
      <c r="F1" t="s">
        <v>699</v>
      </c>
      <c r="G1" t="s">
        <v>700</v>
      </c>
      <c r="H1" t="s">
        <v>701</v>
      </c>
      <c r="I1" t="s">
        <v>702</v>
      </c>
      <c r="J1" t="s">
        <v>703</v>
      </c>
      <c r="N1" t="s">
        <v>704</v>
      </c>
      <c r="O1" t="s">
        <v>705</v>
      </c>
      <c r="Q1" t="s">
        <v>706</v>
      </c>
      <c r="R1" t="s">
        <v>705</v>
      </c>
    </row>
    <row r="2" spans="1:18" x14ac:dyDescent="0.25">
      <c r="A2" s="1" t="s">
        <v>707</v>
      </c>
      <c r="B2" s="1" t="str">
        <f>D2&amp;" inch clevis hanger on 0."&amp;E2&amp;" rod"</f>
        <v xml:space="preserve"> inch clevis hanger on 0. rod</v>
      </c>
      <c r="C2" s="10"/>
      <c r="D2" s="1"/>
      <c r="E2" s="1"/>
      <c r="F2" t="e">
        <f>(1.5*_xlfn.XLOOKUP(Hanger_list[[#This Row],[Rod diameter (3/8 =1, 1/2" =2)]],Rod_costs[Rod size],Rod_costs[Unit price],"no result"))+_xlfn.XLOOKUP(Hanger_list[[#This Row],[Rod diameter (3/8 =1, 1/2" =2)]],Table6[Nut/washer size],Table6[Unit price])</f>
        <v>#VALUE!</v>
      </c>
      <c r="G2" s="7">
        <v>0.7</v>
      </c>
      <c r="H2" s="11">
        <v>10.199999999999999</v>
      </c>
      <c r="I2" s="5" t="e">
        <f>SUM(F2:H2)/(1-Hanger_list[[#This Row],[margin]])</f>
        <v>#VALUE!</v>
      </c>
      <c r="J2" s="36">
        <v>0.75</v>
      </c>
      <c r="N2">
        <v>500</v>
      </c>
      <c r="O2" s="5">
        <v>1.6</v>
      </c>
      <c r="Q2" s="22">
        <v>500</v>
      </c>
      <c r="R2" s="5">
        <v>0.52</v>
      </c>
    </row>
    <row r="3" spans="1:18" x14ac:dyDescent="0.25">
      <c r="A3" s="39" t="s">
        <v>708</v>
      </c>
      <c r="B3" s="39" t="str">
        <f t="shared" ref="B3:B31" si="0">D3&amp;" inch clevis hanger on 0."&amp;E3&amp;" rod"</f>
        <v>3 inch clevis hanger on 0.500 rod</v>
      </c>
      <c r="C3" s="40" t="s">
        <v>134</v>
      </c>
      <c r="D3" s="39">
        <v>3</v>
      </c>
      <c r="E3" s="39">
        <v>500</v>
      </c>
      <c r="F3">
        <f>(1.5*_xlfn.XLOOKUP(Hanger_list[[#This Row],[Rod diameter (3/8 =1, 1/2" =2)]],Rod_costs[Rod size],Rod_costs[Unit price],"no result"))+_xlfn.XLOOKUP(Hanger_list[[#This Row],[Rod diameter (3/8 =1, 1/2" =2)]],Table6[Nut/washer size],Table6[Unit price])</f>
        <v>2.9200000000000004</v>
      </c>
      <c r="G3" s="41">
        <v>4.8</v>
      </c>
      <c r="H3" s="42">
        <f t="shared" ref="H3:H41" si="1">H$2</f>
        <v>10.199999999999999</v>
      </c>
      <c r="I3" s="43">
        <f>SUM(F3:H3)/(1-Hanger_list[[#This Row],[margin]])</f>
        <v>71.680000000000007</v>
      </c>
      <c r="J3" s="44">
        <f>J2</f>
        <v>0.75</v>
      </c>
      <c r="N3">
        <v>625</v>
      </c>
      <c r="O3" s="5">
        <v>2.85</v>
      </c>
      <c r="Q3" s="21">
        <v>625</v>
      </c>
      <c r="R3" s="5">
        <v>1</v>
      </c>
    </row>
    <row r="4" spans="1:18" x14ac:dyDescent="0.25">
      <c r="A4" s="39" t="s">
        <v>709</v>
      </c>
      <c r="B4" s="39" t="str">
        <f t="shared" si="0"/>
        <v>4 inch clevis hanger on 0.625 rod</v>
      </c>
      <c r="C4" s="40" t="s">
        <v>134</v>
      </c>
      <c r="D4" s="39">
        <v>4</v>
      </c>
      <c r="E4" s="39">
        <v>625</v>
      </c>
      <c r="F4">
        <f>(1.5*_xlfn.XLOOKUP(Hanger_list[[#This Row],[Rod diameter (3/8 =1, 1/2" =2)]],Rod_costs[Rod size],Rod_costs[Unit price],"no result"))+_xlfn.XLOOKUP(Hanger_list[[#This Row],[Rod diameter (3/8 =1, 1/2" =2)]],Table6[Nut/washer size],Table6[Unit price])</f>
        <v>5.2750000000000004</v>
      </c>
      <c r="G4" s="41">
        <v>6.23</v>
      </c>
      <c r="H4" s="42">
        <f t="shared" si="1"/>
        <v>10.199999999999999</v>
      </c>
      <c r="I4" s="43">
        <f>SUM(F4:H4)/(1-Hanger_list[[#This Row],[margin]])</f>
        <v>86.82</v>
      </c>
      <c r="J4" s="44">
        <f t="shared" ref="J4:J41" si="2">J3</f>
        <v>0.75</v>
      </c>
      <c r="N4">
        <v>750</v>
      </c>
      <c r="O4" s="5">
        <v>4.17</v>
      </c>
      <c r="Q4" s="22">
        <v>750</v>
      </c>
      <c r="R4" s="5">
        <v>1.53</v>
      </c>
    </row>
    <row r="5" spans="1:18" x14ac:dyDescent="0.25">
      <c r="A5" s="39" t="s">
        <v>710</v>
      </c>
      <c r="B5" s="39" t="str">
        <f t="shared" si="0"/>
        <v>5 inch clevis hanger on 0.625 rod</v>
      </c>
      <c r="C5" s="40" t="s">
        <v>134</v>
      </c>
      <c r="D5" s="39">
        <v>5</v>
      </c>
      <c r="E5" s="39">
        <v>625</v>
      </c>
      <c r="F5">
        <f>(1.5*_xlfn.XLOOKUP(Hanger_list[[#This Row],[Rod diameter (3/8 =1, 1/2" =2)]],Rod_costs[Rod size],Rod_costs[Unit price],"no result"))+_xlfn.XLOOKUP(Hanger_list[[#This Row],[Rod diameter (3/8 =1, 1/2" =2)]],Table6[Nut/washer size],Table6[Unit price])</f>
        <v>5.2750000000000004</v>
      </c>
      <c r="G5" s="41">
        <v>9.74</v>
      </c>
      <c r="H5" s="42">
        <f t="shared" si="1"/>
        <v>10.199999999999999</v>
      </c>
      <c r="I5" s="43">
        <f>SUM(F5:H5)/(1-Hanger_list[[#This Row],[margin]])</f>
        <v>100.86</v>
      </c>
      <c r="J5" s="44">
        <f t="shared" si="2"/>
        <v>0.75</v>
      </c>
      <c r="N5">
        <v>875</v>
      </c>
      <c r="O5" s="5">
        <v>5.77</v>
      </c>
      <c r="Q5" s="21">
        <v>875</v>
      </c>
      <c r="R5" s="5">
        <v>2.77</v>
      </c>
    </row>
    <row r="6" spans="1:18" x14ac:dyDescent="0.25">
      <c r="A6" s="39" t="s">
        <v>711</v>
      </c>
      <c r="B6" s="39" t="str">
        <f t="shared" si="0"/>
        <v>6 inch clevis hanger on 0.750 rod</v>
      </c>
      <c r="C6" s="40" t="s">
        <v>134</v>
      </c>
      <c r="D6" s="39">
        <v>6</v>
      </c>
      <c r="E6" s="39">
        <v>750</v>
      </c>
      <c r="F6">
        <f>(1.5*_xlfn.XLOOKUP(Hanger_list[[#This Row],[Rod diameter (3/8 =1, 1/2" =2)]],Rod_costs[Rod size],Rod_costs[Unit price],"no result"))+_xlfn.XLOOKUP(Hanger_list[[#This Row],[Rod diameter (3/8 =1, 1/2" =2)]],Table6[Nut/washer size],Table6[Unit price])</f>
        <v>7.7850000000000001</v>
      </c>
      <c r="G6" s="41">
        <v>12.48</v>
      </c>
      <c r="H6" s="42">
        <f t="shared" si="1"/>
        <v>10.199999999999999</v>
      </c>
      <c r="I6" s="43">
        <f>SUM(F6:H6)/(1-Hanger_list[[#This Row],[margin]])</f>
        <v>121.86</v>
      </c>
      <c r="J6" s="44">
        <f t="shared" si="2"/>
        <v>0.75</v>
      </c>
    </row>
    <row r="7" spans="1:18" x14ac:dyDescent="0.25">
      <c r="A7" s="39" t="s">
        <v>712</v>
      </c>
      <c r="B7" s="39" t="str">
        <f t="shared" si="0"/>
        <v>8 inch clevis hanger on 0.875 rod</v>
      </c>
      <c r="C7" s="40" t="s">
        <v>134</v>
      </c>
      <c r="D7" s="39">
        <v>8</v>
      </c>
      <c r="E7" s="39">
        <v>875</v>
      </c>
      <c r="F7">
        <f>(1.5*_xlfn.XLOOKUP(Hanger_list[[#This Row],[Rod diameter (3/8 =1, 1/2" =2)]],Rod_costs[Rod size],Rod_costs[Unit price],"no result"))+_xlfn.XLOOKUP(Hanger_list[[#This Row],[Rod diameter (3/8 =1, 1/2" =2)]],Table6[Nut/washer size],Table6[Unit price])</f>
        <v>11.424999999999999</v>
      </c>
      <c r="G7" s="41">
        <v>19.98</v>
      </c>
      <c r="H7" s="42">
        <f t="shared" si="1"/>
        <v>10.199999999999999</v>
      </c>
      <c r="I7" s="43">
        <f>SUM(F7:H7)/(1-Hanger_list[[#This Row],[margin]])</f>
        <v>166.42000000000002</v>
      </c>
      <c r="J7" s="44">
        <f t="shared" si="2"/>
        <v>0.75</v>
      </c>
    </row>
    <row r="8" spans="1:18" x14ac:dyDescent="0.25">
      <c r="A8" s="39" t="s">
        <v>713</v>
      </c>
      <c r="B8" s="39" t="str">
        <f t="shared" si="0"/>
        <v>10 inch clevis hanger on 0.875 rod</v>
      </c>
      <c r="C8" s="40" t="s">
        <v>134</v>
      </c>
      <c r="D8" s="39">
        <v>10</v>
      </c>
      <c r="E8" s="39">
        <v>875</v>
      </c>
      <c r="F8">
        <f>(1.5*_xlfn.XLOOKUP(Hanger_list[[#This Row],[Rod diameter (3/8 =1, 1/2" =2)]],Rod_costs[Rod size],Rod_costs[Unit price],"no result"))+_xlfn.XLOOKUP(Hanger_list[[#This Row],[Rod diameter (3/8 =1, 1/2" =2)]],Table6[Nut/washer size],Table6[Unit price])</f>
        <v>11.424999999999999</v>
      </c>
      <c r="G8" s="41">
        <v>37.31</v>
      </c>
      <c r="H8" s="42">
        <f t="shared" si="1"/>
        <v>10.199999999999999</v>
      </c>
      <c r="I8" s="43">
        <f>SUM(F8:H8)/(1-Hanger_list[[#This Row],[margin]])</f>
        <v>235.74</v>
      </c>
      <c r="J8" s="44">
        <f t="shared" si="2"/>
        <v>0.75</v>
      </c>
    </row>
    <row r="9" spans="1:18" x14ac:dyDescent="0.25">
      <c r="A9" s="39" t="s">
        <v>714</v>
      </c>
      <c r="B9" s="39" t="str">
        <f t="shared" si="0"/>
        <v>12 inch clevis hanger on 0.875 rod</v>
      </c>
      <c r="C9" s="40" t="s">
        <v>134</v>
      </c>
      <c r="D9" s="39">
        <v>12</v>
      </c>
      <c r="E9" s="39">
        <v>875</v>
      </c>
      <c r="F9">
        <f>(1.5*_xlfn.XLOOKUP(Hanger_list[[#This Row],[Rod diameter (3/8 =1, 1/2" =2)]],Rod_costs[Rod size],Rod_costs[Unit price],"no result"))+_xlfn.XLOOKUP(Hanger_list[[#This Row],[Rod diameter (3/8 =1, 1/2" =2)]],Table6[Nut/washer size],Table6[Unit price])</f>
        <v>11.424999999999999</v>
      </c>
      <c r="G9" s="41">
        <v>49.69</v>
      </c>
      <c r="H9" s="42">
        <f t="shared" si="1"/>
        <v>10.199999999999999</v>
      </c>
      <c r="I9" s="43">
        <f>SUM(F9:H9)/(1-Hanger_list[[#This Row],[margin]])</f>
        <v>285.26</v>
      </c>
      <c r="J9" s="44">
        <f t="shared" si="2"/>
        <v>0.75</v>
      </c>
    </row>
    <row r="10" spans="1:18" x14ac:dyDescent="0.25">
      <c r="A10" s="1" t="s">
        <v>715</v>
      </c>
      <c r="B10" s="1" t="str">
        <f t="shared" si="0"/>
        <v xml:space="preserve"> inch clevis hanger on 0. rod</v>
      </c>
      <c r="C10" s="10"/>
      <c r="D10" s="1"/>
      <c r="E10" s="1"/>
      <c r="F10" t="e">
        <f>(1.5*_xlfn.XLOOKUP(Hanger_list[[#This Row],[Rod diameter (3/8 =1, 1/2" =2)]],Rod_costs[Rod size],Rod_costs[Unit price],"no result"))+_xlfn.XLOOKUP(Hanger_list[[#This Row],[Rod diameter (3/8 =1, 1/2" =2)]],Table6[Nut/washer size],Table6[Unit price])</f>
        <v>#VALUE!</v>
      </c>
      <c r="G10" s="7">
        <v>11.666666666666668</v>
      </c>
      <c r="H10" s="11">
        <f t="shared" si="1"/>
        <v>10.199999999999999</v>
      </c>
      <c r="I10" s="5" t="e">
        <f>SUM(F10:H10)/(1-Hanger_list[[#This Row],[margin]])</f>
        <v>#VALUE!</v>
      </c>
      <c r="J10" s="36">
        <f t="shared" si="2"/>
        <v>0.75</v>
      </c>
      <c r="L10" s="39" t="s">
        <v>716</v>
      </c>
    </row>
    <row r="11" spans="1:18" x14ac:dyDescent="0.25">
      <c r="A11" s="1" t="s">
        <v>717</v>
      </c>
      <c r="B11" s="1" t="str">
        <f t="shared" si="0"/>
        <v xml:space="preserve"> inch clevis hanger on 0. rod</v>
      </c>
      <c r="C11" s="10"/>
      <c r="D11" s="1"/>
      <c r="E11" s="1"/>
      <c r="F11" t="e">
        <f>(1.5*_xlfn.XLOOKUP(Hanger_list[[#This Row],[Rod diameter (3/8 =1, 1/2" =2)]],Rod_costs[Rod size],Rod_costs[Unit price],"no result"))+_xlfn.XLOOKUP(Hanger_list[[#This Row],[Rod diameter (3/8 =1, 1/2" =2)]],Table6[Nut/washer size],Table6[Unit price])</f>
        <v>#VALUE!</v>
      </c>
      <c r="G11" s="7">
        <v>13.333333333333334</v>
      </c>
      <c r="H11" s="11">
        <f t="shared" si="1"/>
        <v>10.199999999999999</v>
      </c>
      <c r="I11" s="5" t="e">
        <f>SUM(F11:H11)/(1-Hanger_list[[#This Row],[margin]])</f>
        <v>#VALUE!</v>
      </c>
      <c r="J11" s="36">
        <f t="shared" si="2"/>
        <v>0.75</v>
      </c>
    </row>
    <row r="12" spans="1:18" x14ac:dyDescent="0.25">
      <c r="A12" s="1" t="s">
        <v>718</v>
      </c>
      <c r="B12" t="str">
        <f>D12&amp;" inch roller hanger on 0."&amp;E12&amp;" rod"</f>
        <v xml:space="preserve"> inch roller hanger on 0. rod</v>
      </c>
      <c r="C12" s="12"/>
      <c r="F12" t="e">
        <f>(1.5*_xlfn.XLOOKUP(Hanger_list[[#This Row],[Rod diameter (3/8 =1, 1/2" =2)]],Rod_costs[Rod size],Rod_costs[Unit price],"no result"))+_xlfn.XLOOKUP(Hanger_list[[#This Row],[Rod diameter (3/8 =1, 1/2" =2)]],Table6[Nut/washer size],Table6[Unit price])</f>
        <v>#VALUE!</v>
      </c>
      <c r="G12" s="7">
        <v>1.6666666666666667</v>
      </c>
      <c r="H12" s="11">
        <f t="shared" si="1"/>
        <v>10.199999999999999</v>
      </c>
      <c r="I12" s="5" t="e">
        <f>SUM(F12:H12)/(1-Hanger_list[[#This Row],[margin]])</f>
        <v>#VALUE!</v>
      </c>
      <c r="J12" s="36">
        <f t="shared" si="2"/>
        <v>0.75</v>
      </c>
    </row>
    <row r="13" spans="1:18" x14ac:dyDescent="0.25">
      <c r="A13" s="39" t="s">
        <v>719</v>
      </c>
      <c r="B13" s="39" t="str">
        <f t="shared" ref="B13:B21" si="3">D13&amp;" inch roller hanger on 0."&amp;E13&amp;" rod"</f>
        <v>3 inch roller hanger on 0.500 rod</v>
      </c>
      <c r="C13" s="40" t="s">
        <v>31</v>
      </c>
      <c r="D13" s="39">
        <v>3</v>
      </c>
      <c r="E13" s="39">
        <v>500</v>
      </c>
      <c r="F13">
        <f>(1.5*_xlfn.XLOOKUP(Hanger_list[[#This Row],[Rod diameter (3/8 =1, 1/2" =2)]],Rod_costs[Rod size],Rod_costs[Unit price],"no result"))+_xlfn.XLOOKUP(Hanger_list[[#This Row],[Rod diameter (3/8 =1, 1/2" =2)]],Table6[Nut/washer size],Table6[Unit price])</f>
        <v>2.9200000000000004</v>
      </c>
      <c r="G13" s="41">
        <v>13.71</v>
      </c>
      <c r="H13" s="42">
        <f t="shared" si="1"/>
        <v>10.199999999999999</v>
      </c>
      <c r="I13" s="43">
        <f>SUM(F13:H13)/(1-Hanger_list[[#This Row],[margin]])</f>
        <v>107.32000000000001</v>
      </c>
      <c r="J13" s="44">
        <f>J12</f>
        <v>0.75</v>
      </c>
    </row>
    <row r="14" spans="1:18" x14ac:dyDescent="0.25">
      <c r="A14" s="39" t="s">
        <v>720</v>
      </c>
      <c r="B14" s="39" t="str">
        <f t="shared" si="3"/>
        <v>4 inch roller hanger on 0.625 rod</v>
      </c>
      <c r="C14" s="40" t="s">
        <v>31</v>
      </c>
      <c r="D14" s="39">
        <v>4</v>
      </c>
      <c r="E14" s="39">
        <v>625</v>
      </c>
      <c r="F14">
        <f>(1.5*_xlfn.XLOOKUP(Hanger_list[[#This Row],[Rod diameter (3/8 =1, 1/2" =2)]],Rod_costs[Rod size],Rod_costs[Unit price],"no result"))+_xlfn.XLOOKUP(Hanger_list[[#This Row],[Rod diameter (3/8 =1, 1/2" =2)]],Table6[Nut/washer size],Table6[Unit price])</f>
        <v>5.2750000000000004</v>
      </c>
      <c r="G14" s="41">
        <v>14.93</v>
      </c>
      <c r="H14" s="42">
        <f t="shared" si="1"/>
        <v>10.199999999999999</v>
      </c>
      <c r="I14" s="43">
        <f>SUM(F14:H14)/(1-Hanger_list[[#This Row],[margin]])</f>
        <v>121.61999999999999</v>
      </c>
      <c r="J14" s="44">
        <f t="shared" si="2"/>
        <v>0.75</v>
      </c>
    </row>
    <row r="15" spans="1:18" x14ac:dyDescent="0.25">
      <c r="A15" s="39" t="s">
        <v>721</v>
      </c>
      <c r="B15" s="39" t="str">
        <f t="shared" si="3"/>
        <v>5 inch roller hanger on 0.625 rod</v>
      </c>
      <c r="C15" s="40" t="s">
        <v>31</v>
      </c>
      <c r="D15" s="39">
        <v>5</v>
      </c>
      <c r="E15" s="39">
        <v>625</v>
      </c>
      <c r="F15">
        <f>(1.5*_xlfn.XLOOKUP(Hanger_list[[#This Row],[Rod diameter (3/8 =1, 1/2" =2)]],Rod_costs[Rod size],Rod_costs[Unit price],"no result"))+_xlfn.XLOOKUP(Hanger_list[[#This Row],[Rod diameter (3/8 =1, 1/2" =2)]],Table6[Nut/washer size],Table6[Unit price])</f>
        <v>5.2750000000000004</v>
      </c>
      <c r="G15" s="41">
        <v>20.43</v>
      </c>
      <c r="H15" s="42">
        <f t="shared" si="1"/>
        <v>10.199999999999999</v>
      </c>
      <c r="I15" s="43">
        <f>SUM(F15:H15)/(1-Hanger_list[[#This Row],[margin]])</f>
        <v>143.62</v>
      </c>
      <c r="J15" s="44">
        <f t="shared" si="2"/>
        <v>0.75</v>
      </c>
    </row>
    <row r="16" spans="1:18" x14ac:dyDescent="0.25">
      <c r="A16" s="39" t="s">
        <v>722</v>
      </c>
      <c r="B16" s="39" t="str">
        <f t="shared" si="3"/>
        <v>6 inch roller hanger on 0.750 rod</v>
      </c>
      <c r="C16" s="40" t="s">
        <v>31</v>
      </c>
      <c r="D16" s="39">
        <v>6</v>
      </c>
      <c r="E16" s="39">
        <v>750</v>
      </c>
      <c r="F16">
        <f>(1.5*_xlfn.XLOOKUP(Hanger_list[[#This Row],[Rod diameter (3/8 =1, 1/2" =2)]],Rod_costs[Rod size],Rod_costs[Unit price],"no result"))+_xlfn.XLOOKUP(Hanger_list[[#This Row],[Rod diameter (3/8 =1, 1/2" =2)]],Table6[Nut/washer size],Table6[Unit price])</f>
        <v>7.7850000000000001</v>
      </c>
      <c r="G16" s="41">
        <v>25</v>
      </c>
      <c r="H16" s="42">
        <f t="shared" si="1"/>
        <v>10.199999999999999</v>
      </c>
      <c r="I16" s="43">
        <f>SUM(F16:H16)/(1-Hanger_list[[#This Row],[margin]])</f>
        <v>171.94</v>
      </c>
      <c r="J16" s="44">
        <f t="shared" si="2"/>
        <v>0.75</v>
      </c>
    </row>
    <row r="17" spans="1:10" x14ac:dyDescent="0.25">
      <c r="A17" s="39" t="s">
        <v>723</v>
      </c>
      <c r="B17" s="39" t="str">
        <f t="shared" si="3"/>
        <v>8 inch roller hanger on 0.875 rod</v>
      </c>
      <c r="C17" s="40" t="s">
        <v>31</v>
      </c>
      <c r="D17" s="39">
        <v>8</v>
      </c>
      <c r="E17" s="39">
        <v>875</v>
      </c>
      <c r="F17">
        <f>(1.5*_xlfn.XLOOKUP(Hanger_list[[#This Row],[Rod diameter (3/8 =1, 1/2" =2)]],Rod_costs[Rod size],Rod_costs[Unit price],"no result"))+_xlfn.XLOOKUP(Hanger_list[[#This Row],[Rod diameter (3/8 =1, 1/2" =2)]],Table6[Nut/washer size],Table6[Unit price])</f>
        <v>11.424999999999999</v>
      </c>
      <c r="G17" s="41">
        <v>40.71</v>
      </c>
      <c r="H17" s="42">
        <f t="shared" si="1"/>
        <v>10.199999999999999</v>
      </c>
      <c r="I17" s="43">
        <f>SUM(F17:H17)/(1-Hanger_list[[#This Row],[margin]])</f>
        <v>249.33999999999997</v>
      </c>
      <c r="J17" s="44">
        <f t="shared" si="2"/>
        <v>0.75</v>
      </c>
    </row>
    <row r="18" spans="1:10" x14ac:dyDescent="0.25">
      <c r="A18" s="39" t="s">
        <v>724</v>
      </c>
      <c r="B18" s="39" t="str">
        <f t="shared" si="3"/>
        <v>10 inch roller hanger on 0.875 rod</v>
      </c>
      <c r="C18" s="40" t="s">
        <v>31</v>
      </c>
      <c r="D18" s="39">
        <v>10</v>
      </c>
      <c r="E18" s="39">
        <v>875</v>
      </c>
      <c r="F18">
        <f>(1.5*_xlfn.XLOOKUP(Hanger_list[[#This Row],[Rod diameter (3/8 =1, 1/2" =2)]],Rod_costs[Rod size],Rod_costs[Unit price],"no result"))+_xlfn.XLOOKUP(Hanger_list[[#This Row],[Rod diameter (3/8 =1, 1/2" =2)]],Table6[Nut/washer size],Table6[Unit price])</f>
        <v>11.424999999999999</v>
      </c>
      <c r="G18" s="41">
        <v>55.71</v>
      </c>
      <c r="H18" s="42">
        <f t="shared" si="1"/>
        <v>10.199999999999999</v>
      </c>
      <c r="I18" s="43">
        <f>SUM(F18:H18)/(1-Hanger_list[[#This Row],[margin]])</f>
        <v>309.34000000000003</v>
      </c>
      <c r="J18" s="44">
        <f t="shared" si="2"/>
        <v>0.75</v>
      </c>
    </row>
    <row r="19" spans="1:10" x14ac:dyDescent="0.25">
      <c r="A19" s="39" t="s">
        <v>725</v>
      </c>
      <c r="B19" s="39" t="str">
        <f t="shared" si="3"/>
        <v>12 inch roller hanger on 0.875 rod</v>
      </c>
      <c r="C19" s="40" t="s">
        <v>31</v>
      </c>
      <c r="D19" s="39">
        <v>12</v>
      </c>
      <c r="E19" s="39">
        <v>875</v>
      </c>
      <c r="F19">
        <f>(1.5*_xlfn.XLOOKUP(Hanger_list[[#This Row],[Rod diameter (3/8 =1, 1/2" =2)]],Rod_costs[Rod size],Rod_costs[Unit price],"no result"))+_xlfn.XLOOKUP(Hanger_list[[#This Row],[Rod diameter (3/8 =1, 1/2" =2)]],Table6[Nut/washer size],Table6[Unit price])</f>
        <v>11.424999999999999</v>
      </c>
      <c r="G19" s="41">
        <v>80</v>
      </c>
      <c r="H19" s="42">
        <f t="shared" si="1"/>
        <v>10.199999999999999</v>
      </c>
      <c r="I19" s="43">
        <f>SUM(F19:H19)/(1-Hanger_list[[#This Row],[margin]])</f>
        <v>406.5</v>
      </c>
      <c r="J19" s="44">
        <f t="shared" si="2"/>
        <v>0.75</v>
      </c>
    </row>
    <row r="20" spans="1:10" x14ac:dyDescent="0.25">
      <c r="A20" s="1" t="s">
        <v>726</v>
      </c>
      <c r="B20" t="str">
        <f t="shared" si="3"/>
        <v xml:space="preserve"> inch roller hanger on 0. rod</v>
      </c>
      <c r="C20" s="12"/>
      <c r="F20" t="e">
        <f>(1.5*_xlfn.XLOOKUP(Hanger_list[[#This Row],[Rod diameter (3/8 =1, 1/2" =2)]],Rod_costs[Rod size],Rod_costs[Unit price],"no result"))+_xlfn.XLOOKUP(Hanger_list[[#This Row],[Rod diameter (3/8 =1, 1/2" =2)]],Table6[Nut/washer size],Table6[Unit price])</f>
        <v>#VALUE!</v>
      </c>
      <c r="G20" s="7">
        <v>53.5</v>
      </c>
      <c r="H20" s="11">
        <f t="shared" si="1"/>
        <v>10.199999999999999</v>
      </c>
      <c r="I20" s="5" t="e">
        <f>SUM(F20:H20)/(1-Hanger_list[[#This Row],[margin]])</f>
        <v>#VALUE!</v>
      </c>
      <c r="J20" s="36">
        <f t="shared" si="2"/>
        <v>0.75</v>
      </c>
    </row>
    <row r="21" spans="1:10" x14ac:dyDescent="0.25">
      <c r="A21" s="1" t="s">
        <v>727</v>
      </c>
      <c r="B21" t="str">
        <f t="shared" si="3"/>
        <v xml:space="preserve"> inch roller hanger on 0. rod</v>
      </c>
      <c r="C21" s="12"/>
      <c r="F21" t="e">
        <f>(1.5*_xlfn.XLOOKUP(Hanger_list[[#This Row],[Rod diameter (3/8 =1, 1/2" =2)]],Rod_costs[Rod size],Rod_costs[Unit price],"no result"))+_xlfn.XLOOKUP(Hanger_list[[#This Row],[Rod diameter (3/8 =1, 1/2" =2)]],Table6[Nut/washer size],Table6[Unit price])</f>
        <v>#VALUE!</v>
      </c>
      <c r="G21" s="7">
        <v>81.75</v>
      </c>
      <c r="H21" s="11">
        <f t="shared" si="1"/>
        <v>10.199999999999999</v>
      </c>
      <c r="I21" s="5" t="e">
        <f>SUM(F21:H21)/(1-Hanger_list[[#This Row],[margin]])</f>
        <v>#VALUE!</v>
      </c>
      <c r="J21" s="36">
        <f t="shared" si="2"/>
        <v>0.75</v>
      </c>
    </row>
    <row r="22" spans="1:10" x14ac:dyDescent="0.25">
      <c r="A22" s="1" t="s">
        <v>728</v>
      </c>
      <c r="B22" s="1" t="str">
        <f t="shared" si="0"/>
        <v xml:space="preserve"> inch clevis hanger on 0. rod</v>
      </c>
      <c r="C22" s="10"/>
      <c r="D22" s="1"/>
      <c r="E22" s="1"/>
      <c r="F22" t="e">
        <f>(1.5*_xlfn.XLOOKUP(Hanger_list[[#This Row],[Rod diameter (3/8 =1, 1/2" =2)]],Rod_costs[Rod size],Rod_costs[Unit price],"no result"))+_xlfn.XLOOKUP(Hanger_list[[#This Row],[Rod diameter (3/8 =1, 1/2" =2)]],Table6[Nut/washer size],Table6[Unit price])</f>
        <v>#VALUE!</v>
      </c>
      <c r="G22" s="7">
        <v>0.7</v>
      </c>
      <c r="H22" s="11">
        <f t="shared" si="1"/>
        <v>10.199999999999999</v>
      </c>
      <c r="I22" s="5" t="e">
        <f>SUM(F22:H22)/(1-Hanger_list[[#This Row],[margin]])</f>
        <v>#VALUE!</v>
      </c>
      <c r="J22" s="36">
        <f t="shared" si="2"/>
        <v>0.75</v>
      </c>
    </row>
    <row r="23" spans="1:10" x14ac:dyDescent="0.25">
      <c r="A23" s="1" t="s">
        <v>729</v>
      </c>
      <c r="B23" s="1" t="str">
        <f t="shared" si="0"/>
        <v xml:space="preserve"> inch clevis hanger on 0. rod</v>
      </c>
      <c r="C23" s="10"/>
      <c r="D23" s="1"/>
      <c r="E23" s="1"/>
      <c r="F23" t="e">
        <f>(1.5*_xlfn.XLOOKUP(Hanger_list[[#This Row],[Rod diameter (3/8 =1, 1/2" =2)]],Rod_costs[Rod size],Rod_costs[Unit price],"no result"))+_xlfn.XLOOKUP(Hanger_list[[#This Row],[Rod diameter (3/8 =1, 1/2" =2)]],Table6[Nut/washer size],Table6[Unit price])</f>
        <v>#VALUE!</v>
      </c>
      <c r="G23" s="7">
        <v>4.8</v>
      </c>
      <c r="H23" s="11">
        <f t="shared" si="1"/>
        <v>10.199999999999999</v>
      </c>
      <c r="I23" s="5" t="e">
        <f>SUM(F23:H23)/(1-Hanger_list[[#This Row],[margin]])</f>
        <v>#VALUE!</v>
      </c>
      <c r="J23" s="36">
        <f t="shared" si="2"/>
        <v>0.75</v>
      </c>
    </row>
    <row r="24" spans="1:10" x14ac:dyDescent="0.25">
      <c r="A24" s="1" t="s">
        <v>730</v>
      </c>
      <c r="B24" s="1" t="str">
        <f t="shared" si="0"/>
        <v xml:space="preserve"> inch clevis hanger on 0. rod</v>
      </c>
      <c r="C24" s="10"/>
      <c r="D24" s="1"/>
      <c r="E24" s="1"/>
      <c r="F24" t="e">
        <f>(1.5*_xlfn.XLOOKUP(Hanger_list[[#This Row],[Rod diameter (3/8 =1, 1/2" =2)]],Rod_costs[Rod size],Rod_costs[Unit price],"no result"))+_xlfn.XLOOKUP(Hanger_list[[#This Row],[Rod diameter (3/8 =1, 1/2" =2)]],Table6[Nut/washer size],Table6[Unit price])</f>
        <v>#VALUE!</v>
      </c>
      <c r="G24" s="7">
        <v>6.23</v>
      </c>
      <c r="H24" s="11">
        <f t="shared" si="1"/>
        <v>10.199999999999999</v>
      </c>
      <c r="I24" s="5" t="e">
        <f>SUM(F24:H24)/(1-Hanger_list[[#This Row],[margin]])</f>
        <v>#VALUE!</v>
      </c>
      <c r="J24" s="36">
        <f t="shared" si="2"/>
        <v>0.75</v>
      </c>
    </row>
    <row r="25" spans="1:10" x14ac:dyDescent="0.25">
      <c r="A25" s="1" t="s">
        <v>731</v>
      </c>
      <c r="B25" s="1" t="str">
        <f t="shared" si="0"/>
        <v xml:space="preserve"> inch clevis hanger on 0. rod</v>
      </c>
      <c r="C25" s="10"/>
      <c r="D25" s="1"/>
      <c r="E25" s="1"/>
      <c r="F25" t="e">
        <f>(1.5*_xlfn.XLOOKUP(Hanger_list[[#This Row],[Rod diameter (3/8 =1, 1/2" =2)]],Rod_costs[Rod size],Rod_costs[Unit price],"no result"))+_xlfn.XLOOKUP(Hanger_list[[#This Row],[Rod diameter (3/8 =1, 1/2" =2)]],Table6[Nut/washer size],Table6[Unit price])</f>
        <v>#VALUE!</v>
      </c>
      <c r="G25" s="7">
        <v>9.74</v>
      </c>
      <c r="H25" s="11">
        <f t="shared" si="1"/>
        <v>10.199999999999999</v>
      </c>
      <c r="I25" s="5" t="e">
        <f>SUM(F25:H25)/(1-Hanger_list[[#This Row],[margin]])</f>
        <v>#VALUE!</v>
      </c>
      <c r="J25" s="36">
        <f t="shared" si="2"/>
        <v>0.75</v>
      </c>
    </row>
    <row r="26" spans="1:10" x14ac:dyDescent="0.25">
      <c r="A26" s="1" t="s">
        <v>732</v>
      </c>
      <c r="B26" s="1" t="str">
        <f t="shared" si="0"/>
        <v xml:space="preserve"> inch clevis hanger on 0. rod</v>
      </c>
      <c r="C26" s="10"/>
      <c r="D26" s="1"/>
      <c r="E26" s="1"/>
      <c r="F26" t="e">
        <f>(1.5*_xlfn.XLOOKUP(Hanger_list[[#This Row],[Rod diameter (3/8 =1, 1/2" =2)]],Rod_costs[Rod size],Rod_costs[Unit price],"no result"))+_xlfn.XLOOKUP(Hanger_list[[#This Row],[Rod diameter (3/8 =1, 1/2" =2)]],Table6[Nut/washer size],Table6[Unit price])</f>
        <v>#VALUE!</v>
      </c>
      <c r="G26" s="7">
        <v>12.48</v>
      </c>
      <c r="H26" s="11">
        <f t="shared" si="1"/>
        <v>10.199999999999999</v>
      </c>
      <c r="I26" s="5" t="e">
        <f>SUM(F26:H26)/(1-Hanger_list[[#This Row],[margin]])</f>
        <v>#VALUE!</v>
      </c>
      <c r="J26" s="36">
        <f t="shared" si="2"/>
        <v>0.75</v>
      </c>
    </row>
    <row r="27" spans="1:10" x14ac:dyDescent="0.25">
      <c r="A27" s="1" t="s">
        <v>733</v>
      </c>
      <c r="B27" s="1" t="str">
        <f t="shared" si="0"/>
        <v xml:space="preserve"> inch clevis hanger on 0. rod</v>
      </c>
      <c r="C27" s="10"/>
      <c r="D27" s="1"/>
      <c r="E27" s="1"/>
      <c r="F27" t="e">
        <f>(1.5*_xlfn.XLOOKUP(Hanger_list[[#This Row],[Rod diameter (3/8 =1, 1/2" =2)]],Rod_costs[Rod size],Rod_costs[Unit price],"no result"))+_xlfn.XLOOKUP(Hanger_list[[#This Row],[Rod diameter (3/8 =1, 1/2" =2)]],Table6[Nut/washer size],Table6[Unit price])</f>
        <v>#VALUE!</v>
      </c>
      <c r="G27" s="7">
        <v>19.98</v>
      </c>
      <c r="H27" s="11">
        <f t="shared" si="1"/>
        <v>10.199999999999999</v>
      </c>
      <c r="I27" s="5" t="e">
        <f>SUM(F27:H27)/(1-Hanger_list[[#This Row],[margin]])</f>
        <v>#VALUE!</v>
      </c>
      <c r="J27" s="36">
        <f t="shared" si="2"/>
        <v>0.75</v>
      </c>
    </row>
    <row r="28" spans="1:10" x14ac:dyDescent="0.25">
      <c r="A28" s="1" t="s">
        <v>734</v>
      </c>
      <c r="B28" s="1" t="str">
        <f t="shared" si="0"/>
        <v xml:space="preserve"> inch clevis hanger on 0. rod</v>
      </c>
      <c r="C28" s="10"/>
      <c r="D28" s="1"/>
      <c r="E28" s="1"/>
      <c r="F28" t="e">
        <f>(1.5*_xlfn.XLOOKUP(Hanger_list[[#This Row],[Rod diameter (3/8 =1, 1/2" =2)]],Rod_costs[Rod size],Rod_costs[Unit price],"no result"))+_xlfn.XLOOKUP(Hanger_list[[#This Row],[Rod diameter (3/8 =1, 1/2" =2)]],Table6[Nut/washer size],Table6[Unit price])</f>
        <v>#VALUE!</v>
      </c>
      <c r="G28" s="7">
        <v>37.31</v>
      </c>
      <c r="H28" s="11">
        <f t="shared" si="1"/>
        <v>10.199999999999999</v>
      </c>
      <c r="I28" s="5" t="e">
        <f>SUM(F28:H28)/(1-Hanger_list[[#This Row],[margin]])</f>
        <v>#VALUE!</v>
      </c>
      <c r="J28" s="36">
        <f t="shared" si="2"/>
        <v>0.75</v>
      </c>
    </row>
    <row r="29" spans="1:10" x14ac:dyDescent="0.25">
      <c r="A29" s="1" t="s">
        <v>735</v>
      </c>
      <c r="B29" s="1" t="str">
        <f t="shared" si="0"/>
        <v xml:space="preserve"> inch clevis hanger on 0. rod</v>
      </c>
      <c r="C29" s="10"/>
      <c r="D29" s="1"/>
      <c r="E29" s="1"/>
      <c r="F29" t="e">
        <f>(1.5*_xlfn.XLOOKUP(Hanger_list[[#This Row],[Rod diameter (3/8 =1, 1/2" =2)]],Rod_costs[Rod size],Rod_costs[Unit price],"no result"))+_xlfn.XLOOKUP(Hanger_list[[#This Row],[Rod diameter (3/8 =1, 1/2" =2)]],Table6[Nut/washer size],Table6[Unit price])</f>
        <v>#VALUE!</v>
      </c>
      <c r="G29" s="7">
        <v>49.69</v>
      </c>
      <c r="H29" s="11">
        <f t="shared" si="1"/>
        <v>10.199999999999999</v>
      </c>
      <c r="I29" s="5" t="e">
        <f>SUM(F29:H29)/(1-Hanger_list[[#This Row],[margin]])</f>
        <v>#VALUE!</v>
      </c>
      <c r="J29" s="36">
        <f t="shared" si="2"/>
        <v>0.75</v>
      </c>
    </row>
    <row r="30" spans="1:10" x14ac:dyDescent="0.25">
      <c r="A30" s="1" t="s">
        <v>736</v>
      </c>
      <c r="B30" s="1" t="str">
        <f t="shared" si="0"/>
        <v xml:space="preserve"> inch clevis hanger on 0. rod</v>
      </c>
      <c r="C30" s="10"/>
      <c r="D30" s="1"/>
      <c r="E30" s="1"/>
      <c r="F30" t="e">
        <f>(1.5*_xlfn.XLOOKUP(Hanger_list[[#This Row],[Rod diameter (3/8 =1, 1/2" =2)]],Rod_costs[Rod size],Rod_costs[Unit price],"no result"))+_xlfn.XLOOKUP(Hanger_list[[#This Row],[Rod diameter (3/8 =1, 1/2" =2)]],Table6[Nut/washer size],Table6[Unit price])</f>
        <v>#VALUE!</v>
      </c>
      <c r="G30" s="7">
        <v>11.666666666666668</v>
      </c>
      <c r="H30" s="11">
        <f t="shared" si="1"/>
        <v>10.199999999999999</v>
      </c>
      <c r="I30" s="5" t="e">
        <f>SUM(F30:H30)/(1-Hanger_list[[#This Row],[margin]])</f>
        <v>#VALUE!</v>
      </c>
      <c r="J30" s="36">
        <f t="shared" si="2"/>
        <v>0.75</v>
      </c>
    </row>
    <row r="31" spans="1:10" x14ac:dyDescent="0.25">
      <c r="A31" s="1" t="s">
        <v>737</v>
      </c>
      <c r="B31" s="1" t="str">
        <f t="shared" si="0"/>
        <v xml:space="preserve"> inch clevis hanger on 0. rod</v>
      </c>
      <c r="C31" s="10"/>
      <c r="D31" s="1"/>
      <c r="E31" s="1"/>
      <c r="F31" t="e">
        <f>(1.5*_xlfn.XLOOKUP(Hanger_list[[#This Row],[Rod diameter (3/8 =1, 1/2" =2)]],Rod_costs[Rod size],Rod_costs[Unit price],"no result"))+_xlfn.XLOOKUP(Hanger_list[[#This Row],[Rod diameter (3/8 =1, 1/2" =2)]],Table6[Nut/washer size],Table6[Unit price])</f>
        <v>#VALUE!</v>
      </c>
      <c r="G31" s="7">
        <v>13.333333333333334</v>
      </c>
      <c r="H31" s="11">
        <f t="shared" si="1"/>
        <v>10.199999999999999</v>
      </c>
      <c r="I31" s="5" t="e">
        <f>SUM(F31:H31)/(1-Hanger_list[[#This Row],[margin]])</f>
        <v>#VALUE!</v>
      </c>
      <c r="J31" s="36">
        <f t="shared" si="2"/>
        <v>0.75</v>
      </c>
    </row>
    <row r="32" spans="1:10" x14ac:dyDescent="0.25">
      <c r="A32" s="1" t="s">
        <v>738</v>
      </c>
      <c r="B32" t="str">
        <f>D32&amp;" inch roller hanger on 0."&amp;E32&amp;" rod"</f>
        <v xml:space="preserve"> inch roller hanger on 0. rod</v>
      </c>
      <c r="C32" s="12"/>
      <c r="E32" s="1"/>
      <c r="F32" t="e">
        <f>(1.5*_xlfn.XLOOKUP(Hanger_list[[#This Row],[Rod diameter (3/8 =1, 1/2" =2)]],Rod_costs[Rod size],Rod_costs[Unit price],"no result"))+_xlfn.XLOOKUP(Hanger_list[[#This Row],[Rod diameter (3/8 =1, 1/2" =2)]],Table6[Nut/washer size],Table6[Unit price])</f>
        <v>#VALUE!</v>
      </c>
      <c r="G32" s="7">
        <v>1.6666666666666667</v>
      </c>
      <c r="H32" s="11">
        <f t="shared" si="1"/>
        <v>10.199999999999999</v>
      </c>
      <c r="I32" s="5" t="e">
        <f>SUM(F32:H32)/(1-Hanger_list[[#This Row],[margin]])</f>
        <v>#VALUE!</v>
      </c>
      <c r="J32" s="36">
        <f t="shared" si="2"/>
        <v>0.75</v>
      </c>
    </row>
    <row r="33" spans="1:12" x14ac:dyDescent="0.25">
      <c r="A33" s="1" t="s">
        <v>739</v>
      </c>
      <c r="B33" t="str">
        <f t="shared" ref="B33:B41" si="4">D33&amp;" inch roller hanger on 0."&amp;E33&amp;" rod"</f>
        <v xml:space="preserve"> inch roller hanger on 0. rod</v>
      </c>
      <c r="C33" s="12"/>
      <c r="E33" s="1"/>
      <c r="F33" t="e">
        <f>(1.5*_xlfn.XLOOKUP(Hanger_list[[#This Row],[Rod diameter (3/8 =1, 1/2" =2)]],Rod_costs[Rod size],Rod_costs[Unit price],"no result"))+_xlfn.XLOOKUP(Hanger_list[[#This Row],[Rod diameter (3/8 =1, 1/2" =2)]],Table6[Nut/washer size],Table6[Unit price])</f>
        <v>#VALUE!</v>
      </c>
      <c r="G33" s="7">
        <v>13.71</v>
      </c>
      <c r="H33" s="11">
        <f t="shared" si="1"/>
        <v>10.199999999999999</v>
      </c>
      <c r="I33" s="5" t="e">
        <f>SUM(F33:H33)/(1-Hanger_list[[#This Row],[margin]])</f>
        <v>#VALUE!</v>
      </c>
      <c r="J33" s="36">
        <f t="shared" si="2"/>
        <v>0.75</v>
      </c>
    </row>
    <row r="34" spans="1:12" x14ac:dyDescent="0.25">
      <c r="A34" s="1" t="s">
        <v>740</v>
      </c>
      <c r="B34" t="str">
        <f t="shared" si="4"/>
        <v xml:space="preserve"> inch roller hanger on 0. rod</v>
      </c>
      <c r="C34" s="12"/>
      <c r="E34" s="1"/>
      <c r="F34" t="e">
        <f>(1.5*_xlfn.XLOOKUP(Hanger_list[[#This Row],[Rod diameter (3/8 =1, 1/2" =2)]],Rod_costs[Rod size],Rod_costs[Unit price],"no result"))+_xlfn.XLOOKUP(Hanger_list[[#This Row],[Rod diameter (3/8 =1, 1/2" =2)]],Table6[Nut/washer size],Table6[Unit price])</f>
        <v>#VALUE!</v>
      </c>
      <c r="G34" s="7">
        <v>14.93</v>
      </c>
      <c r="H34" s="11">
        <f t="shared" si="1"/>
        <v>10.199999999999999</v>
      </c>
      <c r="I34" s="5" t="e">
        <f>SUM(F34:H34)/(1-Hanger_list[[#This Row],[margin]])</f>
        <v>#VALUE!</v>
      </c>
      <c r="J34" s="36">
        <f t="shared" si="2"/>
        <v>0.75</v>
      </c>
    </row>
    <row r="35" spans="1:12" x14ac:dyDescent="0.25">
      <c r="A35" s="1" t="s">
        <v>741</v>
      </c>
      <c r="B35" t="str">
        <f t="shared" si="4"/>
        <v xml:space="preserve"> inch roller hanger on 0. rod</v>
      </c>
      <c r="C35" s="12"/>
      <c r="E35" s="1"/>
      <c r="F35" t="e">
        <f>(1.5*_xlfn.XLOOKUP(Hanger_list[[#This Row],[Rod diameter (3/8 =1, 1/2" =2)]],Rod_costs[Rod size],Rod_costs[Unit price],"no result"))+_xlfn.XLOOKUP(Hanger_list[[#This Row],[Rod diameter (3/8 =1, 1/2" =2)]],Table6[Nut/washer size],Table6[Unit price])</f>
        <v>#VALUE!</v>
      </c>
      <c r="G35" s="7">
        <v>20.43</v>
      </c>
      <c r="H35" s="11">
        <f t="shared" si="1"/>
        <v>10.199999999999999</v>
      </c>
      <c r="I35" s="5" t="e">
        <f>SUM(F35:H35)/(1-Hanger_list[[#This Row],[margin]])</f>
        <v>#VALUE!</v>
      </c>
      <c r="J35" s="36">
        <f t="shared" si="2"/>
        <v>0.75</v>
      </c>
    </row>
    <row r="36" spans="1:12" x14ac:dyDescent="0.25">
      <c r="A36" s="1" t="s">
        <v>742</v>
      </c>
      <c r="B36" t="str">
        <f t="shared" si="4"/>
        <v xml:space="preserve"> inch roller hanger on 0. rod</v>
      </c>
      <c r="C36" s="12"/>
      <c r="E36" s="1"/>
      <c r="F36" t="e">
        <f>(1.5*_xlfn.XLOOKUP(Hanger_list[[#This Row],[Rod diameter (3/8 =1, 1/2" =2)]],Rod_costs[Rod size],Rod_costs[Unit price],"no result"))+_xlfn.XLOOKUP(Hanger_list[[#This Row],[Rod diameter (3/8 =1, 1/2" =2)]],Table6[Nut/washer size],Table6[Unit price])</f>
        <v>#VALUE!</v>
      </c>
      <c r="G36" s="7">
        <v>25</v>
      </c>
      <c r="H36" s="11">
        <f t="shared" si="1"/>
        <v>10.199999999999999</v>
      </c>
      <c r="I36" s="5" t="e">
        <f>SUM(F36:H36)/(1-Hanger_list[[#This Row],[margin]])</f>
        <v>#VALUE!</v>
      </c>
      <c r="J36" s="36">
        <f t="shared" si="2"/>
        <v>0.75</v>
      </c>
    </row>
    <row r="37" spans="1:12" x14ac:dyDescent="0.25">
      <c r="A37" s="1" t="s">
        <v>743</v>
      </c>
      <c r="B37" t="str">
        <f t="shared" si="4"/>
        <v xml:space="preserve"> inch roller hanger on 0. rod</v>
      </c>
      <c r="C37" s="12"/>
      <c r="E37" s="1"/>
      <c r="F37" t="e">
        <f>(1.5*_xlfn.XLOOKUP(Hanger_list[[#This Row],[Rod diameter (3/8 =1, 1/2" =2)]],Rod_costs[Rod size],Rod_costs[Unit price],"no result"))+_xlfn.XLOOKUP(Hanger_list[[#This Row],[Rod diameter (3/8 =1, 1/2" =2)]],Table6[Nut/washer size],Table6[Unit price])</f>
        <v>#VALUE!</v>
      </c>
      <c r="G37" s="7">
        <v>40.71</v>
      </c>
      <c r="H37" s="11">
        <f t="shared" si="1"/>
        <v>10.199999999999999</v>
      </c>
      <c r="I37" s="5" t="e">
        <f>SUM(F37:H37)/(1-Hanger_list[[#This Row],[margin]])</f>
        <v>#VALUE!</v>
      </c>
      <c r="J37" s="36">
        <f t="shared" si="2"/>
        <v>0.75</v>
      </c>
    </row>
    <row r="38" spans="1:12" x14ac:dyDescent="0.25">
      <c r="A38" s="1" t="s">
        <v>744</v>
      </c>
      <c r="B38" t="str">
        <f t="shared" si="4"/>
        <v xml:space="preserve"> inch roller hanger on 0. rod</v>
      </c>
      <c r="C38" s="12"/>
      <c r="E38" s="1"/>
      <c r="F38" t="e">
        <f>(1.5*_xlfn.XLOOKUP(Hanger_list[[#This Row],[Rod diameter (3/8 =1, 1/2" =2)]],Rod_costs[Rod size],Rod_costs[Unit price],"no result"))+_xlfn.XLOOKUP(Hanger_list[[#This Row],[Rod diameter (3/8 =1, 1/2" =2)]],Table6[Nut/washer size],Table6[Unit price])</f>
        <v>#VALUE!</v>
      </c>
      <c r="G38" s="7">
        <v>55.71</v>
      </c>
      <c r="H38" s="11">
        <f t="shared" si="1"/>
        <v>10.199999999999999</v>
      </c>
      <c r="I38" s="5" t="e">
        <f>SUM(F38:H38)/(1-Hanger_list[[#This Row],[margin]])</f>
        <v>#VALUE!</v>
      </c>
      <c r="J38" s="36">
        <f t="shared" si="2"/>
        <v>0.75</v>
      </c>
    </row>
    <row r="39" spans="1:12" x14ac:dyDescent="0.25">
      <c r="A39" s="1" t="s">
        <v>745</v>
      </c>
      <c r="B39" t="str">
        <f t="shared" si="4"/>
        <v xml:space="preserve"> inch roller hanger on 0. rod</v>
      </c>
      <c r="C39" s="12"/>
      <c r="E39" s="1"/>
      <c r="F39" t="e">
        <f>(1.5*_xlfn.XLOOKUP(Hanger_list[[#This Row],[Rod diameter (3/8 =1, 1/2" =2)]],Rod_costs[Rod size],Rod_costs[Unit price],"no result"))+_xlfn.XLOOKUP(Hanger_list[[#This Row],[Rod diameter (3/8 =1, 1/2" =2)]],Table6[Nut/washer size],Table6[Unit price])</f>
        <v>#VALUE!</v>
      </c>
      <c r="G39" s="7">
        <v>80</v>
      </c>
      <c r="H39" s="11">
        <f t="shared" si="1"/>
        <v>10.199999999999999</v>
      </c>
      <c r="I39" s="5" t="e">
        <f>SUM(F39:H39)/(1-Hanger_list[[#This Row],[margin]])</f>
        <v>#VALUE!</v>
      </c>
      <c r="J39" s="36">
        <f t="shared" si="2"/>
        <v>0.75</v>
      </c>
    </row>
    <row r="40" spans="1:12" x14ac:dyDescent="0.25">
      <c r="A40" s="1" t="s">
        <v>746</v>
      </c>
      <c r="B40" t="str">
        <f t="shared" si="4"/>
        <v xml:space="preserve"> inch roller hanger on 0. rod</v>
      </c>
      <c r="C40" s="12"/>
      <c r="E40" s="1"/>
      <c r="F40" t="e">
        <f>(1.5*_xlfn.XLOOKUP(Hanger_list[[#This Row],[Rod diameter (3/8 =1, 1/2" =2)]],Rod_costs[Rod size],Rod_costs[Unit price],"no result"))+_xlfn.XLOOKUP(Hanger_list[[#This Row],[Rod diameter (3/8 =1, 1/2" =2)]],Table6[Nut/washer size],Table6[Unit price])</f>
        <v>#VALUE!</v>
      </c>
      <c r="G40" s="7">
        <v>53.5</v>
      </c>
      <c r="H40" s="11">
        <f t="shared" si="1"/>
        <v>10.199999999999999</v>
      </c>
      <c r="I40" s="5" t="e">
        <f>SUM(F40:H40)/(1-Hanger_list[[#This Row],[margin]])</f>
        <v>#VALUE!</v>
      </c>
      <c r="J40" s="36">
        <f t="shared" si="2"/>
        <v>0.75</v>
      </c>
    </row>
    <row r="41" spans="1:12" x14ac:dyDescent="0.25">
      <c r="A41" s="1" t="s">
        <v>747</v>
      </c>
      <c r="B41" t="str">
        <f t="shared" si="4"/>
        <v xml:space="preserve"> inch roller hanger on 0. rod</v>
      </c>
      <c r="C41" s="12"/>
      <c r="E41" s="1"/>
      <c r="F41" t="e">
        <f>(1.5*_xlfn.XLOOKUP(Hanger_list[[#This Row],[Rod diameter (3/8 =1, 1/2" =2)]],Rod_costs[Rod size],Rod_costs[Unit price],"no result"))+_xlfn.XLOOKUP(Hanger_list[[#This Row],[Rod diameter (3/8 =1, 1/2" =2)]],Table6[Nut/washer size],Table6[Unit price])</f>
        <v>#VALUE!</v>
      </c>
      <c r="G41" s="7">
        <v>81.75</v>
      </c>
      <c r="H41" s="11">
        <f t="shared" si="1"/>
        <v>10.199999999999999</v>
      </c>
      <c r="I41" s="5" t="e">
        <f>SUM(F41:H41)/(1-Hanger_list[[#This Row],[margin]])</f>
        <v>#VALUE!</v>
      </c>
      <c r="J41" s="36">
        <f t="shared" si="2"/>
        <v>0.75</v>
      </c>
    </row>
    <row r="43" spans="1:12" x14ac:dyDescent="0.25">
      <c r="A43" t="s">
        <v>748</v>
      </c>
      <c r="L43" t="s">
        <v>749</v>
      </c>
    </row>
    <row r="44" spans="1:12" x14ac:dyDescent="0.25">
      <c r="A44" t="str" cm="1">
        <f t="array" ref="A44">IF(Inputs!C11="","",_xlfn._xlws.FILTER(Hanger_list[],(Hanger_list[Hanger type]=Calculations!B13)*(Hanger_list[Hanger size (in)]=Calculations!B16),""))</f>
        <v/>
      </c>
      <c r="L44" t="str" cm="1">
        <f t="array" ref="L44">IF(Inputs!D11="","",_xlfn._xlws.FILTER(Hanger_list[],(Hanger_list[Hanger type]=Calculations!B25)*(Hanger_list[Hanger size (in)]=Calculations!B28),""))</f>
        <v/>
      </c>
    </row>
  </sheetData>
  <phoneticPr fontId="2" type="noConversion"/>
  <pageMargins left="0.7" right="0.7" top="0.75" bottom="0.75" header="0.3" footer="0.3"/>
  <tableParts count="3">
    <tablePart r:id="rId1"/>
    <tablePart r:id="rId2"/>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E83D5D-4B91-4C3D-9C65-180CFCBD1722}">
  <sheetPr codeName="Sheet10"/>
  <dimension ref="A1:L21"/>
  <sheetViews>
    <sheetView workbookViewId="0">
      <selection activeCell="B11" sqref="B11"/>
    </sheetView>
  </sheetViews>
  <sheetFormatPr defaultColWidth="9.140625" defaultRowHeight="16.5" x14ac:dyDescent="0.3"/>
  <cols>
    <col min="1" max="1" width="5.7109375" style="27" customWidth="1"/>
    <col min="2" max="2" width="12.5703125" style="27" bestFit="1" customWidth="1"/>
    <col min="3" max="3" width="56.5703125" style="27" bestFit="1" customWidth="1"/>
    <col min="4" max="4" width="9.5703125" style="27" bestFit="1" customWidth="1"/>
    <col min="5" max="5" width="11" style="27" customWidth="1"/>
    <col min="6" max="6" width="14.42578125" style="27" bestFit="1" customWidth="1"/>
    <col min="7" max="16384" width="9.140625" style="27"/>
  </cols>
  <sheetData>
    <row r="1" spans="1:12" x14ac:dyDescent="0.3">
      <c r="B1" s="28" t="s">
        <v>107</v>
      </c>
      <c r="C1" s="27" t="str">
        <f>Inputs!B2&amp;" "&amp;Inputs!C2</f>
        <v xml:space="preserve"> </v>
      </c>
    </row>
    <row r="2" spans="1:12" x14ac:dyDescent="0.3">
      <c r="B2" s="28" t="s">
        <v>108</v>
      </c>
    </row>
    <row r="3" spans="1:12" x14ac:dyDescent="0.3">
      <c r="B3" s="28" t="s">
        <v>109</v>
      </c>
      <c r="C3" s="31"/>
    </row>
    <row r="6" spans="1:12" x14ac:dyDescent="0.3">
      <c r="A6" s="27" t="s">
        <v>110</v>
      </c>
      <c r="B6" s="27" t="s">
        <v>111</v>
      </c>
      <c r="C6" s="27" t="s">
        <v>112</v>
      </c>
      <c r="D6" s="27" t="s">
        <v>113</v>
      </c>
      <c r="E6" s="27" t="s">
        <v>114</v>
      </c>
      <c r="F6" s="27" t="s">
        <v>115</v>
      </c>
    </row>
    <row r="7" spans="1:12" x14ac:dyDescent="0.3">
      <c r="A7" s="27">
        <v>1</v>
      </c>
      <c r="B7" s="27" t="e">
        <f>'H-frame item list'!A245</f>
        <v>#REF!</v>
      </c>
      <c r="C7" s="27" t="e">
        <f>IF(B7="","",'H-frame item list'!B245)</f>
        <v>#REF!</v>
      </c>
      <c r="D7" s="29" t="e">
        <f>IF(B7="","",Calculations!#REF!)</f>
        <v>#REF!</v>
      </c>
      <c r="E7" s="30" t="e">
        <f>IF(B7="","",'H-frame item list'!V245)</f>
        <v>#REF!</v>
      </c>
      <c r="F7" s="30" t="e">
        <f>IF(OR(D7=0,D7=""),"",E7*D7)</f>
        <v>#REF!</v>
      </c>
    </row>
    <row r="8" spans="1:12" x14ac:dyDescent="0.3">
      <c r="A8" s="27">
        <v>2</v>
      </c>
      <c r="B8" s="27" t="str">
        <f>IF(Hanger_list!A44="","",Hanger_list!A44)</f>
        <v/>
      </c>
      <c r="C8" s="27" t="str">
        <f>IF(Hanger_list!A44="","",Hanger_list!B44)</f>
        <v/>
      </c>
      <c r="D8" s="32" t="e">
        <f>IF(Calculations!B14=0,"",Calculations!B14*D$7)</f>
        <v>#REF!</v>
      </c>
      <c r="E8" s="30" t="str">
        <f>IF(Hanger_list!I44="","",Hanger_list!I44)</f>
        <v/>
      </c>
      <c r="F8" s="30" t="e">
        <f t="shared" ref="F8:F16" si="0">IF(OR(D8=0,D8=""),"",E8*D8)</f>
        <v>#REF!</v>
      </c>
    </row>
    <row r="9" spans="1:12" x14ac:dyDescent="0.3">
      <c r="A9" s="27">
        <v>3</v>
      </c>
      <c r="B9" s="27" t="str">
        <f>IF(Hanger_list!$L44="","",Hanger_list!L44)</f>
        <v/>
      </c>
      <c r="C9" s="27" t="str">
        <f>IF(Hanger_list!$L44="","",Hanger_list!M44)</f>
        <v/>
      </c>
      <c r="D9" s="32" t="str">
        <f>IF(B9="","",Calculations!B26*D$7)</f>
        <v/>
      </c>
      <c r="E9" s="30" t="str">
        <f>IF(Hanger_list!T44="","",Hanger_list!T44)</f>
        <v/>
      </c>
      <c r="F9" s="30" t="str">
        <f t="shared" si="0"/>
        <v/>
      </c>
    </row>
    <row r="10" spans="1:12" x14ac:dyDescent="0.3">
      <c r="A10" s="27">
        <v>4</v>
      </c>
      <c r="B10" s="33"/>
      <c r="C10" s="33"/>
      <c r="D10" s="34"/>
      <c r="E10" s="35"/>
      <c r="F10" s="35"/>
    </row>
    <row r="11" spans="1:12" x14ac:dyDescent="0.3">
      <c r="A11" s="27">
        <v>5</v>
      </c>
      <c r="B11" s="33"/>
      <c r="C11" s="33"/>
      <c r="D11" s="34"/>
      <c r="E11" s="35"/>
      <c r="F11" s="35"/>
    </row>
    <row r="12" spans="1:12" x14ac:dyDescent="0.3">
      <c r="A12" s="27">
        <v>6</v>
      </c>
      <c r="B12" s="33"/>
      <c r="C12" s="33"/>
      <c r="D12" s="34"/>
      <c r="E12" s="35"/>
      <c r="F12" s="35"/>
    </row>
    <row r="13" spans="1:12" x14ac:dyDescent="0.3">
      <c r="A13" s="27">
        <v>7</v>
      </c>
      <c r="B13" s="33"/>
      <c r="C13" s="33"/>
      <c r="D13" s="34"/>
      <c r="E13" s="35"/>
      <c r="F13" s="35" t="str">
        <f t="shared" si="0"/>
        <v/>
      </c>
      <c r="L13" s="27" t="s">
        <v>104</v>
      </c>
    </row>
    <row r="14" spans="1:12" x14ac:dyDescent="0.3">
      <c r="A14" s="27">
        <v>8</v>
      </c>
      <c r="B14" s="33"/>
      <c r="C14" s="33"/>
      <c r="D14" s="34"/>
      <c r="E14" s="35"/>
      <c r="F14" s="35" t="str">
        <f t="shared" si="0"/>
        <v/>
      </c>
    </row>
    <row r="15" spans="1:12" x14ac:dyDescent="0.3">
      <c r="A15" s="27">
        <v>9</v>
      </c>
      <c r="B15" s="33"/>
      <c r="C15" s="33"/>
      <c r="D15" s="34"/>
      <c r="E15" s="35"/>
      <c r="F15" s="35" t="str">
        <f t="shared" si="0"/>
        <v/>
      </c>
    </row>
    <row r="16" spans="1:12" x14ac:dyDescent="0.3">
      <c r="A16" s="27">
        <v>10</v>
      </c>
      <c r="B16" s="33"/>
      <c r="C16" s="33"/>
      <c r="D16" s="34"/>
      <c r="E16" s="35"/>
      <c r="F16" s="35" t="str">
        <f t="shared" si="0"/>
        <v/>
      </c>
    </row>
    <row r="17" spans="2:6" x14ac:dyDescent="0.3">
      <c r="E17" s="28" t="s">
        <v>116</v>
      </c>
      <c r="F17" s="30" t="e">
        <f>SUM(F7:F11)</f>
        <v>#REF!</v>
      </c>
    </row>
    <row r="19" spans="2:6" x14ac:dyDescent="0.3">
      <c r="B19" s="27" t="s">
        <v>117</v>
      </c>
      <c r="C19" s="27" t="s">
        <v>118</v>
      </c>
      <c r="D19" s="27">
        <f>SUMIF(B7:B16,"H"&amp;"*",D7:D16)</f>
        <v>0</v>
      </c>
    </row>
    <row r="20" spans="2:6" x14ac:dyDescent="0.3">
      <c r="C20" s="27" t="s">
        <v>119</v>
      </c>
    </row>
    <row r="21" spans="2:6" x14ac:dyDescent="0.3">
      <c r="C21" s="27" t="s">
        <v>120</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DF7FCF-8E67-46E0-8219-8549ABA38275}">
  <sheetPr codeName="Sheet11"/>
  <dimension ref="A2:AQ184"/>
  <sheetViews>
    <sheetView workbookViewId="0">
      <selection activeCell="B11" sqref="B11"/>
    </sheetView>
  </sheetViews>
  <sheetFormatPr defaultRowHeight="15" x14ac:dyDescent="0.25"/>
  <cols>
    <col min="12" max="12" width="21.140625" bestFit="1" customWidth="1"/>
    <col min="13" max="14" width="27.28515625" bestFit="1" customWidth="1"/>
    <col min="15" max="15" width="41.5703125" bestFit="1" customWidth="1"/>
    <col min="17" max="18" width="47.28515625" bestFit="1" customWidth="1"/>
    <col min="19" max="19" width="43.85546875" bestFit="1" customWidth="1"/>
    <col min="21" max="21" width="49.42578125" bestFit="1" customWidth="1"/>
    <col min="23" max="23" width="49.42578125" bestFit="1" customWidth="1"/>
    <col min="24" max="24" width="67.140625" bestFit="1" customWidth="1"/>
    <col min="25" max="25" width="7" bestFit="1" customWidth="1"/>
    <col min="26" max="26" width="21.140625" bestFit="1" customWidth="1"/>
    <col min="27" max="27" width="7" bestFit="1" customWidth="1"/>
    <col min="28" max="28" width="27.28515625" bestFit="1" customWidth="1"/>
    <col min="29" max="29" width="8" bestFit="1" customWidth="1"/>
    <col min="30" max="30" width="27.28515625" bestFit="1" customWidth="1"/>
    <col min="31" max="31" width="8" bestFit="1" customWidth="1"/>
    <col min="32" max="32" width="41.5703125" bestFit="1" customWidth="1"/>
    <col min="33" max="33" width="7" bestFit="1" customWidth="1"/>
    <col min="34" max="34" width="47.28515625" bestFit="1" customWidth="1"/>
    <col min="35" max="35" width="8" bestFit="1" customWidth="1"/>
    <col min="36" max="36" width="47.28515625" bestFit="1" customWidth="1"/>
    <col min="37" max="37" width="8" bestFit="1" customWidth="1"/>
    <col min="38" max="38" width="43.85546875" bestFit="1" customWidth="1"/>
    <col min="39" max="39" width="7" bestFit="1" customWidth="1"/>
    <col min="40" max="40" width="49.42578125" bestFit="1" customWidth="1"/>
    <col min="41" max="41" width="8" bestFit="1" customWidth="1"/>
    <col min="42" max="42" width="49.42578125" bestFit="1" customWidth="1"/>
    <col min="43" max="43" width="8" bestFit="1" customWidth="1"/>
  </cols>
  <sheetData>
    <row r="2" spans="1:43" x14ac:dyDescent="0.25">
      <c r="A2" t="s">
        <v>664</v>
      </c>
      <c r="I2" t="s">
        <v>665</v>
      </c>
    </row>
    <row r="3" spans="1:43" x14ac:dyDescent="0.25">
      <c r="B3" t="s">
        <v>666</v>
      </c>
      <c r="D3" t="s">
        <v>667</v>
      </c>
      <c r="F3" t="s">
        <v>668</v>
      </c>
      <c r="H3" t="s">
        <v>669</v>
      </c>
      <c r="J3" t="s">
        <v>670</v>
      </c>
      <c r="L3" t="s">
        <v>671</v>
      </c>
      <c r="M3" t="s">
        <v>672</v>
      </c>
      <c r="N3" t="s">
        <v>673</v>
      </c>
      <c r="O3" t="s">
        <v>674</v>
      </c>
      <c r="Q3" t="s">
        <v>675</v>
      </c>
      <c r="R3" t="s">
        <v>676</v>
      </c>
      <c r="S3" t="s">
        <v>677</v>
      </c>
      <c r="U3" t="s">
        <v>678</v>
      </c>
      <c r="W3" t="s">
        <v>679</v>
      </c>
      <c r="X3" t="s">
        <v>670</v>
      </c>
      <c r="Z3" t="s">
        <v>671</v>
      </c>
      <c r="AB3" t="s">
        <v>672</v>
      </c>
      <c r="AD3" t="s">
        <v>673</v>
      </c>
      <c r="AF3" t="s">
        <v>674</v>
      </c>
      <c r="AH3" t="s">
        <v>675</v>
      </c>
      <c r="AJ3" t="s">
        <v>676</v>
      </c>
      <c r="AL3" t="s">
        <v>677</v>
      </c>
      <c r="AN3" t="s">
        <v>678</v>
      </c>
      <c r="AP3" t="s">
        <v>679</v>
      </c>
    </row>
    <row r="4" spans="1:43" x14ac:dyDescent="0.25">
      <c r="X4" t="s">
        <v>680</v>
      </c>
      <c r="Y4" t="s">
        <v>681</v>
      </c>
      <c r="Z4" t="s">
        <v>680</v>
      </c>
      <c r="AA4" t="s">
        <v>681</v>
      </c>
      <c r="AB4" t="s">
        <v>680</v>
      </c>
      <c r="AC4" t="s">
        <v>681</v>
      </c>
      <c r="AD4" t="s">
        <v>680</v>
      </c>
      <c r="AE4" t="s">
        <v>681</v>
      </c>
      <c r="AF4" t="s">
        <v>680</v>
      </c>
      <c r="AG4" t="s">
        <v>681</v>
      </c>
      <c r="AH4" t="s">
        <v>680</v>
      </c>
      <c r="AI4" t="s">
        <v>681</v>
      </c>
      <c r="AJ4" t="s">
        <v>680</v>
      </c>
      <c r="AK4" t="s">
        <v>681</v>
      </c>
      <c r="AL4" t="s">
        <v>680</v>
      </c>
      <c r="AM4" t="s">
        <v>681</v>
      </c>
      <c r="AN4" t="s">
        <v>680</v>
      </c>
      <c r="AO4" t="s">
        <v>681</v>
      </c>
      <c r="AP4" t="s">
        <v>680</v>
      </c>
      <c r="AQ4" t="s">
        <v>681</v>
      </c>
    </row>
    <row r="5" spans="1:43" x14ac:dyDescent="0.25">
      <c r="A5">
        <v>2420</v>
      </c>
      <c r="B5" t="s">
        <v>682</v>
      </c>
      <c r="C5" t="s">
        <v>683</v>
      </c>
      <c r="D5" t="s">
        <v>684</v>
      </c>
      <c r="F5">
        <v>11</v>
      </c>
      <c r="H5">
        <v>15</v>
      </c>
      <c r="J5">
        <v>22</v>
      </c>
      <c r="L5">
        <v>25.22</v>
      </c>
      <c r="M5">
        <v>35.26</v>
      </c>
      <c r="N5">
        <v>48.52</v>
      </c>
      <c r="O5">
        <v>22</v>
      </c>
      <c r="Q5">
        <v>35.26</v>
      </c>
      <c r="R5">
        <v>48.52</v>
      </c>
      <c r="S5">
        <v>22</v>
      </c>
      <c r="U5">
        <v>35.26</v>
      </c>
      <c r="W5">
        <v>48.52</v>
      </c>
      <c r="X5">
        <v>342</v>
      </c>
      <c r="Y5">
        <v>440</v>
      </c>
      <c r="Z5">
        <v>377.41999999999996</v>
      </c>
      <c r="AA5">
        <v>488.29999999999995</v>
      </c>
      <c r="AB5">
        <v>487.85999999999996</v>
      </c>
      <c r="AC5">
        <v>638.9</v>
      </c>
      <c r="AD5">
        <v>633.72</v>
      </c>
      <c r="AE5">
        <v>837.80000000000007</v>
      </c>
      <c r="AF5">
        <v>342</v>
      </c>
      <c r="AG5">
        <v>440</v>
      </c>
      <c r="AH5">
        <v>487.85999999999996</v>
      </c>
      <c r="AI5">
        <v>638.9</v>
      </c>
      <c r="AJ5">
        <v>633.72</v>
      </c>
      <c r="AK5">
        <v>837.80000000000007</v>
      </c>
      <c r="AL5">
        <v>342</v>
      </c>
      <c r="AM5">
        <v>440</v>
      </c>
      <c r="AN5">
        <v>487.85999999999996</v>
      </c>
      <c r="AO5">
        <v>638.9</v>
      </c>
      <c r="AP5">
        <v>633.72</v>
      </c>
      <c r="AQ5">
        <v>837.80000000000007</v>
      </c>
    </row>
    <row r="6" spans="1:43" x14ac:dyDescent="0.25">
      <c r="A6">
        <v>3620</v>
      </c>
      <c r="B6" t="s">
        <v>685</v>
      </c>
      <c r="C6" t="s">
        <v>683</v>
      </c>
      <c r="D6" t="s">
        <v>684</v>
      </c>
      <c r="F6">
        <v>11</v>
      </c>
      <c r="H6">
        <v>15</v>
      </c>
      <c r="J6">
        <v>25.88</v>
      </c>
      <c r="L6">
        <v>29.1</v>
      </c>
      <c r="M6">
        <v>43.02</v>
      </c>
      <c r="N6">
        <v>60.16</v>
      </c>
      <c r="O6">
        <v>25.88</v>
      </c>
      <c r="Q6">
        <v>43.02</v>
      </c>
      <c r="R6">
        <v>60.16</v>
      </c>
      <c r="S6">
        <v>25.88</v>
      </c>
      <c r="U6">
        <v>43.02</v>
      </c>
      <c r="W6">
        <v>60.16</v>
      </c>
      <c r="X6">
        <v>384.68</v>
      </c>
      <c r="Y6">
        <v>498.2</v>
      </c>
      <c r="Z6">
        <v>420.1</v>
      </c>
      <c r="AA6">
        <v>546.5</v>
      </c>
      <c r="AB6">
        <v>573.22</v>
      </c>
      <c r="AC6">
        <v>755.30000000000007</v>
      </c>
      <c r="AD6">
        <v>761.76</v>
      </c>
      <c r="AE6">
        <v>1012.4</v>
      </c>
      <c r="AF6">
        <v>384.68</v>
      </c>
      <c r="AG6">
        <v>498.2</v>
      </c>
      <c r="AH6">
        <v>573.22</v>
      </c>
      <c r="AI6">
        <v>755.30000000000007</v>
      </c>
      <c r="AJ6">
        <v>761.76</v>
      </c>
      <c r="AK6">
        <v>1012.4</v>
      </c>
      <c r="AL6">
        <v>384.68</v>
      </c>
      <c r="AM6">
        <v>498.2</v>
      </c>
      <c r="AN6">
        <v>573.22</v>
      </c>
      <c r="AO6">
        <v>755.30000000000007</v>
      </c>
      <c r="AP6">
        <v>761.76</v>
      </c>
      <c r="AQ6">
        <v>1012.4</v>
      </c>
    </row>
    <row r="7" spans="1:43" x14ac:dyDescent="0.25">
      <c r="A7">
        <v>4820</v>
      </c>
      <c r="B7" t="s">
        <v>686</v>
      </c>
      <c r="C7" t="s">
        <v>683</v>
      </c>
      <c r="D7" t="s">
        <v>684</v>
      </c>
      <c r="F7">
        <v>11</v>
      </c>
      <c r="H7">
        <v>15</v>
      </c>
      <c r="J7">
        <v>29.76</v>
      </c>
      <c r="L7">
        <v>32.979999999999997</v>
      </c>
      <c r="M7">
        <v>50.78</v>
      </c>
      <c r="N7">
        <v>71.8</v>
      </c>
      <c r="O7">
        <v>29.76</v>
      </c>
      <c r="Q7">
        <v>50.78</v>
      </c>
      <c r="R7">
        <v>71.8</v>
      </c>
      <c r="S7">
        <v>18.760000000000002</v>
      </c>
      <c r="U7">
        <v>50.78</v>
      </c>
      <c r="W7">
        <v>71.8</v>
      </c>
      <c r="X7">
        <v>427.36</v>
      </c>
      <c r="Y7">
        <v>556.40000000000009</v>
      </c>
      <c r="Z7">
        <v>462.78</v>
      </c>
      <c r="AA7">
        <v>604.69999999999993</v>
      </c>
      <c r="AB7">
        <v>658.58</v>
      </c>
      <c r="AC7">
        <v>871.7</v>
      </c>
      <c r="AD7">
        <v>889.8</v>
      </c>
      <c r="AE7">
        <v>1187</v>
      </c>
      <c r="AF7">
        <v>427.36</v>
      </c>
      <c r="AG7">
        <v>556.40000000000009</v>
      </c>
      <c r="AH7">
        <v>658.58</v>
      </c>
      <c r="AI7">
        <v>871.7</v>
      </c>
      <c r="AJ7">
        <v>889.8</v>
      </c>
      <c r="AK7">
        <v>1187</v>
      </c>
      <c r="AL7">
        <v>306.36</v>
      </c>
      <c r="AM7">
        <v>391.40000000000003</v>
      </c>
      <c r="AN7">
        <v>658.58</v>
      </c>
      <c r="AO7">
        <v>871.7</v>
      </c>
      <c r="AP7">
        <v>889.8</v>
      </c>
      <c r="AQ7">
        <v>1187</v>
      </c>
    </row>
    <row r="8" spans="1:43" x14ac:dyDescent="0.25">
      <c r="A8">
        <v>7220</v>
      </c>
      <c r="B8" t="s">
        <v>687</v>
      </c>
      <c r="C8" t="s">
        <v>683</v>
      </c>
      <c r="D8" t="s">
        <v>684</v>
      </c>
      <c r="F8">
        <v>11</v>
      </c>
      <c r="H8">
        <v>15</v>
      </c>
      <c r="J8">
        <v>37.520000000000003</v>
      </c>
      <c r="L8">
        <v>40.74</v>
      </c>
      <c r="M8">
        <v>66.3</v>
      </c>
      <c r="N8">
        <v>95.08</v>
      </c>
      <c r="O8">
        <v>37.520000000000003</v>
      </c>
      <c r="Q8">
        <v>66.3</v>
      </c>
      <c r="R8">
        <v>95.08</v>
      </c>
      <c r="S8">
        <v>29.76</v>
      </c>
      <c r="U8">
        <v>66.3</v>
      </c>
      <c r="W8">
        <v>95.08</v>
      </c>
      <c r="X8">
        <v>512.72</v>
      </c>
      <c r="Y8">
        <v>672.80000000000007</v>
      </c>
      <c r="Z8">
        <v>548.1400000000001</v>
      </c>
      <c r="AA8">
        <v>721.1</v>
      </c>
      <c r="AB8">
        <v>829.3</v>
      </c>
      <c r="AC8">
        <v>1104.5</v>
      </c>
      <c r="AD8">
        <v>1145.8799999999999</v>
      </c>
      <c r="AE8">
        <v>1536.2</v>
      </c>
      <c r="AF8">
        <v>512.72</v>
      </c>
      <c r="AG8">
        <v>672.80000000000007</v>
      </c>
      <c r="AH8">
        <v>829.3</v>
      </c>
      <c r="AI8">
        <v>1104.5</v>
      </c>
      <c r="AJ8">
        <v>1145.8799999999999</v>
      </c>
      <c r="AK8">
        <v>1536.2</v>
      </c>
      <c r="AL8">
        <v>427.36</v>
      </c>
      <c r="AM8">
        <v>556.40000000000009</v>
      </c>
      <c r="AN8">
        <v>829.3</v>
      </c>
      <c r="AO8">
        <v>1104.5</v>
      </c>
      <c r="AP8">
        <v>1145.8799999999999</v>
      </c>
      <c r="AQ8">
        <v>1536.2</v>
      </c>
    </row>
    <row r="10" spans="1:43" x14ac:dyDescent="0.25">
      <c r="A10">
        <v>2436</v>
      </c>
      <c r="B10" t="s">
        <v>682</v>
      </c>
      <c r="C10" t="s">
        <v>683</v>
      </c>
      <c r="D10" t="s">
        <v>685</v>
      </c>
      <c r="F10">
        <v>9</v>
      </c>
      <c r="H10">
        <v>14</v>
      </c>
      <c r="J10">
        <v>24.58</v>
      </c>
      <c r="L10">
        <v>30.4</v>
      </c>
      <c r="M10">
        <v>37.840000000000003</v>
      </c>
      <c r="N10">
        <v>51.1</v>
      </c>
      <c r="O10">
        <v>24.58</v>
      </c>
      <c r="Q10">
        <v>37.840000000000003</v>
      </c>
      <c r="R10">
        <v>51.1</v>
      </c>
      <c r="S10">
        <v>24.58</v>
      </c>
      <c r="U10">
        <v>37.840000000000003</v>
      </c>
      <c r="W10">
        <v>53.04</v>
      </c>
      <c r="X10">
        <v>321.21999999999997</v>
      </c>
      <c r="Y10">
        <v>454.12</v>
      </c>
      <c r="Z10">
        <v>373.59999999999997</v>
      </c>
      <c r="AA10">
        <v>535.59999999999991</v>
      </c>
      <c r="AB10">
        <v>440.56000000000006</v>
      </c>
      <c r="AC10">
        <v>639.76</v>
      </c>
      <c r="AD10">
        <v>559.90000000000009</v>
      </c>
      <c r="AE10">
        <v>825.4</v>
      </c>
      <c r="AF10">
        <v>321.21999999999997</v>
      </c>
      <c r="AG10">
        <v>454.12</v>
      </c>
      <c r="AH10">
        <v>440.56000000000006</v>
      </c>
      <c r="AI10">
        <v>639.76</v>
      </c>
      <c r="AJ10">
        <v>559.90000000000009</v>
      </c>
      <c r="AK10">
        <v>825.4</v>
      </c>
      <c r="AL10">
        <v>321.21999999999997</v>
      </c>
      <c r="AM10">
        <v>454.12</v>
      </c>
      <c r="AN10">
        <v>440.56000000000006</v>
      </c>
      <c r="AO10">
        <v>639.76</v>
      </c>
      <c r="AP10">
        <v>577.36</v>
      </c>
      <c r="AQ10">
        <v>852.56</v>
      </c>
    </row>
    <row r="11" spans="1:43" x14ac:dyDescent="0.25">
      <c r="A11">
        <v>3636</v>
      </c>
      <c r="B11" t="s">
        <v>685</v>
      </c>
      <c r="C11" t="s">
        <v>683</v>
      </c>
      <c r="D11" t="s">
        <v>685</v>
      </c>
      <c r="F11">
        <v>9</v>
      </c>
      <c r="H11">
        <v>14</v>
      </c>
      <c r="J11">
        <v>28.46</v>
      </c>
      <c r="L11">
        <v>34.28</v>
      </c>
      <c r="M11">
        <v>45.6</v>
      </c>
      <c r="N11">
        <v>62.74</v>
      </c>
      <c r="O11">
        <v>28.46</v>
      </c>
      <c r="Q11">
        <v>45.6</v>
      </c>
      <c r="R11">
        <v>62.74</v>
      </c>
      <c r="S11">
        <v>28.46</v>
      </c>
      <c r="U11">
        <v>45.6</v>
      </c>
      <c r="W11">
        <v>64.680000000000007</v>
      </c>
      <c r="X11">
        <v>356.14</v>
      </c>
      <c r="Y11">
        <v>508.44</v>
      </c>
      <c r="Z11">
        <v>408.52</v>
      </c>
      <c r="AA11">
        <v>589.92000000000007</v>
      </c>
      <c r="AB11">
        <v>510.40000000000003</v>
      </c>
      <c r="AC11">
        <v>748.4</v>
      </c>
      <c r="AD11">
        <v>664.66</v>
      </c>
      <c r="AE11">
        <v>988.36</v>
      </c>
      <c r="AF11">
        <v>356.14</v>
      </c>
      <c r="AG11">
        <v>508.44</v>
      </c>
      <c r="AH11">
        <v>510.40000000000003</v>
      </c>
      <c r="AI11">
        <v>748.4</v>
      </c>
      <c r="AJ11">
        <v>664.66</v>
      </c>
      <c r="AK11">
        <v>988.36</v>
      </c>
      <c r="AL11">
        <v>356.14</v>
      </c>
      <c r="AM11">
        <v>508.44</v>
      </c>
      <c r="AN11">
        <v>510.40000000000003</v>
      </c>
      <c r="AO11">
        <v>748.4</v>
      </c>
      <c r="AP11">
        <v>682.12000000000012</v>
      </c>
      <c r="AQ11">
        <v>1015.5200000000001</v>
      </c>
    </row>
    <row r="12" spans="1:43" x14ac:dyDescent="0.25">
      <c r="A12">
        <v>4836</v>
      </c>
      <c r="B12" t="s">
        <v>686</v>
      </c>
      <c r="C12" t="s">
        <v>683</v>
      </c>
      <c r="D12" t="s">
        <v>685</v>
      </c>
      <c r="F12">
        <v>9</v>
      </c>
      <c r="H12">
        <v>14</v>
      </c>
      <c r="J12">
        <v>32.340000000000003</v>
      </c>
      <c r="L12">
        <v>38.159999999999997</v>
      </c>
      <c r="M12">
        <v>53.36</v>
      </c>
      <c r="N12">
        <v>74.38</v>
      </c>
      <c r="O12">
        <v>32.340000000000003</v>
      </c>
      <c r="Q12">
        <v>53.36</v>
      </c>
      <c r="R12">
        <v>74.38</v>
      </c>
      <c r="S12">
        <v>32.340000000000003</v>
      </c>
      <c r="U12">
        <v>53.36</v>
      </c>
      <c r="W12">
        <v>76.319999999999993</v>
      </c>
      <c r="X12">
        <v>391.06000000000006</v>
      </c>
      <c r="Y12">
        <v>562.76</v>
      </c>
      <c r="Z12">
        <v>443.43999999999994</v>
      </c>
      <c r="AA12">
        <v>644.24</v>
      </c>
      <c r="AB12">
        <v>580.24</v>
      </c>
      <c r="AC12">
        <v>857.04</v>
      </c>
      <c r="AD12">
        <v>769.42</v>
      </c>
      <c r="AE12">
        <v>1151.32</v>
      </c>
      <c r="AF12">
        <v>391.06000000000006</v>
      </c>
      <c r="AG12">
        <v>562.76</v>
      </c>
      <c r="AH12">
        <v>580.24</v>
      </c>
      <c r="AI12">
        <v>857.04</v>
      </c>
      <c r="AJ12">
        <v>769.42</v>
      </c>
      <c r="AK12">
        <v>1151.32</v>
      </c>
      <c r="AL12">
        <v>391.06000000000006</v>
      </c>
      <c r="AM12">
        <v>562.76</v>
      </c>
      <c r="AN12">
        <v>580.24</v>
      </c>
      <c r="AO12">
        <v>857.04</v>
      </c>
      <c r="AP12">
        <v>786.87999999999988</v>
      </c>
      <c r="AQ12">
        <v>1178.48</v>
      </c>
    </row>
    <row r="13" spans="1:43" x14ac:dyDescent="0.25">
      <c r="A13">
        <v>7236</v>
      </c>
      <c r="B13" t="s">
        <v>687</v>
      </c>
      <c r="C13" t="s">
        <v>683</v>
      </c>
      <c r="D13" t="s">
        <v>685</v>
      </c>
      <c r="F13">
        <v>9</v>
      </c>
      <c r="H13">
        <v>14</v>
      </c>
      <c r="J13">
        <v>40.1</v>
      </c>
      <c r="L13">
        <v>45.92</v>
      </c>
      <c r="M13">
        <v>68.88</v>
      </c>
      <c r="N13">
        <v>97.66</v>
      </c>
      <c r="O13">
        <v>40.1</v>
      </c>
      <c r="Q13">
        <v>68.88</v>
      </c>
      <c r="R13">
        <v>97.66</v>
      </c>
      <c r="S13">
        <v>40.1</v>
      </c>
      <c r="U13">
        <v>68.88</v>
      </c>
      <c r="W13">
        <v>99.6</v>
      </c>
      <c r="X13">
        <v>460.90000000000003</v>
      </c>
      <c r="Y13">
        <v>671.4</v>
      </c>
      <c r="Z13">
        <v>513.28</v>
      </c>
      <c r="AA13">
        <v>752.88</v>
      </c>
      <c r="AB13">
        <v>719.92</v>
      </c>
      <c r="AC13">
        <v>1074.32</v>
      </c>
      <c r="AD13">
        <v>978.93999999999994</v>
      </c>
      <c r="AE13">
        <v>1477.24</v>
      </c>
      <c r="AF13">
        <v>460.90000000000003</v>
      </c>
      <c r="AG13">
        <v>671.4</v>
      </c>
      <c r="AH13">
        <v>719.92</v>
      </c>
      <c r="AI13">
        <v>1074.32</v>
      </c>
      <c r="AJ13">
        <v>978.93999999999994</v>
      </c>
      <c r="AK13">
        <v>1477.24</v>
      </c>
      <c r="AL13">
        <v>460.90000000000003</v>
      </c>
      <c r="AM13">
        <v>671.4</v>
      </c>
      <c r="AN13">
        <v>719.92</v>
      </c>
      <c r="AO13">
        <v>1074.32</v>
      </c>
      <c r="AP13">
        <v>996.4</v>
      </c>
      <c r="AQ13">
        <v>1504.3999999999999</v>
      </c>
    </row>
    <row r="15" spans="1:43" x14ac:dyDescent="0.25">
      <c r="A15">
        <v>2448</v>
      </c>
      <c r="B15" t="s">
        <v>682</v>
      </c>
      <c r="C15" t="s">
        <v>683</v>
      </c>
      <c r="D15" t="s">
        <v>686</v>
      </c>
      <c r="F15">
        <v>7</v>
      </c>
      <c r="H15">
        <v>10</v>
      </c>
      <c r="J15">
        <v>26.52</v>
      </c>
      <c r="L15">
        <v>34.28</v>
      </c>
      <c r="M15">
        <v>39.78</v>
      </c>
      <c r="N15">
        <v>53.04</v>
      </c>
      <c r="O15">
        <v>26.52</v>
      </c>
      <c r="Q15">
        <v>39.78</v>
      </c>
      <c r="R15">
        <v>53.04</v>
      </c>
      <c r="S15">
        <v>26.52</v>
      </c>
      <c r="U15">
        <v>39.78</v>
      </c>
      <c r="W15">
        <v>53.04</v>
      </c>
      <c r="X15">
        <v>285.64</v>
      </c>
      <c r="Y15">
        <v>375.2</v>
      </c>
      <c r="Z15">
        <v>339.96000000000004</v>
      </c>
      <c r="AA15">
        <v>452.8</v>
      </c>
      <c r="AB15">
        <v>378.46000000000004</v>
      </c>
      <c r="AC15">
        <v>507.8</v>
      </c>
      <c r="AD15">
        <v>471.28</v>
      </c>
      <c r="AE15">
        <v>640.4</v>
      </c>
      <c r="AF15">
        <v>285.64</v>
      </c>
      <c r="AG15">
        <v>375.2</v>
      </c>
      <c r="AH15">
        <v>378.46000000000004</v>
      </c>
      <c r="AI15">
        <v>507.8</v>
      </c>
      <c r="AJ15">
        <v>471.28</v>
      </c>
      <c r="AK15">
        <v>640.4</v>
      </c>
      <c r="AL15">
        <v>285.64</v>
      </c>
      <c r="AM15">
        <v>375.2</v>
      </c>
      <c r="AN15">
        <v>378.46000000000004</v>
      </c>
      <c r="AO15">
        <v>507.8</v>
      </c>
      <c r="AP15">
        <v>471.28</v>
      </c>
      <c r="AQ15">
        <v>640.4</v>
      </c>
    </row>
    <row r="16" spans="1:43" x14ac:dyDescent="0.25">
      <c r="A16">
        <v>3648</v>
      </c>
      <c r="B16" t="s">
        <v>685</v>
      </c>
      <c r="C16" t="s">
        <v>683</v>
      </c>
      <c r="D16" t="s">
        <v>686</v>
      </c>
      <c r="F16">
        <v>7</v>
      </c>
      <c r="H16">
        <v>10</v>
      </c>
      <c r="J16">
        <v>30.4</v>
      </c>
      <c r="L16">
        <v>38.159999999999997</v>
      </c>
      <c r="M16">
        <v>47.54</v>
      </c>
      <c r="N16">
        <v>64.680000000000007</v>
      </c>
      <c r="O16">
        <v>30.4</v>
      </c>
      <c r="Q16">
        <v>47.54</v>
      </c>
      <c r="R16">
        <v>64.680000000000007</v>
      </c>
      <c r="S16">
        <v>30.4</v>
      </c>
      <c r="U16">
        <v>47.54</v>
      </c>
      <c r="W16">
        <v>64.680000000000007</v>
      </c>
      <c r="X16">
        <v>312.79999999999995</v>
      </c>
      <c r="Y16">
        <v>414</v>
      </c>
      <c r="Z16">
        <v>367.12</v>
      </c>
      <c r="AA16">
        <v>491.59999999999997</v>
      </c>
      <c r="AB16">
        <v>432.78</v>
      </c>
      <c r="AC16">
        <v>585.4</v>
      </c>
      <c r="AD16">
        <v>552.76</v>
      </c>
      <c r="AE16">
        <v>756.80000000000007</v>
      </c>
      <c r="AF16">
        <v>312.79999999999995</v>
      </c>
      <c r="AG16">
        <v>414</v>
      </c>
      <c r="AH16">
        <v>432.78</v>
      </c>
      <c r="AI16">
        <v>585.4</v>
      </c>
      <c r="AJ16">
        <v>552.76</v>
      </c>
      <c r="AK16">
        <v>756.80000000000007</v>
      </c>
      <c r="AL16">
        <v>312.79999999999995</v>
      </c>
      <c r="AM16">
        <v>414</v>
      </c>
      <c r="AN16">
        <v>432.78</v>
      </c>
      <c r="AO16">
        <v>585.4</v>
      </c>
      <c r="AP16">
        <v>552.76</v>
      </c>
      <c r="AQ16">
        <v>756.80000000000007</v>
      </c>
    </row>
    <row r="17" spans="1:43" x14ac:dyDescent="0.25">
      <c r="A17">
        <v>4848</v>
      </c>
      <c r="B17" t="s">
        <v>686</v>
      </c>
      <c r="C17" t="s">
        <v>683</v>
      </c>
      <c r="D17" t="s">
        <v>686</v>
      </c>
      <c r="F17">
        <v>7</v>
      </c>
      <c r="H17">
        <v>10</v>
      </c>
      <c r="J17">
        <v>34.28</v>
      </c>
      <c r="L17">
        <v>42.04</v>
      </c>
      <c r="M17">
        <v>55.3</v>
      </c>
      <c r="N17">
        <v>76.319999999999993</v>
      </c>
      <c r="O17">
        <v>34.28</v>
      </c>
      <c r="Q17">
        <v>55.3</v>
      </c>
      <c r="R17">
        <v>76.319999999999993</v>
      </c>
      <c r="S17">
        <v>34.28</v>
      </c>
      <c r="U17">
        <v>55.3</v>
      </c>
      <c r="W17">
        <v>76.319999999999993</v>
      </c>
      <c r="X17">
        <v>339.96000000000004</v>
      </c>
      <c r="Y17">
        <v>452.8</v>
      </c>
      <c r="Z17">
        <v>394.28</v>
      </c>
      <c r="AA17">
        <v>530.4</v>
      </c>
      <c r="AB17">
        <v>487.09999999999997</v>
      </c>
      <c r="AC17">
        <v>663</v>
      </c>
      <c r="AD17">
        <v>634.24</v>
      </c>
      <c r="AE17">
        <v>873.19999999999993</v>
      </c>
      <c r="AF17">
        <v>339.96000000000004</v>
      </c>
      <c r="AG17">
        <v>452.8</v>
      </c>
      <c r="AH17">
        <v>487.09999999999997</v>
      </c>
      <c r="AI17">
        <v>663</v>
      </c>
      <c r="AJ17">
        <v>634.24</v>
      </c>
      <c r="AK17">
        <v>873.19999999999993</v>
      </c>
      <c r="AL17">
        <v>339.96000000000004</v>
      </c>
      <c r="AM17">
        <v>452.8</v>
      </c>
      <c r="AN17">
        <v>487.09999999999997</v>
      </c>
      <c r="AO17">
        <v>663</v>
      </c>
      <c r="AP17">
        <v>634.24</v>
      </c>
      <c r="AQ17">
        <v>873.19999999999993</v>
      </c>
    </row>
    <row r="18" spans="1:43" x14ac:dyDescent="0.25">
      <c r="A18">
        <v>7248</v>
      </c>
      <c r="B18" t="s">
        <v>687</v>
      </c>
      <c r="C18" t="s">
        <v>683</v>
      </c>
      <c r="D18" t="s">
        <v>686</v>
      </c>
      <c r="F18">
        <v>7</v>
      </c>
      <c r="H18">
        <v>10</v>
      </c>
      <c r="J18">
        <v>42.04</v>
      </c>
      <c r="L18">
        <v>49.8</v>
      </c>
      <c r="M18">
        <v>70.819999999999993</v>
      </c>
      <c r="N18">
        <v>99.6</v>
      </c>
      <c r="O18">
        <v>42.04</v>
      </c>
      <c r="Q18">
        <v>70.819999999999993</v>
      </c>
      <c r="R18">
        <v>99.6</v>
      </c>
      <c r="S18">
        <v>42.04</v>
      </c>
      <c r="U18">
        <v>70.819999999999993</v>
      </c>
      <c r="W18">
        <v>99.6</v>
      </c>
      <c r="X18">
        <v>394.28</v>
      </c>
      <c r="Y18">
        <v>530.4</v>
      </c>
      <c r="Z18">
        <v>448.59999999999997</v>
      </c>
      <c r="AA18">
        <v>608</v>
      </c>
      <c r="AB18">
        <v>595.74</v>
      </c>
      <c r="AC18">
        <v>818.19999999999993</v>
      </c>
      <c r="AD18">
        <v>797.19999999999993</v>
      </c>
      <c r="AE18">
        <v>1106</v>
      </c>
      <c r="AF18">
        <v>394.28</v>
      </c>
      <c r="AG18">
        <v>530.4</v>
      </c>
      <c r="AH18">
        <v>595.74</v>
      </c>
      <c r="AI18">
        <v>818.19999999999993</v>
      </c>
      <c r="AJ18">
        <v>797.19999999999993</v>
      </c>
      <c r="AK18">
        <v>1106</v>
      </c>
      <c r="AL18">
        <v>394.28</v>
      </c>
      <c r="AM18">
        <v>530.4</v>
      </c>
      <c r="AN18">
        <v>595.74</v>
      </c>
      <c r="AO18">
        <v>818.19999999999993</v>
      </c>
      <c r="AP18">
        <v>797.19999999999993</v>
      </c>
      <c r="AQ18">
        <v>1106</v>
      </c>
    </row>
    <row r="20" spans="1:43" x14ac:dyDescent="0.25">
      <c r="A20">
        <v>2460</v>
      </c>
      <c r="B20" t="s">
        <v>682</v>
      </c>
      <c r="C20" t="s">
        <v>683</v>
      </c>
      <c r="D20" t="s">
        <v>688</v>
      </c>
      <c r="F20" t="s">
        <v>683</v>
      </c>
      <c r="H20">
        <v>7</v>
      </c>
      <c r="J20">
        <v>28.46</v>
      </c>
      <c r="L20">
        <v>38.159999999999997</v>
      </c>
      <c r="M20">
        <v>41.72</v>
      </c>
      <c r="N20">
        <v>54.98</v>
      </c>
      <c r="O20">
        <v>28.46</v>
      </c>
      <c r="Q20">
        <v>41.72</v>
      </c>
      <c r="R20">
        <v>54.98</v>
      </c>
      <c r="S20">
        <v>28.46</v>
      </c>
      <c r="U20">
        <v>41.72</v>
      </c>
      <c r="W20">
        <v>54.98</v>
      </c>
      <c r="X20" t="s">
        <v>683</v>
      </c>
      <c r="Y20">
        <v>309.22000000000003</v>
      </c>
      <c r="Z20" t="s">
        <v>683</v>
      </c>
      <c r="AA20">
        <v>377.12</v>
      </c>
      <c r="AB20" t="s">
        <v>683</v>
      </c>
      <c r="AC20">
        <v>402.03999999999996</v>
      </c>
      <c r="AD20" t="s">
        <v>683</v>
      </c>
      <c r="AE20">
        <v>494.85999999999996</v>
      </c>
      <c r="AF20" t="s">
        <v>683</v>
      </c>
      <c r="AG20">
        <v>309.22000000000003</v>
      </c>
      <c r="AH20" t="s">
        <v>683</v>
      </c>
      <c r="AI20">
        <v>402.03999999999996</v>
      </c>
      <c r="AJ20" t="s">
        <v>683</v>
      </c>
      <c r="AK20">
        <v>494.85999999999996</v>
      </c>
      <c r="AL20" t="s">
        <v>683</v>
      </c>
      <c r="AM20">
        <v>309.22000000000003</v>
      </c>
      <c r="AN20" t="s">
        <v>683</v>
      </c>
      <c r="AO20">
        <v>402.03999999999996</v>
      </c>
      <c r="AP20" t="s">
        <v>683</v>
      </c>
      <c r="AQ20">
        <v>494.85999999999996</v>
      </c>
    </row>
    <row r="21" spans="1:43" x14ac:dyDescent="0.25">
      <c r="A21">
        <v>3660</v>
      </c>
      <c r="B21" t="s">
        <v>685</v>
      </c>
      <c r="C21" t="s">
        <v>683</v>
      </c>
      <c r="D21" t="s">
        <v>688</v>
      </c>
      <c r="F21" t="s">
        <v>683</v>
      </c>
      <c r="H21">
        <v>7</v>
      </c>
      <c r="J21">
        <v>32.340000000000003</v>
      </c>
      <c r="L21">
        <v>42.04</v>
      </c>
      <c r="M21">
        <v>49.48</v>
      </c>
      <c r="N21">
        <v>66.62</v>
      </c>
      <c r="O21">
        <v>32.340000000000003</v>
      </c>
      <c r="Q21">
        <v>49.48</v>
      </c>
      <c r="R21">
        <v>66.62</v>
      </c>
      <c r="S21">
        <v>32.340000000000003</v>
      </c>
      <c r="U21">
        <v>49.48</v>
      </c>
      <c r="W21">
        <v>66.62</v>
      </c>
      <c r="X21" t="s">
        <v>683</v>
      </c>
      <c r="Y21">
        <v>336.38</v>
      </c>
      <c r="Z21" t="s">
        <v>683</v>
      </c>
      <c r="AA21">
        <v>404.28</v>
      </c>
      <c r="AB21" t="s">
        <v>683</v>
      </c>
      <c r="AC21">
        <v>456.35999999999996</v>
      </c>
      <c r="AD21" t="s">
        <v>683</v>
      </c>
      <c r="AE21">
        <v>576.34</v>
      </c>
      <c r="AF21" t="s">
        <v>683</v>
      </c>
      <c r="AG21">
        <v>336.38</v>
      </c>
      <c r="AH21" t="s">
        <v>683</v>
      </c>
      <c r="AI21">
        <v>456.35999999999996</v>
      </c>
      <c r="AJ21" t="s">
        <v>683</v>
      </c>
      <c r="AK21">
        <v>576.34</v>
      </c>
      <c r="AL21" t="s">
        <v>683</v>
      </c>
      <c r="AM21">
        <v>336.38</v>
      </c>
      <c r="AN21" t="s">
        <v>683</v>
      </c>
      <c r="AO21">
        <v>456.35999999999996</v>
      </c>
      <c r="AP21" t="s">
        <v>683</v>
      </c>
      <c r="AQ21">
        <v>576.34</v>
      </c>
    </row>
    <row r="22" spans="1:43" x14ac:dyDescent="0.25">
      <c r="A22">
        <v>4860</v>
      </c>
      <c r="B22" t="s">
        <v>686</v>
      </c>
      <c r="C22" t="s">
        <v>683</v>
      </c>
      <c r="D22" t="s">
        <v>688</v>
      </c>
      <c r="F22" t="s">
        <v>683</v>
      </c>
      <c r="H22">
        <v>7</v>
      </c>
      <c r="J22">
        <v>36.22</v>
      </c>
      <c r="L22">
        <v>45.92</v>
      </c>
      <c r="M22">
        <v>57.24</v>
      </c>
      <c r="N22">
        <v>78.260000000000005</v>
      </c>
      <c r="O22">
        <v>36.22</v>
      </c>
      <c r="Q22">
        <v>57.24</v>
      </c>
      <c r="R22">
        <v>78.260000000000005</v>
      </c>
      <c r="S22">
        <v>36.22</v>
      </c>
      <c r="U22">
        <v>57.24</v>
      </c>
      <c r="W22">
        <v>78.260000000000005</v>
      </c>
      <c r="X22" t="s">
        <v>683</v>
      </c>
      <c r="Y22">
        <v>363.53999999999996</v>
      </c>
      <c r="Z22" t="s">
        <v>683</v>
      </c>
      <c r="AA22">
        <v>431.44</v>
      </c>
      <c r="AB22" t="s">
        <v>683</v>
      </c>
      <c r="AC22">
        <v>510.68</v>
      </c>
      <c r="AD22" t="s">
        <v>683</v>
      </c>
      <c r="AE22">
        <v>657.82</v>
      </c>
      <c r="AF22" t="s">
        <v>683</v>
      </c>
      <c r="AG22">
        <v>363.53999999999996</v>
      </c>
      <c r="AH22" t="s">
        <v>683</v>
      </c>
      <c r="AI22">
        <v>510.68</v>
      </c>
      <c r="AJ22" t="s">
        <v>683</v>
      </c>
      <c r="AK22">
        <v>657.82</v>
      </c>
      <c r="AL22" t="s">
        <v>683</v>
      </c>
      <c r="AM22">
        <v>363.53999999999996</v>
      </c>
      <c r="AN22" t="s">
        <v>683</v>
      </c>
      <c r="AO22">
        <v>510.68</v>
      </c>
      <c r="AP22" t="s">
        <v>689</v>
      </c>
      <c r="AQ22">
        <v>657.82</v>
      </c>
    </row>
    <row r="23" spans="1:43" x14ac:dyDescent="0.25">
      <c r="A23">
        <v>7260</v>
      </c>
      <c r="B23" t="s">
        <v>687</v>
      </c>
      <c r="C23" t="s">
        <v>683</v>
      </c>
      <c r="D23" t="s">
        <v>688</v>
      </c>
      <c r="F23" t="s">
        <v>683</v>
      </c>
      <c r="H23">
        <v>7</v>
      </c>
      <c r="J23">
        <v>43.98</v>
      </c>
      <c r="L23">
        <v>53.68</v>
      </c>
      <c r="M23">
        <v>72.760000000000005</v>
      </c>
      <c r="N23">
        <v>101.54</v>
      </c>
      <c r="O23">
        <v>43.98</v>
      </c>
      <c r="Q23">
        <v>72.760000000000005</v>
      </c>
      <c r="R23">
        <v>101.54</v>
      </c>
      <c r="S23">
        <v>43.98</v>
      </c>
      <c r="U23">
        <v>72.760000000000005</v>
      </c>
      <c r="W23">
        <v>101.54</v>
      </c>
      <c r="X23" t="s">
        <v>683</v>
      </c>
      <c r="Y23">
        <v>417.85999999999996</v>
      </c>
      <c r="Z23" t="s">
        <v>683</v>
      </c>
      <c r="AA23">
        <v>485.76</v>
      </c>
      <c r="AB23" t="s">
        <v>683</v>
      </c>
      <c r="AC23">
        <v>619.32000000000005</v>
      </c>
      <c r="AD23" t="s">
        <v>683</v>
      </c>
      <c r="AE23">
        <v>820.78000000000009</v>
      </c>
      <c r="AF23" t="s">
        <v>683</v>
      </c>
      <c r="AG23">
        <v>417.85999999999996</v>
      </c>
      <c r="AH23" t="s">
        <v>683</v>
      </c>
      <c r="AI23">
        <v>619.32000000000005</v>
      </c>
      <c r="AJ23" t="s">
        <v>683</v>
      </c>
      <c r="AK23">
        <v>820.78000000000009</v>
      </c>
      <c r="AL23" t="s">
        <v>683</v>
      </c>
      <c r="AM23">
        <v>417.85999999999996</v>
      </c>
      <c r="AN23" t="s">
        <v>683</v>
      </c>
      <c r="AO23">
        <v>619.32000000000005</v>
      </c>
      <c r="AP23" t="s">
        <v>683</v>
      </c>
      <c r="AQ23">
        <v>820.78000000000009</v>
      </c>
    </row>
    <row r="25" spans="1:43" x14ac:dyDescent="0.25">
      <c r="A25">
        <v>2472</v>
      </c>
      <c r="B25" t="s">
        <v>682</v>
      </c>
      <c r="C25" t="s">
        <v>683</v>
      </c>
      <c r="D25" t="s">
        <v>687</v>
      </c>
      <c r="F25" t="s">
        <v>683</v>
      </c>
      <c r="H25">
        <v>7</v>
      </c>
      <c r="J25">
        <v>30.4</v>
      </c>
      <c r="L25">
        <v>42.04</v>
      </c>
      <c r="M25">
        <v>43.66</v>
      </c>
      <c r="N25">
        <v>56.92</v>
      </c>
      <c r="O25">
        <v>30.4</v>
      </c>
      <c r="Q25">
        <v>43.66</v>
      </c>
      <c r="R25">
        <v>56.92</v>
      </c>
      <c r="S25">
        <v>30.4</v>
      </c>
      <c r="U25">
        <v>43.66</v>
      </c>
      <c r="W25">
        <v>56.92</v>
      </c>
      <c r="X25" t="s">
        <v>683</v>
      </c>
      <c r="Y25">
        <v>322.79999999999995</v>
      </c>
      <c r="Z25" t="s">
        <v>683</v>
      </c>
      <c r="AA25">
        <v>404.28</v>
      </c>
      <c r="AB25" t="s">
        <v>683</v>
      </c>
      <c r="AC25">
        <v>415.62</v>
      </c>
      <c r="AD25" t="s">
        <v>683</v>
      </c>
      <c r="AE25">
        <v>508.44</v>
      </c>
      <c r="AF25" t="s">
        <v>683</v>
      </c>
      <c r="AG25">
        <v>322.79999999999995</v>
      </c>
      <c r="AH25" t="s">
        <v>683</v>
      </c>
      <c r="AI25">
        <v>415.62</v>
      </c>
      <c r="AJ25" t="s">
        <v>683</v>
      </c>
      <c r="AK25">
        <v>508.44</v>
      </c>
      <c r="AL25" t="s">
        <v>683</v>
      </c>
      <c r="AM25">
        <v>322.79999999999995</v>
      </c>
      <c r="AN25" t="s">
        <v>683</v>
      </c>
      <c r="AO25">
        <v>415.62</v>
      </c>
      <c r="AP25" t="s">
        <v>683</v>
      </c>
      <c r="AQ25">
        <v>508.44</v>
      </c>
    </row>
    <row r="26" spans="1:43" x14ac:dyDescent="0.25">
      <c r="A26">
        <v>3672</v>
      </c>
      <c r="B26" t="s">
        <v>685</v>
      </c>
      <c r="C26" t="s">
        <v>683</v>
      </c>
      <c r="D26" t="s">
        <v>687</v>
      </c>
      <c r="F26" t="s">
        <v>683</v>
      </c>
      <c r="H26">
        <v>7</v>
      </c>
      <c r="J26">
        <v>34.28</v>
      </c>
      <c r="L26">
        <v>45.92</v>
      </c>
      <c r="M26">
        <v>51.42</v>
      </c>
      <c r="N26">
        <v>68.56</v>
      </c>
      <c r="O26">
        <v>34.28</v>
      </c>
      <c r="Q26">
        <v>51.42</v>
      </c>
      <c r="R26">
        <v>68.56</v>
      </c>
      <c r="S26">
        <v>34.28</v>
      </c>
      <c r="U26">
        <v>51.42</v>
      </c>
      <c r="W26">
        <v>68.56</v>
      </c>
      <c r="X26" t="s">
        <v>683</v>
      </c>
      <c r="Y26">
        <v>349.96000000000004</v>
      </c>
      <c r="Z26" t="s">
        <v>683</v>
      </c>
      <c r="AA26">
        <v>431.44</v>
      </c>
      <c r="AB26" t="s">
        <v>683</v>
      </c>
      <c r="AC26">
        <v>469.94</v>
      </c>
      <c r="AD26" t="s">
        <v>683</v>
      </c>
      <c r="AE26">
        <v>589.92000000000007</v>
      </c>
      <c r="AF26" t="s">
        <v>683</v>
      </c>
      <c r="AG26">
        <v>349.96000000000004</v>
      </c>
      <c r="AH26" t="s">
        <v>683</v>
      </c>
      <c r="AI26">
        <v>469.94</v>
      </c>
      <c r="AJ26" t="s">
        <v>683</v>
      </c>
      <c r="AK26">
        <v>589.92000000000007</v>
      </c>
      <c r="AL26" t="s">
        <v>683</v>
      </c>
      <c r="AM26">
        <v>349.96000000000004</v>
      </c>
      <c r="AN26" t="s">
        <v>683</v>
      </c>
      <c r="AO26">
        <v>469.94</v>
      </c>
      <c r="AP26" t="s">
        <v>683</v>
      </c>
      <c r="AQ26">
        <v>589.92000000000007</v>
      </c>
    </row>
    <row r="27" spans="1:43" x14ac:dyDescent="0.25">
      <c r="A27">
        <v>4872</v>
      </c>
      <c r="B27" t="s">
        <v>686</v>
      </c>
      <c r="C27" t="s">
        <v>683</v>
      </c>
      <c r="D27" t="s">
        <v>687</v>
      </c>
      <c r="F27" t="s">
        <v>683</v>
      </c>
      <c r="H27">
        <v>7</v>
      </c>
      <c r="J27">
        <v>38.159999999999997</v>
      </c>
      <c r="L27">
        <v>49.8</v>
      </c>
      <c r="M27">
        <v>59.18</v>
      </c>
      <c r="N27">
        <v>80.2</v>
      </c>
      <c r="O27">
        <v>38.159999999999997</v>
      </c>
      <c r="Q27">
        <v>59.18</v>
      </c>
      <c r="R27">
        <v>80.2</v>
      </c>
      <c r="S27">
        <v>38.159999999999997</v>
      </c>
      <c r="U27">
        <v>59.18</v>
      </c>
      <c r="W27">
        <v>80.2</v>
      </c>
      <c r="X27" t="s">
        <v>683</v>
      </c>
      <c r="Y27">
        <v>377.12</v>
      </c>
      <c r="Z27" t="s">
        <v>683</v>
      </c>
      <c r="AA27">
        <v>458.59999999999997</v>
      </c>
      <c r="AB27" t="s">
        <v>683</v>
      </c>
      <c r="AC27">
        <v>524.26</v>
      </c>
      <c r="AD27" t="s">
        <v>683</v>
      </c>
      <c r="AE27">
        <v>671.4</v>
      </c>
      <c r="AF27" t="s">
        <v>683</v>
      </c>
      <c r="AG27">
        <v>377.12</v>
      </c>
      <c r="AH27" t="s">
        <v>683</v>
      </c>
      <c r="AI27">
        <v>524.26</v>
      </c>
      <c r="AJ27" t="s">
        <v>683</v>
      </c>
      <c r="AK27">
        <v>671.4</v>
      </c>
      <c r="AL27" t="s">
        <v>683</v>
      </c>
      <c r="AM27">
        <v>377.12</v>
      </c>
      <c r="AN27" t="s">
        <v>683</v>
      </c>
      <c r="AO27">
        <v>524.26</v>
      </c>
      <c r="AP27" t="s">
        <v>683</v>
      </c>
      <c r="AQ27">
        <v>671.4</v>
      </c>
    </row>
    <row r="28" spans="1:43" x14ac:dyDescent="0.25">
      <c r="A28">
        <v>7272</v>
      </c>
      <c r="B28" t="s">
        <v>687</v>
      </c>
      <c r="C28" t="s">
        <v>683</v>
      </c>
      <c r="D28" t="s">
        <v>687</v>
      </c>
      <c r="F28" t="s">
        <v>683</v>
      </c>
      <c r="H28">
        <v>7</v>
      </c>
      <c r="J28">
        <v>45.92</v>
      </c>
      <c r="L28">
        <v>57.56</v>
      </c>
      <c r="M28">
        <v>74.7</v>
      </c>
      <c r="N28">
        <v>103.48</v>
      </c>
      <c r="O28">
        <v>45.92</v>
      </c>
      <c r="Q28">
        <v>74.7</v>
      </c>
      <c r="R28">
        <v>103.48</v>
      </c>
      <c r="S28">
        <v>45.92</v>
      </c>
      <c r="U28">
        <v>74.7</v>
      </c>
      <c r="W28">
        <v>103.48</v>
      </c>
      <c r="X28" t="s">
        <v>683</v>
      </c>
      <c r="Y28">
        <v>431.44</v>
      </c>
      <c r="Z28" t="s">
        <v>683</v>
      </c>
      <c r="AA28">
        <v>512.92000000000007</v>
      </c>
      <c r="AB28" t="s">
        <v>683</v>
      </c>
      <c r="AC28">
        <v>632.9</v>
      </c>
      <c r="AD28" t="s">
        <v>683</v>
      </c>
      <c r="AE28">
        <v>834.36</v>
      </c>
      <c r="AF28" t="s">
        <v>683</v>
      </c>
      <c r="AG28">
        <v>431.44</v>
      </c>
      <c r="AH28" t="s">
        <v>683</v>
      </c>
      <c r="AI28">
        <v>632.9</v>
      </c>
      <c r="AJ28" t="s">
        <v>683</v>
      </c>
      <c r="AK28">
        <v>834.36</v>
      </c>
      <c r="AL28" t="s">
        <v>683</v>
      </c>
      <c r="AM28">
        <v>431.44</v>
      </c>
      <c r="AN28" t="s">
        <v>683</v>
      </c>
      <c r="AO28">
        <v>632.9</v>
      </c>
      <c r="AP28" t="s">
        <v>683</v>
      </c>
      <c r="AQ28">
        <v>834.36</v>
      </c>
    </row>
    <row r="30" spans="1:43" x14ac:dyDescent="0.25">
      <c r="A30">
        <v>2484</v>
      </c>
      <c r="B30" t="s">
        <v>682</v>
      </c>
      <c r="C30" t="s">
        <v>683</v>
      </c>
      <c r="D30" t="s">
        <v>690</v>
      </c>
      <c r="F30" t="s">
        <v>683</v>
      </c>
      <c r="H30">
        <v>7</v>
      </c>
      <c r="J30">
        <v>32.340000000000003</v>
      </c>
      <c r="L30">
        <v>45.92</v>
      </c>
      <c r="M30">
        <v>45.6</v>
      </c>
      <c r="N30">
        <v>58.86</v>
      </c>
      <c r="O30">
        <v>32.340000000000003</v>
      </c>
      <c r="Q30">
        <v>45.6</v>
      </c>
      <c r="R30">
        <v>58.86</v>
      </c>
      <c r="S30">
        <v>32.340000000000003</v>
      </c>
      <c r="U30">
        <v>45.6</v>
      </c>
      <c r="W30">
        <v>58.86</v>
      </c>
      <c r="X30" t="s">
        <v>683</v>
      </c>
      <c r="Y30">
        <v>336.38</v>
      </c>
      <c r="Z30" t="s">
        <v>683</v>
      </c>
      <c r="AA30">
        <v>431.44</v>
      </c>
      <c r="AB30" t="s">
        <v>683</v>
      </c>
      <c r="AC30">
        <v>429.2</v>
      </c>
      <c r="AD30" t="s">
        <v>683</v>
      </c>
      <c r="AE30">
        <v>522.02</v>
      </c>
      <c r="AF30" t="s">
        <v>683</v>
      </c>
      <c r="AG30">
        <v>336.38</v>
      </c>
      <c r="AH30" t="s">
        <v>683</v>
      </c>
      <c r="AI30">
        <v>429.2</v>
      </c>
      <c r="AJ30" t="s">
        <v>683</v>
      </c>
      <c r="AK30">
        <v>522.02</v>
      </c>
      <c r="AL30" t="s">
        <v>683</v>
      </c>
      <c r="AM30">
        <v>336.38</v>
      </c>
      <c r="AN30" t="s">
        <v>683</v>
      </c>
      <c r="AO30">
        <v>429.2</v>
      </c>
      <c r="AP30" t="s">
        <v>683</v>
      </c>
      <c r="AQ30">
        <v>522.02</v>
      </c>
    </row>
    <row r="31" spans="1:43" x14ac:dyDescent="0.25">
      <c r="A31">
        <v>3684</v>
      </c>
      <c r="B31" t="s">
        <v>685</v>
      </c>
      <c r="C31" t="s">
        <v>683</v>
      </c>
      <c r="D31" t="s">
        <v>690</v>
      </c>
      <c r="F31" t="s">
        <v>683</v>
      </c>
      <c r="H31">
        <v>7</v>
      </c>
      <c r="J31">
        <v>36.22</v>
      </c>
      <c r="L31">
        <v>49.8</v>
      </c>
      <c r="M31">
        <v>53.36</v>
      </c>
      <c r="N31">
        <v>70.5</v>
      </c>
      <c r="O31">
        <v>36.22</v>
      </c>
      <c r="Q31">
        <v>53.36</v>
      </c>
      <c r="R31">
        <v>70.5</v>
      </c>
      <c r="S31">
        <v>36.22</v>
      </c>
      <c r="U31">
        <v>53.36</v>
      </c>
      <c r="W31">
        <v>70.5</v>
      </c>
      <c r="X31" t="s">
        <v>683</v>
      </c>
      <c r="Y31">
        <v>363.53999999999996</v>
      </c>
      <c r="Z31" t="s">
        <v>683</v>
      </c>
      <c r="AA31">
        <v>458.59999999999997</v>
      </c>
      <c r="AB31" t="s">
        <v>683</v>
      </c>
      <c r="AC31">
        <v>483.52</v>
      </c>
      <c r="AD31" t="s">
        <v>683</v>
      </c>
      <c r="AE31">
        <v>603.5</v>
      </c>
      <c r="AF31" t="s">
        <v>683</v>
      </c>
      <c r="AG31">
        <v>363.53999999999996</v>
      </c>
      <c r="AH31" t="s">
        <v>683</v>
      </c>
      <c r="AI31">
        <v>483.52</v>
      </c>
      <c r="AJ31" t="s">
        <v>683</v>
      </c>
      <c r="AK31">
        <v>603.5</v>
      </c>
      <c r="AL31" t="s">
        <v>683</v>
      </c>
      <c r="AM31">
        <v>363.53999999999996</v>
      </c>
      <c r="AN31" t="s">
        <v>683</v>
      </c>
      <c r="AO31">
        <v>483.52</v>
      </c>
      <c r="AP31" t="s">
        <v>683</v>
      </c>
      <c r="AQ31">
        <v>603.5</v>
      </c>
    </row>
    <row r="32" spans="1:43" x14ac:dyDescent="0.25">
      <c r="A32">
        <v>4884</v>
      </c>
      <c r="B32" t="s">
        <v>686</v>
      </c>
      <c r="C32" t="s">
        <v>683</v>
      </c>
      <c r="D32" t="s">
        <v>690</v>
      </c>
      <c r="F32" t="s">
        <v>683</v>
      </c>
      <c r="H32">
        <v>7</v>
      </c>
      <c r="J32">
        <v>40.1</v>
      </c>
      <c r="L32">
        <v>53.68</v>
      </c>
      <c r="M32">
        <v>61.12</v>
      </c>
      <c r="N32">
        <v>82.14</v>
      </c>
      <c r="O32">
        <v>40.1</v>
      </c>
      <c r="Q32">
        <v>61.12</v>
      </c>
      <c r="R32">
        <v>82.14</v>
      </c>
      <c r="S32">
        <v>40.1</v>
      </c>
      <c r="U32">
        <v>61.12</v>
      </c>
      <c r="W32">
        <v>82.14</v>
      </c>
      <c r="X32" t="s">
        <v>683</v>
      </c>
      <c r="Y32">
        <v>390.7</v>
      </c>
      <c r="Z32" t="s">
        <v>683</v>
      </c>
      <c r="AA32">
        <v>485.76</v>
      </c>
      <c r="AB32" t="s">
        <v>683</v>
      </c>
      <c r="AC32">
        <v>537.83999999999992</v>
      </c>
      <c r="AD32" t="s">
        <v>683</v>
      </c>
      <c r="AE32">
        <v>684.98</v>
      </c>
      <c r="AF32" t="s">
        <v>683</v>
      </c>
      <c r="AG32">
        <v>390.7</v>
      </c>
      <c r="AH32" t="s">
        <v>683</v>
      </c>
      <c r="AI32">
        <v>537.83999999999992</v>
      </c>
      <c r="AJ32" t="s">
        <v>683</v>
      </c>
      <c r="AK32">
        <v>684.98</v>
      </c>
      <c r="AL32" t="s">
        <v>683</v>
      </c>
      <c r="AM32">
        <v>390.7</v>
      </c>
      <c r="AN32" t="s">
        <v>683</v>
      </c>
      <c r="AO32">
        <v>537.83999999999992</v>
      </c>
      <c r="AP32" t="s">
        <v>683</v>
      </c>
      <c r="AQ32">
        <v>684.98</v>
      </c>
    </row>
    <row r="33" spans="1:43" x14ac:dyDescent="0.25">
      <c r="A33">
        <v>7284</v>
      </c>
      <c r="B33" t="s">
        <v>687</v>
      </c>
      <c r="C33" t="s">
        <v>683</v>
      </c>
      <c r="D33" t="s">
        <v>690</v>
      </c>
      <c r="F33" t="s">
        <v>683</v>
      </c>
      <c r="H33">
        <v>7</v>
      </c>
      <c r="J33">
        <v>47.86</v>
      </c>
      <c r="L33">
        <v>61.44</v>
      </c>
      <c r="M33">
        <v>76.64</v>
      </c>
      <c r="N33">
        <v>105.42</v>
      </c>
      <c r="O33">
        <v>36.86</v>
      </c>
      <c r="Q33">
        <v>76.64</v>
      </c>
      <c r="R33">
        <v>105.42</v>
      </c>
      <c r="S33">
        <v>47.86</v>
      </c>
      <c r="U33">
        <v>76.64</v>
      </c>
      <c r="W33">
        <v>105.42</v>
      </c>
      <c r="X33" t="s">
        <v>683</v>
      </c>
      <c r="Y33">
        <v>445.02</v>
      </c>
      <c r="Z33" t="s">
        <v>683</v>
      </c>
      <c r="AA33">
        <v>540.07999999999993</v>
      </c>
      <c r="AB33" t="s">
        <v>683</v>
      </c>
      <c r="AC33">
        <v>646.48</v>
      </c>
      <c r="AD33" t="s">
        <v>683</v>
      </c>
      <c r="AE33">
        <v>847.94</v>
      </c>
      <c r="AF33" t="s">
        <v>683</v>
      </c>
      <c r="AG33">
        <v>368.02</v>
      </c>
      <c r="AH33" t="s">
        <v>683</v>
      </c>
      <c r="AI33">
        <v>646.48</v>
      </c>
      <c r="AJ33" t="s">
        <v>683</v>
      </c>
      <c r="AK33">
        <v>847.94</v>
      </c>
      <c r="AL33" t="s">
        <v>683</v>
      </c>
      <c r="AM33">
        <v>445.02</v>
      </c>
      <c r="AN33" t="s">
        <v>683</v>
      </c>
      <c r="AO33">
        <v>646.48</v>
      </c>
      <c r="AP33" t="s">
        <v>683</v>
      </c>
      <c r="AQ33">
        <v>847.94</v>
      </c>
    </row>
    <row r="35" spans="1:43" x14ac:dyDescent="0.25">
      <c r="A35" t="s">
        <v>691</v>
      </c>
      <c r="X35" t="s">
        <v>692</v>
      </c>
    </row>
    <row r="36" spans="1:43" x14ac:dyDescent="0.25">
      <c r="A36" t="s">
        <v>693</v>
      </c>
      <c r="X36" t="s">
        <v>694</v>
      </c>
    </row>
    <row r="37" spans="1:43" x14ac:dyDescent="0.25">
      <c r="A37" t="s">
        <v>695</v>
      </c>
      <c r="X37" t="s">
        <v>696</v>
      </c>
    </row>
    <row r="184" spans="1:1" x14ac:dyDescent="0.25">
      <c r="A184">
        <v>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D2FE0-75C9-447A-B835-BCED42DA5F25}">
  <sheetPr codeName="Sheet12"/>
  <dimension ref="A1:U12"/>
  <sheetViews>
    <sheetView workbookViewId="0">
      <selection activeCell="T1" sqref="T1:V1048576"/>
    </sheetView>
  </sheetViews>
  <sheetFormatPr defaultRowHeight="15" x14ac:dyDescent="0.25"/>
  <cols>
    <col min="1" max="1" width="14.28515625" bestFit="1" customWidth="1"/>
    <col min="2" max="2" width="3.42578125" customWidth="1"/>
    <col min="3" max="3" width="16.85546875" bestFit="1" customWidth="1"/>
    <col min="4" max="4" width="1.140625" customWidth="1"/>
    <col min="5" max="5" width="14" bestFit="1" customWidth="1"/>
    <col min="6" max="6" width="2.140625" customWidth="1"/>
    <col min="7" max="7" width="18.140625" bestFit="1" customWidth="1"/>
    <col min="8" max="8" width="3.5703125" customWidth="1"/>
    <col min="9" max="9" width="12" bestFit="1" customWidth="1"/>
    <col min="10" max="10" width="2.7109375" customWidth="1"/>
    <col min="11" max="11" width="21.140625" customWidth="1"/>
    <col min="12" max="12" width="2.140625" customWidth="1"/>
    <col min="13" max="13" width="18" customWidth="1"/>
    <col min="14" max="14" width="1.7109375" customWidth="1"/>
    <col min="15" max="15" width="15.140625" bestFit="1" customWidth="1"/>
    <col min="16" max="17" width="3.42578125" customWidth="1"/>
    <col min="18" max="18" width="13.28515625" bestFit="1" customWidth="1"/>
    <col min="19" max="19" width="3.5703125" customWidth="1"/>
    <col min="20" max="20" width="5.42578125" customWidth="1"/>
    <col min="21" max="21" width="19.140625" customWidth="1"/>
  </cols>
  <sheetData>
    <row r="1" spans="1:21" x14ac:dyDescent="0.25">
      <c r="A1" t="s">
        <v>121</v>
      </c>
      <c r="C1" t="s">
        <v>122</v>
      </c>
      <c r="E1" t="s">
        <v>123</v>
      </c>
      <c r="G1" t="s">
        <v>124</v>
      </c>
      <c r="I1" t="s">
        <v>125</v>
      </c>
      <c r="K1" t="s">
        <v>126</v>
      </c>
      <c r="M1" t="s">
        <v>127</v>
      </c>
      <c r="O1" t="s">
        <v>128</v>
      </c>
      <c r="R1" t="s">
        <v>129</v>
      </c>
      <c r="U1" t="s">
        <v>130</v>
      </c>
    </row>
    <row r="2" spans="1:21" x14ac:dyDescent="0.25">
      <c r="A2" t="s">
        <v>10</v>
      </c>
      <c r="C2" t="s">
        <v>132</v>
      </c>
      <c r="E2" t="s">
        <v>31</v>
      </c>
      <c r="G2" t="s">
        <v>24</v>
      </c>
      <c r="I2">
        <v>2</v>
      </c>
      <c r="K2" t="s">
        <v>133</v>
      </c>
      <c r="M2">
        <v>0</v>
      </c>
      <c r="O2">
        <v>0</v>
      </c>
      <c r="R2">
        <v>0</v>
      </c>
      <c r="U2" t="s">
        <v>8</v>
      </c>
    </row>
    <row r="3" spans="1:21" x14ac:dyDescent="0.25">
      <c r="C3" t="s">
        <v>20</v>
      </c>
      <c r="E3" t="s">
        <v>134</v>
      </c>
      <c r="G3" t="s">
        <v>23</v>
      </c>
      <c r="I3">
        <v>2.5</v>
      </c>
      <c r="K3">
        <v>0.5</v>
      </c>
      <c r="M3">
        <v>0.5</v>
      </c>
      <c r="O3">
        <v>1</v>
      </c>
      <c r="R3">
        <v>5</v>
      </c>
      <c r="U3" t="s">
        <v>135</v>
      </c>
    </row>
    <row r="4" spans="1:21" x14ac:dyDescent="0.25">
      <c r="C4" t="s">
        <v>137</v>
      </c>
      <c r="E4" t="s">
        <v>138</v>
      </c>
      <c r="G4" t="s">
        <v>801</v>
      </c>
      <c r="I4">
        <v>3</v>
      </c>
      <c r="K4">
        <v>0.75</v>
      </c>
      <c r="M4">
        <v>0.75</v>
      </c>
      <c r="O4">
        <v>2</v>
      </c>
      <c r="R4">
        <v>10</v>
      </c>
    </row>
    <row r="5" spans="1:21" x14ac:dyDescent="0.25">
      <c r="C5" t="s">
        <v>139</v>
      </c>
      <c r="E5" t="s">
        <v>801</v>
      </c>
      <c r="I5">
        <v>3.5</v>
      </c>
      <c r="K5">
        <v>1</v>
      </c>
      <c r="M5">
        <v>1</v>
      </c>
      <c r="O5">
        <v>3</v>
      </c>
      <c r="R5">
        <v>20</v>
      </c>
    </row>
    <row r="6" spans="1:21" x14ac:dyDescent="0.25">
      <c r="C6" t="s">
        <v>140</v>
      </c>
      <c r="I6">
        <v>4</v>
      </c>
      <c r="K6">
        <v>1.5</v>
      </c>
      <c r="M6">
        <v>1.5</v>
      </c>
      <c r="O6">
        <v>4</v>
      </c>
      <c r="R6">
        <v>40</v>
      </c>
    </row>
    <row r="7" spans="1:21" x14ac:dyDescent="0.25">
      <c r="C7" t="s">
        <v>141</v>
      </c>
      <c r="I7">
        <v>5</v>
      </c>
      <c r="M7">
        <v>2</v>
      </c>
      <c r="O7">
        <v>5</v>
      </c>
      <c r="R7">
        <v>60</v>
      </c>
    </row>
    <row r="8" spans="1:21" x14ac:dyDescent="0.25">
      <c r="C8" t="s">
        <v>801</v>
      </c>
      <c r="I8">
        <v>6</v>
      </c>
      <c r="M8">
        <v>2.5</v>
      </c>
      <c r="O8">
        <v>6</v>
      </c>
    </row>
    <row r="9" spans="1:21" x14ac:dyDescent="0.25">
      <c r="I9">
        <v>8</v>
      </c>
      <c r="M9">
        <v>3</v>
      </c>
      <c r="O9">
        <v>7</v>
      </c>
    </row>
    <row r="10" spans="1:21" x14ac:dyDescent="0.25">
      <c r="I10">
        <v>10</v>
      </c>
      <c r="M10">
        <v>3.5</v>
      </c>
      <c r="O10">
        <v>8</v>
      </c>
    </row>
    <row r="11" spans="1:21" x14ac:dyDescent="0.25">
      <c r="I11">
        <v>0</v>
      </c>
      <c r="M11">
        <v>4</v>
      </c>
      <c r="O11">
        <v>9</v>
      </c>
    </row>
    <row r="12" spans="1:21" x14ac:dyDescent="0.25">
      <c r="O12">
        <v>10</v>
      </c>
    </row>
  </sheetData>
  <pageMargins left="0.7" right="0.7" top="0.75" bottom="0.75" header="0.3" footer="0.3"/>
  <tableParts count="10">
    <tablePart r:id="rId1"/>
    <tablePart r:id="rId2"/>
    <tablePart r:id="rId3"/>
    <tablePart r:id="rId4"/>
    <tablePart r:id="rId5"/>
    <tablePart r:id="rId6"/>
    <tablePart r:id="rId7"/>
    <tablePart r:id="rId8"/>
    <tablePart r:id="rId9"/>
    <tablePart r:id="rId10"/>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9DCBB1-F0D0-4E45-AFB5-5E91D5EF5AFC}">
  <sheetPr codeName="Sheet13"/>
  <dimension ref="A1:AO250"/>
  <sheetViews>
    <sheetView topLeftCell="D1" workbookViewId="0">
      <pane ySplit="1" topLeftCell="A90" activePane="bottomLeft" state="frozen"/>
      <selection activeCell="B11" sqref="B11"/>
      <selection pane="bottomLeft" activeCell="B11" sqref="B11"/>
    </sheetView>
  </sheetViews>
  <sheetFormatPr defaultRowHeight="15" x14ac:dyDescent="0.25"/>
  <cols>
    <col min="1" max="1" width="14.7109375" customWidth="1"/>
    <col min="2" max="2" width="48.140625" customWidth="1"/>
    <col min="3" max="3" width="12.5703125" customWidth="1"/>
    <col min="4" max="4" width="12.28515625" customWidth="1"/>
    <col min="5" max="5" width="11.5703125" customWidth="1"/>
    <col min="6" max="6" width="15.7109375" customWidth="1"/>
    <col min="7" max="7" width="16.140625" customWidth="1"/>
    <col min="8" max="8" width="11.42578125" customWidth="1"/>
    <col min="9" max="9" width="12" customWidth="1"/>
    <col min="10" max="10" width="10.5703125" customWidth="1"/>
    <col min="11" max="11" width="17.140625" customWidth="1"/>
    <col min="12" max="12" width="11" customWidth="1"/>
    <col min="13" max="13" width="11.42578125" customWidth="1"/>
    <col min="14" max="14" width="12.140625" customWidth="1"/>
    <col min="15" max="15" width="14.140625" customWidth="1"/>
    <col min="16" max="16" width="14.42578125" customWidth="1"/>
    <col min="17" max="18" width="16.5703125" customWidth="1"/>
    <col min="19" max="19" width="15.28515625" customWidth="1"/>
    <col min="20" max="20" width="11.7109375" style="5" customWidth="1"/>
    <col min="21" max="21" width="12.85546875" customWidth="1"/>
    <col min="22" max="22" width="12.140625" customWidth="1"/>
    <col min="23" max="23" width="9.140625" style="36" customWidth="1"/>
    <col min="24" max="24" width="29.42578125" style="36" bestFit="1" customWidth="1"/>
    <col min="25" max="25" width="18.85546875" style="36" bestFit="1" customWidth="1"/>
    <col min="26" max="26" width="18.85546875" style="36" customWidth="1"/>
    <col min="27" max="27" width="9.42578125" style="36" bestFit="1" customWidth="1"/>
    <col min="28" max="29" width="11.85546875" style="36" bestFit="1" customWidth="1"/>
    <col min="30" max="32" width="11.85546875" style="36" customWidth="1"/>
    <col min="35" max="35" width="11.42578125" customWidth="1"/>
    <col min="37" max="37" width="29.42578125" bestFit="1" customWidth="1"/>
    <col min="38" max="38" width="13.140625" customWidth="1"/>
    <col min="40" max="40" width="13.5703125" customWidth="1"/>
    <col min="41" max="41" width="13.85546875" customWidth="1"/>
  </cols>
  <sheetData>
    <row r="1" spans="1:41" s="9" customFormat="1" ht="45" x14ac:dyDescent="0.25">
      <c r="A1" s="8" t="s">
        <v>111</v>
      </c>
      <c r="B1" s="8" t="s">
        <v>112</v>
      </c>
      <c r="C1" s="8" t="s">
        <v>142</v>
      </c>
      <c r="D1" s="8" t="s">
        <v>143</v>
      </c>
      <c r="E1" s="8" t="s">
        <v>144</v>
      </c>
      <c r="F1" s="8" t="s">
        <v>145</v>
      </c>
      <c r="G1" s="8" t="s">
        <v>146</v>
      </c>
      <c r="H1" s="8" t="s">
        <v>147</v>
      </c>
      <c r="I1" s="8" t="s">
        <v>148</v>
      </c>
      <c r="J1" s="8" t="s">
        <v>149</v>
      </c>
      <c r="K1" s="8" t="s">
        <v>150</v>
      </c>
      <c r="L1" s="8" t="s">
        <v>151</v>
      </c>
      <c r="M1" s="8" t="s">
        <v>152</v>
      </c>
      <c r="N1" s="8" t="s">
        <v>153</v>
      </c>
      <c r="O1" s="8" t="s">
        <v>154</v>
      </c>
      <c r="P1" s="8" t="s">
        <v>155</v>
      </c>
      <c r="Q1" s="8" t="s">
        <v>156</v>
      </c>
      <c r="R1" s="8" t="s">
        <v>157</v>
      </c>
      <c r="S1" s="8" t="s">
        <v>158</v>
      </c>
      <c r="T1" s="45" t="s">
        <v>159</v>
      </c>
      <c r="U1" s="8" t="s">
        <v>160</v>
      </c>
      <c r="V1" s="8" t="s">
        <v>161</v>
      </c>
      <c r="W1" s="37" t="s">
        <v>162</v>
      </c>
      <c r="X1" s="37" t="s">
        <v>163</v>
      </c>
      <c r="Y1" s="37" t="s">
        <v>164</v>
      </c>
      <c r="Z1" s="37" t="s">
        <v>165</v>
      </c>
      <c r="AA1" s="37" t="s">
        <v>166</v>
      </c>
      <c r="AB1" s="37" t="s">
        <v>167</v>
      </c>
      <c r="AC1" s="37" t="s">
        <v>168</v>
      </c>
      <c r="AD1" s="37"/>
      <c r="AE1" s="37"/>
      <c r="AF1" s="37"/>
      <c r="AH1" s="9" t="s">
        <v>169</v>
      </c>
      <c r="AI1" s="9" t="s">
        <v>170</v>
      </c>
      <c r="AK1" s="9" t="s">
        <v>163</v>
      </c>
      <c r="AL1" s="9" t="s">
        <v>171</v>
      </c>
      <c r="AN1" s="9" t="s">
        <v>172</v>
      </c>
      <c r="AO1" s="9" t="s">
        <v>173</v>
      </c>
    </row>
    <row r="2" spans="1:41" x14ac:dyDescent="0.25">
      <c r="A2" s="1" t="s">
        <v>174</v>
      </c>
      <c r="B2" s="1" t="s">
        <v>175</v>
      </c>
      <c r="C2" s="1">
        <f t="shared" ref="C2:C65" si="0">E2+1.675</f>
        <v>25.675000000000001</v>
      </c>
      <c r="D2" s="1">
        <f t="shared" ref="D2:D65" si="1">F2+1.675+12.376</f>
        <v>34.051000000000002</v>
      </c>
      <c r="E2" s="1">
        <v>24</v>
      </c>
      <c r="F2" s="1">
        <v>20</v>
      </c>
      <c r="G2" s="1">
        <f>F2-(1.88*2)</f>
        <v>16.240000000000002</v>
      </c>
      <c r="H2" s="1">
        <v>0</v>
      </c>
      <c r="I2" s="1" t="s">
        <v>176</v>
      </c>
      <c r="J2" s="1">
        <v>1</v>
      </c>
      <c r="K2" s="2">
        <f t="shared" ref="K2:K65" si="2">((F2)/(L2-1))-(H2*0.8125)</f>
        <v>20</v>
      </c>
      <c r="L2" s="1">
        <f t="shared" ref="L2:L65" si="3">2+(H2)</f>
        <v>2</v>
      </c>
      <c r="M2" s="1">
        <f>3*N2</f>
        <v>6</v>
      </c>
      <c r="N2" s="1">
        <f>(2+(2*H2))*J2</f>
        <v>2</v>
      </c>
      <c r="O2" s="3">
        <f>((E2*(L2+H2))+(F2*J2))/12</f>
        <v>5.666666666666667</v>
      </c>
      <c r="P2" s="1">
        <f>ROUNDUP(O2/10,0)</f>
        <v>1</v>
      </c>
      <c r="Q2">
        <f>2*(L2+J2)</f>
        <v>6</v>
      </c>
      <c r="R2">
        <f>_xlfn.XLOOKUP(HFrame_List[[#This Row],[Cross piece style]],$AH$2:$AH$4,$AI$2:$AI$4,0,0)*(HFrame_List[[#This Row],[Width between brackets]]/12)</f>
        <v>7.3892000000000007</v>
      </c>
      <c r="S2">
        <f>Strut_costs[[#This Row],[Strut cost]]*(HFrame_List[[#This Row],[cross piece quantity]]-1)*(HFrame_List[[#This Row],[Width between brackets]]/12)</f>
        <v>0</v>
      </c>
      <c r="T2" s="5">
        <f>HFrame_List[[#This Row],[Bottom cross piece cost]]+HFrame_List[[#This Row],[Top cross piece cost]]+HFrame_List[[#This Row],[Component costs]]+HFrame_List[[#This Row],[Vertical strut cost]]</f>
        <v>57.287199999999999</v>
      </c>
      <c r="U2" s="7">
        <f>_xlfn.XLOOKUP(HFrame_List[[#This Row],[Fabrication type]],Fabrication_costs[Fabrication type],Fabrication_costs[unit pricing],"no result",0)</f>
        <v>19.8</v>
      </c>
      <c r="V2" s="5">
        <f>SUM(T2:U2)/(1-HFrame_List[[#This Row],[Margin]])</f>
        <v>220.24914285714286</v>
      </c>
      <c r="W2" s="36">
        <v>0.65</v>
      </c>
      <c r="X2" t="s">
        <v>177</v>
      </c>
      <c r="Y2">
        <f>_xlfn.XLOOKUP("A12",Strut_costs[size],Strut_costs[Strut cost])/12*HFrame_List[[#This Row],[Strut height (in)]]*(2+HFrame_List[[#This Row],[Extra supports]])</f>
        <v>21.84</v>
      </c>
      <c r="Z2">
        <f>(_xlfn.XLOOKUP("PHB",CADDY_costs[Component],CADDY_costs[Current cost])*HFrame_List[[#This Row],[Number of feet]])+(_xlfn.XLOOKUP("HFRMHDW",CADDY_costs[Component],CADDY_costs[Current cost])*(HFrame_List[[#This Row],[number of L-brackets]]/2))</f>
        <v>28.058</v>
      </c>
      <c r="AA2">
        <v>2420</v>
      </c>
      <c r="AB2">
        <f>VLOOKUP(HFrame_List[[#This Row],[lookup]],'Pallet and shipping info'!$A$5:$H$33,6,FALSE)</f>
        <v>11</v>
      </c>
      <c r="AC2">
        <f>VLOOKUP(HFrame_List[[#This Row],[lookup]],'Pallet and shipping info'!$A$5:$H$33,8,FALSE)</f>
        <v>15</v>
      </c>
      <c r="AD2"/>
      <c r="AE2"/>
      <c r="AF2"/>
      <c r="AH2" t="s">
        <v>176</v>
      </c>
      <c r="AI2">
        <v>5.46</v>
      </c>
      <c r="AK2" t="s">
        <v>177</v>
      </c>
      <c r="AL2" s="38">
        <v>19.8</v>
      </c>
      <c r="AN2" t="s">
        <v>178</v>
      </c>
      <c r="AO2" s="5">
        <v>9.2959999999999994</v>
      </c>
    </row>
    <row r="3" spans="1:41" x14ac:dyDescent="0.25">
      <c r="A3" s="1" t="s">
        <v>179</v>
      </c>
      <c r="B3" s="1" t="s">
        <v>180</v>
      </c>
      <c r="C3" s="1">
        <f t="shared" si="0"/>
        <v>37.674999999999997</v>
      </c>
      <c r="D3" s="1">
        <f t="shared" si="1"/>
        <v>34.051000000000002</v>
      </c>
      <c r="E3" s="1">
        <v>36</v>
      </c>
      <c r="F3" s="1">
        <f>F2</f>
        <v>20</v>
      </c>
      <c r="G3" s="1">
        <f t="shared" ref="G3:G25" si="4">F3-(1.88*2)</f>
        <v>16.240000000000002</v>
      </c>
      <c r="H3" s="1">
        <v>0</v>
      </c>
      <c r="I3" s="1" t="s">
        <v>176</v>
      </c>
      <c r="J3" s="1">
        <v>1</v>
      </c>
      <c r="K3" s="2">
        <f t="shared" si="2"/>
        <v>20</v>
      </c>
      <c r="L3" s="1">
        <f t="shared" si="3"/>
        <v>2</v>
      </c>
      <c r="M3" s="1">
        <f t="shared" ref="M3:M25" si="5">3*N3</f>
        <v>6</v>
      </c>
      <c r="N3" s="1">
        <f t="shared" ref="N3:N25" si="6">(2+(2*H3))*J3</f>
        <v>2</v>
      </c>
      <c r="O3" s="3">
        <f t="shared" ref="O3:O66" si="7">((E3*(L3+H3))+(F3*J3))/12</f>
        <v>7.666666666666667</v>
      </c>
      <c r="P3" s="1">
        <f t="shared" ref="P3:P66" si="8">ROUNDUP(O3/10,0)</f>
        <v>1</v>
      </c>
      <c r="Q3">
        <f t="shared" ref="Q3:Q66" si="9">2*(L3+J3)</f>
        <v>6</v>
      </c>
      <c r="R3">
        <f>_xlfn.XLOOKUP(HFrame_List[[#This Row],[Cross piece style]],$AH$2:$AH$4,$AI$2:$AI$4,0,0)*(HFrame_List[[#This Row],[Width between brackets]]/12)</f>
        <v>7.3892000000000007</v>
      </c>
      <c r="S3">
        <f>5.46*(HFrame_List[[#This Row],[cross piece quantity]]-1)*(HFrame_List[[#This Row],[Width between brackets]]/12)</f>
        <v>0</v>
      </c>
      <c r="T3" s="5">
        <f>HFrame_List[[#This Row],[Bottom cross piece cost]]+HFrame_List[[#This Row],[Top cross piece cost]]+HFrame_List[[#This Row],[Component costs]]+HFrame_List[[#This Row],[Vertical strut cost]]</f>
        <v>68.2072</v>
      </c>
      <c r="U3" s="7">
        <f>_xlfn.XLOOKUP(HFrame_List[[#This Row],[Fabrication type]],Fabrication_costs[Fabrication type],Fabrication_costs[unit pricing],"no result",0)</f>
        <v>19.8</v>
      </c>
      <c r="V3" s="5">
        <f>SUM(T3:U3)/(1-HFrame_List[[#This Row],[Margin]])</f>
        <v>251.44914285714287</v>
      </c>
      <c r="W3" s="36">
        <f>W2</f>
        <v>0.65</v>
      </c>
      <c r="X3" t="s">
        <v>177</v>
      </c>
      <c r="Y3">
        <f>_xlfn.XLOOKUP("A12",Strut_costs[size],Strut_costs[Strut cost])/12*HFrame_List[[#This Row],[Strut height (in)]]*(2+HFrame_List[[#This Row],[Extra supports]])</f>
        <v>32.76</v>
      </c>
      <c r="Z3">
        <f>(_xlfn.XLOOKUP("PHB",CADDY_costs[Component],CADDY_costs[Current cost])*HFrame_List[[#This Row],[Number of feet]])+(_xlfn.XLOOKUP("HFRMHDW",CADDY_costs[Component],CADDY_costs[Current cost])*(HFrame_List[[#This Row],[number of L-brackets]]/2))</f>
        <v>28.058</v>
      </c>
      <c r="AA3">
        <v>3620</v>
      </c>
      <c r="AB3">
        <f>VLOOKUP(HFrame_List[[#This Row],[lookup]],'Pallet and shipping info'!$A$5:$H$33,6,FALSE)</f>
        <v>11</v>
      </c>
      <c r="AC3">
        <f>VLOOKUP(HFrame_List[[#This Row],[lookup]],'Pallet and shipping info'!$A$5:$H$33,8,FALSE)</f>
        <v>15</v>
      </c>
      <c r="AD3"/>
      <c r="AE3"/>
      <c r="AF3"/>
      <c r="AH3" t="s">
        <v>181</v>
      </c>
      <c r="AI3">
        <v>13.93</v>
      </c>
      <c r="AK3" t="s">
        <v>182</v>
      </c>
      <c r="AL3" s="38">
        <v>27.72</v>
      </c>
      <c r="AN3" t="s">
        <v>183</v>
      </c>
      <c r="AO3" s="5">
        <v>9.4659999999999993</v>
      </c>
    </row>
    <row r="4" spans="1:41" x14ac:dyDescent="0.25">
      <c r="A4" s="1" t="s">
        <v>184</v>
      </c>
      <c r="B4" s="1" t="s">
        <v>185</v>
      </c>
      <c r="C4" s="1">
        <f t="shared" si="0"/>
        <v>49.674999999999997</v>
      </c>
      <c r="D4" s="1">
        <f t="shared" si="1"/>
        <v>34.051000000000002</v>
      </c>
      <c r="E4" s="1">
        <v>48</v>
      </c>
      <c r="F4" s="1">
        <f t="shared" ref="F4:F5" si="10">F3</f>
        <v>20</v>
      </c>
      <c r="G4" s="1">
        <f t="shared" si="4"/>
        <v>16.240000000000002</v>
      </c>
      <c r="H4" s="1">
        <v>0</v>
      </c>
      <c r="I4" s="1" t="s">
        <v>176</v>
      </c>
      <c r="J4" s="1">
        <v>1</v>
      </c>
      <c r="K4" s="2">
        <f t="shared" si="2"/>
        <v>20</v>
      </c>
      <c r="L4" s="1">
        <f t="shared" si="3"/>
        <v>2</v>
      </c>
      <c r="M4" s="1">
        <f t="shared" si="5"/>
        <v>6</v>
      </c>
      <c r="N4" s="1">
        <f t="shared" si="6"/>
        <v>2</v>
      </c>
      <c r="O4" s="3">
        <f t="shared" si="7"/>
        <v>9.6666666666666661</v>
      </c>
      <c r="P4" s="1">
        <f t="shared" si="8"/>
        <v>1</v>
      </c>
      <c r="Q4">
        <f t="shared" si="9"/>
        <v>6</v>
      </c>
      <c r="R4">
        <f>_xlfn.XLOOKUP(HFrame_List[[#This Row],[Cross piece style]],$AH$2:$AH$4,$AI$2:$AI$4,0,0)*(HFrame_List[[#This Row],[Width between brackets]]/12)</f>
        <v>7.3892000000000007</v>
      </c>
      <c r="S4">
        <f>5.46*(HFrame_List[[#This Row],[cross piece quantity]]-1)*(HFrame_List[[#This Row],[Width between brackets]]/12)</f>
        <v>0</v>
      </c>
      <c r="T4" s="5">
        <f>HFrame_List[[#This Row],[Bottom cross piece cost]]+HFrame_List[[#This Row],[Top cross piece cost]]+HFrame_List[[#This Row],[Component costs]]+HFrame_List[[#This Row],[Vertical strut cost]]</f>
        <v>79.127200000000002</v>
      </c>
      <c r="U4" s="7">
        <f>_xlfn.XLOOKUP(HFrame_List[[#This Row],[Fabrication type]],Fabrication_costs[Fabrication type],Fabrication_costs[unit pricing],"no result",0)</f>
        <v>19.8</v>
      </c>
      <c r="V4" s="5">
        <f>SUM(T4:U4)/(1-HFrame_List[[#This Row],[Margin]])</f>
        <v>282.64914285714286</v>
      </c>
      <c r="W4" s="36">
        <f t="shared" ref="W4:W67" si="11">W3</f>
        <v>0.65</v>
      </c>
      <c r="X4" t="s">
        <v>177</v>
      </c>
      <c r="Y4">
        <f>_xlfn.XLOOKUP("A12",Strut_costs[size],Strut_costs[Strut cost])/12*HFrame_List[[#This Row],[Strut height (in)]]*(2+HFrame_List[[#This Row],[Extra supports]])</f>
        <v>43.68</v>
      </c>
      <c r="Z4">
        <f>(_xlfn.XLOOKUP("PHB",CADDY_costs[Component],CADDY_costs[Current cost])*HFrame_List[[#This Row],[Number of feet]])+(_xlfn.XLOOKUP("HFRMHDW",CADDY_costs[Component],CADDY_costs[Current cost])*(HFrame_List[[#This Row],[number of L-brackets]]/2))</f>
        <v>28.058</v>
      </c>
      <c r="AA4">
        <v>4820</v>
      </c>
      <c r="AB4">
        <f>VLOOKUP(HFrame_List[[#This Row],[lookup]],'Pallet and shipping info'!$A$5:$H$33,6,FALSE)</f>
        <v>11</v>
      </c>
      <c r="AC4">
        <f>VLOOKUP(HFrame_List[[#This Row],[lookup]],'Pallet and shipping info'!$A$5:$H$33,8,FALSE)</f>
        <v>15</v>
      </c>
      <c r="AD4"/>
      <c r="AE4"/>
      <c r="AF4"/>
      <c r="AH4" t="s">
        <v>186</v>
      </c>
      <c r="AI4">
        <v>29.7</v>
      </c>
      <c r="AK4" t="s">
        <v>187</v>
      </c>
      <c r="AL4" s="38">
        <v>30</v>
      </c>
    </row>
    <row r="5" spans="1:41" x14ac:dyDescent="0.25">
      <c r="A5" s="1" t="s">
        <v>188</v>
      </c>
      <c r="B5" s="1" t="s">
        <v>189</v>
      </c>
      <c r="C5" s="1">
        <f t="shared" si="0"/>
        <v>73.674999999999997</v>
      </c>
      <c r="D5" s="1">
        <f t="shared" si="1"/>
        <v>34.051000000000002</v>
      </c>
      <c r="E5" s="1">
        <v>72</v>
      </c>
      <c r="F5" s="1">
        <f t="shared" si="10"/>
        <v>20</v>
      </c>
      <c r="G5" s="1">
        <f t="shared" si="4"/>
        <v>16.240000000000002</v>
      </c>
      <c r="H5" s="1">
        <v>0</v>
      </c>
      <c r="I5" s="1" t="s">
        <v>176</v>
      </c>
      <c r="J5" s="1">
        <v>1</v>
      </c>
      <c r="K5" s="2">
        <f t="shared" si="2"/>
        <v>20</v>
      </c>
      <c r="L5" s="1">
        <f t="shared" si="3"/>
        <v>2</v>
      </c>
      <c r="M5" s="1">
        <f t="shared" si="5"/>
        <v>6</v>
      </c>
      <c r="N5" s="1">
        <f t="shared" si="6"/>
        <v>2</v>
      </c>
      <c r="O5" s="3">
        <f t="shared" si="7"/>
        <v>13.666666666666666</v>
      </c>
      <c r="P5" s="1">
        <f t="shared" si="8"/>
        <v>2</v>
      </c>
      <c r="Q5">
        <f t="shared" si="9"/>
        <v>6</v>
      </c>
      <c r="R5">
        <f>_xlfn.XLOOKUP(HFrame_List[[#This Row],[Cross piece style]],$AH$2:$AH$4,$AI$2:$AI$4,0,0)*(HFrame_List[[#This Row],[Width between brackets]]/12)</f>
        <v>7.3892000000000007</v>
      </c>
      <c r="S5">
        <f>5.46*(HFrame_List[[#This Row],[cross piece quantity]]-1)*(HFrame_List[[#This Row],[Width between brackets]]/12)</f>
        <v>0</v>
      </c>
      <c r="T5" s="5">
        <f>HFrame_List[[#This Row],[Bottom cross piece cost]]+HFrame_List[[#This Row],[Top cross piece cost]]+HFrame_List[[#This Row],[Component costs]]+HFrame_List[[#This Row],[Vertical strut cost]]</f>
        <v>100.96719999999999</v>
      </c>
      <c r="U5" s="7">
        <f>_xlfn.XLOOKUP(HFrame_List[[#This Row],[Fabrication type]],Fabrication_costs[Fabrication type],Fabrication_costs[unit pricing],"no result",0)</f>
        <v>19.8</v>
      </c>
      <c r="V5" s="5">
        <f>SUM(T5:U5)/(1-HFrame_List[[#This Row],[Margin]])</f>
        <v>345.04914285714284</v>
      </c>
      <c r="W5" s="36">
        <f t="shared" si="11"/>
        <v>0.65</v>
      </c>
      <c r="X5" t="s">
        <v>177</v>
      </c>
      <c r="Y5">
        <f>_xlfn.XLOOKUP("A12",Strut_costs[size],Strut_costs[Strut cost])/12*HFrame_List[[#This Row],[Strut height (in)]]*(2+HFrame_List[[#This Row],[Extra supports]])</f>
        <v>65.52</v>
      </c>
      <c r="Z5">
        <f>(_xlfn.XLOOKUP("PHB",CADDY_costs[Component],CADDY_costs[Current cost])*HFrame_List[[#This Row],[Number of feet]])+(_xlfn.XLOOKUP("HFRMHDW",CADDY_costs[Component],CADDY_costs[Current cost])*(HFrame_List[[#This Row],[number of L-brackets]]/2))</f>
        <v>28.058</v>
      </c>
      <c r="AA5">
        <v>7220</v>
      </c>
      <c r="AB5">
        <f>VLOOKUP(HFrame_List[[#This Row],[lookup]],'Pallet and shipping info'!$A$5:$H$33,6,FALSE)</f>
        <v>11</v>
      </c>
      <c r="AC5">
        <f>VLOOKUP(HFrame_List[[#This Row],[lookup]],'Pallet and shipping info'!$A$5:$H$33,8,FALSE)</f>
        <v>15</v>
      </c>
      <c r="AD5"/>
      <c r="AE5"/>
      <c r="AF5"/>
      <c r="AK5" t="s">
        <v>190</v>
      </c>
      <c r="AL5" s="38">
        <v>40.200000000000003</v>
      </c>
    </row>
    <row r="6" spans="1:41" x14ac:dyDescent="0.25">
      <c r="A6" s="1" t="s">
        <v>191</v>
      </c>
      <c r="B6" s="1" t="s">
        <v>192</v>
      </c>
      <c r="C6" s="1">
        <f t="shared" si="0"/>
        <v>25.675000000000001</v>
      </c>
      <c r="D6" s="1">
        <f t="shared" si="1"/>
        <v>50.050999999999995</v>
      </c>
      <c r="E6" s="1">
        <v>24</v>
      </c>
      <c r="F6" s="1">
        <v>36</v>
      </c>
      <c r="G6" s="1">
        <f t="shared" si="4"/>
        <v>32.24</v>
      </c>
      <c r="H6" s="1">
        <v>0</v>
      </c>
      <c r="I6" s="1" t="s">
        <v>176</v>
      </c>
      <c r="J6" s="1">
        <v>1</v>
      </c>
      <c r="K6" s="2">
        <f t="shared" si="2"/>
        <v>36</v>
      </c>
      <c r="L6" s="1">
        <f t="shared" si="3"/>
        <v>2</v>
      </c>
      <c r="M6" s="1">
        <f t="shared" si="5"/>
        <v>6</v>
      </c>
      <c r="N6" s="1">
        <f t="shared" si="6"/>
        <v>2</v>
      </c>
      <c r="O6" s="3">
        <f t="shared" si="7"/>
        <v>7</v>
      </c>
      <c r="P6" s="1">
        <f t="shared" si="8"/>
        <v>1</v>
      </c>
      <c r="Q6">
        <f t="shared" si="9"/>
        <v>6</v>
      </c>
      <c r="R6">
        <f>_xlfn.XLOOKUP(HFrame_List[[#This Row],[Cross piece style]],$AH$2:$AH$4,$AI$2:$AI$4,0,0)*(HFrame_List[[#This Row],[Width between brackets]]/12)</f>
        <v>14.669200000000002</v>
      </c>
      <c r="S6">
        <f>5.46*(HFrame_List[[#This Row],[cross piece quantity]]-1)*(HFrame_List[[#This Row],[Width between brackets]]/12)</f>
        <v>0</v>
      </c>
      <c r="T6" s="5">
        <f>HFrame_List[[#This Row],[Bottom cross piece cost]]+HFrame_List[[#This Row],[Top cross piece cost]]+HFrame_List[[#This Row],[Component costs]]+HFrame_List[[#This Row],[Vertical strut cost]]</f>
        <v>64.5672</v>
      </c>
      <c r="U6" s="7">
        <f>_xlfn.XLOOKUP(HFrame_List[[#This Row],[Fabrication type]],Fabrication_costs[Fabrication type],Fabrication_costs[unit pricing],"no result",0)</f>
        <v>19.8</v>
      </c>
      <c r="V6" s="5">
        <f>SUM(T6:U6)/(1-HFrame_List[[#This Row],[Margin]])</f>
        <v>241.04914285714287</v>
      </c>
      <c r="W6" s="36">
        <f t="shared" si="11"/>
        <v>0.65</v>
      </c>
      <c r="X6" t="s">
        <v>177</v>
      </c>
      <c r="Y6">
        <f>_xlfn.XLOOKUP("A12",Strut_costs[size],Strut_costs[Strut cost])/12*HFrame_List[[#This Row],[Strut height (in)]]*(2+HFrame_List[[#This Row],[Extra supports]])</f>
        <v>21.84</v>
      </c>
      <c r="Z6">
        <f>(_xlfn.XLOOKUP("PHB",CADDY_costs[Component],CADDY_costs[Current cost])*HFrame_List[[#This Row],[Number of feet]])+(_xlfn.XLOOKUP("HFRMHDW",CADDY_costs[Component],CADDY_costs[Current cost])*(HFrame_List[[#This Row],[number of L-brackets]]/2))</f>
        <v>28.058</v>
      </c>
      <c r="AA6">
        <v>2436</v>
      </c>
      <c r="AB6">
        <f>VLOOKUP(HFrame_List[[#This Row],[lookup]],'Pallet and shipping info'!$A$5:$H$33,6,FALSE)</f>
        <v>9</v>
      </c>
      <c r="AC6">
        <f>VLOOKUP(HFrame_List[[#This Row],[lookup]],'Pallet and shipping info'!$A$5:$H$33,8,FALSE)</f>
        <v>14</v>
      </c>
      <c r="AD6"/>
      <c r="AE6"/>
      <c r="AF6"/>
      <c r="AK6" t="s">
        <v>193</v>
      </c>
      <c r="AL6" s="38">
        <v>30</v>
      </c>
    </row>
    <row r="7" spans="1:41" x14ac:dyDescent="0.25">
      <c r="A7" s="1" t="s">
        <v>194</v>
      </c>
      <c r="B7" s="1" t="s">
        <v>195</v>
      </c>
      <c r="C7" s="1">
        <f t="shared" si="0"/>
        <v>37.674999999999997</v>
      </c>
      <c r="D7" s="1">
        <f t="shared" si="1"/>
        <v>50.050999999999995</v>
      </c>
      <c r="E7" s="1">
        <v>36</v>
      </c>
      <c r="F7" s="1">
        <f>F6</f>
        <v>36</v>
      </c>
      <c r="G7" s="1">
        <f t="shared" si="4"/>
        <v>32.24</v>
      </c>
      <c r="H7" s="1">
        <v>0</v>
      </c>
      <c r="I7" s="1" t="s">
        <v>176</v>
      </c>
      <c r="J7" s="1">
        <v>1</v>
      </c>
      <c r="K7" s="2">
        <f t="shared" si="2"/>
        <v>36</v>
      </c>
      <c r="L7" s="1">
        <f t="shared" si="3"/>
        <v>2</v>
      </c>
      <c r="M7" s="1">
        <f t="shared" si="5"/>
        <v>6</v>
      </c>
      <c r="N7" s="1">
        <f t="shared" si="6"/>
        <v>2</v>
      </c>
      <c r="O7" s="3">
        <f t="shared" si="7"/>
        <v>9</v>
      </c>
      <c r="P7" s="1">
        <f t="shared" si="8"/>
        <v>1</v>
      </c>
      <c r="Q7">
        <f t="shared" si="9"/>
        <v>6</v>
      </c>
      <c r="R7">
        <f>_xlfn.XLOOKUP(HFrame_List[[#This Row],[Cross piece style]],$AH$2:$AH$4,$AI$2:$AI$4,0,0)*(HFrame_List[[#This Row],[Width between brackets]]/12)</f>
        <v>14.669200000000002</v>
      </c>
      <c r="S7">
        <f>5.46*(HFrame_List[[#This Row],[cross piece quantity]]-1)*(HFrame_List[[#This Row],[Width between brackets]]/12)</f>
        <v>0</v>
      </c>
      <c r="T7" s="5">
        <f>HFrame_List[[#This Row],[Bottom cross piece cost]]+HFrame_List[[#This Row],[Top cross piece cost]]+HFrame_List[[#This Row],[Component costs]]+HFrame_List[[#This Row],[Vertical strut cost]]</f>
        <v>75.487200000000001</v>
      </c>
      <c r="U7" s="7">
        <f>_xlfn.XLOOKUP(HFrame_List[[#This Row],[Fabrication type]],Fabrication_costs[Fabrication type],Fabrication_costs[unit pricing],"no result",0)</f>
        <v>19.8</v>
      </c>
      <c r="V7" s="5">
        <f>SUM(T7:U7)/(1-HFrame_List[[#This Row],[Margin]])</f>
        <v>272.24914285714289</v>
      </c>
      <c r="W7" s="36">
        <f t="shared" si="11"/>
        <v>0.65</v>
      </c>
      <c r="X7" t="s">
        <v>177</v>
      </c>
      <c r="Y7">
        <f>_xlfn.XLOOKUP("A12",Strut_costs[size],Strut_costs[Strut cost])/12*HFrame_List[[#This Row],[Strut height (in)]]*(2+HFrame_List[[#This Row],[Extra supports]])</f>
        <v>32.76</v>
      </c>
      <c r="Z7">
        <f>(_xlfn.XLOOKUP("PHB",CADDY_costs[Component],CADDY_costs[Current cost])*HFrame_List[[#This Row],[Number of feet]])+(_xlfn.XLOOKUP("HFRMHDW",CADDY_costs[Component],CADDY_costs[Current cost])*(HFrame_List[[#This Row],[number of L-brackets]]/2))</f>
        <v>28.058</v>
      </c>
      <c r="AA7">
        <v>3636</v>
      </c>
      <c r="AB7">
        <f>VLOOKUP(HFrame_List[[#This Row],[lookup]],'Pallet and shipping info'!$A$5:$H$33,6,FALSE)</f>
        <v>9</v>
      </c>
      <c r="AC7">
        <f>VLOOKUP(HFrame_List[[#This Row],[lookup]],'Pallet and shipping info'!$A$5:$H$33,8,FALSE)</f>
        <v>14</v>
      </c>
      <c r="AD7"/>
      <c r="AE7"/>
      <c r="AF7"/>
      <c r="AK7" t="s">
        <v>196</v>
      </c>
      <c r="AL7" s="38">
        <v>40.200000000000003</v>
      </c>
    </row>
    <row r="8" spans="1:41" x14ac:dyDescent="0.25">
      <c r="A8" s="1" t="s">
        <v>197</v>
      </c>
      <c r="B8" s="1" t="s">
        <v>198</v>
      </c>
      <c r="C8" s="1">
        <f t="shared" si="0"/>
        <v>49.674999999999997</v>
      </c>
      <c r="D8" s="1">
        <f t="shared" si="1"/>
        <v>50.050999999999995</v>
      </c>
      <c r="E8" s="1">
        <v>48</v>
      </c>
      <c r="F8" s="1">
        <f t="shared" ref="F8:F13" si="12">F7</f>
        <v>36</v>
      </c>
      <c r="G8" s="1">
        <f t="shared" si="4"/>
        <v>32.24</v>
      </c>
      <c r="H8" s="1">
        <v>0</v>
      </c>
      <c r="I8" s="1" t="s">
        <v>176</v>
      </c>
      <c r="J8" s="1">
        <v>1</v>
      </c>
      <c r="K8" s="2">
        <f t="shared" si="2"/>
        <v>36</v>
      </c>
      <c r="L8" s="1">
        <f t="shared" si="3"/>
        <v>2</v>
      </c>
      <c r="M8" s="1">
        <f t="shared" si="5"/>
        <v>6</v>
      </c>
      <c r="N8" s="1">
        <f t="shared" si="6"/>
        <v>2</v>
      </c>
      <c r="O8" s="3">
        <f t="shared" si="7"/>
        <v>11</v>
      </c>
      <c r="P8" s="1">
        <f t="shared" si="8"/>
        <v>2</v>
      </c>
      <c r="Q8">
        <f t="shared" si="9"/>
        <v>6</v>
      </c>
      <c r="R8">
        <f>_xlfn.XLOOKUP(HFrame_List[[#This Row],[Cross piece style]],$AH$2:$AH$4,$AI$2:$AI$4,0,0)*(HFrame_List[[#This Row],[Width between brackets]]/12)</f>
        <v>14.669200000000002</v>
      </c>
      <c r="S8">
        <f>5.46*(HFrame_List[[#This Row],[cross piece quantity]]-1)*(HFrame_List[[#This Row],[Width between brackets]]/12)</f>
        <v>0</v>
      </c>
      <c r="T8" s="5">
        <f>HFrame_List[[#This Row],[Bottom cross piece cost]]+HFrame_List[[#This Row],[Top cross piece cost]]+HFrame_List[[#This Row],[Component costs]]+HFrame_List[[#This Row],[Vertical strut cost]]</f>
        <v>86.407200000000003</v>
      </c>
      <c r="U8" s="7">
        <f>_xlfn.XLOOKUP(HFrame_List[[#This Row],[Fabrication type]],Fabrication_costs[Fabrication type],Fabrication_costs[unit pricing],"no result",0)</f>
        <v>19.8</v>
      </c>
      <c r="V8" s="5">
        <f>SUM(T8:U8)/(1-HFrame_List[[#This Row],[Margin]])</f>
        <v>303.44914285714287</v>
      </c>
      <c r="W8" s="36">
        <f t="shared" si="11"/>
        <v>0.65</v>
      </c>
      <c r="X8" t="s">
        <v>177</v>
      </c>
      <c r="Y8">
        <f>_xlfn.XLOOKUP("A12",Strut_costs[size],Strut_costs[Strut cost])/12*HFrame_List[[#This Row],[Strut height (in)]]*(2+HFrame_List[[#This Row],[Extra supports]])</f>
        <v>43.68</v>
      </c>
      <c r="Z8">
        <f>(_xlfn.XLOOKUP("PHB",CADDY_costs[Component],CADDY_costs[Current cost])*HFrame_List[[#This Row],[Number of feet]])+(_xlfn.XLOOKUP("HFRMHDW",CADDY_costs[Component],CADDY_costs[Current cost])*(HFrame_List[[#This Row],[number of L-brackets]]/2))</f>
        <v>28.058</v>
      </c>
      <c r="AA8">
        <v>4836</v>
      </c>
      <c r="AB8">
        <f>VLOOKUP(HFrame_List[[#This Row],[lookup]],'Pallet and shipping info'!$A$5:$H$33,6,FALSE)</f>
        <v>9</v>
      </c>
      <c r="AC8">
        <f>VLOOKUP(HFrame_List[[#This Row],[lookup]],'Pallet and shipping info'!$A$5:$H$33,8,FALSE)</f>
        <v>14</v>
      </c>
      <c r="AD8"/>
      <c r="AE8"/>
      <c r="AF8"/>
    </row>
    <row r="9" spans="1:41" x14ac:dyDescent="0.25">
      <c r="A9" s="1" t="s">
        <v>199</v>
      </c>
      <c r="B9" s="1" t="s">
        <v>200</v>
      </c>
      <c r="C9" s="1">
        <f t="shared" si="0"/>
        <v>73.674999999999997</v>
      </c>
      <c r="D9" s="1">
        <f t="shared" si="1"/>
        <v>50.050999999999995</v>
      </c>
      <c r="E9" s="1">
        <v>72</v>
      </c>
      <c r="F9" s="1">
        <f t="shared" si="12"/>
        <v>36</v>
      </c>
      <c r="G9" s="1">
        <f t="shared" si="4"/>
        <v>32.24</v>
      </c>
      <c r="H9" s="1">
        <v>0</v>
      </c>
      <c r="I9" s="1" t="s">
        <v>176</v>
      </c>
      <c r="J9" s="1">
        <v>1</v>
      </c>
      <c r="K9" s="2">
        <f t="shared" si="2"/>
        <v>36</v>
      </c>
      <c r="L9" s="1">
        <f t="shared" si="3"/>
        <v>2</v>
      </c>
      <c r="M9" s="1">
        <f t="shared" si="5"/>
        <v>6</v>
      </c>
      <c r="N9" s="1">
        <f t="shared" si="6"/>
        <v>2</v>
      </c>
      <c r="O9" s="3">
        <f t="shared" si="7"/>
        <v>15</v>
      </c>
      <c r="P9" s="1">
        <f t="shared" si="8"/>
        <v>2</v>
      </c>
      <c r="Q9">
        <f t="shared" si="9"/>
        <v>6</v>
      </c>
      <c r="R9">
        <f>_xlfn.XLOOKUP(HFrame_List[[#This Row],[Cross piece style]],$AH$2:$AH$4,$AI$2:$AI$4,0,0)*(HFrame_List[[#This Row],[Width between brackets]]/12)</f>
        <v>14.669200000000002</v>
      </c>
      <c r="S9">
        <f>5.46*(HFrame_List[[#This Row],[cross piece quantity]]-1)*(HFrame_List[[#This Row],[Width between brackets]]/12)</f>
        <v>0</v>
      </c>
      <c r="T9" s="5">
        <f>HFrame_List[[#This Row],[Bottom cross piece cost]]+HFrame_List[[#This Row],[Top cross piece cost]]+HFrame_List[[#This Row],[Component costs]]+HFrame_List[[#This Row],[Vertical strut cost]]</f>
        <v>108.24719999999999</v>
      </c>
      <c r="U9" s="7">
        <f>_xlfn.XLOOKUP(HFrame_List[[#This Row],[Fabrication type]],Fabrication_costs[Fabrication type],Fabrication_costs[unit pricing],"no result",0)</f>
        <v>19.8</v>
      </c>
      <c r="V9" s="5">
        <f>SUM(T9:U9)/(1-HFrame_List[[#This Row],[Margin]])</f>
        <v>365.84914285714291</v>
      </c>
      <c r="W9" s="36">
        <f t="shared" si="11"/>
        <v>0.65</v>
      </c>
      <c r="X9" t="s">
        <v>177</v>
      </c>
      <c r="Y9">
        <f>_xlfn.XLOOKUP("A12",Strut_costs[size],Strut_costs[Strut cost])/12*HFrame_List[[#This Row],[Strut height (in)]]*(2+HFrame_List[[#This Row],[Extra supports]])</f>
        <v>65.52</v>
      </c>
      <c r="Z9">
        <f>(_xlfn.XLOOKUP("PHB",CADDY_costs[Component],CADDY_costs[Current cost])*HFrame_List[[#This Row],[Number of feet]])+(_xlfn.XLOOKUP("HFRMHDW",CADDY_costs[Component],CADDY_costs[Current cost])*(HFrame_List[[#This Row],[number of L-brackets]]/2))</f>
        <v>28.058</v>
      </c>
      <c r="AA9">
        <v>7236</v>
      </c>
      <c r="AB9">
        <f>VLOOKUP(HFrame_List[[#This Row],[lookup]],'Pallet and shipping info'!$A$5:$H$33,6,FALSE)</f>
        <v>9</v>
      </c>
      <c r="AC9">
        <f>VLOOKUP(HFrame_List[[#This Row],[lookup]],'Pallet and shipping info'!$A$5:$H$33,8,FALSE)</f>
        <v>14</v>
      </c>
      <c r="AD9"/>
      <c r="AE9"/>
      <c r="AF9"/>
    </row>
    <row r="10" spans="1:41" x14ac:dyDescent="0.25">
      <c r="A10" s="1" t="s">
        <v>201</v>
      </c>
      <c r="B10" s="1" t="s">
        <v>202</v>
      </c>
      <c r="C10" s="1">
        <f t="shared" si="0"/>
        <v>25.675000000000001</v>
      </c>
      <c r="D10" s="1">
        <f t="shared" si="1"/>
        <v>62.050999999999995</v>
      </c>
      <c r="E10" s="1">
        <v>24</v>
      </c>
      <c r="F10" s="1">
        <v>48</v>
      </c>
      <c r="G10" s="1">
        <f t="shared" si="4"/>
        <v>44.24</v>
      </c>
      <c r="H10" s="1">
        <v>0</v>
      </c>
      <c r="I10" s="1" t="s">
        <v>176</v>
      </c>
      <c r="J10" s="1">
        <v>1</v>
      </c>
      <c r="K10" s="2">
        <f t="shared" si="2"/>
        <v>48</v>
      </c>
      <c r="L10" s="1">
        <f t="shared" si="3"/>
        <v>2</v>
      </c>
      <c r="M10" s="1">
        <f t="shared" si="5"/>
        <v>6</v>
      </c>
      <c r="N10" s="1">
        <f t="shared" si="6"/>
        <v>2</v>
      </c>
      <c r="O10" s="3">
        <f t="shared" si="7"/>
        <v>8</v>
      </c>
      <c r="P10" s="1">
        <f t="shared" si="8"/>
        <v>1</v>
      </c>
      <c r="Q10">
        <f t="shared" si="9"/>
        <v>6</v>
      </c>
      <c r="R10">
        <f>_xlfn.XLOOKUP(HFrame_List[[#This Row],[Cross piece style]],$AH$2:$AH$4,$AI$2:$AI$4,0,0)*(HFrame_List[[#This Row],[Width between brackets]]/12)</f>
        <v>20.129200000000001</v>
      </c>
      <c r="S10">
        <f>5.46*(HFrame_List[[#This Row],[cross piece quantity]]-1)*(HFrame_List[[#This Row],[Width between brackets]]/12)</f>
        <v>0</v>
      </c>
      <c r="T10" s="5">
        <f>HFrame_List[[#This Row],[Bottom cross piece cost]]+HFrame_List[[#This Row],[Top cross piece cost]]+HFrame_List[[#This Row],[Component costs]]+HFrame_List[[#This Row],[Vertical strut cost]]</f>
        <v>70.027200000000008</v>
      </c>
      <c r="U10" s="7">
        <f>_xlfn.XLOOKUP(HFrame_List[[#This Row],[Fabrication type]],Fabrication_costs[Fabrication type],Fabrication_costs[unit pricing],"no result",0)</f>
        <v>19.8</v>
      </c>
      <c r="V10" s="5">
        <f>SUM(T10:U10)/(1-HFrame_List[[#This Row],[Margin]])</f>
        <v>256.64914285714286</v>
      </c>
      <c r="W10" s="36">
        <f t="shared" si="11"/>
        <v>0.65</v>
      </c>
      <c r="X10" t="s">
        <v>177</v>
      </c>
      <c r="Y10">
        <f>_xlfn.XLOOKUP("A12",Strut_costs[size],Strut_costs[Strut cost])/12*HFrame_List[[#This Row],[Strut height (in)]]*(2+HFrame_List[[#This Row],[Extra supports]])</f>
        <v>21.84</v>
      </c>
      <c r="Z10">
        <f>(_xlfn.XLOOKUP("PHB",CADDY_costs[Component],CADDY_costs[Current cost])*HFrame_List[[#This Row],[Number of feet]])+(_xlfn.XLOOKUP("HFRMHDW",CADDY_costs[Component],CADDY_costs[Current cost])*(HFrame_List[[#This Row],[number of L-brackets]]/2))</f>
        <v>28.058</v>
      </c>
      <c r="AA10">
        <v>2448</v>
      </c>
      <c r="AB10">
        <f>VLOOKUP(HFrame_List[[#This Row],[lookup]],'Pallet and shipping info'!$A$5:$H$33,6,FALSE)</f>
        <v>7</v>
      </c>
      <c r="AC10">
        <f>VLOOKUP(HFrame_List[[#This Row],[lookup]],'Pallet and shipping info'!$A$5:$H$33,8,FALSE)</f>
        <v>10</v>
      </c>
      <c r="AD10"/>
      <c r="AE10"/>
      <c r="AF10"/>
    </row>
    <row r="11" spans="1:41" x14ac:dyDescent="0.25">
      <c r="A11" s="1" t="s">
        <v>203</v>
      </c>
      <c r="B11" s="1" t="s">
        <v>204</v>
      </c>
      <c r="C11" s="1">
        <f t="shared" si="0"/>
        <v>37.674999999999997</v>
      </c>
      <c r="D11" s="1">
        <f t="shared" si="1"/>
        <v>62.050999999999995</v>
      </c>
      <c r="E11" s="1">
        <v>36</v>
      </c>
      <c r="F11" s="1">
        <f t="shared" si="12"/>
        <v>48</v>
      </c>
      <c r="G11" s="1">
        <f t="shared" si="4"/>
        <v>44.24</v>
      </c>
      <c r="H11" s="1">
        <v>0</v>
      </c>
      <c r="I11" s="1" t="s">
        <v>176</v>
      </c>
      <c r="J11" s="1">
        <v>1</v>
      </c>
      <c r="K11" s="2">
        <f t="shared" si="2"/>
        <v>48</v>
      </c>
      <c r="L11" s="1">
        <f t="shared" si="3"/>
        <v>2</v>
      </c>
      <c r="M11" s="1">
        <f t="shared" si="5"/>
        <v>6</v>
      </c>
      <c r="N11" s="1">
        <f t="shared" si="6"/>
        <v>2</v>
      </c>
      <c r="O11" s="3">
        <f t="shared" si="7"/>
        <v>10</v>
      </c>
      <c r="P11" s="1">
        <f t="shared" si="8"/>
        <v>1</v>
      </c>
      <c r="Q11">
        <f t="shared" si="9"/>
        <v>6</v>
      </c>
      <c r="R11">
        <f>_xlfn.XLOOKUP(HFrame_List[[#This Row],[Cross piece style]],$AH$2:$AH$4,$AI$2:$AI$4,0,0)*(HFrame_List[[#This Row],[Width between brackets]]/12)</f>
        <v>20.129200000000001</v>
      </c>
      <c r="S11">
        <f>5.46*(HFrame_List[[#This Row],[cross piece quantity]]-1)*(HFrame_List[[#This Row],[Width between brackets]]/12)</f>
        <v>0</v>
      </c>
      <c r="T11" s="5">
        <f>HFrame_List[[#This Row],[Bottom cross piece cost]]+HFrame_List[[#This Row],[Top cross piece cost]]+HFrame_List[[#This Row],[Component costs]]+HFrame_List[[#This Row],[Vertical strut cost]]</f>
        <v>80.947200000000009</v>
      </c>
      <c r="U11" s="7">
        <f>_xlfn.XLOOKUP(HFrame_List[[#This Row],[Fabrication type]],Fabrication_costs[Fabrication type],Fabrication_costs[unit pricing],"no result",0)</f>
        <v>19.8</v>
      </c>
      <c r="V11" s="5">
        <f>SUM(T11:U11)/(1-HFrame_List[[#This Row],[Margin]])</f>
        <v>287.84914285714291</v>
      </c>
      <c r="W11" s="36">
        <f t="shared" si="11"/>
        <v>0.65</v>
      </c>
      <c r="X11" t="s">
        <v>177</v>
      </c>
      <c r="Y11">
        <f>_xlfn.XLOOKUP("A12",Strut_costs[size],Strut_costs[Strut cost])/12*HFrame_List[[#This Row],[Strut height (in)]]*(2+HFrame_List[[#This Row],[Extra supports]])</f>
        <v>32.76</v>
      </c>
      <c r="Z11">
        <f>(_xlfn.XLOOKUP("PHB",CADDY_costs[Component],CADDY_costs[Current cost])*HFrame_List[[#This Row],[Number of feet]])+(_xlfn.XLOOKUP("HFRMHDW",CADDY_costs[Component],CADDY_costs[Current cost])*(HFrame_List[[#This Row],[number of L-brackets]]/2))</f>
        <v>28.058</v>
      </c>
      <c r="AA11">
        <v>3648</v>
      </c>
      <c r="AB11">
        <f>VLOOKUP(HFrame_List[[#This Row],[lookup]],'Pallet and shipping info'!$A$5:$H$33,6,FALSE)</f>
        <v>7</v>
      </c>
      <c r="AC11">
        <f>VLOOKUP(HFrame_List[[#This Row],[lookup]],'Pallet and shipping info'!$A$5:$H$33,8,FALSE)</f>
        <v>10</v>
      </c>
      <c r="AD11"/>
      <c r="AE11"/>
      <c r="AF11"/>
    </row>
    <row r="12" spans="1:41" x14ac:dyDescent="0.25">
      <c r="A12" s="1" t="s">
        <v>205</v>
      </c>
      <c r="B12" s="1" t="s">
        <v>206</v>
      </c>
      <c r="C12" s="1">
        <f t="shared" si="0"/>
        <v>49.674999999999997</v>
      </c>
      <c r="D12" s="1">
        <f t="shared" si="1"/>
        <v>62.050999999999995</v>
      </c>
      <c r="E12" s="1">
        <v>48</v>
      </c>
      <c r="F12" s="1">
        <f t="shared" si="12"/>
        <v>48</v>
      </c>
      <c r="G12" s="1">
        <f t="shared" si="4"/>
        <v>44.24</v>
      </c>
      <c r="H12" s="1">
        <v>0</v>
      </c>
      <c r="I12" s="1" t="s">
        <v>176</v>
      </c>
      <c r="J12" s="1">
        <v>1</v>
      </c>
      <c r="K12" s="2">
        <f t="shared" si="2"/>
        <v>48</v>
      </c>
      <c r="L12" s="1">
        <f t="shared" si="3"/>
        <v>2</v>
      </c>
      <c r="M12" s="1">
        <f t="shared" si="5"/>
        <v>6</v>
      </c>
      <c r="N12" s="1">
        <f t="shared" si="6"/>
        <v>2</v>
      </c>
      <c r="O12" s="3">
        <f t="shared" si="7"/>
        <v>12</v>
      </c>
      <c r="P12" s="1">
        <f t="shared" si="8"/>
        <v>2</v>
      </c>
      <c r="Q12">
        <f t="shared" si="9"/>
        <v>6</v>
      </c>
      <c r="R12">
        <f>_xlfn.XLOOKUP(HFrame_List[[#This Row],[Cross piece style]],$AH$2:$AH$4,$AI$2:$AI$4,0,0)*(HFrame_List[[#This Row],[Width between brackets]]/12)</f>
        <v>20.129200000000001</v>
      </c>
      <c r="S12">
        <f>5.46*(HFrame_List[[#This Row],[cross piece quantity]]-1)*(HFrame_List[[#This Row],[Width between brackets]]/12)</f>
        <v>0</v>
      </c>
      <c r="T12" s="5">
        <f>HFrame_List[[#This Row],[Bottom cross piece cost]]+HFrame_List[[#This Row],[Top cross piece cost]]+HFrame_List[[#This Row],[Component costs]]+HFrame_List[[#This Row],[Vertical strut cost]]</f>
        <v>91.867199999999997</v>
      </c>
      <c r="U12" s="7">
        <f>_xlfn.XLOOKUP(HFrame_List[[#This Row],[Fabrication type]],Fabrication_costs[Fabrication type],Fabrication_costs[unit pricing],"no result",0)</f>
        <v>19.8</v>
      </c>
      <c r="V12" s="5">
        <f>SUM(T12:U12)/(1-HFrame_List[[#This Row],[Margin]])</f>
        <v>319.04914285714284</v>
      </c>
      <c r="W12" s="36">
        <f t="shared" si="11"/>
        <v>0.65</v>
      </c>
      <c r="X12" t="s">
        <v>177</v>
      </c>
      <c r="Y12">
        <f>_xlfn.XLOOKUP("A12",Strut_costs[size],Strut_costs[Strut cost])/12*HFrame_List[[#This Row],[Strut height (in)]]*(2+HFrame_List[[#This Row],[Extra supports]])</f>
        <v>43.68</v>
      </c>
      <c r="Z12">
        <f>(_xlfn.XLOOKUP("PHB",CADDY_costs[Component],CADDY_costs[Current cost])*HFrame_List[[#This Row],[Number of feet]])+(_xlfn.XLOOKUP("HFRMHDW",CADDY_costs[Component],CADDY_costs[Current cost])*(HFrame_List[[#This Row],[number of L-brackets]]/2))</f>
        <v>28.058</v>
      </c>
      <c r="AA12">
        <v>4848</v>
      </c>
      <c r="AB12">
        <f>VLOOKUP(HFrame_List[[#This Row],[lookup]],'Pallet and shipping info'!$A$5:$H$33,6,FALSE)</f>
        <v>7</v>
      </c>
      <c r="AC12">
        <f>VLOOKUP(HFrame_List[[#This Row],[lookup]],'Pallet and shipping info'!$A$5:$H$33,8,FALSE)</f>
        <v>10</v>
      </c>
      <c r="AD12"/>
      <c r="AE12"/>
      <c r="AF12"/>
    </row>
    <row r="13" spans="1:41" x14ac:dyDescent="0.25">
      <c r="A13" s="1" t="s">
        <v>176</v>
      </c>
      <c r="B13" s="1" t="s">
        <v>207</v>
      </c>
      <c r="C13" s="1">
        <f t="shared" si="0"/>
        <v>73.674999999999997</v>
      </c>
      <c r="D13" s="1">
        <f t="shared" si="1"/>
        <v>62.050999999999995</v>
      </c>
      <c r="E13" s="1">
        <v>72</v>
      </c>
      <c r="F13" s="1">
        <f t="shared" si="12"/>
        <v>48</v>
      </c>
      <c r="G13" s="1">
        <f t="shared" si="4"/>
        <v>44.24</v>
      </c>
      <c r="H13" s="1">
        <v>0</v>
      </c>
      <c r="I13" s="1" t="s">
        <v>176</v>
      </c>
      <c r="J13" s="1">
        <v>1</v>
      </c>
      <c r="K13" s="2">
        <f t="shared" si="2"/>
        <v>48</v>
      </c>
      <c r="L13" s="1">
        <f t="shared" si="3"/>
        <v>2</v>
      </c>
      <c r="M13" s="1">
        <f t="shared" si="5"/>
        <v>6</v>
      </c>
      <c r="N13" s="1">
        <f t="shared" si="6"/>
        <v>2</v>
      </c>
      <c r="O13" s="3">
        <f t="shared" si="7"/>
        <v>16</v>
      </c>
      <c r="P13" s="1">
        <f t="shared" si="8"/>
        <v>2</v>
      </c>
      <c r="Q13">
        <f t="shared" si="9"/>
        <v>6</v>
      </c>
      <c r="R13">
        <f>_xlfn.XLOOKUP(HFrame_List[[#This Row],[Cross piece style]],$AH$2:$AH$4,$AI$2:$AI$4,0,0)*(HFrame_List[[#This Row],[Width between brackets]]/12)</f>
        <v>20.129200000000001</v>
      </c>
      <c r="S13">
        <f>5.46*(HFrame_List[[#This Row],[cross piece quantity]]-1)*(HFrame_List[[#This Row],[Width between brackets]]/12)</f>
        <v>0</v>
      </c>
      <c r="T13" s="5">
        <f>HFrame_List[[#This Row],[Bottom cross piece cost]]+HFrame_List[[#This Row],[Top cross piece cost]]+HFrame_List[[#This Row],[Component costs]]+HFrame_List[[#This Row],[Vertical strut cost]]</f>
        <v>113.7072</v>
      </c>
      <c r="U13" s="7">
        <f>_xlfn.XLOOKUP(HFrame_List[[#This Row],[Fabrication type]],Fabrication_costs[Fabrication type],Fabrication_costs[unit pricing],"no result",0)</f>
        <v>19.8</v>
      </c>
      <c r="V13" s="5">
        <f>SUM(T13:U13)/(1-HFrame_List[[#This Row],[Margin]])</f>
        <v>381.44914285714293</v>
      </c>
      <c r="W13" s="36">
        <f t="shared" si="11"/>
        <v>0.65</v>
      </c>
      <c r="X13" t="s">
        <v>177</v>
      </c>
      <c r="Y13">
        <f>_xlfn.XLOOKUP("A12",Strut_costs[size],Strut_costs[Strut cost])/12*HFrame_List[[#This Row],[Strut height (in)]]*(2+HFrame_List[[#This Row],[Extra supports]])</f>
        <v>65.52</v>
      </c>
      <c r="Z13">
        <f>(_xlfn.XLOOKUP("PHB",CADDY_costs[Component],CADDY_costs[Current cost])*HFrame_List[[#This Row],[Number of feet]])+(_xlfn.XLOOKUP("HFRMHDW",CADDY_costs[Component],CADDY_costs[Current cost])*(HFrame_List[[#This Row],[number of L-brackets]]/2))</f>
        <v>28.058</v>
      </c>
      <c r="AA13">
        <v>7248</v>
      </c>
      <c r="AB13">
        <f>VLOOKUP(HFrame_List[[#This Row],[lookup]],'Pallet and shipping info'!$A$5:$H$33,6,FALSE)</f>
        <v>7</v>
      </c>
      <c r="AC13">
        <f>VLOOKUP(HFrame_List[[#This Row],[lookup]],'Pallet and shipping info'!$A$5:$H$33,8,FALSE)</f>
        <v>10</v>
      </c>
      <c r="AD13"/>
      <c r="AE13"/>
      <c r="AF13"/>
    </row>
    <row r="14" spans="1:41" x14ac:dyDescent="0.25">
      <c r="A14" s="1" t="s">
        <v>208</v>
      </c>
      <c r="B14" s="1" t="s">
        <v>209</v>
      </c>
      <c r="C14" s="1">
        <f t="shared" si="0"/>
        <v>25.675000000000001</v>
      </c>
      <c r="D14" s="1">
        <f t="shared" si="1"/>
        <v>74.051000000000002</v>
      </c>
      <c r="E14" s="1">
        <v>24</v>
      </c>
      <c r="F14" s="1">
        <v>60</v>
      </c>
      <c r="G14" s="1">
        <f t="shared" si="4"/>
        <v>56.24</v>
      </c>
      <c r="H14" s="1">
        <v>0</v>
      </c>
      <c r="I14" s="1" t="s">
        <v>176</v>
      </c>
      <c r="J14" s="1">
        <v>1</v>
      </c>
      <c r="K14" s="2">
        <f t="shared" si="2"/>
        <v>60</v>
      </c>
      <c r="L14" s="1">
        <f t="shared" si="3"/>
        <v>2</v>
      </c>
      <c r="M14" s="1">
        <f t="shared" si="5"/>
        <v>6</v>
      </c>
      <c r="N14" s="1">
        <f t="shared" si="6"/>
        <v>2</v>
      </c>
      <c r="O14" s="3">
        <f t="shared" si="7"/>
        <v>9</v>
      </c>
      <c r="P14" s="1">
        <f t="shared" si="8"/>
        <v>1</v>
      </c>
      <c r="Q14">
        <f t="shared" si="9"/>
        <v>6</v>
      </c>
      <c r="R14">
        <f>_xlfn.XLOOKUP(HFrame_List[[#This Row],[Cross piece style]],$AH$2:$AH$4,$AI$2:$AI$4,0,0)*(HFrame_List[[#This Row],[Width between brackets]]/12)</f>
        <v>25.589199999999998</v>
      </c>
      <c r="S14">
        <f>5.46*(HFrame_List[[#This Row],[cross piece quantity]]-1)*(HFrame_List[[#This Row],[Width between brackets]]/12)</f>
        <v>0</v>
      </c>
      <c r="T14" s="5">
        <f>HFrame_List[[#This Row],[Bottom cross piece cost]]+HFrame_List[[#This Row],[Top cross piece cost]]+HFrame_List[[#This Row],[Component costs]]+HFrame_List[[#This Row],[Vertical strut cost]]</f>
        <v>75.487200000000001</v>
      </c>
      <c r="U14" s="7">
        <f>_xlfn.XLOOKUP(HFrame_List[[#This Row],[Fabrication type]],Fabrication_costs[Fabrication type],Fabrication_costs[unit pricing],"no result",0)</f>
        <v>19.8</v>
      </c>
      <c r="V14" s="5">
        <f>SUM(T14:U14)/(1-HFrame_List[[#This Row],[Margin]])</f>
        <v>272.24914285714289</v>
      </c>
      <c r="W14" s="36">
        <f t="shared" si="11"/>
        <v>0.65</v>
      </c>
      <c r="X14" t="s">
        <v>177</v>
      </c>
      <c r="Y14">
        <f>_xlfn.XLOOKUP("A12",Strut_costs[size],Strut_costs[Strut cost])/12*HFrame_List[[#This Row],[Strut height (in)]]*(2+HFrame_List[[#This Row],[Extra supports]])</f>
        <v>21.84</v>
      </c>
      <c r="Z14">
        <f>(_xlfn.XLOOKUP("PHB",CADDY_costs[Component],CADDY_costs[Current cost])*HFrame_List[[#This Row],[Number of feet]])+(_xlfn.XLOOKUP("HFRMHDW",CADDY_costs[Component],CADDY_costs[Current cost])*(HFrame_List[[#This Row],[number of L-brackets]]/2))</f>
        <v>28.058</v>
      </c>
      <c r="AA14">
        <v>2460</v>
      </c>
      <c r="AB14" t="str">
        <f>VLOOKUP(HFrame_List[[#This Row],[lookup]],'Pallet and shipping info'!$A$5:$H$33,6,FALSE)</f>
        <v>x</v>
      </c>
      <c r="AC14">
        <f>VLOOKUP(HFrame_List[[#This Row],[lookup]],'Pallet and shipping info'!$A$5:$H$33,8,FALSE)</f>
        <v>7</v>
      </c>
      <c r="AD14"/>
      <c r="AE14"/>
      <c r="AF14"/>
    </row>
    <row r="15" spans="1:41" x14ac:dyDescent="0.25">
      <c r="A15" s="1" t="s">
        <v>210</v>
      </c>
      <c r="B15" s="1" t="s">
        <v>211</v>
      </c>
      <c r="C15" s="1">
        <f t="shared" si="0"/>
        <v>37.674999999999997</v>
      </c>
      <c r="D15" s="1">
        <f t="shared" si="1"/>
        <v>74.051000000000002</v>
      </c>
      <c r="E15" s="1">
        <v>36</v>
      </c>
      <c r="F15" s="1">
        <v>60</v>
      </c>
      <c r="G15" s="1">
        <f t="shared" si="4"/>
        <v>56.24</v>
      </c>
      <c r="H15" s="1">
        <v>0</v>
      </c>
      <c r="I15" s="1" t="s">
        <v>176</v>
      </c>
      <c r="J15" s="1">
        <v>1</v>
      </c>
      <c r="K15" s="2">
        <f t="shared" si="2"/>
        <v>60</v>
      </c>
      <c r="L15" s="1">
        <f t="shared" si="3"/>
        <v>2</v>
      </c>
      <c r="M15" s="1">
        <f t="shared" si="5"/>
        <v>6</v>
      </c>
      <c r="N15" s="1">
        <f t="shared" si="6"/>
        <v>2</v>
      </c>
      <c r="O15" s="3">
        <f t="shared" si="7"/>
        <v>11</v>
      </c>
      <c r="P15" s="1">
        <f t="shared" si="8"/>
        <v>2</v>
      </c>
      <c r="Q15">
        <f t="shared" si="9"/>
        <v>6</v>
      </c>
      <c r="R15">
        <f>_xlfn.XLOOKUP(HFrame_List[[#This Row],[Cross piece style]],$AH$2:$AH$4,$AI$2:$AI$4,0,0)*(HFrame_List[[#This Row],[Width between brackets]]/12)</f>
        <v>25.589199999999998</v>
      </c>
      <c r="S15">
        <f>5.46*(HFrame_List[[#This Row],[cross piece quantity]]-1)*(HFrame_List[[#This Row],[Width between brackets]]/12)</f>
        <v>0</v>
      </c>
      <c r="T15" s="5">
        <f>HFrame_List[[#This Row],[Bottom cross piece cost]]+HFrame_List[[#This Row],[Top cross piece cost]]+HFrame_List[[#This Row],[Component costs]]+HFrame_List[[#This Row],[Vertical strut cost]]</f>
        <v>86.407199999999989</v>
      </c>
      <c r="U15" s="7">
        <f>_xlfn.XLOOKUP(HFrame_List[[#This Row],[Fabrication type]],Fabrication_costs[Fabrication type],Fabrication_costs[unit pricing],"no result",0)</f>
        <v>19.8</v>
      </c>
      <c r="V15" s="5">
        <f>SUM(T15:U15)/(1-HFrame_List[[#This Row],[Margin]])</f>
        <v>303.44914285714282</v>
      </c>
      <c r="W15" s="36">
        <f t="shared" si="11"/>
        <v>0.65</v>
      </c>
      <c r="X15" t="s">
        <v>177</v>
      </c>
      <c r="Y15">
        <f>_xlfn.XLOOKUP("A12",Strut_costs[size],Strut_costs[Strut cost])/12*HFrame_List[[#This Row],[Strut height (in)]]*(2+HFrame_List[[#This Row],[Extra supports]])</f>
        <v>32.76</v>
      </c>
      <c r="Z15">
        <f>(_xlfn.XLOOKUP("PHB",CADDY_costs[Component],CADDY_costs[Current cost])*HFrame_List[[#This Row],[Number of feet]])+(_xlfn.XLOOKUP("HFRMHDW",CADDY_costs[Component],CADDY_costs[Current cost])*(HFrame_List[[#This Row],[number of L-brackets]]/2))</f>
        <v>28.058</v>
      </c>
      <c r="AA15">
        <v>3660</v>
      </c>
      <c r="AB15" t="str">
        <f>VLOOKUP(HFrame_List[[#This Row],[lookup]],'Pallet and shipping info'!$A$5:$H$33,6,FALSE)</f>
        <v>x</v>
      </c>
      <c r="AC15">
        <f>VLOOKUP(HFrame_List[[#This Row],[lookup]],'Pallet and shipping info'!$A$5:$H$33,8,FALSE)</f>
        <v>7</v>
      </c>
      <c r="AD15"/>
      <c r="AE15"/>
      <c r="AF15"/>
    </row>
    <row r="16" spans="1:41" x14ac:dyDescent="0.25">
      <c r="A16" s="1" t="s">
        <v>212</v>
      </c>
      <c r="B16" s="1" t="s">
        <v>213</v>
      </c>
      <c r="C16" s="1">
        <f t="shared" si="0"/>
        <v>49.674999999999997</v>
      </c>
      <c r="D16" s="1">
        <f t="shared" si="1"/>
        <v>74.051000000000002</v>
      </c>
      <c r="E16" s="1">
        <v>48</v>
      </c>
      <c r="F16" s="1">
        <v>60</v>
      </c>
      <c r="G16" s="1">
        <f t="shared" si="4"/>
        <v>56.24</v>
      </c>
      <c r="H16" s="1">
        <v>0</v>
      </c>
      <c r="I16" s="1" t="s">
        <v>176</v>
      </c>
      <c r="J16" s="1">
        <v>1</v>
      </c>
      <c r="K16" s="2">
        <f t="shared" si="2"/>
        <v>60</v>
      </c>
      <c r="L16" s="1">
        <f t="shared" si="3"/>
        <v>2</v>
      </c>
      <c r="M16" s="1">
        <f t="shared" si="5"/>
        <v>6</v>
      </c>
      <c r="N16" s="1">
        <f t="shared" si="6"/>
        <v>2</v>
      </c>
      <c r="O16" s="3">
        <f t="shared" si="7"/>
        <v>13</v>
      </c>
      <c r="P16" s="1">
        <f t="shared" si="8"/>
        <v>2</v>
      </c>
      <c r="Q16">
        <f t="shared" si="9"/>
        <v>6</v>
      </c>
      <c r="R16">
        <f>_xlfn.XLOOKUP(HFrame_List[[#This Row],[Cross piece style]],$AH$2:$AH$4,$AI$2:$AI$4,0,0)*(HFrame_List[[#This Row],[Width between brackets]]/12)</f>
        <v>25.589199999999998</v>
      </c>
      <c r="S16">
        <f>5.46*(HFrame_List[[#This Row],[cross piece quantity]]-1)*(HFrame_List[[#This Row],[Width between brackets]]/12)</f>
        <v>0</v>
      </c>
      <c r="T16" s="5">
        <f>HFrame_List[[#This Row],[Bottom cross piece cost]]+HFrame_List[[#This Row],[Top cross piece cost]]+HFrame_List[[#This Row],[Component costs]]+HFrame_List[[#This Row],[Vertical strut cost]]</f>
        <v>97.327200000000005</v>
      </c>
      <c r="U16" s="7">
        <f>_xlfn.XLOOKUP(HFrame_List[[#This Row],[Fabrication type]],Fabrication_costs[Fabrication type],Fabrication_costs[unit pricing],"no result",0)</f>
        <v>19.8</v>
      </c>
      <c r="V16" s="5">
        <f>SUM(T16:U16)/(1-HFrame_List[[#This Row],[Margin]])</f>
        <v>334.64914285714286</v>
      </c>
      <c r="W16" s="36">
        <f t="shared" si="11"/>
        <v>0.65</v>
      </c>
      <c r="X16" t="s">
        <v>177</v>
      </c>
      <c r="Y16">
        <f>_xlfn.XLOOKUP("A12",Strut_costs[size],Strut_costs[Strut cost])/12*HFrame_List[[#This Row],[Strut height (in)]]*(2+HFrame_List[[#This Row],[Extra supports]])</f>
        <v>43.68</v>
      </c>
      <c r="Z16">
        <f>(_xlfn.XLOOKUP("PHB",CADDY_costs[Component],CADDY_costs[Current cost])*HFrame_List[[#This Row],[Number of feet]])+(_xlfn.XLOOKUP("HFRMHDW",CADDY_costs[Component],CADDY_costs[Current cost])*(HFrame_List[[#This Row],[number of L-brackets]]/2))</f>
        <v>28.058</v>
      </c>
      <c r="AA16">
        <v>4860</v>
      </c>
      <c r="AB16" t="str">
        <f>VLOOKUP(HFrame_List[[#This Row],[lookup]],'Pallet and shipping info'!$A$5:$H$33,6,FALSE)</f>
        <v>x</v>
      </c>
      <c r="AC16">
        <f>VLOOKUP(HFrame_List[[#This Row],[lookup]],'Pallet and shipping info'!$A$5:$H$33,8,FALSE)</f>
        <v>7</v>
      </c>
      <c r="AD16"/>
      <c r="AE16"/>
      <c r="AF16"/>
    </row>
    <row r="17" spans="1:32" x14ac:dyDescent="0.25">
      <c r="A17" s="1" t="s">
        <v>214</v>
      </c>
      <c r="B17" s="1" t="s">
        <v>215</v>
      </c>
      <c r="C17" s="1">
        <f t="shared" si="0"/>
        <v>73.674999999999997</v>
      </c>
      <c r="D17" s="1">
        <f t="shared" si="1"/>
        <v>74.051000000000002</v>
      </c>
      <c r="E17" s="1">
        <v>72</v>
      </c>
      <c r="F17" s="1">
        <v>60</v>
      </c>
      <c r="G17" s="1">
        <f t="shared" si="4"/>
        <v>56.24</v>
      </c>
      <c r="H17" s="1">
        <v>0</v>
      </c>
      <c r="I17" s="1" t="s">
        <v>176</v>
      </c>
      <c r="J17" s="1">
        <v>1</v>
      </c>
      <c r="K17" s="2">
        <f t="shared" si="2"/>
        <v>60</v>
      </c>
      <c r="L17" s="1">
        <f t="shared" si="3"/>
        <v>2</v>
      </c>
      <c r="M17" s="1">
        <f t="shared" si="5"/>
        <v>6</v>
      </c>
      <c r="N17" s="1">
        <f t="shared" si="6"/>
        <v>2</v>
      </c>
      <c r="O17" s="3">
        <f t="shared" si="7"/>
        <v>17</v>
      </c>
      <c r="P17" s="1">
        <f t="shared" si="8"/>
        <v>2</v>
      </c>
      <c r="Q17">
        <f t="shared" si="9"/>
        <v>6</v>
      </c>
      <c r="R17">
        <f>_xlfn.XLOOKUP(HFrame_List[[#This Row],[Cross piece style]],$AH$2:$AH$4,$AI$2:$AI$4,0,0)*(HFrame_List[[#This Row],[Width between brackets]]/12)</f>
        <v>25.589199999999998</v>
      </c>
      <c r="S17">
        <f>5.46*(HFrame_List[[#This Row],[cross piece quantity]]-1)*(HFrame_List[[#This Row],[Width between brackets]]/12)</f>
        <v>0</v>
      </c>
      <c r="T17" s="5">
        <f>HFrame_List[[#This Row],[Bottom cross piece cost]]+HFrame_List[[#This Row],[Top cross piece cost]]+HFrame_List[[#This Row],[Component costs]]+HFrame_List[[#This Row],[Vertical strut cost]]</f>
        <v>119.16719999999999</v>
      </c>
      <c r="U17" s="7">
        <f>_xlfn.XLOOKUP(HFrame_List[[#This Row],[Fabrication type]],Fabrication_costs[Fabrication type],Fabrication_costs[unit pricing],"no result",0)</f>
        <v>19.8</v>
      </c>
      <c r="V17" s="5">
        <f>SUM(T17:U17)/(1-HFrame_List[[#This Row],[Margin]])</f>
        <v>397.04914285714284</v>
      </c>
      <c r="W17" s="36">
        <f t="shared" si="11"/>
        <v>0.65</v>
      </c>
      <c r="X17" t="s">
        <v>177</v>
      </c>
      <c r="Y17">
        <f>_xlfn.XLOOKUP("A12",Strut_costs[size],Strut_costs[Strut cost])/12*HFrame_List[[#This Row],[Strut height (in)]]*(2+HFrame_List[[#This Row],[Extra supports]])</f>
        <v>65.52</v>
      </c>
      <c r="Z17">
        <f>(_xlfn.XLOOKUP("PHB",CADDY_costs[Component],CADDY_costs[Current cost])*HFrame_List[[#This Row],[Number of feet]])+(_xlfn.XLOOKUP("HFRMHDW",CADDY_costs[Component],CADDY_costs[Current cost])*(HFrame_List[[#This Row],[number of L-brackets]]/2))</f>
        <v>28.058</v>
      </c>
      <c r="AA17">
        <v>7260</v>
      </c>
      <c r="AB17" t="str">
        <f>VLOOKUP(HFrame_List[[#This Row],[lookup]],'Pallet and shipping info'!$A$5:$H$33,6,FALSE)</f>
        <v>x</v>
      </c>
      <c r="AC17">
        <f>VLOOKUP(HFrame_List[[#This Row],[lookup]],'Pallet and shipping info'!$A$5:$H$33,8,FALSE)</f>
        <v>7</v>
      </c>
      <c r="AD17"/>
      <c r="AE17"/>
      <c r="AF17"/>
    </row>
    <row r="18" spans="1:32" x14ac:dyDescent="0.25">
      <c r="A18" s="1" t="s">
        <v>216</v>
      </c>
      <c r="B18" s="1" t="s">
        <v>217</v>
      </c>
      <c r="C18" s="1">
        <f t="shared" si="0"/>
        <v>25.675000000000001</v>
      </c>
      <c r="D18" s="1">
        <f t="shared" si="1"/>
        <v>86.051000000000002</v>
      </c>
      <c r="E18" s="1">
        <v>24</v>
      </c>
      <c r="F18" s="1">
        <v>72</v>
      </c>
      <c r="G18" s="1">
        <f t="shared" si="4"/>
        <v>68.239999999999995</v>
      </c>
      <c r="H18" s="1">
        <v>0</v>
      </c>
      <c r="I18" s="1" t="s">
        <v>176</v>
      </c>
      <c r="J18" s="1">
        <v>1</v>
      </c>
      <c r="K18" s="2">
        <f t="shared" si="2"/>
        <v>72</v>
      </c>
      <c r="L18" s="1">
        <f t="shared" si="3"/>
        <v>2</v>
      </c>
      <c r="M18" s="1">
        <f t="shared" si="5"/>
        <v>6</v>
      </c>
      <c r="N18" s="1">
        <f t="shared" si="6"/>
        <v>2</v>
      </c>
      <c r="O18" s="3">
        <f t="shared" si="7"/>
        <v>10</v>
      </c>
      <c r="P18" s="1">
        <f t="shared" si="8"/>
        <v>1</v>
      </c>
      <c r="Q18">
        <f t="shared" si="9"/>
        <v>6</v>
      </c>
      <c r="R18">
        <f>_xlfn.XLOOKUP(HFrame_List[[#This Row],[Cross piece style]],$AH$2:$AH$4,$AI$2:$AI$4,0,0)*(HFrame_List[[#This Row],[Width between brackets]]/12)</f>
        <v>31.049199999999999</v>
      </c>
      <c r="S18">
        <f>5.46*(HFrame_List[[#This Row],[cross piece quantity]]-1)*(HFrame_List[[#This Row],[Width between brackets]]/12)</f>
        <v>0</v>
      </c>
      <c r="T18" s="5">
        <f>HFrame_List[[#This Row],[Bottom cross piece cost]]+HFrame_List[[#This Row],[Top cross piece cost]]+HFrame_List[[#This Row],[Component costs]]+HFrame_List[[#This Row],[Vertical strut cost]]</f>
        <v>80.947199999999995</v>
      </c>
      <c r="U18" s="7">
        <f>_xlfn.XLOOKUP(HFrame_List[[#This Row],[Fabrication type]],Fabrication_costs[Fabrication type],Fabrication_costs[unit pricing],"no result",0)</f>
        <v>19.8</v>
      </c>
      <c r="V18" s="5">
        <f>SUM(T18:U18)/(1-HFrame_List[[#This Row],[Margin]])</f>
        <v>287.84914285714285</v>
      </c>
      <c r="W18" s="36">
        <f t="shared" si="11"/>
        <v>0.65</v>
      </c>
      <c r="X18" t="s">
        <v>177</v>
      </c>
      <c r="Y18">
        <f>_xlfn.XLOOKUP("A12",Strut_costs[size],Strut_costs[Strut cost])/12*HFrame_List[[#This Row],[Strut height (in)]]*(2+HFrame_List[[#This Row],[Extra supports]])</f>
        <v>21.84</v>
      </c>
      <c r="Z18">
        <f>(_xlfn.XLOOKUP("PHB",CADDY_costs[Component],CADDY_costs[Current cost])*HFrame_List[[#This Row],[Number of feet]])+(_xlfn.XLOOKUP("HFRMHDW",CADDY_costs[Component],CADDY_costs[Current cost])*(HFrame_List[[#This Row],[number of L-brackets]]/2))</f>
        <v>28.058</v>
      </c>
      <c r="AA18">
        <v>2472</v>
      </c>
      <c r="AB18" t="str">
        <f>VLOOKUP(HFrame_List[[#This Row],[lookup]],'Pallet and shipping info'!$A$5:$H$33,6,FALSE)</f>
        <v>x</v>
      </c>
      <c r="AC18">
        <f>VLOOKUP(HFrame_List[[#This Row],[lookup]],'Pallet and shipping info'!$A$5:$H$33,8,FALSE)</f>
        <v>7</v>
      </c>
      <c r="AD18"/>
      <c r="AE18"/>
      <c r="AF18"/>
    </row>
    <row r="19" spans="1:32" x14ac:dyDescent="0.25">
      <c r="A19" s="1" t="s">
        <v>218</v>
      </c>
      <c r="B19" s="1" t="s">
        <v>219</v>
      </c>
      <c r="C19" s="1">
        <f t="shared" si="0"/>
        <v>37.674999999999997</v>
      </c>
      <c r="D19" s="1">
        <f t="shared" si="1"/>
        <v>86.051000000000002</v>
      </c>
      <c r="E19" s="1">
        <v>36</v>
      </c>
      <c r="F19" s="1">
        <v>72</v>
      </c>
      <c r="G19" s="1">
        <f t="shared" si="4"/>
        <v>68.239999999999995</v>
      </c>
      <c r="H19" s="1">
        <v>0</v>
      </c>
      <c r="I19" s="1" t="s">
        <v>176</v>
      </c>
      <c r="J19" s="1">
        <v>1</v>
      </c>
      <c r="K19" s="2">
        <f t="shared" si="2"/>
        <v>72</v>
      </c>
      <c r="L19" s="1">
        <f t="shared" si="3"/>
        <v>2</v>
      </c>
      <c r="M19" s="1">
        <f t="shared" si="5"/>
        <v>6</v>
      </c>
      <c r="N19" s="1">
        <f t="shared" si="6"/>
        <v>2</v>
      </c>
      <c r="O19" s="3">
        <f t="shared" si="7"/>
        <v>12</v>
      </c>
      <c r="P19" s="1">
        <f t="shared" si="8"/>
        <v>2</v>
      </c>
      <c r="Q19">
        <f t="shared" si="9"/>
        <v>6</v>
      </c>
      <c r="R19">
        <f>_xlfn.XLOOKUP(HFrame_List[[#This Row],[Cross piece style]],$AH$2:$AH$4,$AI$2:$AI$4,0,0)*(HFrame_List[[#This Row],[Width between brackets]]/12)</f>
        <v>31.049199999999999</v>
      </c>
      <c r="S19">
        <f>5.46*(HFrame_List[[#This Row],[cross piece quantity]]-1)*(HFrame_List[[#This Row],[Width between brackets]]/12)</f>
        <v>0</v>
      </c>
      <c r="T19" s="5">
        <f>HFrame_List[[#This Row],[Bottom cross piece cost]]+HFrame_List[[#This Row],[Top cross piece cost]]+HFrame_List[[#This Row],[Component costs]]+HFrame_List[[#This Row],[Vertical strut cost]]</f>
        <v>91.867199999999997</v>
      </c>
      <c r="U19" s="7">
        <f>_xlfn.XLOOKUP(HFrame_List[[#This Row],[Fabrication type]],Fabrication_costs[Fabrication type],Fabrication_costs[unit pricing],"no result",0)</f>
        <v>19.8</v>
      </c>
      <c r="V19" s="5">
        <f>SUM(T19:U19)/(1-HFrame_List[[#This Row],[Margin]])</f>
        <v>319.04914285714284</v>
      </c>
      <c r="W19" s="36">
        <f t="shared" si="11"/>
        <v>0.65</v>
      </c>
      <c r="X19" t="s">
        <v>177</v>
      </c>
      <c r="Y19">
        <f>_xlfn.XLOOKUP("A12",Strut_costs[size],Strut_costs[Strut cost])/12*HFrame_List[[#This Row],[Strut height (in)]]*(2+HFrame_List[[#This Row],[Extra supports]])</f>
        <v>32.76</v>
      </c>
      <c r="Z19">
        <f>(_xlfn.XLOOKUP("PHB",CADDY_costs[Component],CADDY_costs[Current cost])*HFrame_List[[#This Row],[Number of feet]])+(_xlfn.XLOOKUP("HFRMHDW",CADDY_costs[Component],CADDY_costs[Current cost])*(HFrame_List[[#This Row],[number of L-brackets]]/2))</f>
        <v>28.058</v>
      </c>
      <c r="AA19">
        <v>3672</v>
      </c>
      <c r="AB19" t="str">
        <f>VLOOKUP(HFrame_List[[#This Row],[lookup]],'Pallet and shipping info'!$A$5:$H$33,6,FALSE)</f>
        <v>x</v>
      </c>
      <c r="AC19">
        <f>VLOOKUP(HFrame_List[[#This Row],[lookup]],'Pallet and shipping info'!$A$5:$H$33,8,FALSE)</f>
        <v>7</v>
      </c>
      <c r="AD19"/>
      <c r="AE19"/>
      <c r="AF19"/>
    </row>
    <row r="20" spans="1:32" x14ac:dyDescent="0.25">
      <c r="A20" s="1" t="s">
        <v>220</v>
      </c>
      <c r="B20" s="1" t="s">
        <v>221</v>
      </c>
      <c r="C20" s="1">
        <f t="shared" si="0"/>
        <v>49.674999999999997</v>
      </c>
      <c r="D20" s="1">
        <f t="shared" si="1"/>
        <v>86.051000000000002</v>
      </c>
      <c r="E20" s="1">
        <v>48</v>
      </c>
      <c r="F20" s="1">
        <v>72</v>
      </c>
      <c r="G20" s="1">
        <f t="shared" si="4"/>
        <v>68.239999999999995</v>
      </c>
      <c r="H20" s="1">
        <v>0</v>
      </c>
      <c r="I20" s="1" t="s">
        <v>176</v>
      </c>
      <c r="J20" s="1">
        <v>1</v>
      </c>
      <c r="K20" s="2">
        <f t="shared" si="2"/>
        <v>72</v>
      </c>
      <c r="L20" s="1">
        <f t="shared" si="3"/>
        <v>2</v>
      </c>
      <c r="M20" s="1">
        <f t="shared" si="5"/>
        <v>6</v>
      </c>
      <c r="N20" s="1">
        <f t="shared" si="6"/>
        <v>2</v>
      </c>
      <c r="O20" s="3">
        <f t="shared" si="7"/>
        <v>14</v>
      </c>
      <c r="P20" s="1">
        <f t="shared" si="8"/>
        <v>2</v>
      </c>
      <c r="Q20">
        <f t="shared" si="9"/>
        <v>6</v>
      </c>
      <c r="R20">
        <f>_xlfn.XLOOKUP(HFrame_List[[#This Row],[Cross piece style]],$AH$2:$AH$4,$AI$2:$AI$4,0,0)*(HFrame_List[[#This Row],[Width between brackets]]/12)</f>
        <v>31.049199999999999</v>
      </c>
      <c r="S20">
        <f>5.46*(HFrame_List[[#This Row],[cross piece quantity]]-1)*(HFrame_List[[#This Row],[Width between brackets]]/12)</f>
        <v>0</v>
      </c>
      <c r="T20" s="5">
        <f>HFrame_List[[#This Row],[Bottom cross piece cost]]+HFrame_List[[#This Row],[Top cross piece cost]]+HFrame_List[[#This Row],[Component costs]]+HFrame_List[[#This Row],[Vertical strut cost]]</f>
        <v>102.7872</v>
      </c>
      <c r="U20" s="7">
        <f>_xlfn.XLOOKUP(HFrame_List[[#This Row],[Fabrication type]],Fabrication_costs[Fabrication type],Fabrication_costs[unit pricing],"no result",0)</f>
        <v>19.8</v>
      </c>
      <c r="V20" s="5">
        <f>SUM(T20:U20)/(1-HFrame_List[[#This Row],[Margin]])</f>
        <v>350.24914285714289</v>
      </c>
      <c r="W20" s="36">
        <f t="shared" si="11"/>
        <v>0.65</v>
      </c>
      <c r="X20" t="s">
        <v>177</v>
      </c>
      <c r="Y20">
        <f>_xlfn.XLOOKUP("A12",Strut_costs[size],Strut_costs[Strut cost])/12*HFrame_List[[#This Row],[Strut height (in)]]*(2+HFrame_List[[#This Row],[Extra supports]])</f>
        <v>43.68</v>
      </c>
      <c r="Z20">
        <f>(_xlfn.XLOOKUP("PHB",CADDY_costs[Component],CADDY_costs[Current cost])*HFrame_List[[#This Row],[Number of feet]])+(_xlfn.XLOOKUP("HFRMHDW",CADDY_costs[Component],CADDY_costs[Current cost])*(HFrame_List[[#This Row],[number of L-brackets]]/2))</f>
        <v>28.058</v>
      </c>
      <c r="AA20">
        <v>4872</v>
      </c>
      <c r="AB20" t="str">
        <f>VLOOKUP(HFrame_List[[#This Row],[lookup]],'Pallet and shipping info'!$A$5:$H$33,6,FALSE)</f>
        <v>x</v>
      </c>
      <c r="AC20">
        <f>VLOOKUP(HFrame_List[[#This Row],[lookup]],'Pallet and shipping info'!$A$5:$H$33,8,FALSE)</f>
        <v>7</v>
      </c>
      <c r="AD20"/>
      <c r="AE20"/>
      <c r="AF20"/>
    </row>
    <row r="21" spans="1:32" x14ac:dyDescent="0.25">
      <c r="A21" s="1" t="s">
        <v>222</v>
      </c>
      <c r="B21" s="1" t="s">
        <v>223</v>
      </c>
      <c r="C21" s="1">
        <f t="shared" si="0"/>
        <v>73.674999999999997</v>
      </c>
      <c r="D21" s="1">
        <f t="shared" si="1"/>
        <v>86.051000000000002</v>
      </c>
      <c r="E21" s="1">
        <v>72</v>
      </c>
      <c r="F21" s="1">
        <v>72</v>
      </c>
      <c r="G21" s="1">
        <f t="shared" si="4"/>
        <v>68.239999999999995</v>
      </c>
      <c r="H21" s="1">
        <v>0</v>
      </c>
      <c r="I21" s="1" t="s">
        <v>176</v>
      </c>
      <c r="J21" s="1">
        <v>1</v>
      </c>
      <c r="K21" s="2">
        <f t="shared" si="2"/>
        <v>72</v>
      </c>
      <c r="L21" s="1">
        <f t="shared" si="3"/>
        <v>2</v>
      </c>
      <c r="M21" s="1">
        <f t="shared" si="5"/>
        <v>6</v>
      </c>
      <c r="N21" s="1">
        <f t="shared" si="6"/>
        <v>2</v>
      </c>
      <c r="O21" s="3">
        <f t="shared" si="7"/>
        <v>18</v>
      </c>
      <c r="P21" s="1">
        <f t="shared" si="8"/>
        <v>2</v>
      </c>
      <c r="Q21">
        <f t="shared" si="9"/>
        <v>6</v>
      </c>
      <c r="R21">
        <f>_xlfn.XLOOKUP(HFrame_List[[#This Row],[Cross piece style]],$AH$2:$AH$4,$AI$2:$AI$4,0,0)*(HFrame_List[[#This Row],[Width between brackets]]/12)</f>
        <v>31.049199999999999</v>
      </c>
      <c r="S21">
        <f>5.46*(HFrame_List[[#This Row],[cross piece quantity]]-1)*(HFrame_List[[#This Row],[Width between brackets]]/12)</f>
        <v>0</v>
      </c>
      <c r="T21" s="5">
        <f>HFrame_List[[#This Row],[Bottom cross piece cost]]+HFrame_List[[#This Row],[Top cross piece cost]]+HFrame_List[[#This Row],[Component costs]]+HFrame_List[[#This Row],[Vertical strut cost]]</f>
        <v>124.62719999999999</v>
      </c>
      <c r="U21" s="7">
        <f>_xlfn.XLOOKUP(HFrame_List[[#This Row],[Fabrication type]],Fabrication_costs[Fabrication type],Fabrication_costs[unit pricing],"no result",0)</f>
        <v>19.8</v>
      </c>
      <c r="V21" s="5">
        <f>SUM(T21:U21)/(1-HFrame_List[[#This Row],[Margin]])</f>
        <v>412.64914285714286</v>
      </c>
      <c r="W21" s="36">
        <f t="shared" si="11"/>
        <v>0.65</v>
      </c>
      <c r="X21" t="s">
        <v>177</v>
      </c>
      <c r="Y21">
        <f>_xlfn.XLOOKUP("A12",Strut_costs[size],Strut_costs[Strut cost])/12*HFrame_List[[#This Row],[Strut height (in)]]*(2+HFrame_List[[#This Row],[Extra supports]])</f>
        <v>65.52</v>
      </c>
      <c r="Z21">
        <f>(_xlfn.XLOOKUP("PHB",CADDY_costs[Component],CADDY_costs[Current cost])*HFrame_List[[#This Row],[Number of feet]])+(_xlfn.XLOOKUP("HFRMHDW",CADDY_costs[Component],CADDY_costs[Current cost])*(HFrame_List[[#This Row],[number of L-brackets]]/2))</f>
        <v>28.058</v>
      </c>
      <c r="AA21">
        <v>7272</v>
      </c>
      <c r="AB21" t="str">
        <f>VLOOKUP(HFrame_List[[#This Row],[lookup]],'Pallet and shipping info'!$A$5:$H$33,6,FALSE)</f>
        <v>x</v>
      </c>
      <c r="AC21">
        <f>VLOOKUP(HFrame_List[[#This Row],[lookup]],'Pallet and shipping info'!$A$5:$H$33,8,FALSE)</f>
        <v>7</v>
      </c>
      <c r="AD21"/>
      <c r="AE21"/>
      <c r="AF21"/>
    </row>
    <row r="22" spans="1:32" x14ac:dyDescent="0.25">
      <c r="A22" s="1" t="s">
        <v>224</v>
      </c>
      <c r="B22" s="1" t="s">
        <v>225</v>
      </c>
      <c r="C22" s="1">
        <f t="shared" si="0"/>
        <v>25.675000000000001</v>
      </c>
      <c r="D22" s="1">
        <f t="shared" si="1"/>
        <v>98.051000000000002</v>
      </c>
      <c r="E22" s="1">
        <v>24</v>
      </c>
      <c r="F22" s="1">
        <v>84</v>
      </c>
      <c r="G22" s="1">
        <f t="shared" si="4"/>
        <v>80.239999999999995</v>
      </c>
      <c r="H22" s="1">
        <v>0</v>
      </c>
      <c r="I22" s="1" t="s">
        <v>176</v>
      </c>
      <c r="J22" s="1">
        <v>1</v>
      </c>
      <c r="K22" s="2">
        <f t="shared" si="2"/>
        <v>84</v>
      </c>
      <c r="L22" s="1">
        <f t="shared" si="3"/>
        <v>2</v>
      </c>
      <c r="M22" s="1">
        <f t="shared" si="5"/>
        <v>6</v>
      </c>
      <c r="N22" s="1">
        <f t="shared" si="6"/>
        <v>2</v>
      </c>
      <c r="O22" s="3">
        <f t="shared" si="7"/>
        <v>11</v>
      </c>
      <c r="P22" s="1">
        <f t="shared" si="8"/>
        <v>2</v>
      </c>
      <c r="Q22">
        <f t="shared" si="9"/>
        <v>6</v>
      </c>
      <c r="R22">
        <f>_xlfn.XLOOKUP(HFrame_List[[#This Row],[Cross piece style]],$AH$2:$AH$4,$AI$2:$AI$4,0,0)*(HFrame_List[[#This Row],[Width between brackets]]/12)</f>
        <v>36.5092</v>
      </c>
      <c r="S22">
        <f>5.46*(HFrame_List[[#This Row],[cross piece quantity]]-1)*(HFrame_List[[#This Row],[Width between brackets]]/12)</f>
        <v>0</v>
      </c>
      <c r="T22" s="5">
        <f>HFrame_List[[#This Row],[Bottom cross piece cost]]+HFrame_List[[#This Row],[Top cross piece cost]]+HFrame_List[[#This Row],[Component costs]]+HFrame_List[[#This Row],[Vertical strut cost]]</f>
        <v>86.407200000000003</v>
      </c>
      <c r="U22" s="7">
        <f>_xlfn.XLOOKUP(HFrame_List[[#This Row],[Fabrication type]],Fabrication_costs[Fabrication type],Fabrication_costs[unit pricing],"no result",0)</f>
        <v>19.8</v>
      </c>
      <c r="V22" s="5">
        <f>SUM(T22:U22)/(1-HFrame_List[[#This Row],[Margin]])</f>
        <v>303.44914285714287</v>
      </c>
      <c r="W22" s="36">
        <f t="shared" si="11"/>
        <v>0.65</v>
      </c>
      <c r="X22" t="s">
        <v>177</v>
      </c>
      <c r="Y22">
        <f>_xlfn.XLOOKUP("A12",Strut_costs[size],Strut_costs[Strut cost])/12*HFrame_List[[#This Row],[Strut height (in)]]*(2+HFrame_List[[#This Row],[Extra supports]])</f>
        <v>21.84</v>
      </c>
      <c r="Z22">
        <f>(_xlfn.XLOOKUP("PHB",CADDY_costs[Component],CADDY_costs[Current cost])*HFrame_List[[#This Row],[Number of feet]])+(_xlfn.XLOOKUP("HFRMHDW",CADDY_costs[Component],CADDY_costs[Current cost])*(HFrame_List[[#This Row],[number of L-brackets]]/2))</f>
        <v>28.058</v>
      </c>
      <c r="AA22">
        <v>2484</v>
      </c>
      <c r="AB22" t="str">
        <f>VLOOKUP(HFrame_List[[#This Row],[lookup]],'Pallet and shipping info'!$A$5:$H$33,6,FALSE)</f>
        <v>x</v>
      </c>
      <c r="AC22">
        <f>VLOOKUP(HFrame_List[[#This Row],[lookup]],'Pallet and shipping info'!$A$5:$H$33,8,FALSE)</f>
        <v>7</v>
      </c>
      <c r="AD22"/>
      <c r="AE22"/>
      <c r="AF22"/>
    </row>
    <row r="23" spans="1:32" x14ac:dyDescent="0.25">
      <c r="A23" s="1" t="s">
        <v>226</v>
      </c>
      <c r="B23" s="1" t="s">
        <v>227</v>
      </c>
      <c r="C23" s="1">
        <f t="shared" si="0"/>
        <v>37.674999999999997</v>
      </c>
      <c r="D23" s="1">
        <f t="shared" si="1"/>
        <v>98.051000000000002</v>
      </c>
      <c r="E23" s="1">
        <v>36</v>
      </c>
      <c r="F23" s="1">
        <v>84</v>
      </c>
      <c r="G23" s="1">
        <f t="shared" si="4"/>
        <v>80.239999999999995</v>
      </c>
      <c r="H23" s="1">
        <v>0</v>
      </c>
      <c r="I23" s="1" t="s">
        <v>176</v>
      </c>
      <c r="J23" s="1">
        <v>1</v>
      </c>
      <c r="K23" s="2">
        <f t="shared" si="2"/>
        <v>84</v>
      </c>
      <c r="L23" s="1">
        <f t="shared" si="3"/>
        <v>2</v>
      </c>
      <c r="M23" s="1">
        <f t="shared" si="5"/>
        <v>6</v>
      </c>
      <c r="N23" s="1">
        <f t="shared" si="6"/>
        <v>2</v>
      </c>
      <c r="O23" s="3">
        <f t="shared" si="7"/>
        <v>13</v>
      </c>
      <c r="P23" s="1">
        <f t="shared" si="8"/>
        <v>2</v>
      </c>
      <c r="Q23">
        <f t="shared" si="9"/>
        <v>6</v>
      </c>
      <c r="R23">
        <f>_xlfn.XLOOKUP(HFrame_List[[#This Row],[Cross piece style]],$AH$2:$AH$4,$AI$2:$AI$4,0,0)*(HFrame_List[[#This Row],[Width between brackets]]/12)</f>
        <v>36.5092</v>
      </c>
      <c r="S23">
        <f>5.46*(HFrame_List[[#This Row],[cross piece quantity]]-1)*(HFrame_List[[#This Row],[Width between brackets]]/12)</f>
        <v>0</v>
      </c>
      <c r="T23" s="5">
        <f>HFrame_List[[#This Row],[Bottom cross piece cost]]+HFrame_List[[#This Row],[Top cross piece cost]]+HFrame_List[[#This Row],[Component costs]]+HFrame_List[[#This Row],[Vertical strut cost]]</f>
        <v>97.327200000000005</v>
      </c>
      <c r="U23" s="7">
        <f>_xlfn.XLOOKUP(HFrame_List[[#This Row],[Fabrication type]],Fabrication_costs[Fabrication type],Fabrication_costs[unit pricing],"no result",0)</f>
        <v>19.8</v>
      </c>
      <c r="V23" s="5">
        <f>SUM(T23:U23)/(1-HFrame_List[[#This Row],[Margin]])</f>
        <v>334.64914285714286</v>
      </c>
      <c r="W23" s="36">
        <f t="shared" si="11"/>
        <v>0.65</v>
      </c>
      <c r="X23" t="s">
        <v>177</v>
      </c>
      <c r="Y23">
        <f>_xlfn.XLOOKUP("A12",Strut_costs[size],Strut_costs[Strut cost])/12*HFrame_List[[#This Row],[Strut height (in)]]*(2+HFrame_List[[#This Row],[Extra supports]])</f>
        <v>32.76</v>
      </c>
      <c r="Z23">
        <f>(_xlfn.XLOOKUP("PHB",CADDY_costs[Component],CADDY_costs[Current cost])*HFrame_List[[#This Row],[Number of feet]])+(_xlfn.XLOOKUP("HFRMHDW",CADDY_costs[Component],CADDY_costs[Current cost])*(HFrame_List[[#This Row],[number of L-brackets]]/2))</f>
        <v>28.058</v>
      </c>
      <c r="AA23">
        <v>3684</v>
      </c>
      <c r="AB23" t="str">
        <f>VLOOKUP(HFrame_List[[#This Row],[lookup]],'Pallet and shipping info'!$A$5:$H$33,6,FALSE)</f>
        <v>x</v>
      </c>
      <c r="AC23">
        <f>VLOOKUP(HFrame_List[[#This Row],[lookup]],'Pallet and shipping info'!$A$5:$H$33,8,FALSE)</f>
        <v>7</v>
      </c>
      <c r="AD23"/>
      <c r="AE23"/>
      <c r="AF23"/>
    </row>
    <row r="24" spans="1:32" x14ac:dyDescent="0.25">
      <c r="A24" s="1" t="s">
        <v>228</v>
      </c>
      <c r="B24" s="1" t="s">
        <v>229</v>
      </c>
      <c r="C24" s="1">
        <f t="shared" si="0"/>
        <v>49.674999999999997</v>
      </c>
      <c r="D24" s="1">
        <f t="shared" si="1"/>
        <v>98.051000000000002</v>
      </c>
      <c r="E24" s="1">
        <v>48</v>
      </c>
      <c r="F24" s="1">
        <v>84</v>
      </c>
      <c r="G24" s="1">
        <f t="shared" si="4"/>
        <v>80.239999999999995</v>
      </c>
      <c r="H24" s="1">
        <v>0</v>
      </c>
      <c r="I24" s="1" t="s">
        <v>176</v>
      </c>
      <c r="J24" s="1">
        <v>1</v>
      </c>
      <c r="K24" s="2">
        <f t="shared" si="2"/>
        <v>84</v>
      </c>
      <c r="L24" s="1">
        <f t="shared" si="3"/>
        <v>2</v>
      </c>
      <c r="M24" s="1">
        <f t="shared" si="5"/>
        <v>6</v>
      </c>
      <c r="N24" s="1">
        <f t="shared" si="6"/>
        <v>2</v>
      </c>
      <c r="O24" s="3">
        <f t="shared" si="7"/>
        <v>15</v>
      </c>
      <c r="P24" s="1">
        <f t="shared" si="8"/>
        <v>2</v>
      </c>
      <c r="Q24">
        <f t="shared" si="9"/>
        <v>6</v>
      </c>
      <c r="R24">
        <f>_xlfn.XLOOKUP(HFrame_List[[#This Row],[Cross piece style]],$AH$2:$AH$4,$AI$2:$AI$4,0,0)*(HFrame_List[[#This Row],[Width between brackets]]/12)</f>
        <v>36.5092</v>
      </c>
      <c r="S24">
        <f>5.46*(HFrame_List[[#This Row],[cross piece quantity]]-1)*(HFrame_List[[#This Row],[Width between brackets]]/12)</f>
        <v>0</v>
      </c>
      <c r="T24" s="5">
        <f>HFrame_List[[#This Row],[Bottom cross piece cost]]+HFrame_List[[#This Row],[Top cross piece cost]]+HFrame_List[[#This Row],[Component costs]]+HFrame_List[[#This Row],[Vertical strut cost]]</f>
        <v>108.24719999999999</v>
      </c>
      <c r="U24" s="7">
        <f>_xlfn.XLOOKUP(HFrame_List[[#This Row],[Fabrication type]],Fabrication_costs[Fabrication type],Fabrication_costs[unit pricing],"no result",0)</f>
        <v>19.8</v>
      </c>
      <c r="V24" s="5">
        <f>SUM(T24:U24)/(1-HFrame_List[[#This Row],[Margin]])</f>
        <v>365.84914285714291</v>
      </c>
      <c r="W24" s="36">
        <f t="shared" si="11"/>
        <v>0.65</v>
      </c>
      <c r="X24" t="s">
        <v>177</v>
      </c>
      <c r="Y24">
        <f>_xlfn.XLOOKUP("A12",Strut_costs[size],Strut_costs[Strut cost])/12*HFrame_List[[#This Row],[Strut height (in)]]*(2+HFrame_List[[#This Row],[Extra supports]])</f>
        <v>43.68</v>
      </c>
      <c r="Z24">
        <f>(_xlfn.XLOOKUP("PHB",CADDY_costs[Component],CADDY_costs[Current cost])*HFrame_List[[#This Row],[Number of feet]])+(_xlfn.XLOOKUP("HFRMHDW",CADDY_costs[Component],CADDY_costs[Current cost])*(HFrame_List[[#This Row],[number of L-brackets]]/2))</f>
        <v>28.058</v>
      </c>
      <c r="AA24">
        <v>4884</v>
      </c>
      <c r="AB24" t="str">
        <f>VLOOKUP(HFrame_List[[#This Row],[lookup]],'Pallet and shipping info'!$A$5:$H$33,6,FALSE)</f>
        <v>x</v>
      </c>
      <c r="AC24">
        <f>VLOOKUP(HFrame_List[[#This Row],[lookup]],'Pallet and shipping info'!$A$5:$H$33,8,FALSE)</f>
        <v>7</v>
      </c>
      <c r="AD24"/>
      <c r="AE24"/>
      <c r="AF24"/>
    </row>
    <row r="25" spans="1:32" x14ac:dyDescent="0.25">
      <c r="A25" s="1" t="s">
        <v>230</v>
      </c>
      <c r="B25" s="1" t="s">
        <v>231</v>
      </c>
      <c r="C25" s="1">
        <f t="shared" si="0"/>
        <v>73.674999999999997</v>
      </c>
      <c r="D25" s="1">
        <f t="shared" si="1"/>
        <v>98.051000000000002</v>
      </c>
      <c r="E25" s="1">
        <v>72</v>
      </c>
      <c r="F25" s="1">
        <v>84</v>
      </c>
      <c r="G25" s="1">
        <f t="shared" si="4"/>
        <v>80.239999999999995</v>
      </c>
      <c r="H25" s="1">
        <v>0</v>
      </c>
      <c r="I25" s="1" t="s">
        <v>176</v>
      </c>
      <c r="J25" s="1">
        <v>1</v>
      </c>
      <c r="K25" s="2">
        <f t="shared" si="2"/>
        <v>84</v>
      </c>
      <c r="L25" s="1">
        <f t="shared" si="3"/>
        <v>2</v>
      </c>
      <c r="M25" s="1">
        <f t="shared" si="5"/>
        <v>6</v>
      </c>
      <c r="N25" s="1">
        <f t="shared" si="6"/>
        <v>2</v>
      </c>
      <c r="O25" s="3">
        <f t="shared" si="7"/>
        <v>19</v>
      </c>
      <c r="P25" s="1">
        <f t="shared" si="8"/>
        <v>2</v>
      </c>
      <c r="Q25">
        <f t="shared" si="9"/>
        <v>6</v>
      </c>
      <c r="R25">
        <f>_xlfn.XLOOKUP(HFrame_List[[#This Row],[Cross piece style]],$AH$2:$AH$4,$AI$2:$AI$4,0,0)*(HFrame_List[[#This Row],[Width between brackets]]/12)</f>
        <v>36.5092</v>
      </c>
      <c r="S25">
        <f>5.46*(HFrame_List[[#This Row],[cross piece quantity]]-1)*(HFrame_List[[#This Row],[Width between brackets]]/12)</f>
        <v>0</v>
      </c>
      <c r="T25" s="5">
        <f>HFrame_List[[#This Row],[Bottom cross piece cost]]+HFrame_List[[#This Row],[Top cross piece cost]]+HFrame_List[[#This Row],[Component costs]]+HFrame_List[[#This Row],[Vertical strut cost]]</f>
        <v>130.0872</v>
      </c>
      <c r="U25" s="7">
        <f>_xlfn.XLOOKUP(HFrame_List[[#This Row],[Fabrication type]],Fabrication_costs[Fabrication type],Fabrication_costs[unit pricing],"no result",0)</f>
        <v>19.8</v>
      </c>
      <c r="V25" s="5">
        <f>SUM(T25:U25)/(1-HFrame_List[[#This Row],[Margin]])</f>
        <v>428.24914285714289</v>
      </c>
      <c r="W25" s="36">
        <f t="shared" si="11"/>
        <v>0.65</v>
      </c>
      <c r="X25" t="s">
        <v>177</v>
      </c>
      <c r="Y25">
        <f>_xlfn.XLOOKUP("A12",Strut_costs[size],Strut_costs[Strut cost])/12*HFrame_List[[#This Row],[Strut height (in)]]*(2+HFrame_List[[#This Row],[Extra supports]])</f>
        <v>65.52</v>
      </c>
      <c r="Z25">
        <f>(_xlfn.XLOOKUP("PHB",CADDY_costs[Component],CADDY_costs[Current cost])*HFrame_List[[#This Row],[Number of feet]])+(_xlfn.XLOOKUP("HFRMHDW",CADDY_costs[Component],CADDY_costs[Current cost])*(HFrame_List[[#This Row],[number of L-brackets]]/2))</f>
        <v>28.058</v>
      </c>
      <c r="AA25">
        <v>7284</v>
      </c>
      <c r="AB25" t="str">
        <f>VLOOKUP(HFrame_List[[#This Row],[lookup]],'Pallet and shipping info'!$A$5:$H$33,6,FALSE)</f>
        <v>x</v>
      </c>
      <c r="AC25">
        <f>VLOOKUP(HFrame_List[[#This Row],[lookup]],'Pallet and shipping info'!$A$5:$H$33,8,FALSE)</f>
        <v>7</v>
      </c>
      <c r="AD25"/>
      <c r="AE25"/>
      <c r="AF25"/>
    </row>
    <row r="26" spans="1:32" x14ac:dyDescent="0.25">
      <c r="A26" s="1" t="s">
        <v>232</v>
      </c>
      <c r="B26" s="1" t="s">
        <v>233</v>
      </c>
      <c r="C26" s="1">
        <f t="shared" si="0"/>
        <v>25.675000000000001</v>
      </c>
      <c r="D26" s="1">
        <f t="shared" si="1"/>
        <v>34.051000000000002</v>
      </c>
      <c r="E26" s="1">
        <v>24</v>
      </c>
      <c r="F26" s="1">
        <v>20</v>
      </c>
      <c r="G26" s="1">
        <f>F26-(1.88*2)</f>
        <v>16.240000000000002</v>
      </c>
      <c r="H26" s="1">
        <v>0</v>
      </c>
      <c r="I26" s="1" t="s">
        <v>176</v>
      </c>
      <c r="J26" s="1">
        <v>2</v>
      </c>
      <c r="K26" s="2">
        <f t="shared" si="2"/>
        <v>20</v>
      </c>
      <c r="L26" s="1">
        <f t="shared" si="3"/>
        <v>2</v>
      </c>
      <c r="M26" s="1">
        <f>3*N26</f>
        <v>12</v>
      </c>
      <c r="N26" s="1">
        <f>(2+(2*H26))*J26</f>
        <v>4</v>
      </c>
      <c r="O26" s="3">
        <f t="shared" si="7"/>
        <v>7.333333333333333</v>
      </c>
      <c r="P26" s="1">
        <f t="shared" si="8"/>
        <v>1</v>
      </c>
      <c r="Q26">
        <f t="shared" si="9"/>
        <v>8</v>
      </c>
      <c r="R26">
        <f>_xlfn.XLOOKUP(HFrame_List[[#This Row],[Cross piece style]],$AH$2:$AH$4,$AI$2:$AI$4,0,0)*(HFrame_List[[#This Row],[Width between brackets]]/12)</f>
        <v>7.3892000000000007</v>
      </c>
      <c r="S26">
        <f>5.46*(HFrame_List[[#This Row],[cross piece quantity]]-1)*(HFrame_List[[#This Row],[Width between brackets]]/12)</f>
        <v>7.3892000000000007</v>
      </c>
      <c r="T26" s="5">
        <f>HFrame_List[[#This Row],[Bottom cross piece cost]]+HFrame_List[[#This Row],[Top cross piece cost]]+HFrame_List[[#This Row],[Component costs]]+HFrame_List[[#This Row],[Vertical strut cost]]</f>
        <v>74.142400000000009</v>
      </c>
      <c r="U26" s="7">
        <f>_xlfn.XLOOKUP(HFrame_List[[#This Row],[Fabrication type]],Fabrication_costs[Fabrication type],Fabrication_costs[unit pricing],"no result",0)</f>
        <v>27.72</v>
      </c>
      <c r="V26" s="5">
        <f>SUM(T26:U26)/(1-HFrame_List[[#This Row],[Margin]])</f>
        <v>291.03542857142861</v>
      </c>
      <c r="W26" s="36">
        <f t="shared" si="11"/>
        <v>0.65</v>
      </c>
      <c r="X26" t="s">
        <v>182</v>
      </c>
      <c r="Y26">
        <f>_xlfn.XLOOKUP("A12",Strut_costs[size],Strut_costs[Strut cost])/12*HFrame_List[[#This Row],[Strut height (in)]]*(2+HFrame_List[[#This Row],[Extra supports]])</f>
        <v>21.84</v>
      </c>
      <c r="Z26">
        <f>(_xlfn.XLOOKUP("PHB",CADDY_costs[Component],CADDY_costs[Current cost])*HFrame_List[[#This Row],[Number of feet]])+(_xlfn.XLOOKUP("HFRMHDW",CADDY_costs[Component],CADDY_costs[Current cost])*(HFrame_List[[#This Row],[number of L-brackets]]/2))</f>
        <v>37.524000000000001</v>
      </c>
      <c r="AA26">
        <v>2420</v>
      </c>
      <c r="AB26">
        <f>VLOOKUP(HFrame_List[[#This Row],[lookup]],'Pallet and shipping info'!$A$5:$H$33,6,FALSE)</f>
        <v>11</v>
      </c>
      <c r="AC26">
        <f>VLOOKUP(HFrame_List[[#This Row],[lookup]],'Pallet and shipping info'!$A$5:$H$33,8,FALSE)</f>
        <v>15</v>
      </c>
      <c r="AD26"/>
      <c r="AE26"/>
      <c r="AF26"/>
    </row>
    <row r="27" spans="1:32" x14ac:dyDescent="0.25">
      <c r="A27" s="1" t="s">
        <v>234</v>
      </c>
      <c r="B27" s="1" t="s">
        <v>235</v>
      </c>
      <c r="C27" s="1">
        <f t="shared" si="0"/>
        <v>37.674999999999997</v>
      </c>
      <c r="D27" s="1">
        <f t="shared" si="1"/>
        <v>34.051000000000002</v>
      </c>
      <c r="E27" s="1">
        <v>36</v>
      </c>
      <c r="F27" s="1">
        <f>F26</f>
        <v>20</v>
      </c>
      <c r="G27" s="1">
        <f t="shared" ref="G27:G49" si="13">F27-(1.88*2)</f>
        <v>16.240000000000002</v>
      </c>
      <c r="H27" s="1">
        <v>0</v>
      </c>
      <c r="I27" s="1" t="s">
        <v>176</v>
      </c>
      <c r="J27" s="1">
        <v>2</v>
      </c>
      <c r="K27" s="2">
        <f t="shared" si="2"/>
        <v>20</v>
      </c>
      <c r="L27" s="1">
        <f t="shared" si="3"/>
        <v>2</v>
      </c>
      <c r="M27" s="1">
        <f t="shared" ref="M27:M49" si="14">3*N27</f>
        <v>12</v>
      </c>
      <c r="N27" s="1">
        <f t="shared" ref="N27:N49" si="15">(2+(2*H27))*J27</f>
        <v>4</v>
      </c>
      <c r="O27" s="3">
        <f t="shared" si="7"/>
        <v>9.3333333333333339</v>
      </c>
      <c r="P27" s="1">
        <f t="shared" si="8"/>
        <v>1</v>
      </c>
      <c r="Q27">
        <f t="shared" si="9"/>
        <v>8</v>
      </c>
      <c r="R27">
        <f>_xlfn.XLOOKUP(HFrame_List[[#This Row],[Cross piece style]],$AH$2:$AH$4,$AI$2:$AI$4,0,0)*(HFrame_List[[#This Row],[Width between brackets]]/12)</f>
        <v>7.3892000000000007</v>
      </c>
      <c r="S27">
        <f>5.46*(HFrame_List[[#This Row],[cross piece quantity]]-1)*(HFrame_List[[#This Row],[Width between brackets]]/12)</f>
        <v>7.3892000000000007</v>
      </c>
      <c r="T27" s="5">
        <f>HFrame_List[[#This Row],[Bottom cross piece cost]]+HFrame_List[[#This Row],[Top cross piece cost]]+HFrame_List[[#This Row],[Component costs]]+HFrame_List[[#This Row],[Vertical strut cost]]</f>
        <v>85.062399999999997</v>
      </c>
      <c r="U27" s="7">
        <f>_xlfn.XLOOKUP(HFrame_List[[#This Row],[Fabrication type]],Fabrication_costs[Fabrication type],Fabrication_costs[unit pricing],"no result",0)</f>
        <v>27.72</v>
      </c>
      <c r="V27" s="5">
        <f>SUM(T27:U27)/(1-HFrame_List[[#This Row],[Margin]])</f>
        <v>322.2354285714286</v>
      </c>
      <c r="W27" s="36">
        <f t="shared" si="11"/>
        <v>0.65</v>
      </c>
      <c r="X27" t="s">
        <v>182</v>
      </c>
      <c r="Y27">
        <f>_xlfn.XLOOKUP("A12",Strut_costs[size],Strut_costs[Strut cost])/12*HFrame_List[[#This Row],[Strut height (in)]]*(2+HFrame_List[[#This Row],[Extra supports]])</f>
        <v>32.76</v>
      </c>
      <c r="Z27">
        <f>(_xlfn.XLOOKUP("PHB",CADDY_costs[Component],CADDY_costs[Current cost])*HFrame_List[[#This Row],[Number of feet]])+(_xlfn.XLOOKUP("HFRMHDW",CADDY_costs[Component],CADDY_costs[Current cost])*(HFrame_List[[#This Row],[number of L-brackets]]/2))</f>
        <v>37.524000000000001</v>
      </c>
      <c r="AA27">
        <v>3620</v>
      </c>
      <c r="AB27">
        <f>VLOOKUP(HFrame_List[[#This Row],[lookup]],'Pallet and shipping info'!$A$5:$H$33,6,FALSE)</f>
        <v>11</v>
      </c>
      <c r="AC27">
        <f>VLOOKUP(HFrame_List[[#This Row],[lookup]],'Pallet and shipping info'!$A$5:$H$33,8,FALSE)</f>
        <v>15</v>
      </c>
      <c r="AD27"/>
      <c r="AE27"/>
      <c r="AF27"/>
    </row>
    <row r="28" spans="1:32" x14ac:dyDescent="0.25">
      <c r="A28" s="1" t="s">
        <v>236</v>
      </c>
      <c r="B28" s="1" t="s">
        <v>237</v>
      </c>
      <c r="C28" s="1">
        <f t="shared" si="0"/>
        <v>49.674999999999997</v>
      </c>
      <c r="D28" s="1">
        <f t="shared" si="1"/>
        <v>34.051000000000002</v>
      </c>
      <c r="E28" s="1">
        <v>48</v>
      </c>
      <c r="F28" s="1">
        <f t="shared" ref="F28:F29" si="16">F27</f>
        <v>20</v>
      </c>
      <c r="G28" s="1">
        <f t="shared" si="13"/>
        <v>16.240000000000002</v>
      </c>
      <c r="H28" s="1">
        <v>0</v>
      </c>
      <c r="I28" s="1" t="s">
        <v>176</v>
      </c>
      <c r="J28" s="1">
        <v>2</v>
      </c>
      <c r="K28" s="2">
        <f t="shared" si="2"/>
        <v>20</v>
      </c>
      <c r="L28" s="1">
        <f t="shared" si="3"/>
        <v>2</v>
      </c>
      <c r="M28" s="1">
        <f t="shared" si="14"/>
        <v>12</v>
      </c>
      <c r="N28" s="1">
        <f t="shared" si="15"/>
        <v>4</v>
      </c>
      <c r="O28" s="3">
        <f t="shared" si="7"/>
        <v>11.333333333333334</v>
      </c>
      <c r="P28" s="1">
        <f t="shared" si="8"/>
        <v>2</v>
      </c>
      <c r="Q28">
        <f t="shared" si="9"/>
        <v>8</v>
      </c>
      <c r="R28">
        <f>_xlfn.XLOOKUP(HFrame_List[[#This Row],[Cross piece style]],$AH$2:$AH$4,$AI$2:$AI$4,0,0)*(HFrame_List[[#This Row],[Width between brackets]]/12)</f>
        <v>7.3892000000000007</v>
      </c>
      <c r="S28">
        <f>5.46*(HFrame_List[[#This Row],[cross piece quantity]]-1)*(HFrame_List[[#This Row],[Width between brackets]]/12)</f>
        <v>7.3892000000000007</v>
      </c>
      <c r="T28" s="5">
        <f>HFrame_List[[#This Row],[Bottom cross piece cost]]+HFrame_List[[#This Row],[Top cross piece cost]]+HFrame_List[[#This Row],[Component costs]]+HFrame_List[[#This Row],[Vertical strut cost]]</f>
        <v>95.982400000000013</v>
      </c>
      <c r="U28" s="7">
        <f>_xlfn.XLOOKUP(HFrame_List[[#This Row],[Fabrication type]],Fabrication_costs[Fabrication type],Fabrication_costs[unit pricing],"no result",0)</f>
        <v>27.72</v>
      </c>
      <c r="V28" s="5">
        <f>SUM(T28:U28)/(1-HFrame_List[[#This Row],[Margin]])</f>
        <v>353.43542857142864</v>
      </c>
      <c r="W28" s="36">
        <f t="shared" si="11"/>
        <v>0.65</v>
      </c>
      <c r="X28" t="s">
        <v>182</v>
      </c>
      <c r="Y28">
        <f>_xlfn.XLOOKUP("A12",Strut_costs[size],Strut_costs[Strut cost])/12*HFrame_List[[#This Row],[Strut height (in)]]*(2+HFrame_List[[#This Row],[Extra supports]])</f>
        <v>43.68</v>
      </c>
      <c r="Z28">
        <f>(_xlfn.XLOOKUP("PHB",CADDY_costs[Component],CADDY_costs[Current cost])*HFrame_List[[#This Row],[Number of feet]])+(_xlfn.XLOOKUP("HFRMHDW",CADDY_costs[Component],CADDY_costs[Current cost])*(HFrame_List[[#This Row],[number of L-brackets]]/2))</f>
        <v>37.524000000000001</v>
      </c>
      <c r="AA28">
        <v>4820</v>
      </c>
      <c r="AB28">
        <f>VLOOKUP(HFrame_List[[#This Row],[lookup]],'Pallet and shipping info'!$A$5:$H$33,6,FALSE)</f>
        <v>11</v>
      </c>
      <c r="AC28">
        <f>VLOOKUP(HFrame_List[[#This Row],[lookup]],'Pallet and shipping info'!$A$5:$H$33,8,FALSE)</f>
        <v>15</v>
      </c>
      <c r="AD28"/>
      <c r="AE28"/>
      <c r="AF28"/>
    </row>
    <row r="29" spans="1:32" x14ac:dyDescent="0.25">
      <c r="A29" s="1" t="s">
        <v>238</v>
      </c>
      <c r="B29" s="1" t="s">
        <v>239</v>
      </c>
      <c r="C29" s="1">
        <f t="shared" si="0"/>
        <v>73.674999999999997</v>
      </c>
      <c r="D29" s="1">
        <f t="shared" si="1"/>
        <v>34.051000000000002</v>
      </c>
      <c r="E29" s="1">
        <v>72</v>
      </c>
      <c r="F29" s="1">
        <f t="shared" si="16"/>
        <v>20</v>
      </c>
      <c r="G29" s="1">
        <f t="shared" si="13"/>
        <v>16.240000000000002</v>
      </c>
      <c r="H29" s="1">
        <v>0</v>
      </c>
      <c r="I29" s="1" t="s">
        <v>176</v>
      </c>
      <c r="J29" s="1">
        <v>2</v>
      </c>
      <c r="K29" s="2">
        <f t="shared" si="2"/>
        <v>20</v>
      </c>
      <c r="L29" s="1">
        <f t="shared" si="3"/>
        <v>2</v>
      </c>
      <c r="M29" s="1">
        <f t="shared" si="14"/>
        <v>12</v>
      </c>
      <c r="N29" s="1">
        <f t="shared" si="15"/>
        <v>4</v>
      </c>
      <c r="O29" s="3">
        <f t="shared" si="7"/>
        <v>15.333333333333334</v>
      </c>
      <c r="P29" s="1">
        <f t="shared" si="8"/>
        <v>2</v>
      </c>
      <c r="Q29">
        <f t="shared" si="9"/>
        <v>8</v>
      </c>
      <c r="R29">
        <f>_xlfn.XLOOKUP(HFrame_List[[#This Row],[Cross piece style]],$AH$2:$AH$4,$AI$2:$AI$4,0,0)*(HFrame_List[[#This Row],[Width between brackets]]/12)</f>
        <v>7.3892000000000007</v>
      </c>
      <c r="S29">
        <f>5.46*(HFrame_List[[#This Row],[cross piece quantity]]-1)*(HFrame_List[[#This Row],[Width between brackets]]/12)</f>
        <v>7.3892000000000007</v>
      </c>
      <c r="T29" s="5">
        <f>HFrame_List[[#This Row],[Bottom cross piece cost]]+HFrame_List[[#This Row],[Top cross piece cost]]+HFrame_List[[#This Row],[Component costs]]+HFrame_List[[#This Row],[Vertical strut cost]]</f>
        <v>117.8224</v>
      </c>
      <c r="U29" s="7">
        <f>_xlfn.XLOOKUP(HFrame_List[[#This Row],[Fabrication type]],Fabrication_costs[Fabrication type],Fabrication_costs[unit pricing],"no result",0)</f>
        <v>27.72</v>
      </c>
      <c r="V29" s="5">
        <f>SUM(T29:U29)/(1-HFrame_List[[#This Row],[Margin]])</f>
        <v>415.83542857142857</v>
      </c>
      <c r="W29" s="36">
        <f t="shared" si="11"/>
        <v>0.65</v>
      </c>
      <c r="X29" t="s">
        <v>182</v>
      </c>
      <c r="Y29">
        <f>_xlfn.XLOOKUP("A12",Strut_costs[size],Strut_costs[Strut cost])/12*HFrame_List[[#This Row],[Strut height (in)]]*(2+HFrame_List[[#This Row],[Extra supports]])</f>
        <v>65.52</v>
      </c>
      <c r="Z29">
        <f>(_xlfn.XLOOKUP("PHB",CADDY_costs[Component],CADDY_costs[Current cost])*HFrame_List[[#This Row],[Number of feet]])+(_xlfn.XLOOKUP("HFRMHDW",CADDY_costs[Component],CADDY_costs[Current cost])*(HFrame_List[[#This Row],[number of L-brackets]]/2))</f>
        <v>37.524000000000001</v>
      </c>
      <c r="AA29">
        <v>7220</v>
      </c>
      <c r="AB29">
        <f>VLOOKUP(HFrame_List[[#This Row],[lookup]],'Pallet and shipping info'!$A$5:$H$33,6,FALSE)</f>
        <v>11</v>
      </c>
      <c r="AC29">
        <f>VLOOKUP(HFrame_List[[#This Row],[lookup]],'Pallet and shipping info'!$A$5:$H$33,8,FALSE)</f>
        <v>15</v>
      </c>
      <c r="AD29"/>
      <c r="AE29"/>
      <c r="AF29"/>
    </row>
    <row r="30" spans="1:32" x14ac:dyDescent="0.25">
      <c r="A30" s="1" t="s">
        <v>240</v>
      </c>
      <c r="B30" s="1" t="s">
        <v>241</v>
      </c>
      <c r="C30" s="1">
        <f t="shared" si="0"/>
        <v>25.675000000000001</v>
      </c>
      <c r="D30" s="1">
        <f t="shared" si="1"/>
        <v>50.050999999999995</v>
      </c>
      <c r="E30" s="1">
        <v>24</v>
      </c>
      <c r="F30" s="1">
        <v>36</v>
      </c>
      <c r="G30" s="1">
        <f t="shared" si="13"/>
        <v>32.24</v>
      </c>
      <c r="H30" s="1">
        <v>0</v>
      </c>
      <c r="I30" s="1" t="s">
        <v>176</v>
      </c>
      <c r="J30" s="1">
        <v>2</v>
      </c>
      <c r="K30" s="2">
        <f t="shared" si="2"/>
        <v>36</v>
      </c>
      <c r="L30" s="1">
        <f t="shared" si="3"/>
        <v>2</v>
      </c>
      <c r="M30" s="1">
        <f t="shared" si="14"/>
        <v>12</v>
      </c>
      <c r="N30" s="1">
        <f t="shared" si="15"/>
        <v>4</v>
      </c>
      <c r="O30" s="3">
        <f t="shared" si="7"/>
        <v>10</v>
      </c>
      <c r="P30" s="1">
        <f t="shared" si="8"/>
        <v>1</v>
      </c>
      <c r="Q30">
        <f t="shared" si="9"/>
        <v>8</v>
      </c>
      <c r="R30">
        <f>_xlfn.XLOOKUP(HFrame_List[[#This Row],[Cross piece style]],$AH$2:$AH$4,$AI$2:$AI$4,0,0)*(HFrame_List[[#This Row],[Width between brackets]]/12)</f>
        <v>14.669200000000002</v>
      </c>
      <c r="S30">
        <f>5.46*(HFrame_List[[#This Row],[cross piece quantity]]-1)*(HFrame_List[[#This Row],[Width between brackets]]/12)</f>
        <v>14.669200000000002</v>
      </c>
      <c r="T30" s="5">
        <f>HFrame_List[[#This Row],[Bottom cross piece cost]]+HFrame_List[[#This Row],[Top cross piece cost]]+HFrame_List[[#This Row],[Component costs]]+HFrame_List[[#This Row],[Vertical strut cost]]</f>
        <v>88.702400000000011</v>
      </c>
      <c r="U30" s="7">
        <f>_xlfn.XLOOKUP(HFrame_List[[#This Row],[Fabrication type]],Fabrication_costs[Fabrication type],Fabrication_costs[unit pricing],"no result",0)</f>
        <v>27.72</v>
      </c>
      <c r="V30" s="5">
        <f>SUM(T30:U30)/(1-HFrame_List[[#This Row],[Margin]])</f>
        <v>332.63542857142863</v>
      </c>
      <c r="W30" s="36">
        <f t="shared" si="11"/>
        <v>0.65</v>
      </c>
      <c r="X30" t="s">
        <v>182</v>
      </c>
      <c r="Y30">
        <f>_xlfn.XLOOKUP("A12",Strut_costs[size],Strut_costs[Strut cost])/12*HFrame_List[[#This Row],[Strut height (in)]]*(2+HFrame_List[[#This Row],[Extra supports]])</f>
        <v>21.84</v>
      </c>
      <c r="Z30">
        <f>(_xlfn.XLOOKUP("PHB",CADDY_costs[Component],CADDY_costs[Current cost])*HFrame_List[[#This Row],[Number of feet]])+(_xlfn.XLOOKUP("HFRMHDW",CADDY_costs[Component],CADDY_costs[Current cost])*(HFrame_List[[#This Row],[number of L-brackets]]/2))</f>
        <v>37.524000000000001</v>
      </c>
      <c r="AA30">
        <v>2436</v>
      </c>
      <c r="AB30">
        <f>VLOOKUP(HFrame_List[[#This Row],[lookup]],'Pallet and shipping info'!$A$5:$H$33,6,FALSE)</f>
        <v>9</v>
      </c>
      <c r="AC30">
        <f>VLOOKUP(HFrame_List[[#This Row],[lookup]],'Pallet and shipping info'!$A$5:$H$33,8,FALSE)</f>
        <v>14</v>
      </c>
      <c r="AD30"/>
      <c r="AE30"/>
      <c r="AF30"/>
    </row>
    <row r="31" spans="1:32" x14ac:dyDescent="0.25">
      <c r="A31" s="1" t="s">
        <v>242</v>
      </c>
      <c r="B31" s="1" t="s">
        <v>243</v>
      </c>
      <c r="C31" s="1">
        <f t="shared" si="0"/>
        <v>37.674999999999997</v>
      </c>
      <c r="D31" s="1">
        <f t="shared" si="1"/>
        <v>50.050999999999995</v>
      </c>
      <c r="E31" s="1">
        <v>36</v>
      </c>
      <c r="F31" s="1">
        <f>F30</f>
        <v>36</v>
      </c>
      <c r="G31" s="1">
        <f t="shared" si="13"/>
        <v>32.24</v>
      </c>
      <c r="H31" s="1">
        <v>0</v>
      </c>
      <c r="I31" s="1" t="s">
        <v>176</v>
      </c>
      <c r="J31" s="1">
        <v>2</v>
      </c>
      <c r="K31" s="2">
        <f t="shared" si="2"/>
        <v>36</v>
      </c>
      <c r="L31" s="1">
        <f t="shared" si="3"/>
        <v>2</v>
      </c>
      <c r="M31" s="1">
        <f t="shared" si="14"/>
        <v>12</v>
      </c>
      <c r="N31" s="1">
        <f t="shared" si="15"/>
        <v>4</v>
      </c>
      <c r="O31" s="3">
        <f t="shared" si="7"/>
        <v>12</v>
      </c>
      <c r="P31" s="1">
        <f t="shared" si="8"/>
        <v>2</v>
      </c>
      <c r="Q31">
        <f t="shared" si="9"/>
        <v>8</v>
      </c>
      <c r="R31">
        <f>_xlfn.XLOOKUP(HFrame_List[[#This Row],[Cross piece style]],$AH$2:$AH$4,$AI$2:$AI$4,0,0)*(HFrame_List[[#This Row],[Width between brackets]]/12)</f>
        <v>14.669200000000002</v>
      </c>
      <c r="S31">
        <f>5.46*(HFrame_List[[#This Row],[cross piece quantity]]-1)*(HFrame_List[[#This Row],[Width between brackets]]/12)</f>
        <v>14.669200000000002</v>
      </c>
      <c r="T31" s="5">
        <f>HFrame_List[[#This Row],[Bottom cross piece cost]]+HFrame_List[[#This Row],[Top cross piece cost]]+HFrame_List[[#This Row],[Component costs]]+HFrame_List[[#This Row],[Vertical strut cost]]</f>
        <v>99.622399999999999</v>
      </c>
      <c r="U31" s="7">
        <f>_xlfn.XLOOKUP(HFrame_List[[#This Row],[Fabrication type]],Fabrication_costs[Fabrication type],Fabrication_costs[unit pricing],"no result",0)</f>
        <v>27.72</v>
      </c>
      <c r="V31" s="5">
        <f>SUM(T31:U31)/(1-HFrame_List[[#This Row],[Margin]])</f>
        <v>363.83542857142857</v>
      </c>
      <c r="W31" s="36">
        <f t="shared" si="11"/>
        <v>0.65</v>
      </c>
      <c r="X31" t="s">
        <v>182</v>
      </c>
      <c r="Y31">
        <f>_xlfn.XLOOKUP("A12",Strut_costs[size],Strut_costs[Strut cost])/12*HFrame_List[[#This Row],[Strut height (in)]]*(2+HFrame_List[[#This Row],[Extra supports]])</f>
        <v>32.76</v>
      </c>
      <c r="Z31">
        <f>(_xlfn.XLOOKUP("PHB",CADDY_costs[Component],CADDY_costs[Current cost])*HFrame_List[[#This Row],[Number of feet]])+(_xlfn.XLOOKUP("HFRMHDW",CADDY_costs[Component],CADDY_costs[Current cost])*(HFrame_List[[#This Row],[number of L-brackets]]/2))</f>
        <v>37.524000000000001</v>
      </c>
      <c r="AA31">
        <v>3636</v>
      </c>
      <c r="AB31">
        <f>VLOOKUP(HFrame_List[[#This Row],[lookup]],'Pallet and shipping info'!$A$5:$H$33,6,FALSE)</f>
        <v>9</v>
      </c>
      <c r="AC31">
        <f>VLOOKUP(HFrame_List[[#This Row],[lookup]],'Pallet and shipping info'!$A$5:$H$33,8,FALSE)</f>
        <v>14</v>
      </c>
      <c r="AD31"/>
      <c r="AE31"/>
      <c r="AF31"/>
    </row>
    <row r="32" spans="1:32" x14ac:dyDescent="0.25">
      <c r="A32" s="1" t="s">
        <v>244</v>
      </c>
      <c r="B32" s="1" t="s">
        <v>245</v>
      </c>
      <c r="C32" s="1">
        <f t="shared" si="0"/>
        <v>49.674999999999997</v>
      </c>
      <c r="D32" s="1">
        <f t="shared" si="1"/>
        <v>50.050999999999995</v>
      </c>
      <c r="E32" s="1">
        <v>48</v>
      </c>
      <c r="F32" s="1">
        <f t="shared" ref="F32:F37" si="17">F31</f>
        <v>36</v>
      </c>
      <c r="G32" s="1">
        <f t="shared" si="13"/>
        <v>32.24</v>
      </c>
      <c r="H32" s="1">
        <v>0</v>
      </c>
      <c r="I32" s="1" t="s">
        <v>176</v>
      </c>
      <c r="J32" s="1">
        <v>2</v>
      </c>
      <c r="K32" s="2">
        <f t="shared" si="2"/>
        <v>36</v>
      </c>
      <c r="L32" s="1">
        <f t="shared" si="3"/>
        <v>2</v>
      </c>
      <c r="M32" s="1">
        <f t="shared" si="14"/>
        <v>12</v>
      </c>
      <c r="N32" s="1">
        <f t="shared" si="15"/>
        <v>4</v>
      </c>
      <c r="O32" s="3">
        <f t="shared" si="7"/>
        <v>14</v>
      </c>
      <c r="P32" s="1">
        <f t="shared" si="8"/>
        <v>2</v>
      </c>
      <c r="Q32">
        <f t="shared" si="9"/>
        <v>8</v>
      </c>
      <c r="R32">
        <f>_xlfn.XLOOKUP(HFrame_List[[#This Row],[Cross piece style]],$AH$2:$AH$4,$AI$2:$AI$4,0,0)*(HFrame_List[[#This Row],[Width between brackets]]/12)</f>
        <v>14.669200000000002</v>
      </c>
      <c r="S32">
        <f>5.46*(HFrame_List[[#This Row],[cross piece quantity]]-1)*(HFrame_List[[#This Row],[Width between brackets]]/12)</f>
        <v>14.669200000000002</v>
      </c>
      <c r="T32" s="5">
        <f>HFrame_List[[#This Row],[Bottom cross piece cost]]+HFrame_List[[#This Row],[Top cross piece cost]]+HFrame_List[[#This Row],[Component costs]]+HFrame_List[[#This Row],[Vertical strut cost]]</f>
        <v>110.54240000000001</v>
      </c>
      <c r="U32" s="7">
        <f>_xlfn.XLOOKUP(HFrame_List[[#This Row],[Fabrication type]],Fabrication_costs[Fabrication type],Fabrication_costs[unit pricing],"no result",0)</f>
        <v>27.72</v>
      </c>
      <c r="V32" s="5">
        <f>SUM(T32:U32)/(1-HFrame_List[[#This Row],[Margin]])</f>
        <v>395.03542857142861</v>
      </c>
      <c r="W32" s="36">
        <f t="shared" si="11"/>
        <v>0.65</v>
      </c>
      <c r="X32" t="s">
        <v>182</v>
      </c>
      <c r="Y32">
        <f>_xlfn.XLOOKUP("A12",Strut_costs[size],Strut_costs[Strut cost])/12*HFrame_List[[#This Row],[Strut height (in)]]*(2+HFrame_List[[#This Row],[Extra supports]])</f>
        <v>43.68</v>
      </c>
      <c r="Z32">
        <f>(_xlfn.XLOOKUP("PHB",CADDY_costs[Component],CADDY_costs[Current cost])*HFrame_List[[#This Row],[Number of feet]])+(_xlfn.XLOOKUP("HFRMHDW",CADDY_costs[Component],CADDY_costs[Current cost])*(HFrame_List[[#This Row],[number of L-brackets]]/2))</f>
        <v>37.524000000000001</v>
      </c>
      <c r="AA32">
        <v>4836</v>
      </c>
      <c r="AB32">
        <f>VLOOKUP(HFrame_List[[#This Row],[lookup]],'Pallet and shipping info'!$A$5:$H$33,6,FALSE)</f>
        <v>9</v>
      </c>
      <c r="AC32">
        <f>VLOOKUP(HFrame_List[[#This Row],[lookup]],'Pallet and shipping info'!$A$5:$H$33,8,FALSE)</f>
        <v>14</v>
      </c>
      <c r="AD32"/>
      <c r="AE32"/>
      <c r="AF32"/>
    </row>
    <row r="33" spans="1:32" x14ac:dyDescent="0.25">
      <c r="A33" s="1" t="s">
        <v>246</v>
      </c>
      <c r="B33" s="1" t="s">
        <v>247</v>
      </c>
      <c r="C33" s="1">
        <f t="shared" si="0"/>
        <v>73.674999999999997</v>
      </c>
      <c r="D33" s="1">
        <f t="shared" si="1"/>
        <v>50.050999999999995</v>
      </c>
      <c r="E33" s="1">
        <v>72</v>
      </c>
      <c r="F33" s="1">
        <f t="shared" si="17"/>
        <v>36</v>
      </c>
      <c r="G33" s="1">
        <f t="shared" si="13"/>
        <v>32.24</v>
      </c>
      <c r="H33" s="1">
        <v>0</v>
      </c>
      <c r="I33" s="1" t="s">
        <v>176</v>
      </c>
      <c r="J33" s="1">
        <v>2</v>
      </c>
      <c r="K33" s="2">
        <f t="shared" si="2"/>
        <v>36</v>
      </c>
      <c r="L33" s="1">
        <f t="shared" si="3"/>
        <v>2</v>
      </c>
      <c r="M33" s="1">
        <f t="shared" si="14"/>
        <v>12</v>
      </c>
      <c r="N33" s="1">
        <f t="shared" si="15"/>
        <v>4</v>
      </c>
      <c r="O33" s="3">
        <f t="shared" si="7"/>
        <v>18</v>
      </c>
      <c r="P33" s="1">
        <f t="shared" si="8"/>
        <v>2</v>
      </c>
      <c r="Q33">
        <f t="shared" si="9"/>
        <v>8</v>
      </c>
      <c r="R33">
        <f>_xlfn.XLOOKUP(HFrame_List[[#This Row],[Cross piece style]],$AH$2:$AH$4,$AI$2:$AI$4,0,0)*(HFrame_List[[#This Row],[Width between brackets]]/12)</f>
        <v>14.669200000000002</v>
      </c>
      <c r="S33">
        <f>5.46*(HFrame_List[[#This Row],[cross piece quantity]]-1)*(HFrame_List[[#This Row],[Width between brackets]]/12)</f>
        <v>14.669200000000002</v>
      </c>
      <c r="T33" s="5">
        <f>HFrame_List[[#This Row],[Bottom cross piece cost]]+HFrame_List[[#This Row],[Top cross piece cost]]+HFrame_List[[#This Row],[Component costs]]+HFrame_List[[#This Row],[Vertical strut cost]]</f>
        <v>132.38240000000002</v>
      </c>
      <c r="U33" s="7">
        <f>_xlfn.XLOOKUP(HFrame_List[[#This Row],[Fabrication type]],Fabrication_costs[Fabrication type],Fabrication_costs[unit pricing],"no result",0)</f>
        <v>27.72</v>
      </c>
      <c r="V33" s="5">
        <f>SUM(T33:U33)/(1-HFrame_List[[#This Row],[Margin]])</f>
        <v>457.43542857142864</v>
      </c>
      <c r="W33" s="36">
        <f t="shared" si="11"/>
        <v>0.65</v>
      </c>
      <c r="X33" t="s">
        <v>182</v>
      </c>
      <c r="Y33">
        <f>_xlfn.XLOOKUP("A12",Strut_costs[size],Strut_costs[Strut cost])/12*HFrame_List[[#This Row],[Strut height (in)]]*(2+HFrame_List[[#This Row],[Extra supports]])</f>
        <v>65.52</v>
      </c>
      <c r="Z33">
        <f>(_xlfn.XLOOKUP("PHB",CADDY_costs[Component],CADDY_costs[Current cost])*HFrame_List[[#This Row],[Number of feet]])+(_xlfn.XLOOKUP("HFRMHDW",CADDY_costs[Component],CADDY_costs[Current cost])*(HFrame_List[[#This Row],[number of L-brackets]]/2))</f>
        <v>37.524000000000001</v>
      </c>
      <c r="AA33">
        <v>7236</v>
      </c>
      <c r="AB33">
        <f>VLOOKUP(HFrame_List[[#This Row],[lookup]],'Pallet and shipping info'!$A$5:$H$33,6,FALSE)</f>
        <v>9</v>
      </c>
      <c r="AC33">
        <f>VLOOKUP(HFrame_List[[#This Row],[lookup]],'Pallet and shipping info'!$A$5:$H$33,8,FALSE)</f>
        <v>14</v>
      </c>
      <c r="AD33"/>
      <c r="AE33"/>
      <c r="AF33"/>
    </row>
    <row r="34" spans="1:32" x14ac:dyDescent="0.25">
      <c r="A34" s="1" t="s">
        <v>248</v>
      </c>
      <c r="B34" s="1" t="s">
        <v>249</v>
      </c>
      <c r="C34" s="1">
        <f t="shared" si="0"/>
        <v>25.675000000000001</v>
      </c>
      <c r="D34" s="1">
        <f t="shared" si="1"/>
        <v>62.050999999999995</v>
      </c>
      <c r="E34" s="1">
        <v>24</v>
      </c>
      <c r="F34" s="1">
        <v>48</v>
      </c>
      <c r="G34" s="1">
        <f t="shared" si="13"/>
        <v>44.24</v>
      </c>
      <c r="H34" s="1">
        <v>0</v>
      </c>
      <c r="I34" s="1" t="s">
        <v>176</v>
      </c>
      <c r="J34" s="1">
        <v>2</v>
      </c>
      <c r="K34" s="2">
        <f t="shared" si="2"/>
        <v>48</v>
      </c>
      <c r="L34" s="1">
        <f t="shared" si="3"/>
        <v>2</v>
      </c>
      <c r="M34" s="1">
        <f t="shared" si="14"/>
        <v>12</v>
      </c>
      <c r="N34" s="1">
        <f t="shared" si="15"/>
        <v>4</v>
      </c>
      <c r="O34" s="3">
        <f t="shared" si="7"/>
        <v>12</v>
      </c>
      <c r="P34" s="1">
        <f t="shared" si="8"/>
        <v>2</v>
      </c>
      <c r="Q34">
        <f t="shared" si="9"/>
        <v>8</v>
      </c>
      <c r="R34">
        <f>_xlfn.XLOOKUP(HFrame_List[[#This Row],[Cross piece style]],$AH$2:$AH$4,$AI$2:$AI$4,0,0)*(HFrame_List[[#This Row],[Width between brackets]]/12)</f>
        <v>20.129200000000001</v>
      </c>
      <c r="S34">
        <f>5.46*(HFrame_List[[#This Row],[cross piece quantity]]-1)*(HFrame_List[[#This Row],[Width between brackets]]/12)</f>
        <v>20.129200000000001</v>
      </c>
      <c r="T34" s="5">
        <f>HFrame_List[[#This Row],[Bottom cross piece cost]]+HFrame_List[[#This Row],[Top cross piece cost]]+HFrame_List[[#This Row],[Component costs]]+HFrame_List[[#This Row],[Vertical strut cost]]</f>
        <v>99.622399999999999</v>
      </c>
      <c r="U34" s="7">
        <f>_xlfn.XLOOKUP(HFrame_List[[#This Row],[Fabrication type]],Fabrication_costs[Fabrication type],Fabrication_costs[unit pricing],"no result",0)</f>
        <v>27.72</v>
      </c>
      <c r="V34" s="5">
        <f>SUM(T34:U34)/(1-HFrame_List[[#This Row],[Margin]])</f>
        <v>363.83542857142857</v>
      </c>
      <c r="W34" s="36">
        <f t="shared" si="11"/>
        <v>0.65</v>
      </c>
      <c r="X34" t="s">
        <v>182</v>
      </c>
      <c r="Y34">
        <f>_xlfn.XLOOKUP("A12",Strut_costs[size],Strut_costs[Strut cost])/12*HFrame_List[[#This Row],[Strut height (in)]]*(2+HFrame_List[[#This Row],[Extra supports]])</f>
        <v>21.84</v>
      </c>
      <c r="Z34">
        <f>(_xlfn.XLOOKUP("PHB",CADDY_costs[Component],CADDY_costs[Current cost])*HFrame_List[[#This Row],[Number of feet]])+(_xlfn.XLOOKUP("HFRMHDW",CADDY_costs[Component],CADDY_costs[Current cost])*(HFrame_List[[#This Row],[number of L-brackets]]/2))</f>
        <v>37.524000000000001</v>
      </c>
      <c r="AA34">
        <v>2448</v>
      </c>
      <c r="AB34">
        <f>VLOOKUP(HFrame_List[[#This Row],[lookup]],'Pallet and shipping info'!$A$5:$H$33,6,FALSE)</f>
        <v>7</v>
      </c>
      <c r="AC34">
        <f>VLOOKUP(HFrame_List[[#This Row],[lookup]],'Pallet and shipping info'!$A$5:$H$33,8,FALSE)</f>
        <v>10</v>
      </c>
      <c r="AD34"/>
      <c r="AE34"/>
      <c r="AF34"/>
    </row>
    <row r="35" spans="1:32" x14ac:dyDescent="0.25">
      <c r="A35" s="1" t="s">
        <v>250</v>
      </c>
      <c r="B35" s="1" t="s">
        <v>251</v>
      </c>
      <c r="C35" s="1">
        <f t="shared" si="0"/>
        <v>37.674999999999997</v>
      </c>
      <c r="D35" s="1">
        <f t="shared" si="1"/>
        <v>62.050999999999995</v>
      </c>
      <c r="E35" s="1">
        <v>36</v>
      </c>
      <c r="F35" s="1">
        <f t="shared" si="17"/>
        <v>48</v>
      </c>
      <c r="G35" s="1">
        <f t="shared" si="13"/>
        <v>44.24</v>
      </c>
      <c r="H35" s="1">
        <v>0</v>
      </c>
      <c r="I35" s="1" t="s">
        <v>176</v>
      </c>
      <c r="J35" s="1">
        <v>2</v>
      </c>
      <c r="K35" s="2">
        <f t="shared" si="2"/>
        <v>48</v>
      </c>
      <c r="L35" s="1">
        <f t="shared" si="3"/>
        <v>2</v>
      </c>
      <c r="M35" s="1">
        <f t="shared" si="14"/>
        <v>12</v>
      </c>
      <c r="N35" s="1">
        <f t="shared" si="15"/>
        <v>4</v>
      </c>
      <c r="O35" s="3">
        <f t="shared" si="7"/>
        <v>14</v>
      </c>
      <c r="P35" s="1">
        <f t="shared" si="8"/>
        <v>2</v>
      </c>
      <c r="Q35">
        <f t="shared" si="9"/>
        <v>8</v>
      </c>
      <c r="R35">
        <f>_xlfn.XLOOKUP(HFrame_List[[#This Row],[Cross piece style]],$AH$2:$AH$4,$AI$2:$AI$4,0,0)*(HFrame_List[[#This Row],[Width between brackets]]/12)</f>
        <v>20.129200000000001</v>
      </c>
      <c r="S35">
        <f>5.46*(HFrame_List[[#This Row],[cross piece quantity]]-1)*(HFrame_List[[#This Row],[Width between brackets]]/12)</f>
        <v>20.129200000000001</v>
      </c>
      <c r="T35" s="5">
        <f>HFrame_List[[#This Row],[Bottom cross piece cost]]+HFrame_List[[#This Row],[Top cross piece cost]]+HFrame_List[[#This Row],[Component costs]]+HFrame_List[[#This Row],[Vertical strut cost]]</f>
        <v>110.54239999999999</v>
      </c>
      <c r="U35" s="7">
        <f>_xlfn.XLOOKUP(HFrame_List[[#This Row],[Fabrication type]],Fabrication_costs[Fabrication type],Fabrication_costs[unit pricing],"no result",0)</f>
        <v>27.72</v>
      </c>
      <c r="V35" s="5">
        <f>SUM(T35:U35)/(1-HFrame_List[[#This Row],[Margin]])</f>
        <v>395.03542857142855</v>
      </c>
      <c r="W35" s="36">
        <f t="shared" si="11"/>
        <v>0.65</v>
      </c>
      <c r="X35" t="s">
        <v>182</v>
      </c>
      <c r="Y35">
        <f>_xlfn.XLOOKUP("A12",Strut_costs[size],Strut_costs[Strut cost])/12*HFrame_List[[#This Row],[Strut height (in)]]*(2+HFrame_List[[#This Row],[Extra supports]])</f>
        <v>32.76</v>
      </c>
      <c r="Z35">
        <f>(_xlfn.XLOOKUP("PHB",CADDY_costs[Component],CADDY_costs[Current cost])*HFrame_List[[#This Row],[Number of feet]])+(_xlfn.XLOOKUP("HFRMHDW",CADDY_costs[Component],CADDY_costs[Current cost])*(HFrame_List[[#This Row],[number of L-brackets]]/2))</f>
        <v>37.524000000000001</v>
      </c>
      <c r="AA35">
        <v>3648</v>
      </c>
      <c r="AB35">
        <f>VLOOKUP(HFrame_List[[#This Row],[lookup]],'Pallet and shipping info'!$A$5:$H$33,6,FALSE)</f>
        <v>7</v>
      </c>
      <c r="AC35">
        <f>VLOOKUP(HFrame_List[[#This Row],[lookup]],'Pallet and shipping info'!$A$5:$H$33,8,FALSE)</f>
        <v>10</v>
      </c>
      <c r="AD35"/>
      <c r="AE35"/>
      <c r="AF35"/>
    </row>
    <row r="36" spans="1:32" x14ac:dyDescent="0.25">
      <c r="A36" s="1" t="s">
        <v>252</v>
      </c>
      <c r="B36" s="1" t="s">
        <v>253</v>
      </c>
      <c r="C36" s="1">
        <f t="shared" si="0"/>
        <v>49.674999999999997</v>
      </c>
      <c r="D36" s="1">
        <f t="shared" si="1"/>
        <v>62.050999999999995</v>
      </c>
      <c r="E36" s="1">
        <v>48</v>
      </c>
      <c r="F36" s="1">
        <f t="shared" si="17"/>
        <v>48</v>
      </c>
      <c r="G36" s="1">
        <f t="shared" si="13"/>
        <v>44.24</v>
      </c>
      <c r="H36" s="1">
        <v>0</v>
      </c>
      <c r="I36" s="1" t="s">
        <v>176</v>
      </c>
      <c r="J36" s="1">
        <v>2</v>
      </c>
      <c r="K36" s="2">
        <f t="shared" si="2"/>
        <v>48</v>
      </c>
      <c r="L36" s="1">
        <f t="shared" si="3"/>
        <v>2</v>
      </c>
      <c r="M36" s="1">
        <f t="shared" si="14"/>
        <v>12</v>
      </c>
      <c r="N36" s="1">
        <f t="shared" si="15"/>
        <v>4</v>
      </c>
      <c r="O36" s="3">
        <f t="shared" si="7"/>
        <v>16</v>
      </c>
      <c r="P36" s="1">
        <f t="shared" si="8"/>
        <v>2</v>
      </c>
      <c r="Q36">
        <f t="shared" si="9"/>
        <v>8</v>
      </c>
      <c r="R36">
        <f>_xlfn.XLOOKUP(HFrame_List[[#This Row],[Cross piece style]],$AH$2:$AH$4,$AI$2:$AI$4,0,0)*(HFrame_List[[#This Row],[Width between brackets]]/12)</f>
        <v>20.129200000000001</v>
      </c>
      <c r="S36">
        <f>5.46*(HFrame_List[[#This Row],[cross piece quantity]]-1)*(HFrame_List[[#This Row],[Width between brackets]]/12)</f>
        <v>20.129200000000001</v>
      </c>
      <c r="T36" s="5">
        <f>HFrame_List[[#This Row],[Bottom cross piece cost]]+HFrame_List[[#This Row],[Top cross piece cost]]+HFrame_List[[#This Row],[Component costs]]+HFrame_List[[#This Row],[Vertical strut cost]]</f>
        <v>121.4624</v>
      </c>
      <c r="U36" s="7">
        <f>_xlfn.XLOOKUP(HFrame_List[[#This Row],[Fabrication type]],Fabrication_costs[Fabrication type],Fabrication_costs[unit pricing],"no result",0)</f>
        <v>27.72</v>
      </c>
      <c r="V36" s="5">
        <f>SUM(T36:U36)/(1-HFrame_List[[#This Row],[Margin]])</f>
        <v>426.2354285714286</v>
      </c>
      <c r="W36" s="36">
        <f t="shared" si="11"/>
        <v>0.65</v>
      </c>
      <c r="X36" t="s">
        <v>182</v>
      </c>
      <c r="Y36">
        <f>_xlfn.XLOOKUP("A12",Strut_costs[size],Strut_costs[Strut cost])/12*HFrame_List[[#This Row],[Strut height (in)]]*(2+HFrame_List[[#This Row],[Extra supports]])</f>
        <v>43.68</v>
      </c>
      <c r="Z36">
        <f>(_xlfn.XLOOKUP("PHB",CADDY_costs[Component],CADDY_costs[Current cost])*HFrame_List[[#This Row],[Number of feet]])+(_xlfn.XLOOKUP("HFRMHDW",CADDY_costs[Component],CADDY_costs[Current cost])*(HFrame_List[[#This Row],[number of L-brackets]]/2))</f>
        <v>37.524000000000001</v>
      </c>
      <c r="AA36">
        <v>4848</v>
      </c>
      <c r="AB36">
        <f>VLOOKUP(HFrame_List[[#This Row],[lookup]],'Pallet and shipping info'!$A$5:$H$33,6,FALSE)</f>
        <v>7</v>
      </c>
      <c r="AC36">
        <f>VLOOKUP(HFrame_List[[#This Row],[lookup]],'Pallet and shipping info'!$A$5:$H$33,8,FALSE)</f>
        <v>10</v>
      </c>
      <c r="AD36"/>
      <c r="AE36"/>
      <c r="AF36"/>
    </row>
    <row r="37" spans="1:32" x14ac:dyDescent="0.25">
      <c r="A37" s="1" t="s">
        <v>254</v>
      </c>
      <c r="B37" s="1" t="s">
        <v>255</v>
      </c>
      <c r="C37" s="1">
        <f t="shared" si="0"/>
        <v>73.674999999999997</v>
      </c>
      <c r="D37" s="1">
        <f t="shared" si="1"/>
        <v>62.050999999999995</v>
      </c>
      <c r="E37" s="1">
        <v>72</v>
      </c>
      <c r="F37" s="1">
        <f t="shared" si="17"/>
        <v>48</v>
      </c>
      <c r="G37" s="1">
        <f t="shared" si="13"/>
        <v>44.24</v>
      </c>
      <c r="H37" s="1">
        <v>0</v>
      </c>
      <c r="I37" s="1" t="s">
        <v>176</v>
      </c>
      <c r="J37" s="1">
        <v>2</v>
      </c>
      <c r="K37" s="2">
        <f t="shared" si="2"/>
        <v>48</v>
      </c>
      <c r="L37" s="1">
        <f t="shared" si="3"/>
        <v>2</v>
      </c>
      <c r="M37" s="1">
        <f t="shared" si="14"/>
        <v>12</v>
      </c>
      <c r="N37" s="1">
        <f t="shared" si="15"/>
        <v>4</v>
      </c>
      <c r="O37" s="3">
        <f t="shared" si="7"/>
        <v>20</v>
      </c>
      <c r="P37" s="1">
        <f t="shared" si="8"/>
        <v>2</v>
      </c>
      <c r="Q37">
        <f t="shared" si="9"/>
        <v>8</v>
      </c>
      <c r="R37">
        <f>_xlfn.XLOOKUP(HFrame_List[[#This Row],[Cross piece style]],$AH$2:$AH$4,$AI$2:$AI$4,0,0)*(HFrame_List[[#This Row],[Width between brackets]]/12)</f>
        <v>20.129200000000001</v>
      </c>
      <c r="S37">
        <f>5.46*(HFrame_List[[#This Row],[cross piece quantity]]-1)*(HFrame_List[[#This Row],[Width between brackets]]/12)</f>
        <v>20.129200000000001</v>
      </c>
      <c r="T37" s="5">
        <f>HFrame_List[[#This Row],[Bottom cross piece cost]]+HFrame_List[[#This Row],[Top cross piece cost]]+HFrame_List[[#This Row],[Component costs]]+HFrame_List[[#This Row],[Vertical strut cost]]</f>
        <v>143.30239999999998</v>
      </c>
      <c r="U37" s="7">
        <f>_xlfn.XLOOKUP(HFrame_List[[#This Row],[Fabrication type]],Fabrication_costs[Fabrication type],Fabrication_costs[unit pricing],"no result",0)</f>
        <v>27.72</v>
      </c>
      <c r="V37" s="5">
        <f>SUM(T37:U37)/(1-HFrame_List[[#This Row],[Margin]])</f>
        <v>488.63542857142852</v>
      </c>
      <c r="W37" s="36">
        <f t="shared" si="11"/>
        <v>0.65</v>
      </c>
      <c r="X37" t="s">
        <v>182</v>
      </c>
      <c r="Y37">
        <f>_xlfn.XLOOKUP("A12",Strut_costs[size],Strut_costs[Strut cost])/12*HFrame_List[[#This Row],[Strut height (in)]]*(2+HFrame_List[[#This Row],[Extra supports]])</f>
        <v>65.52</v>
      </c>
      <c r="Z37">
        <f>(_xlfn.XLOOKUP("PHB",CADDY_costs[Component],CADDY_costs[Current cost])*HFrame_List[[#This Row],[Number of feet]])+(_xlfn.XLOOKUP("HFRMHDW",CADDY_costs[Component],CADDY_costs[Current cost])*(HFrame_List[[#This Row],[number of L-brackets]]/2))</f>
        <v>37.524000000000001</v>
      </c>
      <c r="AA37">
        <v>7248</v>
      </c>
      <c r="AB37">
        <f>VLOOKUP(HFrame_List[[#This Row],[lookup]],'Pallet and shipping info'!$A$5:$H$33,6,FALSE)</f>
        <v>7</v>
      </c>
      <c r="AC37">
        <f>VLOOKUP(HFrame_List[[#This Row],[lookup]],'Pallet and shipping info'!$A$5:$H$33,8,FALSE)</f>
        <v>10</v>
      </c>
      <c r="AD37"/>
      <c r="AE37"/>
      <c r="AF37"/>
    </row>
    <row r="38" spans="1:32" x14ac:dyDescent="0.25">
      <c r="A38" s="1" t="s">
        <v>256</v>
      </c>
      <c r="B38" s="1" t="s">
        <v>257</v>
      </c>
      <c r="C38" s="1">
        <f t="shared" si="0"/>
        <v>25.675000000000001</v>
      </c>
      <c r="D38" s="1">
        <f t="shared" si="1"/>
        <v>74.051000000000002</v>
      </c>
      <c r="E38" s="1">
        <v>24</v>
      </c>
      <c r="F38" s="1">
        <v>60</v>
      </c>
      <c r="G38" s="1">
        <f t="shared" si="13"/>
        <v>56.24</v>
      </c>
      <c r="H38" s="1">
        <v>0</v>
      </c>
      <c r="I38" s="1" t="s">
        <v>176</v>
      </c>
      <c r="J38" s="1">
        <v>2</v>
      </c>
      <c r="K38" s="2">
        <f t="shared" si="2"/>
        <v>60</v>
      </c>
      <c r="L38" s="1">
        <f t="shared" si="3"/>
        <v>2</v>
      </c>
      <c r="M38" s="1">
        <f t="shared" si="14"/>
        <v>12</v>
      </c>
      <c r="N38" s="1">
        <f t="shared" si="15"/>
        <v>4</v>
      </c>
      <c r="O38" s="3">
        <f t="shared" si="7"/>
        <v>14</v>
      </c>
      <c r="P38" s="1">
        <f t="shared" si="8"/>
        <v>2</v>
      </c>
      <c r="Q38">
        <f t="shared" si="9"/>
        <v>8</v>
      </c>
      <c r="R38">
        <f>_xlfn.XLOOKUP(HFrame_List[[#This Row],[Cross piece style]],$AH$2:$AH$4,$AI$2:$AI$4,0,0)*(HFrame_List[[#This Row],[Width between brackets]]/12)</f>
        <v>25.589199999999998</v>
      </c>
      <c r="S38">
        <f>5.46*(HFrame_List[[#This Row],[cross piece quantity]]-1)*(HFrame_List[[#This Row],[Width between brackets]]/12)</f>
        <v>25.589199999999998</v>
      </c>
      <c r="T38" s="5">
        <f>HFrame_List[[#This Row],[Bottom cross piece cost]]+HFrame_List[[#This Row],[Top cross piece cost]]+HFrame_List[[#This Row],[Component costs]]+HFrame_List[[#This Row],[Vertical strut cost]]</f>
        <v>110.5424</v>
      </c>
      <c r="U38" s="7">
        <f>_xlfn.XLOOKUP(HFrame_List[[#This Row],[Fabrication type]],Fabrication_costs[Fabrication type],Fabrication_costs[unit pricing],"no result",0)</f>
        <v>27.72</v>
      </c>
      <c r="V38" s="5">
        <f>SUM(T38:U38)/(1-HFrame_List[[#This Row],[Margin]])</f>
        <v>395.03542857142861</v>
      </c>
      <c r="W38" s="36">
        <f t="shared" si="11"/>
        <v>0.65</v>
      </c>
      <c r="X38" t="s">
        <v>182</v>
      </c>
      <c r="Y38">
        <f>_xlfn.XLOOKUP("A12",Strut_costs[size],Strut_costs[Strut cost])/12*HFrame_List[[#This Row],[Strut height (in)]]*(2+HFrame_List[[#This Row],[Extra supports]])</f>
        <v>21.84</v>
      </c>
      <c r="Z38">
        <f>(_xlfn.XLOOKUP("PHB",CADDY_costs[Component],CADDY_costs[Current cost])*HFrame_List[[#This Row],[Number of feet]])+(_xlfn.XLOOKUP("HFRMHDW",CADDY_costs[Component],CADDY_costs[Current cost])*(HFrame_List[[#This Row],[number of L-brackets]]/2))</f>
        <v>37.524000000000001</v>
      </c>
      <c r="AA38">
        <v>2460</v>
      </c>
      <c r="AB38" t="str">
        <f>VLOOKUP(HFrame_List[[#This Row],[lookup]],'Pallet and shipping info'!$A$5:$H$33,6,FALSE)</f>
        <v>x</v>
      </c>
      <c r="AC38">
        <f>VLOOKUP(HFrame_List[[#This Row],[lookup]],'Pallet and shipping info'!$A$5:$H$33,8,FALSE)</f>
        <v>7</v>
      </c>
      <c r="AD38"/>
      <c r="AE38"/>
      <c r="AF38"/>
    </row>
    <row r="39" spans="1:32" x14ac:dyDescent="0.25">
      <c r="A39" s="1" t="s">
        <v>258</v>
      </c>
      <c r="B39" s="1" t="s">
        <v>259</v>
      </c>
      <c r="C39" s="1">
        <f t="shared" si="0"/>
        <v>37.674999999999997</v>
      </c>
      <c r="D39" s="1">
        <f t="shared" si="1"/>
        <v>74.051000000000002</v>
      </c>
      <c r="E39" s="1">
        <v>36</v>
      </c>
      <c r="F39" s="1">
        <v>60</v>
      </c>
      <c r="G39" s="1">
        <f t="shared" si="13"/>
        <v>56.24</v>
      </c>
      <c r="H39" s="1">
        <v>0</v>
      </c>
      <c r="I39" s="1" t="s">
        <v>176</v>
      </c>
      <c r="J39" s="1">
        <v>2</v>
      </c>
      <c r="K39" s="2">
        <f t="shared" si="2"/>
        <v>60</v>
      </c>
      <c r="L39" s="1">
        <f t="shared" si="3"/>
        <v>2</v>
      </c>
      <c r="M39" s="1">
        <f t="shared" si="14"/>
        <v>12</v>
      </c>
      <c r="N39" s="1">
        <f t="shared" si="15"/>
        <v>4</v>
      </c>
      <c r="O39" s="3">
        <f t="shared" si="7"/>
        <v>16</v>
      </c>
      <c r="P39" s="1">
        <f t="shared" si="8"/>
        <v>2</v>
      </c>
      <c r="Q39">
        <f t="shared" si="9"/>
        <v>8</v>
      </c>
      <c r="R39">
        <f>_xlfn.XLOOKUP(HFrame_List[[#This Row],[Cross piece style]],$AH$2:$AH$4,$AI$2:$AI$4,0,0)*(HFrame_List[[#This Row],[Width between brackets]]/12)</f>
        <v>25.589199999999998</v>
      </c>
      <c r="S39">
        <f>5.46*(HFrame_List[[#This Row],[cross piece quantity]]-1)*(HFrame_List[[#This Row],[Width between brackets]]/12)</f>
        <v>25.589199999999998</v>
      </c>
      <c r="T39" s="5">
        <f>HFrame_List[[#This Row],[Bottom cross piece cost]]+HFrame_List[[#This Row],[Top cross piece cost]]+HFrame_List[[#This Row],[Component costs]]+HFrame_List[[#This Row],[Vertical strut cost]]</f>
        <v>121.4624</v>
      </c>
      <c r="U39" s="7">
        <f>_xlfn.XLOOKUP(HFrame_List[[#This Row],[Fabrication type]],Fabrication_costs[Fabrication type],Fabrication_costs[unit pricing],"no result",0)</f>
        <v>27.72</v>
      </c>
      <c r="V39" s="5">
        <f>SUM(T39:U39)/(1-HFrame_List[[#This Row],[Margin]])</f>
        <v>426.2354285714286</v>
      </c>
      <c r="W39" s="36">
        <f t="shared" si="11"/>
        <v>0.65</v>
      </c>
      <c r="X39" t="s">
        <v>182</v>
      </c>
      <c r="Y39">
        <f>_xlfn.XLOOKUP("A12",Strut_costs[size],Strut_costs[Strut cost])/12*HFrame_List[[#This Row],[Strut height (in)]]*(2+HFrame_List[[#This Row],[Extra supports]])</f>
        <v>32.76</v>
      </c>
      <c r="Z39">
        <f>(_xlfn.XLOOKUP("PHB",CADDY_costs[Component],CADDY_costs[Current cost])*HFrame_List[[#This Row],[Number of feet]])+(_xlfn.XLOOKUP("HFRMHDW",CADDY_costs[Component],CADDY_costs[Current cost])*(HFrame_List[[#This Row],[number of L-brackets]]/2))</f>
        <v>37.524000000000001</v>
      </c>
      <c r="AA39">
        <v>3660</v>
      </c>
      <c r="AB39" t="str">
        <f>VLOOKUP(HFrame_List[[#This Row],[lookup]],'Pallet and shipping info'!$A$5:$H$33,6,FALSE)</f>
        <v>x</v>
      </c>
      <c r="AC39">
        <f>VLOOKUP(HFrame_List[[#This Row],[lookup]],'Pallet and shipping info'!$A$5:$H$33,8,FALSE)</f>
        <v>7</v>
      </c>
      <c r="AD39"/>
      <c r="AE39"/>
      <c r="AF39"/>
    </row>
    <row r="40" spans="1:32" x14ac:dyDescent="0.25">
      <c r="A40" s="1" t="s">
        <v>260</v>
      </c>
      <c r="B40" s="1" t="s">
        <v>261</v>
      </c>
      <c r="C40" s="1">
        <f t="shared" si="0"/>
        <v>49.674999999999997</v>
      </c>
      <c r="D40" s="1">
        <f t="shared" si="1"/>
        <v>74.051000000000002</v>
      </c>
      <c r="E40" s="1">
        <v>48</v>
      </c>
      <c r="F40" s="1">
        <v>60</v>
      </c>
      <c r="G40" s="1">
        <f t="shared" si="13"/>
        <v>56.24</v>
      </c>
      <c r="H40" s="1">
        <v>0</v>
      </c>
      <c r="I40" s="1" t="s">
        <v>176</v>
      </c>
      <c r="J40" s="1">
        <v>2</v>
      </c>
      <c r="K40" s="2">
        <f t="shared" si="2"/>
        <v>60</v>
      </c>
      <c r="L40" s="1">
        <f t="shared" si="3"/>
        <v>2</v>
      </c>
      <c r="M40" s="1">
        <f t="shared" si="14"/>
        <v>12</v>
      </c>
      <c r="N40" s="1">
        <f t="shared" si="15"/>
        <v>4</v>
      </c>
      <c r="O40" s="3">
        <f t="shared" si="7"/>
        <v>18</v>
      </c>
      <c r="P40" s="1">
        <f t="shared" si="8"/>
        <v>2</v>
      </c>
      <c r="Q40">
        <f t="shared" si="9"/>
        <v>8</v>
      </c>
      <c r="R40">
        <f>_xlfn.XLOOKUP(HFrame_List[[#This Row],[Cross piece style]],$AH$2:$AH$4,$AI$2:$AI$4,0,0)*(HFrame_List[[#This Row],[Width between brackets]]/12)</f>
        <v>25.589199999999998</v>
      </c>
      <c r="S40">
        <f>5.46*(HFrame_List[[#This Row],[cross piece quantity]]-1)*(HFrame_List[[#This Row],[Width between brackets]]/12)</f>
        <v>25.589199999999998</v>
      </c>
      <c r="T40" s="5">
        <f>HFrame_List[[#This Row],[Bottom cross piece cost]]+HFrame_List[[#This Row],[Top cross piece cost]]+HFrame_List[[#This Row],[Component costs]]+HFrame_List[[#This Row],[Vertical strut cost]]</f>
        <v>132.38239999999999</v>
      </c>
      <c r="U40" s="7">
        <f>_xlfn.XLOOKUP(HFrame_List[[#This Row],[Fabrication type]],Fabrication_costs[Fabrication type],Fabrication_costs[unit pricing],"no result",0)</f>
        <v>27.72</v>
      </c>
      <c r="V40" s="5">
        <f>SUM(T40:U40)/(1-HFrame_List[[#This Row],[Margin]])</f>
        <v>457.43542857142859</v>
      </c>
      <c r="W40" s="36">
        <f t="shared" si="11"/>
        <v>0.65</v>
      </c>
      <c r="X40" t="s">
        <v>182</v>
      </c>
      <c r="Y40">
        <f>_xlfn.XLOOKUP("A12",Strut_costs[size],Strut_costs[Strut cost])/12*HFrame_List[[#This Row],[Strut height (in)]]*(2+HFrame_List[[#This Row],[Extra supports]])</f>
        <v>43.68</v>
      </c>
      <c r="Z40">
        <f>(_xlfn.XLOOKUP("PHB",CADDY_costs[Component],CADDY_costs[Current cost])*HFrame_List[[#This Row],[Number of feet]])+(_xlfn.XLOOKUP("HFRMHDW",CADDY_costs[Component],CADDY_costs[Current cost])*(HFrame_List[[#This Row],[number of L-brackets]]/2))</f>
        <v>37.524000000000001</v>
      </c>
      <c r="AA40">
        <v>4860</v>
      </c>
      <c r="AB40" t="str">
        <f>VLOOKUP(HFrame_List[[#This Row],[lookup]],'Pallet and shipping info'!$A$5:$H$33,6,FALSE)</f>
        <v>x</v>
      </c>
      <c r="AC40">
        <f>VLOOKUP(HFrame_List[[#This Row],[lookup]],'Pallet and shipping info'!$A$5:$H$33,8,FALSE)</f>
        <v>7</v>
      </c>
      <c r="AD40"/>
      <c r="AE40"/>
      <c r="AF40"/>
    </row>
    <row r="41" spans="1:32" x14ac:dyDescent="0.25">
      <c r="A41" s="1" t="s">
        <v>262</v>
      </c>
      <c r="B41" s="1" t="s">
        <v>263</v>
      </c>
      <c r="C41" s="1">
        <f t="shared" si="0"/>
        <v>73.674999999999997</v>
      </c>
      <c r="D41" s="1">
        <f t="shared" si="1"/>
        <v>74.051000000000002</v>
      </c>
      <c r="E41" s="1">
        <v>72</v>
      </c>
      <c r="F41" s="1">
        <v>60</v>
      </c>
      <c r="G41" s="1">
        <f t="shared" si="13"/>
        <v>56.24</v>
      </c>
      <c r="H41" s="1">
        <v>0</v>
      </c>
      <c r="I41" s="1" t="s">
        <v>176</v>
      </c>
      <c r="J41" s="1">
        <v>2</v>
      </c>
      <c r="K41" s="2">
        <f t="shared" si="2"/>
        <v>60</v>
      </c>
      <c r="L41" s="1">
        <f t="shared" si="3"/>
        <v>2</v>
      </c>
      <c r="M41" s="1">
        <f t="shared" si="14"/>
        <v>12</v>
      </c>
      <c r="N41" s="1">
        <f t="shared" si="15"/>
        <v>4</v>
      </c>
      <c r="O41" s="3">
        <f t="shared" si="7"/>
        <v>22</v>
      </c>
      <c r="P41" s="1">
        <f t="shared" si="8"/>
        <v>3</v>
      </c>
      <c r="Q41">
        <f t="shared" si="9"/>
        <v>8</v>
      </c>
      <c r="R41">
        <f>_xlfn.XLOOKUP(HFrame_List[[#This Row],[Cross piece style]],$AH$2:$AH$4,$AI$2:$AI$4,0,0)*(HFrame_List[[#This Row],[Width between brackets]]/12)</f>
        <v>25.589199999999998</v>
      </c>
      <c r="S41">
        <f>5.46*(HFrame_List[[#This Row],[cross piece quantity]]-1)*(HFrame_List[[#This Row],[Width between brackets]]/12)</f>
        <v>25.589199999999998</v>
      </c>
      <c r="T41" s="5">
        <f>HFrame_List[[#This Row],[Bottom cross piece cost]]+HFrame_List[[#This Row],[Top cross piece cost]]+HFrame_List[[#This Row],[Component costs]]+HFrame_List[[#This Row],[Vertical strut cost]]</f>
        <v>154.22239999999999</v>
      </c>
      <c r="U41" s="7">
        <f>_xlfn.XLOOKUP(HFrame_List[[#This Row],[Fabrication type]],Fabrication_costs[Fabrication type],Fabrication_costs[unit pricing],"no result",0)</f>
        <v>27.72</v>
      </c>
      <c r="V41" s="5">
        <f>SUM(T41:U41)/(1-HFrame_List[[#This Row],[Margin]])</f>
        <v>519.83542857142857</v>
      </c>
      <c r="W41" s="36">
        <f t="shared" si="11"/>
        <v>0.65</v>
      </c>
      <c r="X41" t="s">
        <v>182</v>
      </c>
      <c r="Y41">
        <f>_xlfn.XLOOKUP("A12",Strut_costs[size],Strut_costs[Strut cost])/12*HFrame_List[[#This Row],[Strut height (in)]]*(2+HFrame_List[[#This Row],[Extra supports]])</f>
        <v>65.52</v>
      </c>
      <c r="Z41">
        <f>(_xlfn.XLOOKUP("PHB",CADDY_costs[Component],CADDY_costs[Current cost])*HFrame_List[[#This Row],[Number of feet]])+(_xlfn.XLOOKUP("HFRMHDW",CADDY_costs[Component],CADDY_costs[Current cost])*(HFrame_List[[#This Row],[number of L-brackets]]/2))</f>
        <v>37.524000000000001</v>
      </c>
      <c r="AA41">
        <v>7260</v>
      </c>
      <c r="AB41" t="str">
        <f>VLOOKUP(HFrame_List[[#This Row],[lookup]],'Pallet and shipping info'!$A$5:$H$33,6,FALSE)</f>
        <v>x</v>
      </c>
      <c r="AC41">
        <f>VLOOKUP(HFrame_List[[#This Row],[lookup]],'Pallet and shipping info'!$A$5:$H$33,8,FALSE)</f>
        <v>7</v>
      </c>
      <c r="AD41"/>
      <c r="AE41"/>
      <c r="AF41"/>
    </row>
    <row r="42" spans="1:32" x14ac:dyDescent="0.25">
      <c r="A42" s="1" t="s">
        <v>264</v>
      </c>
      <c r="B42" s="1" t="s">
        <v>265</v>
      </c>
      <c r="C42" s="1">
        <f t="shared" si="0"/>
        <v>25.675000000000001</v>
      </c>
      <c r="D42" s="1">
        <f t="shared" si="1"/>
        <v>86.051000000000002</v>
      </c>
      <c r="E42" s="1">
        <v>24</v>
      </c>
      <c r="F42" s="1">
        <v>72</v>
      </c>
      <c r="G42" s="1">
        <f t="shared" si="13"/>
        <v>68.239999999999995</v>
      </c>
      <c r="H42" s="1">
        <v>0</v>
      </c>
      <c r="I42" s="1" t="s">
        <v>176</v>
      </c>
      <c r="J42" s="1">
        <v>2</v>
      </c>
      <c r="K42" s="2">
        <f t="shared" si="2"/>
        <v>72</v>
      </c>
      <c r="L42" s="1">
        <f t="shared" si="3"/>
        <v>2</v>
      </c>
      <c r="M42" s="1">
        <f t="shared" si="14"/>
        <v>12</v>
      </c>
      <c r="N42" s="1">
        <f t="shared" si="15"/>
        <v>4</v>
      </c>
      <c r="O42" s="3">
        <f t="shared" si="7"/>
        <v>16</v>
      </c>
      <c r="P42" s="1">
        <f t="shared" si="8"/>
        <v>2</v>
      </c>
      <c r="Q42">
        <f t="shared" si="9"/>
        <v>8</v>
      </c>
      <c r="R42">
        <f>_xlfn.XLOOKUP(HFrame_List[[#This Row],[Cross piece style]],$AH$2:$AH$4,$AI$2:$AI$4,0,0)*(HFrame_List[[#This Row],[Width between brackets]]/12)</f>
        <v>31.049199999999999</v>
      </c>
      <c r="S42">
        <f>5.46*(HFrame_List[[#This Row],[cross piece quantity]]-1)*(HFrame_List[[#This Row],[Width between brackets]]/12)</f>
        <v>31.049199999999999</v>
      </c>
      <c r="T42" s="5">
        <f>HFrame_List[[#This Row],[Bottom cross piece cost]]+HFrame_List[[#This Row],[Top cross piece cost]]+HFrame_List[[#This Row],[Component costs]]+HFrame_List[[#This Row],[Vertical strut cost]]</f>
        <v>121.4624</v>
      </c>
      <c r="U42" s="7">
        <f>_xlfn.XLOOKUP(HFrame_List[[#This Row],[Fabrication type]],Fabrication_costs[Fabrication type],Fabrication_costs[unit pricing],"no result",0)</f>
        <v>27.72</v>
      </c>
      <c r="V42" s="5">
        <f>SUM(T42:U42)/(1-HFrame_List[[#This Row],[Margin]])</f>
        <v>426.2354285714286</v>
      </c>
      <c r="W42" s="36">
        <f t="shared" si="11"/>
        <v>0.65</v>
      </c>
      <c r="X42" t="s">
        <v>182</v>
      </c>
      <c r="Y42">
        <f>_xlfn.XLOOKUP("A12",Strut_costs[size],Strut_costs[Strut cost])/12*HFrame_List[[#This Row],[Strut height (in)]]*(2+HFrame_List[[#This Row],[Extra supports]])</f>
        <v>21.84</v>
      </c>
      <c r="Z42">
        <f>(_xlfn.XLOOKUP("PHB",CADDY_costs[Component],CADDY_costs[Current cost])*HFrame_List[[#This Row],[Number of feet]])+(_xlfn.XLOOKUP("HFRMHDW",CADDY_costs[Component],CADDY_costs[Current cost])*(HFrame_List[[#This Row],[number of L-brackets]]/2))</f>
        <v>37.524000000000001</v>
      </c>
      <c r="AA42">
        <v>2472</v>
      </c>
      <c r="AB42" t="str">
        <f>VLOOKUP(HFrame_List[[#This Row],[lookup]],'Pallet and shipping info'!$A$5:$H$33,6,FALSE)</f>
        <v>x</v>
      </c>
      <c r="AC42">
        <f>VLOOKUP(HFrame_List[[#This Row],[lookup]],'Pallet and shipping info'!$A$5:$H$33,8,FALSE)</f>
        <v>7</v>
      </c>
      <c r="AD42"/>
      <c r="AE42"/>
      <c r="AF42"/>
    </row>
    <row r="43" spans="1:32" x14ac:dyDescent="0.25">
      <c r="A43" s="1" t="s">
        <v>266</v>
      </c>
      <c r="B43" s="1" t="s">
        <v>267</v>
      </c>
      <c r="C43" s="1">
        <f t="shared" si="0"/>
        <v>37.674999999999997</v>
      </c>
      <c r="D43" s="1">
        <f t="shared" si="1"/>
        <v>86.051000000000002</v>
      </c>
      <c r="E43" s="1">
        <v>36</v>
      </c>
      <c r="F43" s="1">
        <v>72</v>
      </c>
      <c r="G43" s="1">
        <f t="shared" si="13"/>
        <v>68.239999999999995</v>
      </c>
      <c r="H43" s="1">
        <v>0</v>
      </c>
      <c r="I43" s="1" t="s">
        <v>176</v>
      </c>
      <c r="J43" s="1">
        <v>2</v>
      </c>
      <c r="K43" s="2">
        <f t="shared" si="2"/>
        <v>72</v>
      </c>
      <c r="L43" s="1">
        <f t="shared" si="3"/>
        <v>2</v>
      </c>
      <c r="M43" s="1">
        <f t="shared" si="14"/>
        <v>12</v>
      </c>
      <c r="N43" s="1">
        <f t="shared" si="15"/>
        <v>4</v>
      </c>
      <c r="O43" s="3">
        <f t="shared" si="7"/>
        <v>18</v>
      </c>
      <c r="P43" s="1">
        <f t="shared" si="8"/>
        <v>2</v>
      </c>
      <c r="Q43">
        <f t="shared" si="9"/>
        <v>8</v>
      </c>
      <c r="R43">
        <f>_xlfn.XLOOKUP(HFrame_List[[#This Row],[Cross piece style]],$AH$2:$AH$4,$AI$2:$AI$4,0,0)*(HFrame_List[[#This Row],[Width between brackets]]/12)</f>
        <v>31.049199999999999</v>
      </c>
      <c r="S43">
        <f>5.46*(HFrame_List[[#This Row],[cross piece quantity]]-1)*(HFrame_List[[#This Row],[Width between brackets]]/12)</f>
        <v>31.049199999999999</v>
      </c>
      <c r="T43" s="5">
        <f>HFrame_List[[#This Row],[Bottom cross piece cost]]+HFrame_List[[#This Row],[Top cross piece cost]]+HFrame_List[[#This Row],[Component costs]]+HFrame_List[[#This Row],[Vertical strut cost]]</f>
        <v>132.38239999999999</v>
      </c>
      <c r="U43" s="7">
        <f>_xlfn.XLOOKUP(HFrame_List[[#This Row],[Fabrication type]],Fabrication_costs[Fabrication type],Fabrication_costs[unit pricing],"no result",0)</f>
        <v>27.72</v>
      </c>
      <c r="V43" s="5">
        <f>SUM(T43:U43)/(1-HFrame_List[[#This Row],[Margin]])</f>
        <v>457.43542857142859</v>
      </c>
      <c r="W43" s="36">
        <f t="shared" si="11"/>
        <v>0.65</v>
      </c>
      <c r="X43" t="s">
        <v>182</v>
      </c>
      <c r="Y43">
        <f>_xlfn.XLOOKUP("A12",Strut_costs[size],Strut_costs[Strut cost])/12*HFrame_List[[#This Row],[Strut height (in)]]*(2+HFrame_List[[#This Row],[Extra supports]])</f>
        <v>32.76</v>
      </c>
      <c r="Z43">
        <f>(_xlfn.XLOOKUP("PHB",CADDY_costs[Component],CADDY_costs[Current cost])*HFrame_List[[#This Row],[Number of feet]])+(_xlfn.XLOOKUP("HFRMHDW",CADDY_costs[Component],CADDY_costs[Current cost])*(HFrame_List[[#This Row],[number of L-brackets]]/2))</f>
        <v>37.524000000000001</v>
      </c>
      <c r="AA43">
        <v>3672</v>
      </c>
      <c r="AB43" t="str">
        <f>VLOOKUP(HFrame_List[[#This Row],[lookup]],'Pallet and shipping info'!$A$5:$H$33,6,FALSE)</f>
        <v>x</v>
      </c>
      <c r="AC43">
        <f>VLOOKUP(HFrame_List[[#This Row],[lookup]],'Pallet and shipping info'!$A$5:$H$33,8,FALSE)</f>
        <v>7</v>
      </c>
      <c r="AD43"/>
      <c r="AE43"/>
      <c r="AF43"/>
    </row>
    <row r="44" spans="1:32" x14ac:dyDescent="0.25">
      <c r="A44" s="1" t="s">
        <v>268</v>
      </c>
      <c r="B44" s="1" t="s">
        <v>269</v>
      </c>
      <c r="C44" s="1">
        <f t="shared" si="0"/>
        <v>49.674999999999997</v>
      </c>
      <c r="D44" s="1">
        <f t="shared" si="1"/>
        <v>86.051000000000002</v>
      </c>
      <c r="E44" s="1">
        <v>48</v>
      </c>
      <c r="F44" s="1">
        <v>72</v>
      </c>
      <c r="G44" s="1">
        <f t="shared" si="13"/>
        <v>68.239999999999995</v>
      </c>
      <c r="H44" s="1">
        <v>0</v>
      </c>
      <c r="I44" s="1" t="s">
        <v>176</v>
      </c>
      <c r="J44" s="1">
        <v>2</v>
      </c>
      <c r="K44" s="2">
        <f t="shared" si="2"/>
        <v>72</v>
      </c>
      <c r="L44" s="1">
        <f t="shared" si="3"/>
        <v>2</v>
      </c>
      <c r="M44" s="1">
        <f t="shared" si="14"/>
        <v>12</v>
      </c>
      <c r="N44" s="1">
        <f t="shared" si="15"/>
        <v>4</v>
      </c>
      <c r="O44" s="3">
        <f t="shared" si="7"/>
        <v>20</v>
      </c>
      <c r="P44" s="1">
        <f t="shared" si="8"/>
        <v>2</v>
      </c>
      <c r="Q44">
        <f t="shared" si="9"/>
        <v>8</v>
      </c>
      <c r="R44">
        <f>_xlfn.XLOOKUP(HFrame_List[[#This Row],[Cross piece style]],$AH$2:$AH$4,$AI$2:$AI$4,0,0)*(HFrame_List[[#This Row],[Width between brackets]]/12)</f>
        <v>31.049199999999999</v>
      </c>
      <c r="S44">
        <f>5.46*(HFrame_List[[#This Row],[cross piece quantity]]-1)*(HFrame_List[[#This Row],[Width between brackets]]/12)</f>
        <v>31.049199999999999</v>
      </c>
      <c r="T44" s="5">
        <f>HFrame_List[[#This Row],[Bottom cross piece cost]]+HFrame_List[[#This Row],[Top cross piece cost]]+HFrame_List[[#This Row],[Component costs]]+HFrame_List[[#This Row],[Vertical strut cost]]</f>
        <v>143.30240000000001</v>
      </c>
      <c r="U44" s="7">
        <f>_xlfn.XLOOKUP(HFrame_List[[#This Row],[Fabrication type]],Fabrication_costs[Fabrication type],Fabrication_costs[unit pricing],"no result",0)</f>
        <v>27.72</v>
      </c>
      <c r="V44" s="5">
        <f>SUM(T44:U44)/(1-HFrame_List[[#This Row],[Margin]])</f>
        <v>488.63542857142863</v>
      </c>
      <c r="W44" s="36">
        <f t="shared" si="11"/>
        <v>0.65</v>
      </c>
      <c r="X44" t="s">
        <v>182</v>
      </c>
      <c r="Y44">
        <f>_xlfn.XLOOKUP("A12",Strut_costs[size],Strut_costs[Strut cost])/12*HFrame_List[[#This Row],[Strut height (in)]]*(2+HFrame_List[[#This Row],[Extra supports]])</f>
        <v>43.68</v>
      </c>
      <c r="Z44">
        <f>(_xlfn.XLOOKUP("PHB",CADDY_costs[Component],CADDY_costs[Current cost])*HFrame_List[[#This Row],[Number of feet]])+(_xlfn.XLOOKUP("HFRMHDW",CADDY_costs[Component],CADDY_costs[Current cost])*(HFrame_List[[#This Row],[number of L-brackets]]/2))</f>
        <v>37.524000000000001</v>
      </c>
      <c r="AA44">
        <v>4872</v>
      </c>
      <c r="AB44" t="str">
        <f>VLOOKUP(HFrame_List[[#This Row],[lookup]],'Pallet and shipping info'!$A$5:$H$33,6,FALSE)</f>
        <v>x</v>
      </c>
      <c r="AC44">
        <f>VLOOKUP(HFrame_List[[#This Row],[lookup]],'Pallet and shipping info'!$A$5:$H$33,8,FALSE)</f>
        <v>7</v>
      </c>
      <c r="AD44"/>
      <c r="AE44"/>
      <c r="AF44"/>
    </row>
    <row r="45" spans="1:32" x14ac:dyDescent="0.25">
      <c r="A45" s="1" t="s">
        <v>270</v>
      </c>
      <c r="B45" s="1" t="s">
        <v>271</v>
      </c>
      <c r="C45" s="1">
        <f t="shared" si="0"/>
        <v>73.674999999999997</v>
      </c>
      <c r="D45" s="1">
        <f t="shared" si="1"/>
        <v>86.051000000000002</v>
      </c>
      <c r="E45" s="1">
        <v>72</v>
      </c>
      <c r="F45" s="1">
        <v>72</v>
      </c>
      <c r="G45" s="1">
        <f t="shared" si="13"/>
        <v>68.239999999999995</v>
      </c>
      <c r="H45" s="1">
        <v>0</v>
      </c>
      <c r="I45" s="1" t="s">
        <v>176</v>
      </c>
      <c r="J45" s="1">
        <v>2</v>
      </c>
      <c r="K45" s="2">
        <f t="shared" si="2"/>
        <v>72</v>
      </c>
      <c r="L45" s="1">
        <f t="shared" si="3"/>
        <v>2</v>
      </c>
      <c r="M45" s="1">
        <f t="shared" si="14"/>
        <v>12</v>
      </c>
      <c r="N45" s="1">
        <f t="shared" si="15"/>
        <v>4</v>
      </c>
      <c r="O45" s="3">
        <f t="shared" si="7"/>
        <v>24</v>
      </c>
      <c r="P45" s="1">
        <f t="shared" si="8"/>
        <v>3</v>
      </c>
      <c r="Q45">
        <f t="shared" si="9"/>
        <v>8</v>
      </c>
      <c r="R45">
        <f>_xlfn.XLOOKUP(HFrame_List[[#This Row],[Cross piece style]],$AH$2:$AH$4,$AI$2:$AI$4,0,0)*(HFrame_List[[#This Row],[Width between brackets]]/12)</f>
        <v>31.049199999999999</v>
      </c>
      <c r="S45">
        <f>5.46*(HFrame_List[[#This Row],[cross piece quantity]]-1)*(HFrame_List[[#This Row],[Width between brackets]]/12)</f>
        <v>31.049199999999999</v>
      </c>
      <c r="T45" s="5">
        <f>HFrame_List[[#This Row],[Bottom cross piece cost]]+HFrame_List[[#This Row],[Top cross piece cost]]+HFrame_List[[#This Row],[Component costs]]+HFrame_List[[#This Row],[Vertical strut cost]]</f>
        <v>165.14240000000001</v>
      </c>
      <c r="U45" s="7">
        <f>_xlfn.XLOOKUP(HFrame_List[[#This Row],[Fabrication type]],Fabrication_costs[Fabrication type],Fabrication_costs[unit pricing],"no result",0)</f>
        <v>27.72</v>
      </c>
      <c r="V45" s="5">
        <f>SUM(T45:U45)/(1-HFrame_List[[#This Row],[Margin]])</f>
        <v>551.03542857142861</v>
      </c>
      <c r="W45" s="36">
        <f t="shared" si="11"/>
        <v>0.65</v>
      </c>
      <c r="X45" t="s">
        <v>182</v>
      </c>
      <c r="Y45">
        <f>_xlfn.XLOOKUP("A12",Strut_costs[size],Strut_costs[Strut cost])/12*HFrame_List[[#This Row],[Strut height (in)]]*(2+HFrame_List[[#This Row],[Extra supports]])</f>
        <v>65.52</v>
      </c>
      <c r="Z45">
        <f>(_xlfn.XLOOKUP("PHB",CADDY_costs[Component],CADDY_costs[Current cost])*HFrame_List[[#This Row],[Number of feet]])+(_xlfn.XLOOKUP("HFRMHDW",CADDY_costs[Component],CADDY_costs[Current cost])*(HFrame_List[[#This Row],[number of L-brackets]]/2))</f>
        <v>37.524000000000001</v>
      </c>
      <c r="AA45">
        <v>7272</v>
      </c>
      <c r="AB45" t="str">
        <f>VLOOKUP(HFrame_List[[#This Row],[lookup]],'Pallet and shipping info'!$A$5:$H$33,6,FALSE)</f>
        <v>x</v>
      </c>
      <c r="AC45">
        <f>VLOOKUP(HFrame_List[[#This Row],[lookup]],'Pallet and shipping info'!$A$5:$H$33,8,FALSE)</f>
        <v>7</v>
      </c>
      <c r="AD45"/>
      <c r="AE45"/>
      <c r="AF45"/>
    </row>
    <row r="46" spans="1:32" x14ac:dyDescent="0.25">
      <c r="A46" s="1" t="s">
        <v>272</v>
      </c>
      <c r="B46" s="1" t="s">
        <v>273</v>
      </c>
      <c r="C46" s="1">
        <f t="shared" si="0"/>
        <v>25.675000000000001</v>
      </c>
      <c r="D46" s="1">
        <f t="shared" si="1"/>
        <v>98.051000000000002</v>
      </c>
      <c r="E46" s="1">
        <v>24</v>
      </c>
      <c r="F46" s="1">
        <v>84</v>
      </c>
      <c r="G46" s="1">
        <f t="shared" si="13"/>
        <v>80.239999999999995</v>
      </c>
      <c r="H46" s="1">
        <v>0</v>
      </c>
      <c r="I46" s="1" t="s">
        <v>176</v>
      </c>
      <c r="J46" s="1">
        <v>2</v>
      </c>
      <c r="K46" s="2">
        <f t="shared" si="2"/>
        <v>84</v>
      </c>
      <c r="L46" s="1">
        <f t="shared" si="3"/>
        <v>2</v>
      </c>
      <c r="M46" s="1">
        <f t="shared" si="14"/>
        <v>12</v>
      </c>
      <c r="N46" s="1">
        <f t="shared" si="15"/>
        <v>4</v>
      </c>
      <c r="O46" s="3">
        <f t="shared" si="7"/>
        <v>18</v>
      </c>
      <c r="P46" s="1">
        <f t="shared" si="8"/>
        <v>2</v>
      </c>
      <c r="Q46">
        <f t="shared" si="9"/>
        <v>8</v>
      </c>
      <c r="R46">
        <f>_xlfn.XLOOKUP(HFrame_List[[#This Row],[Cross piece style]],$AH$2:$AH$4,$AI$2:$AI$4,0,0)*(HFrame_List[[#This Row],[Width between brackets]]/12)</f>
        <v>36.5092</v>
      </c>
      <c r="S46">
        <f>5.46*(HFrame_List[[#This Row],[cross piece quantity]]-1)*(HFrame_List[[#This Row],[Width between brackets]]/12)</f>
        <v>36.5092</v>
      </c>
      <c r="T46" s="5">
        <f>HFrame_List[[#This Row],[Bottom cross piece cost]]+HFrame_List[[#This Row],[Top cross piece cost]]+HFrame_List[[#This Row],[Component costs]]+HFrame_List[[#This Row],[Vertical strut cost]]</f>
        <v>132.38239999999999</v>
      </c>
      <c r="U46" s="7">
        <f>_xlfn.XLOOKUP(HFrame_List[[#This Row],[Fabrication type]],Fabrication_costs[Fabrication type],Fabrication_costs[unit pricing],"no result",0)</f>
        <v>27.72</v>
      </c>
      <c r="V46" s="5">
        <f>SUM(T46:U46)/(1-HFrame_List[[#This Row],[Margin]])</f>
        <v>457.43542857142859</v>
      </c>
      <c r="W46" s="36">
        <f t="shared" si="11"/>
        <v>0.65</v>
      </c>
      <c r="X46" t="s">
        <v>182</v>
      </c>
      <c r="Y46">
        <f>_xlfn.XLOOKUP("A12",Strut_costs[size],Strut_costs[Strut cost])/12*HFrame_List[[#This Row],[Strut height (in)]]*(2+HFrame_List[[#This Row],[Extra supports]])</f>
        <v>21.84</v>
      </c>
      <c r="Z46">
        <f>(_xlfn.XLOOKUP("PHB",CADDY_costs[Component],CADDY_costs[Current cost])*HFrame_List[[#This Row],[Number of feet]])+(_xlfn.XLOOKUP("HFRMHDW",CADDY_costs[Component],CADDY_costs[Current cost])*(HFrame_List[[#This Row],[number of L-brackets]]/2))</f>
        <v>37.524000000000001</v>
      </c>
      <c r="AA46">
        <v>2484</v>
      </c>
      <c r="AB46" t="str">
        <f>VLOOKUP(HFrame_List[[#This Row],[lookup]],'Pallet and shipping info'!$A$5:$H$33,6,FALSE)</f>
        <v>x</v>
      </c>
      <c r="AC46">
        <f>VLOOKUP(HFrame_List[[#This Row],[lookup]],'Pallet and shipping info'!$A$5:$H$33,8,FALSE)</f>
        <v>7</v>
      </c>
      <c r="AD46"/>
      <c r="AE46"/>
      <c r="AF46"/>
    </row>
    <row r="47" spans="1:32" x14ac:dyDescent="0.25">
      <c r="A47" s="1" t="s">
        <v>274</v>
      </c>
      <c r="B47" s="1" t="s">
        <v>275</v>
      </c>
      <c r="C47" s="1">
        <f t="shared" si="0"/>
        <v>37.674999999999997</v>
      </c>
      <c r="D47" s="1">
        <f t="shared" si="1"/>
        <v>98.051000000000002</v>
      </c>
      <c r="E47" s="1">
        <v>36</v>
      </c>
      <c r="F47" s="1">
        <v>84</v>
      </c>
      <c r="G47" s="1">
        <f t="shared" si="13"/>
        <v>80.239999999999995</v>
      </c>
      <c r="H47" s="1">
        <v>0</v>
      </c>
      <c r="I47" s="1" t="s">
        <v>176</v>
      </c>
      <c r="J47" s="1">
        <v>2</v>
      </c>
      <c r="K47" s="2">
        <f t="shared" si="2"/>
        <v>84</v>
      </c>
      <c r="L47" s="1">
        <f t="shared" si="3"/>
        <v>2</v>
      </c>
      <c r="M47" s="1">
        <f t="shared" si="14"/>
        <v>12</v>
      </c>
      <c r="N47" s="1">
        <f t="shared" si="15"/>
        <v>4</v>
      </c>
      <c r="O47" s="3">
        <f t="shared" si="7"/>
        <v>20</v>
      </c>
      <c r="P47" s="1">
        <f t="shared" si="8"/>
        <v>2</v>
      </c>
      <c r="Q47">
        <f t="shared" si="9"/>
        <v>8</v>
      </c>
      <c r="R47">
        <f>_xlfn.XLOOKUP(HFrame_List[[#This Row],[Cross piece style]],$AH$2:$AH$4,$AI$2:$AI$4,0,0)*(HFrame_List[[#This Row],[Width between brackets]]/12)</f>
        <v>36.5092</v>
      </c>
      <c r="S47">
        <f>5.46*(HFrame_List[[#This Row],[cross piece quantity]]-1)*(HFrame_List[[#This Row],[Width between brackets]]/12)</f>
        <v>36.5092</v>
      </c>
      <c r="T47" s="5">
        <f>HFrame_List[[#This Row],[Bottom cross piece cost]]+HFrame_List[[#This Row],[Top cross piece cost]]+HFrame_List[[#This Row],[Component costs]]+HFrame_List[[#This Row],[Vertical strut cost]]</f>
        <v>143.30240000000001</v>
      </c>
      <c r="U47" s="7">
        <f>_xlfn.XLOOKUP(HFrame_List[[#This Row],[Fabrication type]],Fabrication_costs[Fabrication type],Fabrication_costs[unit pricing],"no result",0)</f>
        <v>27.72</v>
      </c>
      <c r="V47" s="5">
        <f>SUM(T47:U47)/(1-HFrame_List[[#This Row],[Margin]])</f>
        <v>488.63542857142863</v>
      </c>
      <c r="W47" s="36">
        <f t="shared" si="11"/>
        <v>0.65</v>
      </c>
      <c r="X47" t="s">
        <v>182</v>
      </c>
      <c r="Y47">
        <f>_xlfn.XLOOKUP("A12",Strut_costs[size],Strut_costs[Strut cost])/12*HFrame_List[[#This Row],[Strut height (in)]]*(2+HFrame_List[[#This Row],[Extra supports]])</f>
        <v>32.76</v>
      </c>
      <c r="Z47">
        <f>(_xlfn.XLOOKUP("PHB",CADDY_costs[Component],CADDY_costs[Current cost])*HFrame_List[[#This Row],[Number of feet]])+(_xlfn.XLOOKUP("HFRMHDW",CADDY_costs[Component],CADDY_costs[Current cost])*(HFrame_List[[#This Row],[number of L-brackets]]/2))</f>
        <v>37.524000000000001</v>
      </c>
      <c r="AA47">
        <v>3684</v>
      </c>
      <c r="AB47" t="str">
        <f>VLOOKUP(HFrame_List[[#This Row],[lookup]],'Pallet and shipping info'!$A$5:$H$33,6,FALSE)</f>
        <v>x</v>
      </c>
      <c r="AC47">
        <f>VLOOKUP(HFrame_List[[#This Row],[lookup]],'Pallet and shipping info'!$A$5:$H$33,8,FALSE)</f>
        <v>7</v>
      </c>
      <c r="AD47"/>
      <c r="AE47"/>
      <c r="AF47"/>
    </row>
    <row r="48" spans="1:32" x14ac:dyDescent="0.25">
      <c r="A48" s="1" t="s">
        <v>276</v>
      </c>
      <c r="B48" s="1" t="s">
        <v>277</v>
      </c>
      <c r="C48" s="1">
        <f t="shared" si="0"/>
        <v>49.674999999999997</v>
      </c>
      <c r="D48" s="1">
        <f t="shared" si="1"/>
        <v>98.051000000000002</v>
      </c>
      <c r="E48" s="1">
        <v>48</v>
      </c>
      <c r="F48" s="1">
        <v>84</v>
      </c>
      <c r="G48" s="1">
        <f t="shared" si="13"/>
        <v>80.239999999999995</v>
      </c>
      <c r="H48" s="1">
        <v>0</v>
      </c>
      <c r="I48" s="1" t="s">
        <v>176</v>
      </c>
      <c r="J48" s="1">
        <v>2</v>
      </c>
      <c r="K48" s="2">
        <f t="shared" si="2"/>
        <v>84</v>
      </c>
      <c r="L48" s="1">
        <f t="shared" si="3"/>
        <v>2</v>
      </c>
      <c r="M48" s="1">
        <f t="shared" si="14"/>
        <v>12</v>
      </c>
      <c r="N48" s="1">
        <f t="shared" si="15"/>
        <v>4</v>
      </c>
      <c r="O48" s="3">
        <f t="shared" si="7"/>
        <v>22</v>
      </c>
      <c r="P48" s="1">
        <f t="shared" si="8"/>
        <v>3</v>
      </c>
      <c r="Q48">
        <f t="shared" si="9"/>
        <v>8</v>
      </c>
      <c r="R48">
        <f>_xlfn.XLOOKUP(HFrame_List[[#This Row],[Cross piece style]],$AH$2:$AH$4,$AI$2:$AI$4,0,0)*(HFrame_List[[#This Row],[Width between brackets]]/12)</f>
        <v>36.5092</v>
      </c>
      <c r="S48">
        <f>5.46*(HFrame_List[[#This Row],[cross piece quantity]]-1)*(HFrame_List[[#This Row],[Width between brackets]]/12)</f>
        <v>36.5092</v>
      </c>
      <c r="T48" s="5">
        <f>HFrame_List[[#This Row],[Bottom cross piece cost]]+HFrame_List[[#This Row],[Top cross piece cost]]+HFrame_List[[#This Row],[Component costs]]+HFrame_List[[#This Row],[Vertical strut cost]]</f>
        <v>154.22239999999999</v>
      </c>
      <c r="U48" s="7">
        <f>_xlfn.XLOOKUP(HFrame_List[[#This Row],[Fabrication type]],Fabrication_costs[Fabrication type],Fabrication_costs[unit pricing],"no result",0)</f>
        <v>27.72</v>
      </c>
      <c r="V48" s="5">
        <f>SUM(T48:U48)/(1-HFrame_List[[#This Row],[Margin]])</f>
        <v>519.83542857142857</v>
      </c>
      <c r="W48" s="36">
        <f t="shared" si="11"/>
        <v>0.65</v>
      </c>
      <c r="X48" t="s">
        <v>182</v>
      </c>
      <c r="Y48">
        <f>_xlfn.XLOOKUP("A12",Strut_costs[size],Strut_costs[Strut cost])/12*HFrame_List[[#This Row],[Strut height (in)]]*(2+HFrame_List[[#This Row],[Extra supports]])</f>
        <v>43.68</v>
      </c>
      <c r="Z48">
        <f>(_xlfn.XLOOKUP("PHB",CADDY_costs[Component],CADDY_costs[Current cost])*HFrame_List[[#This Row],[Number of feet]])+(_xlfn.XLOOKUP("HFRMHDW",CADDY_costs[Component],CADDY_costs[Current cost])*(HFrame_List[[#This Row],[number of L-brackets]]/2))</f>
        <v>37.524000000000001</v>
      </c>
      <c r="AA48">
        <v>4884</v>
      </c>
      <c r="AB48" t="str">
        <f>VLOOKUP(HFrame_List[[#This Row],[lookup]],'Pallet and shipping info'!$A$5:$H$33,6,FALSE)</f>
        <v>x</v>
      </c>
      <c r="AC48">
        <f>VLOOKUP(HFrame_List[[#This Row],[lookup]],'Pallet and shipping info'!$A$5:$H$33,8,FALSE)</f>
        <v>7</v>
      </c>
      <c r="AD48"/>
      <c r="AE48"/>
      <c r="AF48"/>
    </row>
    <row r="49" spans="1:32" x14ac:dyDescent="0.25">
      <c r="A49" s="1" t="s">
        <v>278</v>
      </c>
      <c r="B49" s="1" t="s">
        <v>279</v>
      </c>
      <c r="C49" s="1">
        <f t="shared" si="0"/>
        <v>73.674999999999997</v>
      </c>
      <c r="D49" s="1">
        <f t="shared" si="1"/>
        <v>98.051000000000002</v>
      </c>
      <c r="E49" s="1">
        <v>72</v>
      </c>
      <c r="F49" s="1">
        <v>84</v>
      </c>
      <c r="G49" s="1">
        <f t="shared" si="13"/>
        <v>80.239999999999995</v>
      </c>
      <c r="H49" s="1">
        <v>0</v>
      </c>
      <c r="I49" s="1" t="s">
        <v>176</v>
      </c>
      <c r="J49" s="1">
        <v>2</v>
      </c>
      <c r="K49" s="2">
        <f t="shared" si="2"/>
        <v>84</v>
      </c>
      <c r="L49" s="1">
        <f t="shared" si="3"/>
        <v>2</v>
      </c>
      <c r="M49" s="1">
        <f t="shared" si="14"/>
        <v>12</v>
      </c>
      <c r="N49" s="1">
        <f t="shared" si="15"/>
        <v>4</v>
      </c>
      <c r="O49" s="3">
        <f t="shared" si="7"/>
        <v>26</v>
      </c>
      <c r="P49" s="1">
        <f t="shared" si="8"/>
        <v>3</v>
      </c>
      <c r="Q49">
        <f t="shared" si="9"/>
        <v>8</v>
      </c>
      <c r="R49">
        <f>_xlfn.XLOOKUP(HFrame_List[[#This Row],[Cross piece style]],$AH$2:$AH$4,$AI$2:$AI$4,0,0)*(HFrame_List[[#This Row],[Width between brackets]]/12)</f>
        <v>36.5092</v>
      </c>
      <c r="S49">
        <f>5.46*(HFrame_List[[#This Row],[cross piece quantity]]-1)*(HFrame_List[[#This Row],[Width between brackets]]/12)</f>
        <v>36.5092</v>
      </c>
      <c r="T49" s="5">
        <f>HFrame_List[[#This Row],[Bottom cross piece cost]]+HFrame_List[[#This Row],[Top cross piece cost]]+HFrame_List[[#This Row],[Component costs]]+HFrame_List[[#This Row],[Vertical strut cost]]</f>
        <v>176.0624</v>
      </c>
      <c r="U49" s="7">
        <f>_xlfn.XLOOKUP(HFrame_List[[#This Row],[Fabrication type]],Fabrication_costs[Fabrication type],Fabrication_costs[unit pricing],"no result",0)</f>
        <v>27.72</v>
      </c>
      <c r="V49" s="5">
        <f>SUM(T49:U49)/(1-HFrame_List[[#This Row],[Margin]])</f>
        <v>582.23542857142854</v>
      </c>
      <c r="W49" s="36">
        <f t="shared" si="11"/>
        <v>0.65</v>
      </c>
      <c r="X49" t="s">
        <v>182</v>
      </c>
      <c r="Y49">
        <f>_xlfn.XLOOKUP("A12",Strut_costs[size],Strut_costs[Strut cost])/12*HFrame_List[[#This Row],[Strut height (in)]]*(2+HFrame_List[[#This Row],[Extra supports]])</f>
        <v>65.52</v>
      </c>
      <c r="Z49">
        <f>(_xlfn.XLOOKUP("PHB",CADDY_costs[Component],CADDY_costs[Current cost])*HFrame_List[[#This Row],[Number of feet]])+(_xlfn.XLOOKUP("HFRMHDW",CADDY_costs[Component],CADDY_costs[Current cost])*(HFrame_List[[#This Row],[number of L-brackets]]/2))</f>
        <v>37.524000000000001</v>
      </c>
      <c r="AA49">
        <v>7284</v>
      </c>
      <c r="AB49" t="str">
        <f>VLOOKUP(HFrame_List[[#This Row],[lookup]],'Pallet and shipping info'!$A$5:$H$33,6,FALSE)</f>
        <v>x</v>
      </c>
      <c r="AC49">
        <f>VLOOKUP(HFrame_List[[#This Row],[lookup]],'Pallet and shipping info'!$A$5:$H$33,8,FALSE)</f>
        <v>7</v>
      </c>
      <c r="AD49"/>
      <c r="AE49"/>
      <c r="AF49"/>
    </row>
    <row r="50" spans="1:32" x14ac:dyDescent="0.25">
      <c r="A50" s="1" t="s">
        <v>280</v>
      </c>
      <c r="B50" s="1" t="s">
        <v>281</v>
      </c>
      <c r="C50" s="1">
        <f t="shared" si="0"/>
        <v>25.675000000000001</v>
      </c>
      <c r="D50" s="1">
        <f t="shared" si="1"/>
        <v>34.051000000000002</v>
      </c>
      <c r="E50" s="1">
        <v>24</v>
      </c>
      <c r="F50" s="1">
        <v>20</v>
      </c>
      <c r="G50" s="1">
        <f>F50-(1.88*2)</f>
        <v>16.240000000000002</v>
      </c>
      <c r="H50" s="1">
        <v>1</v>
      </c>
      <c r="I50" s="1" t="s">
        <v>176</v>
      </c>
      <c r="J50" s="1">
        <v>1</v>
      </c>
      <c r="K50" s="2">
        <f t="shared" si="2"/>
        <v>9.1875</v>
      </c>
      <c r="L50" s="1">
        <f t="shared" si="3"/>
        <v>3</v>
      </c>
      <c r="M50" s="1">
        <f>3*N50</f>
        <v>12</v>
      </c>
      <c r="N50" s="1">
        <f>(2+(2*H50))*J50</f>
        <v>4</v>
      </c>
      <c r="O50" s="3">
        <f t="shared" si="7"/>
        <v>9.6666666666666661</v>
      </c>
      <c r="P50" s="1">
        <f t="shared" si="8"/>
        <v>1</v>
      </c>
      <c r="Q50">
        <f t="shared" si="9"/>
        <v>8</v>
      </c>
      <c r="R50">
        <f>_xlfn.XLOOKUP(HFrame_List[[#This Row],[Cross piece style]],$AH$2:$AH$4,$AI$2:$AI$4,0,0)*(HFrame_List[[#This Row],[Width between brackets]]/12)</f>
        <v>7.3892000000000007</v>
      </c>
      <c r="S50">
        <f>5.46*(HFrame_List[[#This Row],[cross piece quantity]]-1)*(HFrame_List[[#This Row],[Width between brackets]]/12)</f>
        <v>0</v>
      </c>
      <c r="T50" s="5">
        <f>HFrame_List[[#This Row],[Bottom cross piece cost]]+HFrame_List[[#This Row],[Top cross piece cost]]+HFrame_List[[#This Row],[Component costs]]+HFrame_List[[#This Row],[Vertical strut cost]]</f>
        <v>86.969200000000001</v>
      </c>
      <c r="U50" s="7">
        <f>_xlfn.XLOOKUP(HFrame_List[[#This Row],[Fabrication type]],Fabrication_costs[Fabrication type],Fabrication_costs[unit pricing],"no result",0)</f>
        <v>30</v>
      </c>
      <c r="V50" s="5">
        <f>SUM(T50:U50)/(1-HFrame_List[[#This Row],[Margin]])</f>
        <v>334.19771428571431</v>
      </c>
      <c r="W50" s="36">
        <f t="shared" si="11"/>
        <v>0.65</v>
      </c>
      <c r="X50" t="s">
        <v>193</v>
      </c>
      <c r="Y50">
        <f>_xlfn.XLOOKUP("A12",Strut_costs[size],Strut_costs[Strut cost])/12*HFrame_List[[#This Row],[Strut height (in)]]*(2+HFrame_List[[#This Row],[Extra supports]])</f>
        <v>32.76</v>
      </c>
      <c r="Z50">
        <f>(_xlfn.XLOOKUP("PHB",CADDY_costs[Component],CADDY_costs[Current cost])*HFrame_List[[#This Row],[Number of feet]])+(_xlfn.XLOOKUP("HFRMHDW",CADDY_costs[Component],CADDY_costs[Current cost])*(HFrame_List[[#This Row],[number of L-brackets]]/2))</f>
        <v>46.819999999999993</v>
      </c>
      <c r="AA50">
        <v>2420</v>
      </c>
      <c r="AB50">
        <f>VLOOKUP(HFrame_List[[#This Row],[lookup]],'Pallet and shipping info'!$A$5:$H$33,6,FALSE)</f>
        <v>11</v>
      </c>
      <c r="AC50">
        <f>VLOOKUP(HFrame_List[[#This Row],[lookup]],'Pallet and shipping info'!$A$5:$H$33,8,FALSE)</f>
        <v>15</v>
      </c>
      <c r="AD50"/>
      <c r="AE50"/>
      <c r="AF50"/>
    </row>
    <row r="51" spans="1:32" x14ac:dyDescent="0.25">
      <c r="A51" s="1" t="s">
        <v>282</v>
      </c>
      <c r="B51" s="1" t="s">
        <v>283</v>
      </c>
      <c r="C51" s="1">
        <f t="shared" si="0"/>
        <v>37.674999999999997</v>
      </c>
      <c r="D51" s="1">
        <f t="shared" si="1"/>
        <v>34.051000000000002</v>
      </c>
      <c r="E51" s="1">
        <v>36</v>
      </c>
      <c r="F51" s="1">
        <f>F50</f>
        <v>20</v>
      </c>
      <c r="G51" s="1">
        <f t="shared" ref="G51:G73" si="18">F51-(1.88*2)</f>
        <v>16.240000000000002</v>
      </c>
      <c r="H51" s="1">
        <v>1</v>
      </c>
      <c r="I51" s="1" t="s">
        <v>176</v>
      </c>
      <c r="J51" s="1">
        <v>1</v>
      </c>
      <c r="K51" s="2">
        <f t="shared" si="2"/>
        <v>9.1875</v>
      </c>
      <c r="L51" s="1">
        <f t="shared" si="3"/>
        <v>3</v>
      </c>
      <c r="M51" s="1">
        <f t="shared" ref="M51:M73" si="19">3*N51</f>
        <v>12</v>
      </c>
      <c r="N51" s="1">
        <f t="shared" ref="N51:N73" si="20">(2+(2*H51))*J51</f>
        <v>4</v>
      </c>
      <c r="O51" s="3">
        <f t="shared" si="7"/>
        <v>13.666666666666666</v>
      </c>
      <c r="P51" s="1">
        <f t="shared" si="8"/>
        <v>2</v>
      </c>
      <c r="Q51">
        <f t="shared" si="9"/>
        <v>8</v>
      </c>
      <c r="R51">
        <f>_xlfn.XLOOKUP(HFrame_List[[#This Row],[Cross piece style]],$AH$2:$AH$4,$AI$2:$AI$4,0,0)*(HFrame_List[[#This Row],[Width between brackets]]/12)</f>
        <v>7.3892000000000007</v>
      </c>
      <c r="S51">
        <f>5.46*(HFrame_List[[#This Row],[cross piece quantity]]-1)*(HFrame_List[[#This Row],[Width between brackets]]/12)</f>
        <v>0</v>
      </c>
      <c r="T51" s="5">
        <f>HFrame_List[[#This Row],[Bottom cross piece cost]]+HFrame_List[[#This Row],[Top cross piece cost]]+HFrame_List[[#This Row],[Component costs]]+HFrame_List[[#This Row],[Vertical strut cost]]</f>
        <v>103.3492</v>
      </c>
      <c r="U51" s="7">
        <f>_xlfn.XLOOKUP(HFrame_List[[#This Row],[Fabrication type]],Fabrication_costs[Fabrication type],Fabrication_costs[unit pricing],"no result",0)</f>
        <v>30</v>
      </c>
      <c r="V51" s="5">
        <f>SUM(T51:U51)/(1-HFrame_List[[#This Row],[Margin]])</f>
        <v>380.99771428571432</v>
      </c>
      <c r="W51" s="36">
        <f t="shared" si="11"/>
        <v>0.65</v>
      </c>
      <c r="X51" t="s">
        <v>193</v>
      </c>
      <c r="Y51">
        <f>_xlfn.XLOOKUP("A12",Strut_costs[size],Strut_costs[Strut cost])/12*HFrame_List[[#This Row],[Strut height (in)]]*(2+HFrame_List[[#This Row],[Extra supports]])</f>
        <v>49.14</v>
      </c>
      <c r="Z51">
        <f>(_xlfn.XLOOKUP("PHB",CADDY_costs[Component],CADDY_costs[Current cost])*HFrame_List[[#This Row],[Number of feet]])+(_xlfn.XLOOKUP("HFRMHDW",CADDY_costs[Component],CADDY_costs[Current cost])*(HFrame_List[[#This Row],[number of L-brackets]]/2))</f>
        <v>46.819999999999993</v>
      </c>
      <c r="AA51">
        <v>3620</v>
      </c>
      <c r="AB51">
        <f>VLOOKUP(HFrame_List[[#This Row],[lookup]],'Pallet and shipping info'!$A$5:$H$33,6,FALSE)</f>
        <v>11</v>
      </c>
      <c r="AC51">
        <f>VLOOKUP(HFrame_List[[#This Row],[lookup]],'Pallet and shipping info'!$A$5:$H$33,8,FALSE)</f>
        <v>15</v>
      </c>
      <c r="AD51"/>
      <c r="AE51"/>
      <c r="AF51"/>
    </row>
    <row r="52" spans="1:32" x14ac:dyDescent="0.25">
      <c r="A52" s="1" t="s">
        <v>284</v>
      </c>
      <c r="B52" s="1" t="s">
        <v>285</v>
      </c>
      <c r="C52" s="1">
        <f t="shared" si="0"/>
        <v>49.674999999999997</v>
      </c>
      <c r="D52" s="1">
        <f t="shared" si="1"/>
        <v>34.051000000000002</v>
      </c>
      <c r="E52" s="1">
        <v>48</v>
      </c>
      <c r="F52" s="1">
        <f t="shared" ref="F52:F53" si="21">F51</f>
        <v>20</v>
      </c>
      <c r="G52" s="1">
        <f t="shared" si="18"/>
        <v>16.240000000000002</v>
      </c>
      <c r="H52" s="1">
        <v>1</v>
      </c>
      <c r="I52" s="1" t="s">
        <v>176</v>
      </c>
      <c r="J52" s="1">
        <v>1</v>
      </c>
      <c r="K52" s="2">
        <f t="shared" si="2"/>
        <v>9.1875</v>
      </c>
      <c r="L52" s="1">
        <f t="shared" si="3"/>
        <v>3</v>
      </c>
      <c r="M52" s="1">
        <f t="shared" si="19"/>
        <v>12</v>
      </c>
      <c r="N52" s="1">
        <f t="shared" si="20"/>
        <v>4</v>
      </c>
      <c r="O52" s="3">
        <f t="shared" si="7"/>
        <v>17.666666666666668</v>
      </c>
      <c r="P52" s="1">
        <f t="shared" si="8"/>
        <v>2</v>
      </c>
      <c r="Q52">
        <f t="shared" si="9"/>
        <v>8</v>
      </c>
      <c r="R52">
        <f>_xlfn.XLOOKUP(HFrame_List[[#This Row],[Cross piece style]],$AH$2:$AH$4,$AI$2:$AI$4,0,0)*(HFrame_List[[#This Row],[Width between brackets]]/12)</f>
        <v>7.3892000000000007</v>
      </c>
      <c r="S52">
        <f>5.46*(HFrame_List[[#This Row],[cross piece quantity]]-1)*(HFrame_List[[#This Row],[Width between brackets]]/12)</f>
        <v>0</v>
      </c>
      <c r="T52" s="5">
        <f>HFrame_List[[#This Row],[Bottom cross piece cost]]+HFrame_List[[#This Row],[Top cross piece cost]]+HFrame_List[[#This Row],[Component costs]]+HFrame_List[[#This Row],[Vertical strut cost]]</f>
        <v>119.72919999999999</v>
      </c>
      <c r="U52" s="7">
        <f>_xlfn.XLOOKUP(HFrame_List[[#This Row],[Fabrication type]],Fabrication_costs[Fabrication type],Fabrication_costs[unit pricing],"no result",0)</f>
        <v>30</v>
      </c>
      <c r="V52" s="5">
        <f>SUM(T52:U52)/(1-HFrame_List[[#This Row],[Margin]])</f>
        <v>427.79771428571428</v>
      </c>
      <c r="W52" s="36">
        <f t="shared" si="11"/>
        <v>0.65</v>
      </c>
      <c r="X52" t="s">
        <v>193</v>
      </c>
      <c r="Y52">
        <f>_xlfn.XLOOKUP("A12",Strut_costs[size],Strut_costs[Strut cost])/12*HFrame_List[[#This Row],[Strut height (in)]]*(2+HFrame_List[[#This Row],[Extra supports]])</f>
        <v>65.52</v>
      </c>
      <c r="Z52">
        <f>(_xlfn.XLOOKUP("PHB",CADDY_costs[Component],CADDY_costs[Current cost])*HFrame_List[[#This Row],[Number of feet]])+(_xlfn.XLOOKUP("HFRMHDW",CADDY_costs[Component],CADDY_costs[Current cost])*(HFrame_List[[#This Row],[number of L-brackets]]/2))</f>
        <v>46.819999999999993</v>
      </c>
      <c r="AA52">
        <v>4820</v>
      </c>
      <c r="AB52">
        <f>VLOOKUP(HFrame_List[[#This Row],[lookup]],'Pallet and shipping info'!$A$5:$H$33,6,FALSE)</f>
        <v>11</v>
      </c>
      <c r="AC52">
        <f>VLOOKUP(HFrame_List[[#This Row],[lookup]],'Pallet and shipping info'!$A$5:$H$33,8,FALSE)</f>
        <v>15</v>
      </c>
      <c r="AD52"/>
      <c r="AE52"/>
      <c r="AF52"/>
    </row>
    <row r="53" spans="1:32" x14ac:dyDescent="0.25">
      <c r="A53" s="1" t="s">
        <v>286</v>
      </c>
      <c r="B53" s="1" t="s">
        <v>287</v>
      </c>
      <c r="C53" s="1">
        <f t="shared" si="0"/>
        <v>73.674999999999997</v>
      </c>
      <c r="D53" s="1">
        <f t="shared" si="1"/>
        <v>34.051000000000002</v>
      </c>
      <c r="E53" s="1">
        <v>72</v>
      </c>
      <c r="F53" s="1">
        <f t="shared" si="21"/>
        <v>20</v>
      </c>
      <c r="G53" s="1">
        <f t="shared" si="18"/>
        <v>16.240000000000002</v>
      </c>
      <c r="H53" s="1">
        <v>1</v>
      </c>
      <c r="I53" s="1" t="s">
        <v>176</v>
      </c>
      <c r="J53" s="1">
        <v>1</v>
      </c>
      <c r="K53" s="2">
        <f t="shared" si="2"/>
        <v>9.1875</v>
      </c>
      <c r="L53" s="1">
        <f t="shared" si="3"/>
        <v>3</v>
      </c>
      <c r="M53" s="1">
        <f t="shared" si="19"/>
        <v>12</v>
      </c>
      <c r="N53" s="1">
        <f t="shared" si="20"/>
        <v>4</v>
      </c>
      <c r="O53" s="3">
        <f t="shared" si="7"/>
        <v>25.666666666666668</v>
      </c>
      <c r="P53" s="1">
        <f t="shared" si="8"/>
        <v>3</v>
      </c>
      <c r="Q53">
        <f t="shared" si="9"/>
        <v>8</v>
      </c>
      <c r="R53">
        <f>_xlfn.XLOOKUP(HFrame_List[[#This Row],[Cross piece style]],$AH$2:$AH$4,$AI$2:$AI$4,0,0)*(HFrame_List[[#This Row],[Width between brackets]]/12)</f>
        <v>7.3892000000000007</v>
      </c>
      <c r="S53">
        <f>5.46*(HFrame_List[[#This Row],[cross piece quantity]]-1)*(HFrame_List[[#This Row],[Width between brackets]]/12)</f>
        <v>0</v>
      </c>
      <c r="T53" s="5">
        <f>HFrame_List[[#This Row],[Bottom cross piece cost]]+HFrame_List[[#This Row],[Top cross piece cost]]+HFrame_List[[#This Row],[Component costs]]+HFrame_List[[#This Row],[Vertical strut cost]]</f>
        <v>152.48919999999998</v>
      </c>
      <c r="U53" s="7">
        <f>_xlfn.XLOOKUP(HFrame_List[[#This Row],[Fabrication type]],Fabrication_costs[Fabrication type],Fabrication_costs[unit pricing],"no result",0)</f>
        <v>30</v>
      </c>
      <c r="V53" s="5">
        <f>SUM(T53:U53)/(1-HFrame_List[[#This Row],[Margin]])</f>
        <v>521.3977142857143</v>
      </c>
      <c r="W53" s="36">
        <f t="shared" si="11"/>
        <v>0.65</v>
      </c>
      <c r="X53" t="s">
        <v>193</v>
      </c>
      <c r="Y53">
        <f>_xlfn.XLOOKUP("A12",Strut_costs[size],Strut_costs[Strut cost])/12*HFrame_List[[#This Row],[Strut height (in)]]*(2+HFrame_List[[#This Row],[Extra supports]])</f>
        <v>98.28</v>
      </c>
      <c r="Z53">
        <f>(_xlfn.XLOOKUP("PHB",CADDY_costs[Component],CADDY_costs[Current cost])*HFrame_List[[#This Row],[Number of feet]])+(_xlfn.XLOOKUP("HFRMHDW",CADDY_costs[Component],CADDY_costs[Current cost])*(HFrame_List[[#This Row],[number of L-brackets]]/2))</f>
        <v>46.819999999999993</v>
      </c>
      <c r="AA53">
        <v>7220</v>
      </c>
      <c r="AB53">
        <f>VLOOKUP(HFrame_List[[#This Row],[lookup]],'Pallet and shipping info'!$A$5:$H$33,6,FALSE)</f>
        <v>11</v>
      </c>
      <c r="AC53">
        <f>VLOOKUP(HFrame_List[[#This Row],[lookup]],'Pallet and shipping info'!$A$5:$H$33,8,FALSE)</f>
        <v>15</v>
      </c>
      <c r="AD53"/>
      <c r="AE53"/>
      <c r="AF53"/>
    </row>
    <row r="54" spans="1:32" x14ac:dyDescent="0.25">
      <c r="A54" s="1" t="s">
        <v>288</v>
      </c>
      <c r="B54" s="1" t="s">
        <v>289</v>
      </c>
      <c r="C54" s="1">
        <f t="shared" si="0"/>
        <v>25.675000000000001</v>
      </c>
      <c r="D54" s="1">
        <f t="shared" si="1"/>
        <v>50.050999999999995</v>
      </c>
      <c r="E54" s="1">
        <v>24</v>
      </c>
      <c r="F54" s="1">
        <v>36</v>
      </c>
      <c r="G54" s="1">
        <f t="shared" si="18"/>
        <v>32.24</v>
      </c>
      <c r="H54" s="1">
        <v>1</v>
      </c>
      <c r="I54" s="1" t="s">
        <v>176</v>
      </c>
      <c r="J54" s="1">
        <v>1</v>
      </c>
      <c r="K54" s="2">
        <f t="shared" si="2"/>
        <v>17.1875</v>
      </c>
      <c r="L54" s="1">
        <f t="shared" si="3"/>
        <v>3</v>
      </c>
      <c r="M54" s="1">
        <f t="shared" si="19"/>
        <v>12</v>
      </c>
      <c r="N54" s="1">
        <f t="shared" si="20"/>
        <v>4</v>
      </c>
      <c r="O54" s="3">
        <f t="shared" si="7"/>
        <v>11</v>
      </c>
      <c r="P54" s="1">
        <f t="shared" si="8"/>
        <v>2</v>
      </c>
      <c r="Q54">
        <f t="shared" si="9"/>
        <v>8</v>
      </c>
      <c r="R54">
        <f>_xlfn.XLOOKUP(HFrame_List[[#This Row],[Cross piece style]],$AH$2:$AH$4,$AI$2:$AI$4,0,0)*(HFrame_List[[#This Row],[Width between brackets]]/12)</f>
        <v>14.669200000000002</v>
      </c>
      <c r="S54">
        <f>5.46*(HFrame_List[[#This Row],[cross piece quantity]]-1)*(HFrame_List[[#This Row],[Width between brackets]]/12)</f>
        <v>0</v>
      </c>
      <c r="T54" s="5">
        <f>HFrame_List[[#This Row],[Bottom cross piece cost]]+HFrame_List[[#This Row],[Top cross piece cost]]+HFrame_List[[#This Row],[Component costs]]+HFrame_List[[#This Row],[Vertical strut cost]]</f>
        <v>94.249200000000002</v>
      </c>
      <c r="U54" s="7">
        <f>_xlfn.XLOOKUP(HFrame_List[[#This Row],[Fabrication type]],Fabrication_costs[Fabrication type],Fabrication_costs[unit pricing],"no result",0)</f>
        <v>30</v>
      </c>
      <c r="V54" s="5">
        <f>SUM(T54:U54)/(1-HFrame_List[[#This Row],[Margin]])</f>
        <v>354.99771428571432</v>
      </c>
      <c r="W54" s="36">
        <f t="shared" si="11"/>
        <v>0.65</v>
      </c>
      <c r="X54" t="s">
        <v>193</v>
      </c>
      <c r="Y54">
        <f>_xlfn.XLOOKUP("A12",Strut_costs[size],Strut_costs[Strut cost])/12*HFrame_List[[#This Row],[Strut height (in)]]*(2+HFrame_List[[#This Row],[Extra supports]])</f>
        <v>32.76</v>
      </c>
      <c r="Z54">
        <f>(_xlfn.XLOOKUP("PHB",CADDY_costs[Component],CADDY_costs[Current cost])*HFrame_List[[#This Row],[Number of feet]])+(_xlfn.XLOOKUP("HFRMHDW",CADDY_costs[Component],CADDY_costs[Current cost])*(HFrame_List[[#This Row],[number of L-brackets]]/2))</f>
        <v>46.819999999999993</v>
      </c>
      <c r="AA54">
        <v>2436</v>
      </c>
      <c r="AB54">
        <f>VLOOKUP(HFrame_List[[#This Row],[lookup]],'Pallet and shipping info'!$A$5:$H$33,6,FALSE)</f>
        <v>9</v>
      </c>
      <c r="AC54">
        <f>VLOOKUP(HFrame_List[[#This Row],[lookup]],'Pallet and shipping info'!$A$5:$H$33,8,FALSE)</f>
        <v>14</v>
      </c>
      <c r="AD54"/>
      <c r="AE54"/>
      <c r="AF54"/>
    </row>
    <row r="55" spans="1:32" x14ac:dyDescent="0.25">
      <c r="A55" s="1" t="s">
        <v>290</v>
      </c>
      <c r="B55" s="1" t="s">
        <v>291</v>
      </c>
      <c r="C55" s="1">
        <f t="shared" si="0"/>
        <v>37.674999999999997</v>
      </c>
      <c r="D55" s="1">
        <f t="shared" si="1"/>
        <v>50.050999999999995</v>
      </c>
      <c r="E55" s="1">
        <v>36</v>
      </c>
      <c r="F55" s="1">
        <f>F54</f>
        <v>36</v>
      </c>
      <c r="G55" s="1">
        <f t="shared" si="18"/>
        <v>32.24</v>
      </c>
      <c r="H55" s="1">
        <v>1</v>
      </c>
      <c r="I55" s="1" t="s">
        <v>176</v>
      </c>
      <c r="J55" s="1">
        <v>1</v>
      </c>
      <c r="K55" s="2">
        <f t="shared" si="2"/>
        <v>17.1875</v>
      </c>
      <c r="L55" s="1">
        <f t="shared" si="3"/>
        <v>3</v>
      </c>
      <c r="M55" s="1">
        <f t="shared" si="19"/>
        <v>12</v>
      </c>
      <c r="N55" s="1">
        <f t="shared" si="20"/>
        <v>4</v>
      </c>
      <c r="O55" s="3">
        <f t="shared" si="7"/>
        <v>15</v>
      </c>
      <c r="P55" s="1">
        <f t="shared" si="8"/>
        <v>2</v>
      </c>
      <c r="Q55">
        <f t="shared" si="9"/>
        <v>8</v>
      </c>
      <c r="R55">
        <f>_xlfn.XLOOKUP(HFrame_List[[#This Row],[Cross piece style]],$AH$2:$AH$4,$AI$2:$AI$4,0,0)*(HFrame_List[[#This Row],[Width between brackets]]/12)</f>
        <v>14.669200000000002</v>
      </c>
      <c r="S55">
        <f>5.46*(HFrame_List[[#This Row],[cross piece quantity]]-1)*(HFrame_List[[#This Row],[Width between brackets]]/12)</f>
        <v>0</v>
      </c>
      <c r="T55" s="5">
        <f>HFrame_List[[#This Row],[Bottom cross piece cost]]+HFrame_List[[#This Row],[Top cross piece cost]]+HFrame_List[[#This Row],[Component costs]]+HFrame_List[[#This Row],[Vertical strut cost]]</f>
        <v>110.6292</v>
      </c>
      <c r="U55" s="7">
        <f>_xlfn.XLOOKUP(HFrame_List[[#This Row],[Fabrication type]],Fabrication_costs[Fabrication type],Fabrication_costs[unit pricing],"no result",0)</f>
        <v>30</v>
      </c>
      <c r="V55" s="5">
        <f>SUM(T55:U55)/(1-HFrame_List[[#This Row],[Margin]])</f>
        <v>401.79771428571428</v>
      </c>
      <c r="W55" s="36">
        <f t="shared" si="11"/>
        <v>0.65</v>
      </c>
      <c r="X55" t="s">
        <v>193</v>
      </c>
      <c r="Y55">
        <f>_xlfn.XLOOKUP("A12",Strut_costs[size],Strut_costs[Strut cost])/12*HFrame_List[[#This Row],[Strut height (in)]]*(2+HFrame_List[[#This Row],[Extra supports]])</f>
        <v>49.14</v>
      </c>
      <c r="Z55">
        <f>(_xlfn.XLOOKUP("PHB",CADDY_costs[Component],CADDY_costs[Current cost])*HFrame_List[[#This Row],[Number of feet]])+(_xlfn.XLOOKUP("HFRMHDW",CADDY_costs[Component],CADDY_costs[Current cost])*(HFrame_List[[#This Row],[number of L-brackets]]/2))</f>
        <v>46.819999999999993</v>
      </c>
      <c r="AA55">
        <v>3636</v>
      </c>
      <c r="AB55">
        <f>VLOOKUP(HFrame_List[[#This Row],[lookup]],'Pallet and shipping info'!$A$5:$H$33,6,FALSE)</f>
        <v>9</v>
      </c>
      <c r="AC55">
        <f>VLOOKUP(HFrame_List[[#This Row],[lookup]],'Pallet and shipping info'!$A$5:$H$33,8,FALSE)</f>
        <v>14</v>
      </c>
      <c r="AD55"/>
      <c r="AE55"/>
      <c r="AF55"/>
    </row>
    <row r="56" spans="1:32" x14ac:dyDescent="0.25">
      <c r="A56" s="1" t="s">
        <v>292</v>
      </c>
      <c r="B56" s="1" t="s">
        <v>293</v>
      </c>
      <c r="C56" s="1">
        <f t="shared" si="0"/>
        <v>49.674999999999997</v>
      </c>
      <c r="D56" s="1">
        <f t="shared" si="1"/>
        <v>50.050999999999995</v>
      </c>
      <c r="E56" s="1">
        <v>48</v>
      </c>
      <c r="F56" s="1">
        <f t="shared" ref="F56:F61" si="22">F55</f>
        <v>36</v>
      </c>
      <c r="G56" s="1">
        <f t="shared" si="18"/>
        <v>32.24</v>
      </c>
      <c r="H56" s="1">
        <v>1</v>
      </c>
      <c r="I56" s="1" t="s">
        <v>176</v>
      </c>
      <c r="J56" s="1">
        <v>1</v>
      </c>
      <c r="K56" s="2">
        <f t="shared" si="2"/>
        <v>17.1875</v>
      </c>
      <c r="L56" s="1">
        <f t="shared" si="3"/>
        <v>3</v>
      </c>
      <c r="M56" s="1">
        <f t="shared" si="19"/>
        <v>12</v>
      </c>
      <c r="N56" s="1">
        <f t="shared" si="20"/>
        <v>4</v>
      </c>
      <c r="O56" s="3">
        <f t="shared" si="7"/>
        <v>19</v>
      </c>
      <c r="P56" s="1">
        <f t="shared" si="8"/>
        <v>2</v>
      </c>
      <c r="Q56">
        <f t="shared" si="9"/>
        <v>8</v>
      </c>
      <c r="R56">
        <f>_xlfn.XLOOKUP(HFrame_List[[#This Row],[Cross piece style]],$AH$2:$AH$4,$AI$2:$AI$4,0,0)*(HFrame_List[[#This Row],[Width between brackets]]/12)</f>
        <v>14.669200000000002</v>
      </c>
      <c r="S56">
        <f>5.46*(HFrame_List[[#This Row],[cross piece quantity]]-1)*(HFrame_List[[#This Row],[Width between brackets]]/12)</f>
        <v>0</v>
      </c>
      <c r="T56" s="5">
        <f>HFrame_List[[#This Row],[Bottom cross piece cost]]+HFrame_List[[#This Row],[Top cross piece cost]]+HFrame_List[[#This Row],[Component costs]]+HFrame_List[[#This Row],[Vertical strut cost]]</f>
        <v>127.00919999999999</v>
      </c>
      <c r="U56" s="7">
        <f>_xlfn.XLOOKUP(HFrame_List[[#This Row],[Fabrication type]],Fabrication_costs[Fabrication type],Fabrication_costs[unit pricing],"no result",0)</f>
        <v>30</v>
      </c>
      <c r="V56" s="5">
        <f>SUM(T56:U56)/(1-HFrame_List[[#This Row],[Margin]])</f>
        <v>448.59771428571429</v>
      </c>
      <c r="W56" s="36">
        <f t="shared" si="11"/>
        <v>0.65</v>
      </c>
      <c r="X56" t="s">
        <v>193</v>
      </c>
      <c r="Y56">
        <f>_xlfn.XLOOKUP("A12",Strut_costs[size],Strut_costs[Strut cost])/12*HFrame_List[[#This Row],[Strut height (in)]]*(2+HFrame_List[[#This Row],[Extra supports]])</f>
        <v>65.52</v>
      </c>
      <c r="Z56">
        <f>(_xlfn.XLOOKUP("PHB",CADDY_costs[Component],CADDY_costs[Current cost])*HFrame_List[[#This Row],[Number of feet]])+(_xlfn.XLOOKUP("HFRMHDW",CADDY_costs[Component],CADDY_costs[Current cost])*(HFrame_List[[#This Row],[number of L-brackets]]/2))</f>
        <v>46.819999999999993</v>
      </c>
      <c r="AA56">
        <v>4836</v>
      </c>
      <c r="AB56">
        <f>VLOOKUP(HFrame_List[[#This Row],[lookup]],'Pallet and shipping info'!$A$5:$H$33,6,FALSE)</f>
        <v>9</v>
      </c>
      <c r="AC56">
        <f>VLOOKUP(HFrame_List[[#This Row],[lookup]],'Pallet and shipping info'!$A$5:$H$33,8,FALSE)</f>
        <v>14</v>
      </c>
      <c r="AD56"/>
      <c r="AE56"/>
      <c r="AF56"/>
    </row>
    <row r="57" spans="1:32" x14ac:dyDescent="0.25">
      <c r="A57" s="1" t="s">
        <v>294</v>
      </c>
      <c r="B57" s="1" t="s">
        <v>295</v>
      </c>
      <c r="C57" s="1">
        <f t="shared" si="0"/>
        <v>73.674999999999997</v>
      </c>
      <c r="D57" s="1">
        <f t="shared" si="1"/>
        <v>50.050999999999995</v>
      </c>
      <c r="E57" s="1">
        <v>72</v>
      </c>
      <c r="F57" s="1">
        <f t="shared" si="22"/>
        <v>36</v>
      </c>
      <c r="G57" s="1">
        <f t="shared" si="18"/>
        <v>32.24</v>
      </c>
      <c r="H57" s="1">
        <v>1</v>
      </c>
      <c r="I57" s="1" t="s">
        <v>176</v>
      </c>
      <c r="J57" s="1">
        <v>1</v>
      </c>
      <c r="K57" s="2">
        <f t="shared" si="2"/>
        <v>17.1875</v>
      </c>
      <c r="L57" s="1">
        <f t="shared" si="3"/>
        <v>3</v>
      </c>
      <c r="M57" s="1">
        <f t="shared" si="19"/>
        <v>12</v>
      </c>
      <c r="N57" s="1">
        <f t="shared" si="20"/>
        <v>4</v>
      </c>
      <c r="O57" s="3">
        <f t="shared" si="7"/>
        <v>27</v>
      </c>
      <c r="P57" s="1">
        <f t="shared" si="8"/>
        <v>3</v>
      </c>
      <c r="Q57">
        <f t="shared" si="9"/>
        <v>8</v>
      </c>
      <c r="R57">
        <f>_xlfn.XLOOKUP(HFrame_List[[#This Row],[Cross piece style]],$AH$2:$AH$4,$AI$2:$AI$4,0,0)*(HFrame_List[[#This Row],[Width between brackets]]/12)</f>
        <v>14.669200000000002</v>
      </c>
      <c r="S57">
        <f>5.46*(HFrame_List[[#This Row],[cross piece quantity]]-1)*(HFrame_List[[#This Row],[Width between brackets]]/12)</f>
        <v>0</v>
      </c>
      <c r="T57" s="5">
        <f>HFrame_List[[#This Row],[Bottom cross piece cost]]+HFrame_List[[#This Row],[Top cross piece cost]]+HFrame_List[[#This Row],[Component costs]]+HFrame_List[[#This Row],[Vertical strut cost]]</f>
        <v>159.76920000000001</v>
      </c>
      <c r="U57" s="7">
        <f>_xlfn.XLOOKUP(HFrame_List[[#This Row],[Fabrication type]],Fabrication_costs[Fabrication type],Fabrication_costs[unit pricing],"no result",0)</f>
        <v>30</v>
      </c>
      <c r="V57" s="5">
        <f>SUM(T57:U57)/(1-HFrame_List[[#This Row],[Margin]])</f>
        <v>542.19771428571437</v>
      </c>
      <c r="W57" s="36">
        <f t="shared" si="11"/>
        <v>0.65</v>
      </c>
      <c r="X57" t="s">
        <v>193</v>
      </c>
      <c r="Y57">
        <f>_xlfn.XLOOKUP("A12",Strut_costs[size],Strut_costs[Strut cost])/12*HFrame_List[[#This Row],[Strut height (in)]]*(2+HFrame_List[[#This Row],[Extra supports]])</f>
        <v>98.28</v>
      </c>
      <c r="Z57">
        <f>(_xlfn.XLOOKUP("PHB",CADDY_costs[Component],CADDY_costs[Current cost])*HFrame_List[[#This Row],[Number of feet]])+(_xlfn.XLOOKUP("HFRMHDW",CADDY_costs[Component],CADDY_costs[Current cost])*(HFrame_List[[#This Row],[number of L-brackets]]/2))</f>
        <v>46.819999999999993</v>
      </c>
      <c r="AA57">
        <v>7236</v>
      </c>
      <c r="AB57">
        <f>VLOOKUP(HFrame_List[[#This Row],[lookup]],'Pallet and shipping info'!$A$5:$H$33,6,FALSE)</f>
        <v>9</v>
      </c>
      <c r="AC57">
        <f>VLOOKUP(HFrame_List[[#This Row],[lookup]],'Pallet and shipping info'!$A$5:$H$33,8,FALSE)</f>
        <v>14</v>
      </c>
      <c r="AD57"/>
      <c r="AE57"/>
      <c r="AF57"/>
    </row>
    <row r="58" spans="1:32" x14ac:dyDescent="0.25">
      <c r="A58" s="1" t="s">
        <v>296</v>
      </c>
      <c r="B58" s="1" t="s">
        <v>297</v>
      </c>
      <c r="C58" s="1">
        <f t="shared" si="0"/>
        <v>25.675000000000001</v>
      </c>
      <c r="D58" s="1">
        <f t="shared" si="1"/>
        <v>62.050999999999995</v>
      </c>
      <c r="E58" s="1">
        <v>24</v>
      </c>
      <c r="F58" s="1">
        <v>48</v>
      </c>
      <c r="G58" s="1">
        <f t="shared" si="18"/>
        <v>44.24</v>
      </c>
      <c r="H58" s="1">
        <v>1</v>
      </c>
      <c r="I58" s="1" t="s">
        <v>176</v>
      </c>
      <c r="J58" s="1">
        <v>1</v>
      </c>
      <c r="K58" s="2">
        <f t="shared" si="2"/>
        <v>23.1875</v>
      </c>
      <c r="L58" s="1">
        <f t="shared" si="3"/>
        <v>3</v>
      </c>
      <c r="M58" s="1">
        <f t="shared" si="19"/>
        <v>12</v>
      </c>
      <c r="N58" s="1">
        <f t="shared" si="20"/>
        <v>4</v>
      </c>
      <c r="O58" s="3">
        <f t="shared" si="7"/>
        <v>12</v>
      </c>
      <c r="P58" s="1">
        <f t="shared" si="8"/>
        <v>2</v>
      </c>
      <c r="Q58">
        <f t="shared" si="9"/>
        <v>8</v>
      </c>
      <c r="R58">
        <f>_xlfn.XLOOKUP(HFrame_List[[#This Row],[Cross piece style]],$AH$2:$AH$4,$AI$2:$AI$4,0,0)*(HFrame_List[[#This Row],[Width between brackets]]/12)</f>
        <v>20.129200000000001</v>
      </c>
      <c r="S58">
        <f>5.46*(HFrame_List[[#This Row],[cross piece quantity]]-1)*(HFrame_List[[#This Row],[Width between brackets]]/12)</f>
        <v>0</v>
      </c>
      <c r="T58" s="5">
        <f>HFrame_List[[#This Row],[Bottom cross piece cost]]+HFrame_List[[#This Row],[Top cross piece cost]]+HFrame_List[[#This Row],[Component costs]]+HFrame_List[[#This Row],[Vertical strut cost]]</f>
        <v>99.709199999999981</v>
      </c>
      <c r="U58" s="7">
        <f>_xlfn.XLOOKUP(HFrame_List[[#This Row],[Fabrication type]],Fabrication_costs[Fabrication type],Fabrication_costs[unit pricing],"no result",0)</f>
        <v>30</v>
      </c>
      <c r="V58" s="5">
        <f>SUM(T58:U58)/(1-HFrame_List[[#This Row],[Margin]])</f>
        <v>370.59771428571423</v>
      </c>
      <c r="W58" s="36">
        <f t="shared" si="11"/>
        <v>0.65</v>
      </c>
      <c r="X58" t="s">
        <v>193</v>
      </c>
      <c r="Y58">
        <f>_xlfn.XLOOKUP("A12",Strut_costs[size],Strut_costs[Strut cost])/12*HFrame_List[[#This Row],[Strut height (in)]]*(2+HFrame_List[[#This Row],[Extra supports]])</f>
        <v>32.76</v>
      </c>
      <c r="Z58">
        <f>(_xlfn.XLOOKUP("PHB",CADDY_costs[Component],CADDY_costs[Current cost])*HFrame_List[[#This Row],[Number of feet]])+(_xlfn.XLOOKUP("HFRMHDW",CADDY_costs[Component],CADDY_costs[Current cost])*(HFrame_List[[#This Row],[number of L-brackets]]/2))</f>
        <v>46.819999999999993</v>
      </c>
      <c r="AA58">
        <v>2448</v>
      </c>
      <c r="AB58">
        <f>VLOOKUP(HFrame_List[[#This Row],[lookup]],'Pallet and shipping info'!$A$5:$H$33,6,FALSE)</f>
        <v>7</v>
      </c>
      <c r="AC58">
        <f>VLOOKUP(HFrame_List[[#This Row],[lookup]],'Pallet and shipping info'!$A$5:$H$33,8,FALSE)</f>
        <v>10</v>
      </c>
      <c r="AD58"/>
      <c r="AE58"/>
      <c r="AF58"/>
    </row>
    <row r="59" spans="1:32" x14ac:dyDescent="0.25">
      <c r="A59" s="1" t="s">
        <v>298</v>
      </c>
      <c r="B59" s="1" t="s">
        <v>299</v>
      </c>
      <c r="C59" s="1">
        <f t="shared" si="0"/>
        <v>37.674999999999997</v>
      </c>
      <c r="D59" s="1">
        <f t="shared" si="1"/>
        <v>62.050999999999995</v>
      </c>
      <c r="E59" s="1">
        <v>36</v>
      </c>
      <c r="F59" s="1">
        <f t="shared" si="22"/>
        <v>48</v>
      </c>
      <c r="G59" s="1">
        <f t="shared" si="18"/>
        <v>44.24</v>
      </c>
      <c r="H59" s="1">
        <v>1</v>
      </c>
      <c r="I59" s="1" t="s">
        <v>176</v>
      </c>
      <c r="J59" s="1">
        <v>1</v>
      </c>
      <c r="K59" s="2">
        <f t="shared" si="2"/>
        <v>23.1875</v>
      </c>
      <c r="L59" s="1">
        <f t="shared" si="3"/>
        <v>3</v>
      </c>
      <c r="M59" s="1">
        <f t="shared" si="19"/>
        <v>12</v>
      </c>
      <c r="N59" s="1">
        <f t="shared" si="20"/>
        <v>4</v>
      </c>
      <c r="O59" s="3">
        <f t="shared" si="7"/>
        <v>16</v>
      </c>
      <c r="P59" s="1">
        <f t="shared" si="8"/>
        <v>2</v>
      </c>
      <c r="Q59">
        <f t="shared" si="9"/>
        <v>8</v>
      </c>
      <c r="R59">
        <f>_xlfn.XLOOKUP(HFrame_List[[#This Row],[Cross piece style]],$AH$2:$AH$4,$AI$2:$AI$4,0,0)*(HFrame_List[[#This Row],[Width between brackets]]/12)</f>
        <v>20.129200000000001</v>
      </c>
      <c r="S59">
        <f>5.46*(HFrame_List[[#This Row],[cross piece quantity]]-1)*(HFrame_List[[#This Row],[Width between brackets]]/12)</f>
        <v>0</v>
      </c>
      <c r="T59" s="5">
        <f>HFrame_List[[#This Row],[Bottom cross piece cost]]+HFrame_List[[#This Row],[Top cross piece cost]]+HFrame_List[[#This Row],[Component costs]]+HFrame_List[[#This Row],[Vertical strut cost]]</f>
        <v>116.08919999999999</v>
      </c>
      <c r="U59" s="7">
        <f>_xlfn.XLOOKUP(HFrame_List[[#This Row],[Fabrication type]],Fabrication_costs[Fabrication type],Fabrication_costs[unit pricing],"no result",0)</f>
        <v>30</v>
      </c>
      <c r="V59" s="5">
        <f>SUM(T59:U59)/(1-HFrame_List[[#This Row],[Margin]])</f>
        <v>417.3977142857143</v>
      </c>
      <c r="W59" s="36">
        <f t="shared" si="11"/>
        <v>0.65</v>
      </c>
      <c r="X59" t="s">
        <v>193</v>
      </c>
      <c r="Y59">
        <f>_xlfn.XLOOKUP("A12",Strut_costs[size],Strut_costs[Strut cost])/12*HFrame_List[[#This Row],[Strut height (in)]]*(2+HFrame_List[[#This Row],[Extra supports]])</f>
        <v>49.14</v>
      </c>
      <c r="Z59">
        <f>(_xlfn.XLOOKUP("PHB",CADDY_costs[Component],CADDY_costs[Current cost])*HFrame_List[[#This Row],[Number of feet]])+(_xlfn.XLOOKUP("HFRMHDW",CADDY_costs[Component],CADDY_costs[Current cost])*(HFrame_List[[#This Row],[number of L-brackets]]/2))</f>
        <v>46.819999999999993</v>
      </c>
      <c r="AA59">
        <v>3648</v>
      </c>
      <c r="AB59">
        <f>VLOOKUP(HFrame_List[[#This Row],[lookup]],'Pallet and shipping info'!$A$5:$H$33,6,FALSE)</f>
        <v>7</v>
      </c>
      <c r="AC59">
        <f>VLOOKUP(HFrame_List[[#This Row],[lookup]],'Pallet and shipping info'!$A$5:$H$33,8,FALSE)</f>
        <v>10</v>
      </c>
      <c r="AD59"/>
      <c r="AE59"/>
      <c r="AF59"/>
    </row>
    <row r="60" spans="1:32" x14ac:dyDescent="0.25">
      <c r="A60" s="1" t="s">
        <v>300</v>
      </c>
      <c r="B60" s="1" t="s">
        <v>301</v>
      </c>
      <c r="C60" s="1">
        <f t="shared" si="0"/>
        <v>49.674999999999997</v>
      </c>
      <c r="D60" s="1">
        <f t="shared" si="1"/>
        <v>62.050999999999995</v>
      </c>
      <c r="E60" s="1">
        <v>48</v>
      </c>
      <c r="F60" s="1">
        <f t="shared" si="22"/>
        <v>48</v>
      </c>
      <c r="G60" s="1">
        <f t="shared" si="18"/>
        <v>44.24</v>
      </c>
      <c r="H60" s="1">
        <v>1</v>
      </c>
      <c r="I60" s="1" t="s">
        <v>176</v>
      </c>
      <c r="J60" s="1">
        <v>1</v>
      </c>
      <c r="K60" s="2">
        <f t="shared" si="2"/>
        <v>23.1875</v>
      </c>
      <c r="L60" s="1">
        <f t="shared" si="3"/>
        <v>3</v>
      </c>
      <c r="M60" s="1">
        <f t="shared" si="19"/>
        <v>12</v>
      </c>
      <c r="N60" s="1">
        <f t="shared" si="20"/>
        <v>4</v>
      </c>
      <c r="O60" s="3">
        <f t="shared" si="7"/>
        <v>20</v>
      </c>
      <c r="P60" s="1">
        <f t="shared" si="8"/>
        <v>2</v>
      </c>
      <c r="Q60">
        <f t="shared" si="9"/>
        <v>8</v>
      </c>
      <c r="R60">
        <f>_xlfn.XLOOKUP(HFrame_List[[#This Row],[Cross piece style]],$AH$2:$AH$4,$AI$2:$AI$4,0,0)*(HFrame_List[[#This Row],[Width between brackets]]/12)</f>
        <v>20.129200000000001</v>
      </c>
      <c r="S60">
        <f>5.46*(HFrame_List[[#This Row],[cross piece quantity]]-1)*(HFrame_List[[#This Row],[Width between brackets]]/12)</f>
        <v>0</v>
      </c>
      <c r="T60" s="5">
        <f>HFrame_List[[#This Row],[Bottom cross piece cost]]+HFrame_List[[#This Row],[Top cross piece cost]]+HFrame_List[[#This Row],[Component costs]]+HFrame_List[[#This Row],[Vertical strut cost]]</f>
        <v>132.4692</v>
      </c>
      <c r="U60" s="7">
        <f>_xlfn.XLOOKUP(HFrame_List[[#This Row],[Fabrication type]],Fabrication_costs[Fabrication type],Fabrication_costs[unit pricing],"no result",0)</f>
        <v>30</v>
      </c>
      <c r="V60" s="5">
        <f>SUM(T60:U60)/(1-HFrame_List[[#This Row],[Margin]])</f>
        <v>464.19771428571431</v>
      </c>
      <c r="W60" s="36">
        <f t="shared" si="11"/>
        <v>0.65</v>
      </c>
      <c r="X60" t="s">
        <v>193</v>
      </c>
      <c r="Y60">
        <f>_xlfn.XLOOKUP("A12",Strut_costs[size],Strut_costs[Strut cost])/12*HFrame_List[[#This Row],[Strut height (in)]]*(2+HFrame_List[[#This Row],[Extra supports]])</f>
        <v>65.52</v>
      </c>
      <c r="Z60">
        <f>(_xlfn.XLOOKUP("PHB",CADDY_costs[Component],CADDY_costs[Current cost])*HFrame_List[[#This Row],[Number of feet]])+(_xlfn.XLOOKUP("HFRMHDW",CADDY_costs[Component],CADDY_costs[Current cost])*(HFrame_List[[#This Row],[number of L-brackets]]/2))</f>
        <v>46.819999999999993</v>
      </c>
      <c r="AA60">
        <v>4848</v>
      </c>
      <c r="AB60">
        <f>VLOOKUP(HFrame_List[[#This Row],[lookup]],'Pallet and shipping info'!$A$5:$H$33,6,FALSE)</f>
        <v>7</v>
      </c>
      <c r="AC60">
        <f>VLOOKUP(HFrame_List[[#This Row],[lookup]],'Pallet and shipping info'!$A$5:$H$33,8,FALSE)</f>
        <v>10</v>
      </c>
      <c r="AD60"/>
      <c r="AE60"/>
      <c r="AF60"/>
    </row>
    <row r="61" spans="1:32" x14ac:dyDescent="0.25">
      <c r="A61" s="1" t="s">
        <v>302</v>
      </c>
      <c r="B61" s="1" t="s">
        <v>303</v>
      </c>
      <c r="C61" s="1">
        <f t="shared" si="0"/>
        <v>73.674999999999997</v>
      </c>
      <c r="D61" s="1">
        <f t="shared" si="1"/>
        <v>62.050999999999995</v>
      </c>
      <c r="E61" s="1">
        <v>72</v>
      </c>
      <c r="F61" s="1">
        <f t="shared" si="22"/>
        <v>48</v>
      </c>
      <c r="G61" s="1">
        <f t="shared" si="18"/>
        <v>44.24</v>
      </c>
      <c r="H61" s="1">
        <v>1</v>
      </c>
      <c r="I61" s="1" t="s">
        <v>176</v>
      </c>
      <c r="J61" s="1">
        <v>1</v>
      </c>
      <c r="K61" s="2">
        <f t="shared" si="2"/>
        <v>23.1875</v>
      </c>
      <c r="L61" s="1">
        <f t="shared" si="3"/>
        <v>3</v>
      </c>
      <c r="M61" s="1">
        <f t="shared" si="19"/>
        <v>12</v>
      </c>
      <c r="N61" s="1">
        <f t="shared" si="20"/>
        <v>4</v>
      </c>
      <c r="O61" s="3">
        <f t="shared" si="7"/>
        <v>28</v>
      </c>
      <c r="P61" s="1">
        <f t="shared" si="8"/>
        <v>3</v>
      </c>
      <c r="Q61">
        <f t="shared" si="9"/>
        <v>8</v>
      </c>
      <c r="R61">
        <f>_xlfn.XLOOKUP(HFrame_List[[#This Row],[Cross piece style]],$AH$2:$AH$4,$AI$2:$AI$4,0,0)*(HFrame_List[[#This Row],[Width between brackets]]/12)</f>
        <v>20.129200000000001</v>
      </c>
      <c r="S61">
        <f>5.46*(HFrame_List[[#This Row],[cross piece quantity]]-1)*(HFrame_List[[#This Row],[Width between brackets]]/12)</f>
        <v>0</v>
      </c>
      <c r="T61" s="5">
        <f>HFrame_List[[#This Row],[Bottom cross piece cost]]+HFrame_List[[#This Row],[Top cross piece cost]]+HFrame_List[[#This Row],[Component costs]]+HFrame_List[[#This Row],[Vertical strut cost]]</f>
        <v>165.22919999999999</v>
      </c>
      <c r="U61" s="7">
        <f>_xlfn.XLOOKUP(HFrame_List[[#This Row],[Fabrication type]],Fabrication_costs[Fabrication type],Fabrication_costs[unit pricing],"no result",0)</f>
        <v>30</v>
      </c>
      <c r="V61" s="5">
        <f>SUM(T61:U61)/(1-HFrame_List[[#This Row],[Margin]])</f>
        <v>557.79771428571428</v>
      </c>
      <c r="W61" s="36">
        <f t="shared" si="11"/>
        <v>0.65</v>
      </c>
      <c r="X61" t="s">
        <v>193</v>
      </c>
      <c r="Y61">
        <f>_xlfn.XLOOKUP("A12",Strut_costs[size],Strut_costs[Strut cost])/12*HFrame_List[[#This Row],[Strut height (in)]]*(2+HFrame_List[[#This Row],[Extra supports]])</f>
        <v>98.28</v>
      </c>
      <c r="Z61">
        <f>(_xlfn.XLOOKUP("PHB",CADDY_costs[Component],CADDY_costs[Current cost])*HFrame_List[[#This Row],[Number of feet]])+(_xlfn.XLOOKUP("HFRMHDW",CADDY_costs[Component],CADDY_costs[Current cost])*(HFrame_List[[#This Row],[number of L-brackets]]/2))</f>
        <v>46.819999999999993</v>
      </c>
      <c r="AA61">
        <v>7248</v>
      </c>
      <c r="AB61">
        <f>VLOOKUP(HFrame_List[[#This Row],[lookup]],'Pallet and shipping info'!$A$5:$H$33,6,FALSE)</f>
        <v>7</v>
      </c>
      <c r="AC61">
        <f>VLOOKUP(HFrame_List[[#This Row],[lookup]],'Pallet and shipping info'!$A$5:$H$33,8,FALSE)</f>
        <v>10</v>
      </c>
      <c r="AD61"/>
      <c r="AE61"/>
      <c r="AF61"/>
    </row>
    <row r="62" spans="1:32" x14ac:dyDescent="0.25">
      <c r="A62" s="1" t="s">
        <v>304</v>
      </c>
      <c r="B62" s="1" t="s">
        <v>305</v>
      </c>
      <c r="C62" s="1">
        <f t="shared" si="0"/>
        <v>25.675000000000001</v>
      </c>
      <c r="D62" s="1">
        <f t="shared" si="1"/>
        <v>74.051000000000002</v>
      </c>
      <c r="E62" s="1">
        <v>24</v>
      </c>
      <c r="F62" s="1">
        <v>60</v>
      </c>
      <c r="G62" s="1">
        <f t="shared" si="18"/>
        <v>56.24</v>
      </c>
      <c r="H62" s="1">
        <v>1</v>
      </c>
      <c r="I62" s="1" t="s">
        <v>176</v>
      </c>
      <c r="J62" s="1">
        <v>1</v>
      </c>
      <c r="K62" s="2">
        <f t="shared" si="2"/>
        <v>29.1875</v>
      </c>
      <c r="L62" s="1">
        <f t="shared" si="3"/>
        <v>3</v>
      </c>
      <c r="M62" s="1">
        <f t="shared" si="19"/>
        <v>12</v>
      </c>
      <c r="N62" s="1">
        <f t="shared" si="20"/>
        <v>4</v>
      </c>
      <c r="O62" s="3">
        <f t="shared" si="7"/>
        <v>13</v>
      </c>
      <c r="P62" s="1">
        <f t="shared" si="8"/>
        <v>2</v>
      </c>
      <c r="Q62">
        <f t="shared" si="9"/>
        <v>8</v>
      </c>
      <c r="R62">
        <f>_xlfn.XLOOKUP(HFrame_List[[#This Row],[Cross piece style]],$AH$2:$AH$4,$AI$2:$AI$4,0,0)*(HFrame_List[[#This Row],[Width between brackets]]/12)</f>
        <v>25.589199999999998</v>
      </c>
      <c r="S62">
        <f>5.46*(HFrame_List[[#This Row],[cross piece quantity]]-1)*(HFrame_List[[#This Row],[Width between brackets]]/12)</f>
        <v>0</v>
      </c>
      <c r="T62" s="5">
        <f>HFrame_List[[#This Row],[Bottom cross piece cost]]+HFrame_List[[#This Row],[Top cross piece cost]]+HFrame_List[[#This Row],[Component costs]]+HFrame_List[[#This Row],[Vertical strut cost]]</f>
        <v>105.16919999999999</v>
      </c>
      <c r="U62" s="7">
        <f>_xlfn.XLOOKUP(HFrame_List[[#This Row],[Fabrication type]],Fabrication_costs[Fabrication type],Fabrication_costs[unit pricing],"no result",0)</f>
        <v>30</v>
      </c>
      <c r="V62" s="5">
        <f>SUM(T62:U62)/(1-HFrame_List[[#This Row],[Margin]])</f>
        <v>386.19771428571426</v>
      </c>
      <c r="W62" s="36">
        <f t="shared" si="11"/>
        <v>0.65</v>
      </c>
      <c r="X62" t="s">
        <v>193</v>
      </c>
      <c r="Y62">
        <f>_xlfn.XLOOKUP("A12",Strut_costs[size],Strut_costs[Strut cost])/12*HFrame_List[[#This Row],[Strut height (in)]]*(2+HFrame_List[[#This Row],[Extra supports]])</f>
        <v>32.76</v>
      </c>
      <c r="Z62">
        <f>(_xlfn.XLOOKUP("PHB",CADDY_costs[Component],CADDY_costs[Current cost])*HFrame_List[[#This Row],[Number of feet]])+(_xlfn.XLOOKUP("HFRMHDW",CADDY_costs[Component],CADDY_costs[Current cost])*(HFrame_List[[#This Row],[number of L-brackets]]/2))</f>
        <v>46.819999999999993</v>
      </c>
      <c r="AA62">
        <v>2460</v>
      </c>
      <c r="AB62" t="str">
        <f>VLOOKUP(HFrame_List[[#This Row],[lookup]],'Pallet and shipping info'!$A$5:$H$33,6,FALSE)</f>
        <v>x</v>
      </c>
      <c r="AC62">
        <f>VLOOKUP(HFrame_List[[#This Row],[lookup]],'Pallet and shipping info'!$A$5:$H$33,8,FALSE)</f>
        <v>7</v>
      </c>
      <c r="AD62"/>
      <c r="AE62"/>
      <c r="AF62"/>
    </row>
    <row r="63" spans="1:32" x14ac:dyDescent="0.25">
      <c r="A63" s="1" t="s">
        <v>306</v>
      </c>
      <c r="B63" s="1" t="s">
        <v>307</v>
      </c>
      <c r="C63" s="1">
        <f t="shared" si="0"/>
        <v>37.674999999999997</v>
      </c>
      <c r="D63" s="1">
        <f t="shared" si="1"/>
        <v>74.051000000000002</v>
      </c>
      <c r="E63" s="1">
        <v>36</v>
      </c>
      <c r="F63" s="1">
        <v>60</v>
      </c>
      <c r="G63" s="1">
        <f t="shared" si="18"/>
        <v>56.24</v>
      </c>
      <c r="H63" s="1">
        <v>1</v>
      </c>
      <c r="I63" s="1" t="s">
        <v>176</v>
      </c>
      <c r="J63" s="1">
        <v>1</v>
      </c>
      <c r="K63" s="2">
        <f t="shared" si="2"/>
        <v>29.1875</v>
      </c>
      <c r="L63" s="1">
        <f t="shared" si="3"/>
        <v>3</v>
      </c>
      <c r="M63" s="1">
        <f t="shared" si="19"/>
        <v>12</v>
      </c>
      <c r="N63" s="1">
        <f t="shared" si="20"/>
        <v>4</v>
      </c>
      <c r="O63" s="3">
        <f t="shared" si="7"/>
        <v>17</v>
      </c>
      <c r="P63" s="1">
        <f t="shared" si="8"/>
        <v>2</v>
      </c>
      <c r="Q63">
        <f t="shared" si="9"/>
        <v>8</v>
      </c>
      <c r="R63">
        <f>_xlfn.XLOOKUP(HFrame_List[[#This Row],[Cross piece style]],$AH$2:$AH$4,$AI$2:$AI$4,0,0)*(HFrame_List[[#This Row],[Width between brackets]]/12)</f>
        <v>25.589199999999998</v>
      </c>
      <c r="S63">
        <f>5.46*(HFrame_List[[#This Row],[cross piece quantity]]-1)*(HFrame_List[[#This Row],[Width between brackets]]/12)</f>
        <v>0</v>
      </c>
      <c r="T63" s="5">
        <f>HFrame_List[[#This Row],[Bottom cross piece cost]]+HFrame_List[[#This Row],[Top cross piece cost]]+HFrame_List[[#This Row],[Component costs]]+HFrame_List[[#This Row],[Vertical strut cost]]</f>
        <v>121.5492</v>
      </c>
      <c r="U63" s="7">
        <f>_xlfn.XLOOKUP(HFrame_List[[#This Row],[Fabrication type]],Fabrication_costs[Fabrication type],Fabrication_costs[unit pricing],"no result",0)</f>
        <v>30</v>
      </c>
      <c r="V63" s="5">
        <f>SUM(T63:U63)/(1-HFrame_List[[#This Row],[Margin]])</f>
        <v>432.99771428571427</v>
      </c>
      <c r="W63" s="36">
        <f t="shared" si="11"/>
        <v>0.65</v>
      </c>
      <c r="X63" t="s">
        <v>193</v>
      </c>
      <c r="Y63">
        <f>_xlfn.XLOOKUP("A12",Strut_costs[size],Strut_costs[Strut cost])/12*HFrame_List[[#This Row],[Strut height (in)]]*(2+HFrame_List[[#This Row],[Extra supports]])</f>
        <v>49.14</v>
      </c>
      <c r="Z63">
        <f>(_xlfn.XLOOKUP("PHB",CADDY_costs[Component],CADDY_costs[Current cost])*HFrame_List[[#This Row],[Number of feet]])+(_xlfn.XLOOKUP("HFRMHDW",CADDY_costs[Component],CADDY_costs[Current cost])*(HFrame_List[[#This Row],[number of L-brackets]]/2))</f>
        <v>46.819999999999993</v>
      </c>
      <c r="AA63">
        <v>3660</v>
      </c>
      <c r="AB63" t="str">
        <f>VLOOKUP(HFrame_List[[#This Row],[lookup]],'Pallet and shipping info'!$A$5:$H$33,6,FALSE)</f>
        <v>x</v>
      </c>
      <c r="AC63">
        <f>VLOOKUP(HFrame_List[[#This Row],[lookup]],'Pallet and shipping info'!$A$5:$H$33,8,FALSE)</f>
        <v>7</v>
      </c>
      <c r="AD63"/>
      <c r="AE63"/>
      <c r="AF63"/>
    </row>
    <row r="64" spans="1:32" x14ac:dyDescent="0.25">
      <c r="A64" s="1" t="s">
        <v>308</v>
      </c>
      <c r="B64" s="1" t="s">
        <v>309</v>
      </c>
      <c r="C64" s="1">
        <f t="shared" si="0"/>
        <v>49.674999999999997</v>
      </c>
      <c r="D64" s="1">
        <f t="shared" si="1"/>
        <v>74.051000000000002</v>
      </c>
      <c r="E64" s="1">
        <v>48</v>
      </c>
      <c r="F64" s="1">
        <v>60</v>
      </c>
      <c r="G64" s="1">
        <f t="shared" si="18"/>
        <v>56.24</v>
      </c>
      <c r="H64" s="1">
        <v>1</v>
      </c>
      <c r="I64" s="1" t="s">
        <v>176</v>
      </c>
      <c r="J64" s="1">
        <v>1</v>
      </c>
      <c r="K64" s="2">
        <f t="shared" si="2"/>
        <v>29.1875</v>
      </c>
      <c r="L64" s="1">
        <f t="shared" si="3"/>
        <v>3</v>
      </c>
      <c r="M64" s="1">
        <f t="shared" si="19"/>
        <v>12</v>
      </c>
      <c r="N64" s="1">
        <f t="shared" si="20"/>
        <v>4</v>
      </c>
      <c r="O64" s="3">
        <f t="shared" si="7"/>
        <v>21</v>
      </c>
      <c r="P64" s="1">
        <f t="shared" si="8"/>
        <v>3</v>
      </c>
      <c r="Q64">
        <f t="shared" si="9"/>
        <v>8</v>
      </c>
      <c r="R64">
        <f>_xlfn.XLOOKUP(HFrame_List[[#This Row],[Cross piece style]],$AH$2:$AH$4,$AI$2:$AI$4,0,0)*(HFrame_List[[#This Row],[Width between brackets]]/12)</f>
        <v>25.589199999999998</v>
      </c>
      <c r="S64">
        <f>5.46*(HFrame_List[[#This Row],[cross piece quantity]]-1)*(HFrame_List[[#This Row],[Width between brackets]]/12)</f>
        <v>0</v>
      </c>
      <c r="T64" s="5">
        <f>HFrame_List[[#This Row],[Bottom cross piece cost]]+HFrame_List[[#This Row],[Top cross piece cost]]+HFrame_List[[#This Row],[Component costs]]+HFrame_List[[#This Row],[Vertical strut cost]]</f>
        <v>137.92919999999998</v>
      </c>
      <c r="U64" s="7">
        <f>_xlfn.XLOOKUP(HFrame_List[[#This Row],[Fabrication type]],Fabrication_costs[Fabrication type],Fabrication_costs[unit pricing],"no result",0)</f>
        <v>30</v>
      </c>
      <c r="V64" s="5">
        <f>SUM(T64:U64)/(1-HFrame_List[[#This Row],[Margin]])</f>
        <v>479.79771428571428</v>
      </c>
      <c r="W64" s="36">
        <f t="shared" si="11"/>
        <v>0.65</v>
      </c>
      <c r="X64" t="s">
        <v>193</v>
      </c>
      <c r="Y64">
        <f>_xlfn.XLOOKUP("A12",Strut_costs[size],Strut_costs[Strut cost])/12*HFrame_List[[#This Row],[Strut height (in)]]*(2+HFrame_List[[#This Row],[Extra supports]])</f>
        <v>65.52</v>
      </c>
      <c r="Z64">
        <f>(_xlfn.XLOOKUP("PHB",CADDY_costs[Component],CADDY_costs[Current cost])*HFrame_List[[#This Row],[Number of feet]])+(_xlfn.XLOOKUP("HFRMHDW",CADDY_costs[Component],CADDY_costs[Current cost])*(HFrame_List[[#This Row],[number of L-brackets]]/2))</f>
        <v>46.819999999999993</v>
      </c>
      <c r="AA64">
        <v>4860</v>
      </c>
      <c r="AB64" t="str">
        <f>VLOOKUP(HFrame_List[[#This Row],[lookup]],'Pallet and shipping info'!$A$5:$H$33,6,FALSE)</f>
        <v>x</v>
      </c>
      <c r="AC64">
        <f>VLOOKUP(HFrame_List[[#This Row],[lookup]],'Pallet and shipping info'!$A$5:$H$33,8,FALSE)</f>
        <v>7</v>
      </c>
      <c r="AD64"/>
      <c r="AE64"/>
      <c r="AF64"/>
    </row>
    <row r="65" spans="1:32" x14ac:dyDescent="0.25">
      <c r="A65" s="1" t="s">
        <v>310</v>
      </c>
      <c r="B65" s="1" t="s">
        <v>311</v>
      </c>
      <c r="C65" s="1">
        <f t="shared" si="0"/>
        <v>73.674999999999997</v>
      </c>
      <c r="D65" s="1">
        <f t="shared" si="1"/>
        <v>74.051000000000002</v>
      </c>
      <c r="E65" s="1">
        <v>72</v>
      </c>
      <c r="F65" s="1">
        <v>60</v>
      </c>
      <c r="G65" s="1">
        <f t="shared" si="18"/>
        <v>56.24</v>
      </c>
      <c r="H65" s="1">
        <v>1</v>
      </c>
      <c r="I65" s="1" t="s">
        <v>176</v>
      </c>
      <c r="J65" s="1">
        <v>1</v>
      </c>
      <c r="K65" s="2">
        <f t="shared" si="2"/>
        <v>29.1875</v>
      </c>
      <c r="L65" s="1">
        <f t="shared" si="3"/>
        <v>3</v>
      </c>
      <c r="M65" s="1">
        <f t="shared" si="19"/>
        <v>12</v>
      </c>
      <c r="N65" s="1">
        <f t="shared" si="20"/>
        <v>4</v>
      </c>
      <c r="O65" s="3">
        <f t="shared" si="7"/>
        <v>29</v>
      </c>
      <c r="P65" s="1">
        <f t="shared" si="8"/>
        <v>3</v>
      </c>
      <c r="Q65">
        <f t="shared" si="9"/>
        <v>8</v>
      </c>
      <c r="R65">
        <f>_xlfn.XLOOKUP(HFrame_List[[#This Row],[Cross piece style]],$AH$2:$AH$4,$AI$2:$AI$4,0,0)*(HFrame_List[[#This Row],[Width between brackets]]/12)</f>
        <v>25.589199999999998</v>
      </c>
      <c r="S65">
        <f>5.46*(HFrame_List[[#This Row],[cross piece quantity]]-1)*(HFrame_List[[#This Row],[Width between brackets]]/12)</f>
        <v>0</v>
      </c>
      <c r="T65" s="5">
        <f>HFrame_List[[#This Row],[Bottom cross piece cost]]+HFrame_List[[#This Row],[Top cross piece cost]]+HFrame_List[[#This Row],[Component costs]]+HFrame_List[[#This Row],[Vertical strut cost]]</f>
        <v>170.6892</v>
      </c>
      <c r="U65" s="7">
        <f>_xlfn.XLOOKUP(HFrame_List[[#This Row],[Fabrication type]],Fabrication_costs[Fabrication type],Fabrication_costs[unit pricing],"no result",0)</f>
        <v>30</v>
      </c>
      <c r="V65" s="5">
        <f>SUM(T65:U65)/(1-HFrame_List[[#This Row],[Margin]])</f>
        <v>573.3977142857143</v>
      </c>
      <c r="W65" s="36">
        <f t="shared" si="11"/>
        <v>0.65</v>
      </c>
      <c r="X65" t="s">
        <v>193</v>
      </c>
      <c r="Y65">
        <f>_xlfn.XLOOKUP("A12",Strut_costs[size],Strut_costs[Strut cost])/12*HFrame_List[[#This Row],[Strut height (in)]]*(2+HFrame_List[[#This Row],[Extra supports]])</f>
        <v>98.28</v>
      </c>
      <c r="Z65">
        <f>(_xlfn.XLOOKUP("PHB",CADDY_costs[Component],CADDY_costs[Current cost])*HFrame_List[[#This Row],[Number of feet]])+(_xlfn.XLOOKUP("HFRMHDW",CADDY_costs[Component],CADDY_costs[Current cost])*(HFrame_List[[#This Row],[number of L-brackets]]/2))</f>
        <v>46.819999999999993</v>
      </c>
      <c r="AA65">
        <v>7260</v>
      </c>
      <c r="AB65" t="str">
        <f>VLOOKUP(HFrame_List[[#This Row],[lookup]],'Pallet and shipping info'!$A$5:$H$33,6,FALSE)</f>
        <v>x</v>
      </c>
      <c r="AC65">
        <f>VLOOKUP(HFrame_List[[#This Row],[lookup]],'Pallet and shipping info'!$A$5:$H$33,8,FALSE)</f>
        <v>7</v>
      </c>
      <c r="AD65"/>
      <c r="AE65"/>
      <c r="AF65"/>
    </row>
    <row r="66" spans="1:32" x14ac:dyDescent="0.25">
      <c r="A66" s="1" t="s">
        <v>312</v>
      </c>
      <c r="B66" s="1" t="s">
        <v>313</v>
      </c>
      <c r="C66" s="1">
        <f t="shared" ref="C66:C129" si="23">E66+1.675</f>
        <v>25.675000000000001</v>
      </c>
      <c r="D66" s="1">
        <f t="shared" ref="D66:D129" si="24">F66+1.675+12.376</f>
        <v>86.051000000000002</v>
      </c>
      <c r="E66" s="1">
        <v>24</v>
      </c>
      <c r="F66" s="1">
        <v>72</v>
      </c>
      <c r="G66" s="1">
        <f t="shared" si="18"/>
        <v>68.239999999999995</v>
      </c>
      <c r="H66" s="1">
        <v>1</v>
      </c>
      <c r="I66" s="1" t="s">
        <v>176</v>
      </c>
      <c r="J66" s="1">
        <v>1</v>
      </c>
      <c r="K66" s="2">
        <f t="shared" ref="K66:K129" si="25">((F66)/(L66-1))-(H66*0.8125)</f>
        <v>35.1875</v>
      </c>
      <c r="L66" s="1">
        <f t="shared" ref="L66:L129" si="26">2+(H66)</f>
        <v>3</v>
      </c>
      <c r="M66" s="1">
        <f t="shared" si="19"/>
        <v>12</v>
      </c>
      <c r="N66" s="1">
        <f t="shared" si="20"/>
        <v>4</v>
      </c>
      <c r="O66" s="3">
        <f t="shared" si="7"/>
        <v>14</v>
      </c>
      <c r="P66" s="1">
        <f t="shared" si="8"/>
        <v>2</v>
      </c>
      <c r="Q66">
        <f t="shared" si="9"/>
        <v>8</v>
      </c>
      <c r="R66">
        <f>_xlfn.XLOOKUP(HFrame_List[[#This Row],[Cross piece style]],$AH$2:$AH$4,$AI$2:$AI$4,0,0)*(HFrame_List[[#This Row],[Width between brackets]]/12)</f>
        <v>31.049199999999999</v>
      </c>
      <c r="S66">
        <f>5.46*(HFrame_List[[#This Row],[cross piece quantity]]-1)*(HFrame_List[[#This Row],[Width between brackets]]/12)</f>
        <v>0</v>
      </c>
      <c r="T66" s="5">
        <f>HFrame_List[[#This Row],[Bottom cross piece cost]]+HFrame_List[[#This Row],[Top cross piece cost]]+HFrame_List[[#This Row],[Component costs]]+HFrame_List[[#This Row],[Vertical strut cost]]</f>
        <v>110.6292</v>
      </c>
      <c r="U66" s="7">
        <f>_xlfn.XLOOKUP(HFrame_List[[#This Row],[Fabrication type]],Fabrication_costs[Fabrication type],Fabrication_costs[unit pricing],"no result",0)</f>
        <v>30</v>
      </c>
      <c r="V66" s="5">
        <f>SUM(T66:U66)/(1-HFrame_List[[#This Row],[Margin]])</f>
        <v>401.79771428571428</v>
      </c>
      <c r="W66" s="36">
        <f t="shared" si="11"/>
        <v>0.65</v>
      </c>
      <c r="X66" t="s">
        <v>193</v>
      </c>
      <c r="Y66">
        <f>_xlfn.XLOOKUP("A12",Strut_costs[size],Strut_costs[Strut cost])/12*HFrame_List[[#This Row],[Strut height (in)]]*(2+HFrame_List[[#This Row],[Extra supports]])</f>
        <v>32.76</v>
      </c>
      <c r="Z66">
        <f>(_xlfn.XLOOKUP("PHB",CADDY_costs[Component],CADDY_costs[Current cost])*HFrame_List[[#This Row],[Number of feet]])+(_xlfn.XLOOKUP("HFRMHDW",CADDY_costs[Component],CADDY_costs[Current cost])*(HFrame_List[[#This Row],[number of L-brackets]]/2))</f>
        <v>46.819999999999993</v>
      </c>
      <c r="AA66">
        <v>2472</v>
      </c>
      <c r="AB66" t="str">
        <f>VLOOKUP(HFrame_List[[#This Row],[lookup]],'Pallet and shipping info'!$A$5:$H$33,6,FALSE)</f>
        <v>x</v>
      </c>
      <c r="AC66">
        <f>VLOOKUP(HFrame_List[[#This Row],[lookup]],'Pallet and shipping info'!$A$5:$H$33,8,FALSE)</f>
        <v>7</v>
      </c>
      <c r="AD66"/>
      <c r="AE66"/>
      <c r="AF66"/>
    </row>
    <row r="67" spans="1:32" x14ac:dyDescent="0.25">
      <c r="A67" s="1" t="s">
        <v>314</v>
      </c>
      <c r="B67" s="1" t="s">
        <v>315</v>
      </c>
      <c r="C67" s="1">
        <f t="shared" si="23"/>
        <v>37.674999999999997</v>
      </c>
      <c r="D67" s="1">
        <f t="shared" si="24"/>
        <v>86.051000000000002</v>
      </c>
      <c r="E67" s="1">
        <v>36</v>
      </c>
      <c r="F67" s="1">
        <v>72</v>
      </c>
      <c r="G67" s="1">
        <f t="shared" si="18"/>
        <v>68.239999999999995</v>
      </c>
      <c r="H67" s="1">
        <v>1</v>
      </c>
      <c r="I67" s="1" t="s">
        <v>176</v>
      </c>
      <c r="J67" s="1">
        <v>1</v>
      </c>
      <c r="K67" s="2">
        <f t="shared" si="25"/>
        <v>35.1875</v>
      </c>
      <c r="L67" s="1">
        <f t="shared" si="26"/>
        <v>3</v>
      </c>
      <c r="M67" s="1">
        <f t="shared" si="19"/>
        <v>12</v>
      </c>
      <c r="N67" s="1">
        <f t="shared" si="20"/>
        <v>4</v>
      </c>
      <c r="O67" s="3">
        <f t="shared" ref="O67:O97" si="27">((E67*(L67+H67))+(F67*J67))/12</f>
        <v>18</v>
      </c>
      <c r="P67" s="1">
        <f t="shared" ref="P67:P130" si="28">ROUNDUP(O67/10,0)</f>
        <v>2</v>
      </c>
      <c r="Q67">
        <f t="shared" ref="Q67:Q130" si="29">2*(L67+J67)</f>
        <v>8</v>
      </c>
      <c r="R67">
        <f>_xlfn.XLOOKUP(HFrame_List[[#This Row],[Cross piece style]],$AH$2:$AH$4,$AI$2:$AI$4,0,0)*(HFrame_List[[#This Row],[Width between brackets]]/12)</f>
        <v>31.049199999999999</v>
      </c>
      <c r="S67">
        <f>5.46*(HFrame_List[[#This Row],[cross piece quantity]]-1)*(HFrame_List[[#This Row],[Width between brackets]]/12)</f>
        <v>0</v>
      </c>
      <c r="T67" s="5">
        <f>HFrame_List[[#This Row],[Bottom cross piece cost]]+HFrame_List[[#This Row],[Top cross piece cost]]+HFrame_List[[#This Row],[Component costs]]+HFrame_List[[#This Row],[Vertical strut cost]]</f>
        <v>127.00919999999999</v>
      </c>
      <c r="U67" s="7">
        <f>_xlfn.XLOOKUP(HFrame_List[[#This Row],[Fabrication type]],Fabrication_costs[Fabrication type],Fabrication_costs[unit pricing],"no result",0)</f>
        <v>30</v>
      </c>
      <c r="V67" s="5">
        <f>SUM(T67:U67)/(1-HFrame_List[[#This Row],[Margin]])</f>
        <v>448.59771428571429</v>
      </c>
      <c r="W67" s="36">
        <f t="shared" si="11"/>
        <v>0.65</v>
      </c>
      <c r="X67" t="s">
        <v>193</v>
      </c>
      <c r="Y67">
        <f>_xlfn.XLOOKUP("A12",Strut_costs[size],Strut_costs[Strut cost])/12*HFrame_List[[#This Row],[Strut height (in)]]*(2+HFrame_List[[#This Row],[Extra supports]])</f>
        <v>49.14</v>
      </c>
      <c r="Z67">
        <f>(_xlfn.XLOOKUP("PHB",CADDY_costs[Component],CADDY_costs[Current cost])*HFrame_List[[#This Row],[Number of feet]])+(_xlfn.XLOOKUP("HFRMHDW",CADDY_costs[Component],CADDY_costs[Current cost])*(HFrame_List[[#This Row],[number of L-brackets]]/2))</f>
        <v>46.819999999999993</v>
      </c>
      <c r="AA67">
        <v>3672</v>
      </c>
      <c r="AB67" t="str">
        <f>VLOOKUP(HFrame_List[[#This Row],[lookup]],'Pallet and shipping info'!$A$5:$H$33,6,FALSE)</f>
        <v>x</v>
      </c>
      <c r="AC67">
        <f>VLOOKUP(HFrame_List[[#This Row],[lookup]],'Pallet and shipping info'!$A$5:$H$33,8,FALSE)</f>
        <v>7</v>
      </c>
      <c r="AD67"/>
      <c r="AE67"/>
      <c r="AF67"/>
    </row>
    <row r="68" spans="1:32" x14ac:dyDescent="0.25">
      <c r="A68" s="1" t="s">
        <v>316</v>
      </c>
      <c r="B68" s="1" t="s">
        <v>317</v>
      </c>
      <c r="C68" s="1">
        <f t="shared" si="23"/>
        <v>49.674999999999997</v>
      </c>
      <c r="D68" s="1">
        <f t="shared" si="24"/>
        <v>86.051000000000002</v>
      </c>
      <c r="E68" s="1">
        <v>48</v>
      </c>
      <c r="F68" s="1">
        <v>72</v>
      </c>
      <c r="G68" s="1">
        <f t="shared" si="18"/>
        <v>68.239999999999995</v>
      </c>
      <c r="H68" s="1">
        <v>1</v>
      </c>
      <c r="I68" s="1" t="s">
        <v>176</v>
      </c>
      <c r="J68" s="1">
        <v>1</v>
      </c>
      <c r="K68" s="2">
        <f t="shared" si="25"/>
        <v>35.1875</v>
      </c>
      <c r="L68" s="1">
        <f t="shared" si="26"/>
        <v>3</v>
      </c>
      <c r="M68" s="1">
        <f t="shared" si="19"/>
        <v>12</v>
      </c>
      <c r="N68" s="1">
        <f t="shared" si="20"/>
        <v>4</v>
      </c>
      <c r="O68" s="3">
        <f t="shared" si="27"/>
        <v>22</v>
      </c>
      <c r="P68" s="1">
        <f t="shared" si="28"/>
        <v>3</v>
      </c>
      <c r="Q68">
        <f t="shared" si="29"/>
        <v>8</v>
      </c>
      <c r="R68">
        <f>_xlfn.XLOOKUP(HFrame_List[[#This Row],[Cross piece style]],$AH$2:$AH$4,$AI$2:$AI$4,0,0)*(HFrame_List[[#This Row],[Width between brackets]]/12)</f>
        <v>31.049199999999999</v>
      </c>
      <c r="S68">
        <f>5.46*(HFrame_List[[#This Row],[cross piece quantity]]-1)*(HFrame_List[[#This Row],[Width between brackets]]/12)</f>
        <v>0</v>
      </c>
      <c r="T68" s="5">
        <f>HFrame_List[[#This Row],[Bottom cross piece cost]]+HFrame_List[[#This Row],[Top cross piece cost]]+HFrame_List[[#This Row],[Component costs]]+HFrame_List[[#This Row],[Vertical strut cost]]</f>
        <v>143.38919999999999</v>
      </c>
      <c r="U68" s="7">
        <f>_xlfn.XLOOKUP(HFrame_List[[#This Row],[Fabrication type]],Fabrication_costs[Fabrication type],Fabrication_costs[unit pricing],"no result",0)</f>
        <v>30</v>
      </c>
      <c r="V68" s="5">
        <f>SUM(T68:U68)/(1-HFrame_List[[#This Row],[Margin]])</f>
        <v>495.3977142857143</v>
      </c>
      <c r="W68" s="36">
        <f t="shared" ref="W68:W131" si="30">W67</f>
        <v>0.65</v>
      </c>
      <c r="X68" t="s">
        <v>193</v>
      </c>
      <c r="Y68">
        <f>_xlfn.XLOOKUP("A12",Strut_costs[size],Strut_costs[Strut cost])/12*HFrame_List[[#This Row],[Strut height (in)]]*(2+HFrame_List[[#This Row],[Extra supports]])</f>
        <v>65.52</v>
      </c>
      <c r="Z68">
        <f>(_xlfn.XLOOKUP("PHB",CADDY_costs[Component],CADDY_costs[Current cost])*HFrame_List[[#This Row],[Number of feet]])+(_xlfn.XLOOKUP("HFRMHDW",CADDY_costs[Component],CADDY_costs[Current cost])*(HFrame_List[[#This Row],[number of L-brackets]]/2))</f>
        <v>46.819999999999993</v>
      </c>
      <c r="AA68">
        <v>4872</v>
      </c>
      <c r="AB68" t="str">
        <f>VLOOKUP(HFrame_List[[#This Row],[lookup]],'Pallet and shipping info'!$A$5:$H$33,6,FALSE)</f>
        <v>x</v>
      </c>
      <c r="AC68">
        <f>VLOOKUP(HFrame_List[[#This Row],[lookup]],'Pallet and shipping info'!$A$5:$H$33,8,FALSE)</f>
        <v>7</v>
      </c>
      <c r="AD68"/>
      <c r="AE68"/>
      <c r="AF68"/>
    </row>
    <row r="69" spans="1:32" x14ac:dyDescent="0.25">
      <c r="A69" s="1" t="s">
        <v>318</v>
      </c>
      <c r="B69" s="1" t="s">
        <v>319</v>
      </c>
      <c r="C69" s="1">
        <f t="shared" si="23"/>
        <v>73.674999999999997</v>
      </c>
      <c r="D69" s="1">
        <f t="shared" si="24"/>
        <v>86.051000000000002</v>
      </c>
      <c r="E69" s="1">
        <v>72</v>
      </c>
      <c r="F69" s="1">
        <v>72</v>
      </c>
      <c r="G69" s="1">
        <f t="shared" si="18"/>
        <v>68.239999999999995</v>
      </c>
      <c r="H69" s="1">
        <v>1</v>
      </c>
      <c r="I69" s="1" t="s">
        <v>176</v>
      </c>
      <c r="J69" s="1">
        <v>1</v>
      </c>
      <c r="K69" s="2">
        <f t="shared" si="25"/>
        <v>35.1875</v>
      </c>
      <c r="L69" s="1">
        <f t="shared" si="26"/>
        <v>3</v>
      </c>
      <c r="M69" s="1">
        <f t="shared" si="19"/>
        <v>12</v>
      </c>
      <c r="N69" s="1">
        <f t="shared" si="20"/>
        <v>4</v>
      </c>
      <c r="O69" s="3">
        <f t="shared" si="27"/>
        <v>30</v>
      </c>
      <c r="P69" s="1">
        <f t="shared" si="28"/>
        <v>3</v>
      </c>
      <c r="Q69">
        <f t="shared" si="29"/>
        <v>8</v>
      </c>
      <c r="R69">
        <f>_xlfn.XLOOKUP(HFrame_List[[#This Row],[Cross piece style]],$AH$2:$AH$4,$AI$2:$AI$4,0,0)*(HFrame_List[[#This Row],[Width between brackets]]/12)</f>
        <v>31.049199999999999</v>
      </c>
      <c r="S69">
        <f>5.46*(HFrame_List[[#This Row],[cross piece quantity]]-1)*(HFrame_List[[#This Row],[Width between brackets]]/12)</f>
        <v>0</v>
      </c>
      <c r="T69" s="5">
        <f>HFrame_List[[#This Row],[Bottom cross piece cost]]+HFrame_List[[#This Row],[Top cross piece cost]]+HFrame_List[[#This Row],[Component costs]]+HFrame_List[[#This Row],[Vertical strut cost]]</f>
        <v>176.14920000000001</v>
      </c>
      <c r="U69" s="7">
        <f>_xlfn.XLOOKUP(HFrame_List[[#This Row],[Fabrication type]],Fabrication_costs[Fabrication type],Fabrication_costs[unit pricing],"no result",0)</f>
        <v>30</v>
      </c>
      <c r="V69" s="5">
        <f>SUM(T69:U69)/(1-HFrame_List[[#This Row],[Margin]])</f>
        <v>588.99771428571432</v>
      </c>
      <c r="W69" s="36">
        <f t="shared" si="30"/>
        <v>0.65</v>
      </c>
      <c r="X69" t="s">
        <v>193</v>
      </c>
      <c r="Y69">
        <f>_xlfn.XLOOKUP("A12",Strut_costs[size],Strut_costs[Strut cost])/12*HFrame_List[[#This Row],[Strut height (in)]]*(2+HFrame_List[[#This Row],[Extra supports]])</f>
        <v>98.28</v>
      </c>
      <c r="Z69">
        <f>(_xlfn.XLOOKUP("PHB",CADDY_costs[Component],CADDY_costs[Current cost])*HFrame_List[[#This Row],[Number of feet]])+(_xlfn.XLOOKUP("HFRMHDW",CADDY_costs[Component],CADDY_costs[Current cost])*(HFrame_List[[#This Row],[number of L-brackets]]/2))</f>
        <v>46.819999999999993</v>
      </c>
      <c r="AA69">
        <v>7272</v>
      </c>
      <c r="AB69" t="str">
        <f>VLOOKUP(HFrame_List[[#This Row],[lookup]],'Pallet and shipping info'!$A$5:$H$33,6,FALSE)</f>
        <v>x</v>
      </c>
      <c r="AC69">
        <f>VLOOKUP(HFrame_List[[#This Row],[lookup]],'Pallet and shipping info'!$A$5:$H$33,8,FALSE)</f>
        <v>7</v>
      </c>
      <c r="AD69"/>
      <c r="AE69"/>
      <c r="AF69"/>
    </row>
    <row r="70" spans="1:32" x14ac:dyDescent="0.25">
      <c r="A70" s="1" t="s">
        <v>320</v>
      </c>
      <c r="B70" s="1" t="s">
        <v>321</v>
      </c>
      <c r="C70" s="1">
        <f t="shared" si="23"/>
        <v>25.675000000000001</v>
      </c>
      <c r="D70" s="1">
        <f t="shared" si="24"/>
        <v>98.051000000000002</v>
      </c>
      <c r="E70" s="1">
        <v>24</v>
      </c>
      <c r="F70" s="1">
        <v>84</v>
      </c>
      <c r="G70" s="1">
        <f t="shared" si="18"/>
        <v>80.239999999999995</v>
      </c>
      <c r="H70" s="1">
        <v>1</v>
      </c>
      <c r="I70" s="1" t="s">
        <v>176</v>
      </c>
      <c r="J70" s="1">
        <v>1</v>
      </c>
      <c r="K70" s="2">
        <f t="shared" si="25"/>
        <v>41.1875</v>
      </c>
      <c r="L70" s="1">
        <f t="shared" si="26"/>
        <v>3</v>
      </c>
      <c r="M70" s="1">
        <f t="shared" si="19"/>
        <v>12</v>
      </c>
      <c r="N70" s="1">
        <f t="shared" si="20"/>
        <v>4</v>
      </c>
      <c r="O70" s="3">
        <f t="shared" si="27"/>
        <v>15</v>
      </c>
      <c r="P70" s="1">
        <f t="shared" si="28"/>
        <v>2</v>
      </c>
      <c r="Q70">
        <f t="shared" si="29"/>
        <v>8</v>
      </c>
      <c r="R70">
        <f>_xlfn.XLOOKUP(HFrame_List[[#This Row],[Cross piece style]],$AH$2:$AH$4,$AI$2:$AI$4,0,0)*(HFrame_List[[#This Row],[Width between brackets]]/12)</f>
        <v>36.5092</v>
      </c>
      <c r="S70">
        <f>5.46*(HFrame_List[[#This Row],[cross piece quantity]]-1)*(HFrame_List[[#This Row],[Width between brackets]]/12)</f>
        <v>0</v>
      </c>
      <c r="T70" s="5">
        <f>HFrame_List[[#This Row],[Bottom cross piece cost]]+HFrame_List[[#This Row],[Top cross piece cost]]+HFrame_List[[#This Row],[Component costs]]+HFrame_List[[#This Row],[Vertical strut cost]]</f>
        <v>116.08919999999998</v>
      </c>
      <c r="U70" s="7">
        <f>_xlfn.XLOOKUP(HFrame_List[[#This Row],[Fabrication type]],Fabrication_costs[Fabrication type],Fabrication_costs[unit pricing],"no result",0)</f>
        <v>30</v>
      </c>
      <c r="V70" s="5">
        <f>SUM(T70:U70)/(1-HFrame_List[[#This Row],[Margin]])</f>
        <v>417.39771428571424</v>
      </c>
      <c r="W70" s="36">
        <f t="shared" si="30"/>
        <v>0.65</v>
      </c>
      <c r="X70" t="s">
        <v>193</v>
      </c>
      <c r="Y70">
        <f>_xlfn.XLOOKUP("A12",Strut_costs[size],Strut_costs[Strut cost])/12*HFrame_List[[#This Row],[Strut height (in)]]*(2+HFrame_List[[#This Row],[Extra supports]])</f>
        <v>32.76</v>
      </c>
      <c r="Z70">
        <f>(_xlfn.XLOOKUP("PHB",CADDY_costs[Component],CADDY_costs[Current cost])*HFrame_List[[#This Row],[Number of feet]])+(_xlfn.XLOOKUP("HFRMHDW",CADDY_costs[Component],CADDY_costs[Current cost])*(HFrame_List[[#This Row],[number of L-brackets]]/2))</f>
        <v>46.819999999999993</v>
      </c>
      <c r="AA70">
        <v>2484</v>
      </c>
      <c r="AB70" t="str">
        <f>VLOOKUP(HFrame_List[[#This Row],[lookup]],'Pallet and shipping info'!$A$5:$H$33,6,FALSE)</f>
        <v>x</v>
      </c>
      <c r="AC70">
        <f>VLOOKUP(HFrame_List[[#This Row],[lookup]],'Pallet and shipping info'!$A$5:$H$33,8,FALSE)</f>
        <v>7</v>
      </c>
      <c r="AD70"/>
      <c r="AE70"/>
      <c r="AF70"/>
    </row>
    <row r="71" spans="1:32" x14ac:dyDescent="0.25">
      <c r="A71" s="1" t="s">
        <v>322</v>
      </c>
      <c r="B71" s="1" t="s">
        <v>323</v>
      </c>
      <c r="C71" s="1">
        <f t="shared" si="23"/>
        <v>37.674999999999997</v>
      </c>
      <c r="D71" s="1">
        <f t="shared" si="24"/>
        <v>98.051000000000002</v>
      </c>
      <c r="E71" s="1">
        <v>36</v>
      </c>
      <c r="F71" s="1">
        <v>84</v>
      </c>
      <c r="G71" s="1">
        <f t="shared" si="18"/>
        <v>80.239999999999995</v>
      </c>
      <c r="H71" s="1">
        <v>1</v>
      </c>
      <c r="I71" s="1" t="s">
        <v>176</v>
      </c>
      <c r="J71" s="1">
        <v>1</v>
      </c>
      <c r="K71" s="2">
        <f t="shared" si="25"/>
        <v>41.1875</v>
      </c>
      <c r="L71" s="1">
        <f t="shared" si="26"/>
        <v>3</v>
      </c>
      <c r="M71" s="1">
        <f t="shared" si="19"/>
        <v>12</v>
      </c>
      <c r="N71" s="1">
        <f t="shared" si="20"/>
        <v>4</v>
      </c>
      <c r="O71" s="3">
        <f t="shared" si="27"/>
        <v>19</v>
      </c>
      <c r="P71" s="1">
        <f t="shared" si="28"/>
        <v>2</v>
      </c>
      <c r="Q71">
        <f t="shared" si="29"/>
        <v>8</v>
      </c>
      <c r="R71">
        <f>_xlfn.XLOOKUP(HFrame_List[[#This Row],[Cross piece style]],$AH$2:$AH$4,$AI$2:$AI$4,0,0)*(HFrame_List[[#This Row],[Width between brackets]]/12)</f>
        <v>36.5092</v>
      </c>
      <c r="S71">
        <f>5.46*(HFrame_List[[#This Row],[cross piece quantity]]-1)*(HFrame_List[[#This Row],[Width between brackets]]/12)</f>
        <v>0</v>
      </c>
      <c r="T71" s="5">
        <f>HFrame_List[[#This Row],[Bottom cross piece cost]]+HFrame_List[[#This Row],[Top cross piece cost]]+HFrame_List[[#This Row],[Component costs]]+HFrame_List[[#This Row],[Vertical strut cost]]</f>
        <v>132.4692</v>
      </c>
      <c r="U71" s="7">
        <f>_xlfn.XLOOKUP(HFrame_List[[#This Row],[Fabrication type]],Fabrication_costs[Fabrication type],Fabrication_costs[unit pricing],"no result",0)</f>
        <v>30</v>
      </c>
      <c r="V71" s="5">
        <f>SUM(T71:U71)/(1-HFrame_List[[#This Row],[Margin]])</f>
        <v>464.19771428571431</v>
      </c>
      <c r="W71" s="36">
        <f t="shared" si="30"/>
        <v>0.65</v>
      </c>
      <c r="X71" t="s">
        <v>193</v>
      </c>
      <c r="Y71">
        <f>_xlfn.XLOOKUP("A12",Strut_costs[size],Strut_costs[Strut cost])/12*HFrame_List[[#This Row],[Strut height (in)]]*(2+HFrame_List[[#This Row],[Extra supports]])</f>
        <v>49.14</v>
      </c>
      <c r="Z71">
        <f>(_xlfn.XLOOKUP("PHB",CADDY_costs[Component],CADDY_costs[Current cost])*HFrame_List[[#This Row],[Number of feet]])+(_xlfn.XLOOKUP("HFRMHDW",CADDY_costs[Component],CADDY_costs[Current cost])*(HFrame_List[[#This Row],[number of L-brackets]]/2))</f>
        <v>46.819999999999993</v>
      </c>
      <c r="AA71">
        <v>3684</v>
      </c>
      <c r="AB71" t="str">
        <f>VLOOKUP(HFrame_List[[#This Row],[lookup]],'Pallet and shipping info'!$A$5:$H$33,6,FALSE)</f>
        <v>x</v>
      </c>
      <c r="AC71">
        <f>VLOOKUP(HFrame_List[[#This Row],[lookup]],'Pallet and shipping info'!$A$5:$H$33,8,FALSE)</f>
        <v>7</v>
      </c>
      <c r="AD71"/>
      <c r="AE71"/>
      <c r="AF71"/>
    </row>
    <row r="72" spans="1:32" x14ac:dyDescent="0.25">
      <c r="A72" s="1" t="s">
        <v>324</v>
      </c>
      <c r="B72" s="1" t="s">
        <v>325</v>
      </c>
      <c r="C72" s="1">
        <f t="shared" si="23"/>
        <v>49.674999999999997</v>
      </c>
      <c r="D72" s="1">
        <f t="shared" si="24"/>
        <v>98.051000000000002</v>
      </c>
      <c r="E72" s="1">
        <v>48</v>
      </c>
      <c r="F72" s="1">
        <v>84</v>
      </c>
      <c r="G72" s="1">
        <f t="shared" si="18"/>
        <v>80.239999999999995</v>
      </c>
      <c r="H72" s="1">
        <v>1</v>
      </c>
      <c r="I72" s="1" t="s">
        <v>176</v>
      </c>
      <c r="J72" s="1">
        <v>1</v>
      </c>
      <c r="K72" s="2">
        <f t="shared" si="25"/>
        <v>41.1875</v>
      </c>
      <c r="L72" s="1">
        <f t="shared" si="26"/>
        <v>3</v>
      </c>
      <c r="M72" s="1">
        <f t="shared" si="19"/>
        <v>12</v>
      </c>
      <c r="N72" s="1">
        <f t="shared" si="20"/>
        <v>4</v>
      </c>
      <c r="O72" s="3">
        <f t="shared" si="27"/>
        <v>23</v>
      </c>
      <c r="P72" s="1">
        <f t="shared" si="28"/>
        <v>3</v>
      </c>
      <c r="Q72">
        <f t="shared" si="29"/>
        <v>8</v>
      </c>
      <c r="R72">
        <f>_xlfn.XLOOKUP(HFrame_List[[#This Row],[Cross piece style]],$AH$2:$AH$4,$AI$2:$AI$4,0,0)*(HFrame_List[[#This Row],[Width between brackets]]/12)</f>
        <v>36.5092</v>
      </c>
      <c r="S72">
        <f>5.46*(HFrame_List[[#This Row],[cross piece quantity]]-1)*(HFrame_List[[#This Row],[Width between brackets]]/12)</f>
        <v>0</v>
      </c>
      <c r="T72" s="5">
        <f>HFrame_List[[#This Row],[Bottom cross piece cost]]+HFrame_List[[#This Row],[Top cross piece cost]]+HFrame_List[[#This Row],[Component costs]]+HFrame_List[[#This Row],[Vertical strut cost]]</f>
        <v>148.8492</v>
      </c>
      <c r="U72" s="7">
        <f>_xlfn.XLOOKUP(HFrame_List[[#This Row],[Fabrication type]],Fabrication_costs[Fabrication type],Fabrication_costs[unit pricing],"no result",0)</f>
        <v>30</v>
      </c>
      <c r="V72" s="5">
        <f>SUM(T72:U72)/(1-HFrame_List[[#This Row],[Margin]])</f>
        <v>510.99771428571432</v>
      </c>
      <c r="W72" s="36">
        <f t="shared" si="30"/>
        <v>0.65</v>
      </c>
      <c r="X72" t="s">
        <v>193</v>
      </c>
      <c r="Y72">
        <f>_xlfn.XLOOKUP("A12",Strut_costs[size],Strut_costs[Strut cost])/12*HFrame_List[[#This Row],[Strut height (in)]]*(2+HFrame_List[[#This Row],[Extra supports]])</f>
        <v>65.52</v>
      </c>
      <c r="Z72">
        <f>(_xlfn.XLOOKUP("PHB",CADDY_costs[Component],CADDY_costs[Current cost])*HFrame_List[[#This Row],[Number of feet]])+(_xlfn.XLOOKUP("HFRMHDW",CADDY_costs[Component],CADDY_costs[Current cost])*(HFrame_List[[#This Row],[number of L-brackets]]/2))</f>
        <v>46.819999999999993</v>
      </c>
      <c r="AA72">
        <v>4884</v>
      </c>
      <c r="AB72" t="str">
        <f>VLOOKUP(HFrame_List[[#This Row],[lookup]],'Pallet and shipping info'!$A$5:$H$33,6,FALSE)</f>
        <v>x</v>
      </c>
      <c r="AC72">
        <f>VLOOKUP(HFrame_List[[#This Row],[lookup]],'Pallet and shipping info'!$A$5:$H$33,8,FALSE)</f>
        <v>7</v>
      </c>
      <c r="AD72"/>
      <c r="AE72"/>
      <c r="AF72"/>
    </row>
    <row r="73" spans="1:32" x14ac:dyDescent="0.25">
      <c r="A73" s="1" t="s">
        <v>326</v>
      </c>
      <c r="B73" s="1" t="s">
        <v>327</v>
      </c>
      <c r="C73" s="1">
        <f t="shared" si="23"/>
        <v>73.674999999999997</v>
      </c>
      <c r="D73" s="1">
        <f t="shared" si="24"/>
        <v>98.051000000000002</v>
      </c>
      <c r="E73" s="1">
        <v>72</v>
      </c>
      <c r="F73" s="1">
        <v>84</v>
      </c>
      <c r="G73" s="1">
        <f t="shared" si="18"/>
        <v>80.239999999999995</v>
      </c>
      <c r="H73" s="1">
        <v>1</v>
      </c>
      <c r="I73" s="1" t="s">
        <v>176</v>
      </c>
      <c r="J73" s="1">
        <v>1</v>
      </c>
      <c r="K73" s="2">
        <f t="shared" si="25"/>
        <v>41.1875</v>
      </c>
      <c r="L73" s="1">
        <f t="shared" si="26"/>
        <v>3</v>
      </c>
      <c r="M73" s="1">
        <f t="shared" si="19"/>
        <v>12</v>
      </c>
      <c r="N73" s="1">
        <f t="shared" si="20"/>
        <v>4</v>
      </c>
      <c r="O73" s="3">
        <f t="shared" si="27"/>
        <v>31</v>
      </c>
      <c r="P73" s="1">
        <f t="shared" si="28"/>
        <v>4</v>
      </c>
      <c r="Q73">
        <f t="shared" si="29"/>
        <v>8</v>
      </c>
      <c r="R73">
        <f>_xlfn.XLOOKUP(HFrame_List[[#This Row],[Cross piece style]],$AH$2:$AH$4,$AI$2:$AI$4,0,0)*(HFrame_List[[#This Row],[Width between brackets]]/12)</f>
        <v>36.5092</v>
      </c>
      <c r="S73">
        <f>5.46*(HFrame_List[[#This Row],[cross piece quantity]]-1)*(HFrame_List[[#This Row],[Width between brackets]]/12)</f>
        <v>0</v>
      </c>
      <c r="T73" s="5">
        <f>HFrame_List[[#This Row],[Bottom cross piece cost]]+HFrame_List[[#This Row],[Top cross piece cost]]+HFrame_List[[#This Row],[Component costs]]+HFrame_List[[#This Row],[Vertical strut cost]]</f>
        <v>181.60919999999999</v>
      </c>
      <c r="U73" s="7">
        <f>_xlfn.XLOOKUP(HFrame_List[[#This Row],[Fabrication type]],Fabrication_costs[Fabrication type],Fabrication_costs[unit pricing],"no result",0)</f>
        <v>30</v>
      </c>
      <c r="V73" s="5">
        <f>SUM(T73:U73)/(1-HFrame_List[[#This Row],[Margin]])</f>
        <v>604.59771428571423</v>
      </c>
      <c r="W73" s="36">
        <f t="shared" si="30"/>
        <v>0.65</v>
      </c>
      <c r="X73" t="s">
        <v>193</v>
      </c>
      <c r="Y73">
        <f>_xlfn.XLOOKUP("A12",Strut_costs[size],Strut_costs[Strut cost])/12*HFrame_List[[#This Row],[Strut height (in)]]*(2+HFrame_List[[#This Row],[Extra supports]])</f>
        <v>98.28</v>
      </c>
      <c r="Z73">
        <f>(_xlfn.XLOOKUP("PHB",CADDY_costs[Component],CADDY_costs[Current cost])*HFrame_List[[#This Row],[Number of feet]])+(_xlfn.XLOOKUP("HFRMHDW",CADDY_costs[Component],CADDY_costs[Current cost])*(HFrame_List[[#This Row],[number of L-brackets]]/2))</f>
        <v>46.819999999999993</v>
      </c>
      <c r="AA73">
        <v>7284</v>
      </c>
      <c r="AB73" t="str">
        <f>VLOOKUP(HFrame_List[[#This Row],[lookup]],'Pallet and shipping info'!$A$5:$H$33,6,FALSE)</f>
        <v>x</v>
      </c>
      <c r="AC73">
        <f>VLOOKUP(HFrame_List[[#This Row],[lookup]],'Pallet and shipping info'!$A$5:$H$33,8,FALSE)</f>
        <v>7</v>
      </c>
      <c r="AD73"/>
      <c r="AE73"/>
      <c r="AF73"/>
    </row>
    <row r="74" spans="1:32" x14ac:dyDescent="0.25">
      <c r="A74" s="1" t="s">
        <v>328</v>
      </c>
      <c r="B74" s="1" t="s">
        <v>329</v>
      </c>
      <c r="C74" s="1">
        <f t="shared" si="23"/>
        <v>25.675000000000001</v>
      </c>
      <c r="D74" s="1">
        <f t="shared" si="24"/>
        <v>34.051000000000002</v>
      </c>
      <c r="E74" s="1">
        <v>24</v>
      </c>
      <c r="F74" s="1">
        <v>20</v>
      </c>
      <c r="G74" s="1">
        <f>F74-(1.88*2)</f>
        <v>16.240000000000002</v>
      </c>
      <c r="H74" s="1">
        <v>2</v>
      </c>
      <c r="I74" s="1" t="s">
        <v>176</v>
      </c>
      <c r="J74" s="1">
        <v>1</v>
      </c>
      <c r="K74" s="2">
        <f t="shared" si="25"/>
        <v>5.041666666666667</v>
      </c>
      <c r="L74" s="1">
        <f t="shared" si="26"/>
        <v>4</v>
      </c>
      <c r="M74" s="1">
        <f>3*N74</f>
        <v>18</v>
      </c>
      <c r="N74" s="1">
        <f>(2+(2*H74))*J74</f>
        <v>6</v>
      </c>
      <c r="O74" s="3">
        <f t="shared" si="27"/>
        <v>13.666666666666666</v>
      </c>
      <c r="P74" s="1">
        <f t="shared" si="28"/>
        <v>2</v>
      </c>
      <c r="Q74">
        <f t="shared" si="29"/>
        <v>10</v>
      </c>
      <c r="R74">
        <f>_xlfn.XLOOKUP(HFrame_List[[#This Row],[Cross piece style]],$AH$2:$AH$4,$AI$2:$AI$4,0,0)*(HFrame_List[[#This Row],[Width between brackets]]/12)</f>
        <v>7.3892000000000007</v>
      </c>
      <c r="S74">
        <f>5.46*(HFrame_List[[#This Row],[cross piece quantity]]-1)*(HFrame_List[[#This Row],[Width between brackets]]/12)</f>
        <v>0</v>
      </c>
      <c r="T74" s="5">
        <f>HFrame_List[[#This Row],[Bottom cross piece cost]]+HFrame_List[[#This Row],[Top cross piece cost]]+HFrame_List[[#This Row],[Component costs]]+HFrame_List[[#This Row],[Vertical strut cost]]</f>
        <v>116.65119999999999</v>
      </c>
      <c r="U74" s="7">
        <f>_xlfn.XLOOKUP(HFrame_List[[#This Row],[Fabrication type]],Fabrication_costs[Fabrication type],Fabrication_costs[unit pricing],"no result",0)</f>
        <v>40.200000000000003</v>
      </c>
      <c r="V74" s="5">
        <f>SUM(T74:U74)/(1-HFrame_List[[#This Row],[Margin]])</f>
        <v>448.14628571428574</v>
      </c>
      <c r="W74" s="36">
        <f t="shared" si="30"/>
        <v>0.65</v>
      </c>
      <c r="X74" t="s">
        <v>196</v>
      </c>
      <c r="Y74">
        <f>_xlfn.XLOOKUP("A12",Strut_costs[size],Strut_costs[Strut cost])/12*HFrame_List[[#This Row],[Strut height (in)]]*(2+HFrame_List[[#This Row],[Extra supports]])</f>
        <v>43.68</v>
      </c>
      <c r="Z74">
        <f>(_xlfn.XLOOKUP("PHB",CADDY_costs[Component],CADDY_costs[Current cost])*HFrame_List[[#This Row],[Number of feet]])+(_xlfn.XLOOKUP("HFRMHDW",CADDY_costs[Component],CADDY_costs[Current cost])*(HFrame_List[[#This Row],[number of L-brackets]]/2))</f>
        <v>65.581999999999994</v>
      </c>
      <c r="AA74">
        <v>2420</v>
      </c>
      <c r="AB74">
        <f>VLOOKUP(HFrame_List[[#This Row],[lookup]],'Pallet and shipping info'!$A$5:$H$33,6,FALSE)</f>
        <v>11</v>
      </c>
      <c r="AC74">
        <f>VLOOKUP(HFrame_List[[#This Row],[lookup]],'Pallet and shipping info'!$A$5:$H$33,8,FALSE)</f>
        <v>15</v>
      </c>
      <c r="AD74"/>
      <c r="AE74"/>
      <c r="AF74"/>
    </row>
    <row r="75" spans="1:32" x14ac:dyDescent="0.25">
      <c r="A75" s="1" t="s">
        <v>330</v>
      </c>
      <c r="B75" s="1" t="s">
        <v>331</v>
      </c>
      <c r="C75" s="1">
        <f t="shared" si="23"/>
        <v>37.674999999999997</v>
      </c>
      <c r="D75" s="1">
        <f t="shared" si="24"/>
        <v>34.051000000000002</v>
      </c>
      <c r="E75" s="1">
        <v>36</v>
      </c>
      <c r="F75" s="1">
        <f>F74</f>
        <v>20</v>
      </c>
      <c r="G75" s="1">
        <f t="shared" ref="G75:G97" si="31">F75-(1.88*2)</f>
        <v>16.240000000000002</v>
      </c>
      <c r="H75" s="1">
        <v>2</v>
      </c>
      <c r="I75" s="1" t="s">
        <v>176</v>
      </c>
      <c r="J75" s="1">
        <v>1</v>
      </c>
      <c r="K75" s="2">
        <f t="shared" si="25"/>
        <v>5.041666666666667</v>
      </c>
      <c r="L75" s="1">
        <f t="shared" si="26"/>
        <v>4</v>
      </c>
      <c r="M75" s="1">
        <f t="shared" ref="M75:M97" si="32">3*N75</f>
        <v>18</v>
      </c>
      <c r="N75" s="1">
        <f t="shared" ref="N75:N97" si="33">(2+(2*H75))*J75</f>
        <v>6</v>
      </c>
      <c r="O75" s="3">
        <f t="shared" si="27"/>
        <v>19.666666666666668</v>
      </c>
      <c r="P75" s="1">
        <f t="shared" si="28"/>
        <v>2</v>
      </c>
      <c r="Q75">
        <f t="shared" si="29"/>
        <v>10</v>
      </c>
      <c r="R75">
        <f>_xlfn.XLOOKUP(HFrame_List[[#This Row],[Cross piece style]],$AH$2:$AH$4,$AI$2:$AI$4,0,0)*(HFrame_List[[#This Row],[Width between brackets]]/12)</f>
        <v>7.3892000000000007</v>
      </c>
      <c r="S75">
        <f>5.46*(HFrame_List[[#This Row],[cross piece quantity]]-1)*(HFrame_List[[#This Row],[Width between brackets]]/12)</f>
        <v>0</v>
      </c>
      <c r="T75" s="5">
        <f>HFrame_List[[#This Row],[Bottom cross piece cost]]+HFrame_List[[#This Row],[Top cross piece cost]]+HFrame_List[[#This Row],[Component costs]]+HFrame_List[[#This Row],[Vertical strut cost]]</f>
        <v>138.49119999999999</v>
      </c>
      <c r="U75" s="7">
        <f>_xlfn.XLOOKUP(HFrame_List[[#This Row],[Fabrication type]],Fabrication_costs[Fabrication type],Fabrication_costs[unit pricing],"no result",0)</f>
        <v>40.200000000000003</v>
      </c>
      <c r="V75" s="5">
        <f>SUM(T75:U75)/(1-HFrame_List[[#This Row],[Margin]])</f>
        <v>510.54628571428572</v>
      </c>
      <c r="W75" s="36">
        <f t="shared" si="30"/>
        <v>0.65</v>
      </c>
      <c r="X75" t="s">
        <v>196</v>
      </c>
      <c r="Y75">
        <f>_xlfn.XLOOKUP("A12",Strut_costs[size],Strut_costs[Strut cost])/12*HFrame_List[[#This Row],[Strut height (in)]]*(2+HFrame_List[[#This Row],[Extra supports]])</f>
        <v>65.52</v>
      </c>
      <c r="Z75">
        <f>(_xlfn.XLOOKUP("PHB",CADDY_costs[Component],CADDY_costs[Current cost])*HFrame_List[[#This Row],[Number of feet]])+(_xlfn.XLOOKUP("HFRMHDW",CADDY_costs[Component],CADDY_costs[Current cost])*(HFrame_List[[#This Row],[number of L-brackets]]/2))</f>
        <v>65.581999999999994</v>
      </c>
      <c r="AA75">
        <v>3620</v>
      </c>
      <c r="AB75">
        <f>VLOOKUP(HFrame_List[[#This Row],[lookup]],'Pallet and shipping info'!$A$5:$H$33,6,FALSE)</f>
        <v>11</v>
      </c>
      <c r="AC75">
        <f>VLOOKUP(HFrame_List[[#This Row],[lookup]],'Pallet and shipping info'!$A$5:$H$33,8,FALSE)</f>
        <v>15</v>
      </c>
      <c r="AD75"/>
      <c r="AE75"/>
      <c r="AF75"/>
    </row>
    <row r="76" spans="1:32" x14ac:dyDescent="0.25">
      <c r="A76" s="1" t="s">
        <v>332</v>
      </c>
      <c r="B76" s="1" t="s">
        <v>333</v>
      </c>
      <c r="C76" s="1">
        <f t="shared" si="23"/>
        <v>49.674999999999997</v>
      </c>
      <c r="D76" s="1">
        <f t="shared" si="24"/>
        <v>34.051000000000002</v>
      </c>
      <c r="E76" s="1">
        <v>48</v>
      </c>
      <c r="F76" s="1">
        <f t="shared" ref="F76:F77" si="34">F75</f>
        <v>20</v>
      </c>
      <c r="G76" s="1">
        <f t="shared" si="31"/>
        <v>16.240000000000002</v>
      </c>
      <c r="H76" s="1">
        <v>2</v>
      </c>
      <c r="I76" s="1" t="s">
        <v>176</v>
      </c>
      <c r="J76" s="1">
        <v>1</v>
      </c>
      <c r="K76" s="2">
        <f t="shared" si="25"/>
        <v>5.041666666666667</v>
      </c>
      <c r="L76" s="1">
        <f t="shared" si="26"/>
        <v>4</v>
      </c>
      <c r="M76" s="1">
        <f t="shared" si="32"/>
        <v>18</v>
      </c>
      <c r="N76" s="1">
        <f t="shared" si="33"/>
        <v>6</v>
      </c>
      <c r="O76" s="3">
        <f t="shared" si="27"/>
        <v>25.666666666666668</v>
      </c>
      <c r="P76" s="1">
        <f t="shared" si="28"/>
        <v>3</v>
      </c>
      <c r="Q76">
        <f t="shared" si="29"/>
        <v>10</v>
      </c>
      <c r="R76">
        <f>_xlfn.XLOOKUP(HFrame_List[[#This Row],[Cross piece style]],$AH$2:$AH$4,$AI$2:$AI$4,0,0)*(HFrame_List[[#This Row],[Width between brackets]]/12)</f>
        <v>7.3892000000000007</v>
      </c>
      <c r="S76">
        <f>5.46*(HFrame_List[[#This Row],[cross piece quantity]]-1)*(HFrame_List[[#This Row],[Width between brackets]]/12)</f>
        <v>0</v>
      </c>
      <c r="T76" s="5">
        <f>HFrame_List[[#This Row],[Bottom cross piece cost]]+HFrame_List[[#This Row],[Top cross piece cost]]+HFrame_List[[#This Row],[Component costs]]+HFrame_List[[#This Row],[Vertical strut cost]]</f>
        <v>160.3312</v>
      </c>
      <c r="U76" s="7">
        <f>_xlfn.XLOOKUP(HFrame_List[[#This Row],[Fabrication type]],Fabrication_costs[Fabrication type],Fabrication_costs[unit pricing],"no result",0)</f>
        <v>40.200000000000003</v>
      </c>
      <c r="V76" s="5">
        <f>SUM(T76:U76)/(1-HFrame_List[[#This Row],[Margin]])</f>
        <v>572.94628571428575</v>
      </c>
      <c r="W76" s="36">
        <f t="shared" si="30"/>
        <v>0.65</v>
      </c>
      <c r="X76" t="s">
        <v>196</v>
      </c>
      <c r="Y76">
        <f>_xlfn.XLOOKUP("A12",Strut_costs[size],Strut_costs[Strut cost])/12*HFrame_List[[#This Row],[Strut height (in)]]*(2+HFrame_List[[#This Row],[Extra supports]])</f>
        <v>87.36</v>
      </c>
      <c r="Z76">
        <f>(_xlfn.XLOOKUP("PHB",CADDY_costs[Component],CADDY_costs[Current cost])*HFrame_List[[#This Row],[Number of feet]])+(_xlfn.XLOOKUP("HFRMHDW",CADDY_costs[Component],CADDY_costs[Current cost])*(HFrame_List[[#This Row],[number of L-brackets]]/2))</f>
        <v>65.581999999999994</v>
      </c>
      <c r="AA76">
        <v>4820</v>
      </c>
      <c r="AB76">
        <f>VLOOKUP(HFrame_List[[#This Row],[lookup]],'Pallet and shipping info'!$A$5:$H$33,6,FALSE)</f>
        <v>11</v>
      </c>
      <c r="AC76">
        <f>VLOOKUP(HFrame_List[[#This Row],[lookup]],'Pallet and shipping info'!$A$5:$H$33,8,FALSE)</f>
        <v>15</v>
      </c>
      <c r="AD76"/>
      <c r="AE76"/>
      <c r="AF76"/>
    </row>
    <row r="77" spans="1:32" x14ac:dyDescent="0.25">
      <c r="A77" s="1" t="s">
        <v>334</v>
      </c>
      <c r="B77" s="1" t="s">
        <v>335</v>
      </c>
      <c r="C77" s="1">
        <f t="shared" si="23"/>
        <v>73.674999999999997</v>
      </c>
      <c r="D77" s="1">
        <f t="shared" si="24"/>
        <v>34.051000000000002</v>
      </c>
      <c r="E77" s="1">
        <v>72</v>
      </c>
      <c r="F77" s="1">
        <f t="shared" si="34"/>
        <v>20</v>
      </c>
      <c r="G77" s="1">
        <f t="shared" si="31"/>
        <v>16.240000000000002</v>
      </c>
      <c r="H77" s="1">
        <v>2</v>
      </c>
      <c r="I77" s="1" t="s">
        <v>176</v>
      </c>
      <c r="J77" s="1">
        <v>1</v>
      </c>
      <c r="K77" s="2">
        <f t="shared" si="25"/>
        <v>5.041666666666667</v>
      </c>
      <c r="L77" s="1">
        <f t="shared" si="26"/>
        <v>4</v>
      </c>
      <c r="M77" s="1">
        <f t="shared" si="32"/>
        <v>18</v>
      </c>
      <c r="N77" s="1">
        <f t="shared" si="33"/>
        <v>6</v>
      </c>
      <c r="O77" s="3">
        <f t="shared" si="27"/>
        <v>37.666666666666664</v>
      </c>
      <c r="P77" s="1">
        <f t="shared" si="28"/>
        <v>4</v>
      </c>
      <c r="Q77">
        <f t="shared" si="29"/>
        <v>10</v>
      </c>
      <c r="R77">
        <f>_xlfn.XLOOKUP(HFrame_List[[#This Row],[Cross piece style]],$AH$2:$AH$4,$AI$2:$AI$4,0,0)*(HFrame_List[[#This Row],[Width between brackets]]/12)</f>
        <v>7.3892000000000007</v>
      </c>
      <c r="S77">
        <f>5.46*(HFrame_List[[#This Row],[cross piece quantity]]-1)*(HFrame_List[[#This Row],[Width between brackets]]/12)</f>
        <v>0</v>
      </c>
      <c r="T77" s="5">
        <f>HFrame_List[[#This Row],[Bottom cross piece cost]]+HFrame_List[[#This Row],[Top cross piece cost]]+HFrame_List[[#This Row],[Component costs]]+HFrame_List[[#This Row],[Vertical strut cost]]</f>
        <v>204.01119999999997</v>
      </c>
      <c r="U77" s="7">
        <f>_xlfn.XLOOKUP(HFrame_List[[#This Row],[Fabrication type]],Fabrication_costs[Fabrication type],Fabrication_costs[unit pricing],"no result",0)</f>
        <v>40.200000000000003</v>
      </c>
      <c r="V77" s="5">
        <f>SUM(T77:U77)/(1-HFrame_List[[#This Row],[Margin]])</f>
        <v>697.7462857142857</v>
      </c>
      <c r="W77" s="36">
        <f t="shared" si="30"/>
        <v>0.65</v>
      </c>
      <c r="X77" t="s">
        <v>196</v>
      </c>
      <c r="Y77">
        <f>_xlfn.XLOOKUP("A12",Strut_costs[size],Strut_costs[Strut cost])/12*HFrame_List[[#This Row],[Strut height (in)]]*(2+HFrame_List[[#This Row],[Extra supports]])</f>
        <v>131.04</v>
      </c>
      <c r="Z77">
        <f>(_xlfn.XLOOKUP("PHB",CADDY_costs[Component],CADDY_costs[Current cost])*HFrame_List[[#This Row],[Number of feet]])+(_xlfn.XLOOKUP("HFRMHDW",CADDY_costs[Component],CADDY_costs[Current cost])*(HFrame_List[[#This Row],[number of L-brackets]]/2))</f>
        <v>65.581999999999994</v>
      </c>
      <c r="AA77">
        <v>7220</v>
      </c>
      <c r="AB77">
        <f>VLOOKUP(HFrame_List[[#This Row],[lookup]],'Pallet and shipping info'!$A$5:$H$33,6,FALSE)</f>
        <v>11</v>
      </c>
      <c r="AC77">
        <f>VLOOKUP(HFrame_List[[#This Row],[lookup]],'Pallet and shipping info'!$A$5:$H$33,8,FALSE)</f>
        <v>15</v>
      </c>
      <c r="AD77"/>
      <c r="AE77"/>
      <c r="AF77"/>
    </row>
    <row r="78" spans="1:32" x14ac:dyDescent="0.25">
      <c r="A78" s="1" t="s">
        <v>336</v>
      </c>
      <c r="B78" s="1" t="s">
        <v>337</v>
      </c>
      <c r="C78" s="1">
        <f t="shared" si="23"/>
        <v>25.675000000000001</v>
      </c>
      <c r="D78" s="1">
        <f t="shared" si="24"/>
        <v>50.050999999999995</v>
      </c>
      <c r="E78" s="1">
        <v>24</v>
      </c>
      <c r="F78" s="1">
        <v>36</v>
      </c>
      <c r="G78" s="1">
        <f t="shared" si="31"/>
        <v>32.24</v>
      </c>
      <c r="H78" s="1">
        <v>2</v>
      </c>
      <c r="I78" s="1" t="s">
        <v>176</v>
      </c>
      <c r="J78" s="1">
        <v>1</v>
      </c>
      <c r="K78" s="2">
        <f t="shared" si="25"/>
        <v>10.375</v>
      </c>
      <c r="L78" s="1">
        <f t="shared" si="26"/>
        <v>4</v>
      </c>
      <c r="M78" s="1">
        <f t="shared" si="32"/>
        <v>18</v>
      </c>
      <c r="N78" s="1">
        <f t="shared" si="33"/>
        <v>6</v>
      </c>
      <c r="O78" s="3">
        <f t="shared" si="27"/>
        <v>15</v>
      </c>
      <c r="P78" s="1">
        <f t="shared" si="28"/>
        <v>2</v>
      </c>
      <c r="Q78">
        <f t="shared" si="29"/>
        <v>10</v>
      </c>
      <c r="R78">
        <f>_xlfn.XLOOKUP(HFrame_List[[#This Row],[Cross piece style]],$AH$2:$AH$4,$AI$2:$AI$4,0,0)*(HFrame_List[[#This Row],[Width between brackets]]/12)</f>
        <v>14.669200000000002</v>
      </c>
      <c r="S78">
        <f>5.46*(HFrame_List[[#This Row],[cross piece quantity]]-1)*(HFrame_List[[#This Row],[Width between brackets]]/12)</f>
        <v>0</v>
      </c>
      <c r="T78" s="5">
        <f>HFrame_List[[#This Row],[Bottom cross piece cost]]+HFrame_List[[#This Row],[Top cross piece cost]]+HFrame_List[[#This Row],[Component costs]]+HFrame_List[[#This Row],[Vertical strut cost]]</f>
        <v>123.93119999999999</v>
      </c>
      <c r="U78" s="7">
        <f>_xlfn.XLOOKUP(HFrame_List[[#This Row],[Fabrication type]],Fabrication_costs[Fabrication type],Fabrication_costs[unit pricing],"no result",0)</f>
        <v>40.200000000000003</v>
      </c>
      <c r="V78" s="5">
        <f>SUM(T78:U78)/(1-HFrame_List[[#This Row],[Margin]])</f>
        <v>468.94628571428569</v>
      </c>
      <c r="W78" s="36">
        <f t="shared" si="30"/>
        <v>0.65</v>
      </c>
      <c r="X78" t="s">
        <v>196</v>
      </c>
      <c r="Y78">
        <f>_xlfn.XLOOKUP("A12",Strut_costs[size],Strut_costs[Strut cost])/12*HFrame_List[[#This Row],[Strut height (in)]]*(2+HFrame_List[[#This Row],[Extra supports]])</f>
        <v>43.68</v>
      </c>
      <c r="Z78">
        <f>(_xlfn.XLOOKUP("PHB",CADDY_costs[Component],CADDY_costs[Current cost])*HFrame_List[[#This Row],[Number of feet]])+(_xlfn.XLOOKUP("HFRMHDW",CADDY_costs[Component],CADDY_costs[Current cost])*(HFrame_List[[#This Row],[number of L-brackets]]/2))</f>
        <v>65.581999999999994</v>
      </c>
      <c r="AA78">
        <v>2436</v>
      </c>
      <c r="AB78">
        <f>VLOOKUP(HFrame_List[[#This Row],[lookup]],'Pallet and shipping info'!$A$5:$H$33,6,FALSE)</f>
        <v>9</v>
      </c>
      <c r="AC78">
        <f>VLOOKUP(HFrame_List[[#This Row],[lookup]],'Pallet and shipping info'!$A$5:$H$33,8,FALSE)</f>
        <v>14</v>
      </c>
      <c r="AD78"/>
      <c r="AE78"/>
      <c r="AF78"/>
    </row>
    <row r="79" spans="1:32" x14ac:dyDescent="0.25">
      <c r="A79" s="1" t="s">
        <v>338</v>
      </c>
      <c r="B79" s="1" t="s">
        <v>339</v>
      </c>
      <c r="C79" s="1">
        <f t="shared" si="23"/>
        <v>37.674999999999997</v>
      </c>
      <c r="D79" s="1">
        <f t="shared" si="24"/>
        <v>50.050999999999995</v>
      </c>
      <c r="E79" s="1">
        <v>36</v>
      </c>
      <c r="F79" s="1">
        <f>F78</f>
        <v>36</v>
      </c>
      <c r="G79" s="1">
        <f t="shared" si="31"/>
        <v>32.24</v>
      </c>
      <c r="H79" s="1">
        <v>2</v>
      </c>
      <c r="I79" s="1" t="s">
        <v>176</v>
      </c>
      <c r="J79" s="1">
        <v>1</v>
      </c>
      <c r="K79" s="2">
        <f t="shared" si="25"/>
        <v>10.375</v>
      </c>
      <c r="L79" s="1">
        <f t="shared" si="26"/>
        <v>4</v>
      </c>
      <c r="M79" s="1">
        <f t="shared" si="32"/>
        <v>18</v>
      </c>
      <c r="N79" s="1">
        <f t="shared" si="33"/>
        <v>6</v>
      </c>
      <c r="O79" s="3">
        <f t="shared" si="27"/>
        <v>21</v>
      </c>
      <c r="P79" s="1">
        <f t="shared" si="28"/>
        <v>3</v>
      </c>
      <c r="Q79">
        <f t="shared" si="29"/>
        <v>10</v>
      </c>
      <c r="R79">
        <f>_xlfn.XLOOKUP(HFrame_List[[#This Row],[Cross piece style]],$AH$2:$AH$4,$AI$2:$AI$4,0,0)*(HFrame_List[[#This Row],[Width between brackets]]/12)</f>
        <v>14.669200000000002</v>
      </c>
      <c r="S79">
        <f>5.46*(HFrame_List[[#This Row],[cross piece quantity]]-1)*(HFrame_List[[#This Row],[Width between brackets]]/12)</f>
        <v>0</v>
      </c>
      <c r="T79" s="5">
        <f>HFrame_List[[#This Row],[Bottom cross piece cost]]+HFrame_List[[#This Row],[Top cross piece cost]]+HFrame_List[[#This Row],[Component costs]]+HFrame_List[[#This Row],[Vertical strut cost]]</f>
        <v>145.77119999999999</v>
      </c>
      <c r="U79" s="7">
        <f>_xlfn.XLOOKUP(HFrame_List[[#This Row],[Fabrication type]],Fabrication_costs[Fabrication type],Fabrication_costs[unit pricing],"no result",0)</f>
        <v>40.200000000000003</v>
      </c>
      <c r="V79" s="5">
        <f>SUM(T79:U79)/(1-HFrame_List[[#This Row],[Margin]])</f>
        <v>531.34628571428573</v>
      </c>
      <c r="W79" s="36">
        <f t="shared" si="30"/>
        <v>0.65</v>
      </c>
      <c r="X79" t="s">
        <v>196</v>
      </c>
      <c r="Y79">
        <f>_xlfn.XLOOKUP("A12",Strut_costs[size],Strut_costs[Strut cost])/12*HFrame_List[[#This Row],[Strut height (in)]]*(2+HFrame_List[[#This Row],[Extra supports]])</f>
        <v>65.52</v>
      </c>
      <c r="Z79">
        <f>(_xlfn.XLOOKUP("PHB",CADDY_costs[Component],CADDY_costs[Current cost])*HFrame_List[[#This Row],[Number of feet]])+(_xlfn.XLOOKUP("HFRMHDW",CADDY_costs[Component],CADDY_costs[Current cost])*(HFrame_List[[#This Row],[number of L-brackets]]/2))</f>
        <v>65.581999999999994</v>
      </c>
      <c r="AA79">
        <v>3636</v>
      </c>
      <c r="AB79">
        <f>VLOOKUP(HFrame_List[[#This Row],[lookup]],'Pallet and shipping info'!$A$5:$H$33,6,FALSE)</f>
        <v>9</v>
      </c>
      <c r="AC79">
        <f>VLOOKUP(HFrame_List[[#This Row],[lookup]],'Pallet and shipping info'!$A$5:$H$33,8,FALSE)</f>
        <v>14</v>
      </c>
      <c r="AD79"/>
      <c r="AE79"/>
      <c r="AF79"/>
    </row>
    <row r="80" spans="1:32" x14ac:dyDescent="0.25">
      <c r="A80" s="1" t="s">
        <v>340</v>
      </c>
      <c r="B80" s="1" t="s">
        <v>341</v>
      </c>
      <c r="C80" s="1">
        <f t="shared" si="23"/>
        <v>49.674999999999997</v>
      </c>
      <c r="D80" s="1">
        <f t="shared" si="24"/>
        <v>50.050999999999995</v>
      </c>
      <c r="E80" s="1">
        <v>48</v>
      </c>
      <c r="F80" s="1">
        <f t="shared" ref="F80:F85" si="35">F79</f>
        <v>36</v>
      </c>
      <c r="G80" s="1">
        <f t="shared" si="31"/>
        <v>32.24</v>
      </c>
      <c r="H80" s="1">
        <v>2</v>
      </c>
      <c r="I80" s="1" t="s">
        <v>176</v>
      </c>
      <c r="J80" s="1">
        <v>1</v>
      </c>
      <c r="K80" s="2">
        <f t="shared" si="25"/>
        <v>10.375</v>
      </c>
      <c r="L80" s="1">
        <f t="shared" si="26"/>
        <v>4</v>
      </c>
      <c r="M80" s="1">
        <f t="shared" si="32"/>
        <v>18</v>
      </c>
      <c r="N80" s="1">
        <f t="shared" si="33"/>
        <v>6</v>
      </c>
      <c r="O80" s="3">
        <f t="shared" si="27"/>
        <v>27</v>
      </c>
      <c r="P80" s="1">
        <f t="shared" si="28"/>
        <v>3</v>
      </c>
      <c r="Q80">
        <f t="shared" si="29"/>
        <v>10</v>
      </c>
      <c r="R80">
        <f>_xlfn.XLOOKUP(HFrame_List[[#This Row],[Cross piece style]],$AH$2:$AH$4,$AI$2:$AI$4,0,0)*(HFrame_List[[#This Row],[Width between brackets]]/12)</f>
        <v>14.669200000000002</v>
      </c>
      <c r="S80">
        <f>5.46*(HFrame_List[[#This Row],[cross piece quantity]]-1)*(HFrame_List[[#This Row],[Width between brackets]]/12)</f>
        <v>0</v>
      </c>
      <c r="T80" s="5">
        <f>HFrame_List[[#This Row],[Bottom cross piece cost]]+HFrame_List[[#This Row],[Top cross piece cost]]+HFrame_List[[#This Row],[Component costs]]+HFrame_List[[#This Row],[Vertical strut cost]]</f>
        <v>167.6112</v>
      </c>
      <c r="U80" s="7">
        <f>_xlfn.XLOOKUP(HFrame_List[[#This Row],[Fabrication type]],Fabrication_costs[Fabrication type],Fabrication_costs[unit pricing],"no result",0)</f>
        <v>40.200000000000003</v>
      </c>
      <c r="V80" s="5">
        <f>SUM(T80:U80)/(1-HFrame_List[[#This Row],[Margin]])</f>
        <v>593.7462857142857</v>
      </c>
      <c r="W80" s="36">
        <f t="shared" si="30"/>
        <v>0.65</v>
      </c>
      <c r="X80" t="s">
        <v>196</v>
      </c>
      <c r="Y80">
        <f>_xlfn.XLOOKUP("A12",Strut_costs[size],Strut_costs[Strut cost])/12*HFrame_List[[#This Row],[Strut height (in)]]*(2+HFrame_List[[#This Row],[Extra supports]])</f>
        <v>87.36</v>
      </c>
      <c r="Z80">
        <f>(_xlfn.XLOOKUP("PHB",CADDY_costs[Component],CADDY_costs[Current cost])*HFrame_List[[#This Row],[Number of feet]])+(_xlfn.XLOOKUP("HFRMHDW",CADDY_costs[Component],CADDY_costs[Current cost])*(HFrame_List[[#This Row],[number of L-brackets]]/2))</f>
        <v>65.581999999999994</v>
      </c>
      <c r="AA80">
        <v>4836</v>
      </c>
      <c r="AB80">
        <f>VLOOKUP(HFrame_List[[#This Row],[lookup]],'Pallet and shipping info'!$A$5:$H$33,6,FALSE)</f>
        <v>9</v>
      </c>
      <c r="AC80">
        <f>VLOOKUP(HFrame_List[[#This Row],[lookup]],'Pallet and shipping info'!$A$5:$H$33,8,FALSE)</f>
        <v>14</v>
      </c>
      <c r="AD80"/>
      <c r="AE80"/>
      <c r="AF80"/>
    </row>
    <row r="81" spans="1:32" x14ac:dyDescent="0.25">
      <c r="A81" s="1" t="s">
        <v>342</v>
      </c>
      <c r="B81" s="1" t="s">
        <v>343</v>
      </c>
      <c r="C81" s="1">
        <f t="shared" si="23"/>
        <v>73.674999999999997</v>
      </c>
      <c r="D81" s="1">
        <f t="shared" si="24"/>
        <v>50.050999999999995</v>
      </c>
      <c r="E81" s="1">
        <v>72</v>
      </c>
      <c r="F81" s="1">
        <f t="shared" si="35"/>
        <v>36</v>
      </c>
      <c r="G81" s="1">
        <f t="shared" si="31"/>
        <v>32.24</v>
      </c>
      <c r="H81" s="1">
        <v>2</v>
      </c>
      <c r="I81" s="1" t="s">
        <v>176</v>
      </c>
      <c r="J81" s="1">
        <v>1</v>
      </c>
      <c r="K81" s="2">
        <f t="shared" si="25"/>
        <v>10.375</v>
      </c>
      <c r="L81" s="1">
        <f t="shared" si="26"/>
        <v>4</v>
      </c>
      <c r="M81" s="1">
        <f t="shared" si="32"/>
        <v>18</v>
      </c>
      <c r="N81" s="1">
        <f t="shared" si="33"/>
        <v>6</v>
      </c>
      <c r="O81" s="3">
        <f t="shared" si="27"/>
        <v>39</v>
      </c>
      <c r="P81" s="1">
        <f t="shared" si="28"/>
        <v>4</v>
      </c>
      <c r="Q81">
        <f t="shared" si="29"/>
        <v>10</v>
      </c>
      <c r="R81">
        <f>_xlfn.XLOOKUP(HFrame_List[[#This Row],[Cross piece style]],$AH$2:$AH$4,$AI$2:$AI$4,0,0)*(HFrame_List[[#This Row],[Width between brackets]]/12)</f>
        <v>14.669200000000002</v>
      </c>
      <c r="S81">
        <f>5.46*(HFrame_List[[#This Row],[cross piece quantity]]-1)*(HFrame_List[[#This Row],[Width between brackets]]/12)</f>
        <v>0</v>
      </c>
      <c r="T81" s="5">
        <f>HFrame_List[[#This Row],[Bottom cross piece cost]]+HFrame_List[[#This Row],[Top cross piece cost]]+HFrame_List[[#This Row],[Component costs]]+HFrame_List[[#This Row],[Vertical strut cost]]</f>
        <v>211.2912</v>
      </c>
      <c r="U81" s="7">
        <f>_xlfn.XLOOKUP(HFrame_List[[#This Row],[Fabrication type]],Fabrication_costs[Fabrication type],Fabrication_costs[unit pricing],"no result",0)</f>
        <v>40.200000000000003</v>
      </c>
      <c r="V81" s="5">
        <f>SUM(T81:U81)/(1-HFrame_List[[#This Row],[Margin]])</f>
        <v>718.54628571428577</v>
      </c>
      <c r="W81" s="36">
        <f t="shared" si="30"/>
        <v>0.65</v>
      </c>
      <c r="X81" t="s">
        <v>196</v>
      </c>
      <c r="Y81">
        <f>_xlfn.XLOOKUP("A12",Strut_costs[size],Strut_costs[Strut cost])/12*HFrame_List[[#This Row],[Strut height (in)]]*(2+HFrame_List[[#This Row],[Extra supports]])</f>
        <v>131.04</v>
      </c>
      <c r="Z81">
        <f>(_xlfn.XLOOKUP("PHB",CADDY_costs[Component],CADDY_costs[Current cost])*HFrame_List[[#This Row],[Number of feet]])+(_xlfn.XLOOKUP("HFRMHDW",CADDY_costs[Component],CADDY_costs[Current cost])*(HFrame_List[[#This Row],[number of L-brackets]]/2))</f>
        <v>65.581999999999994</v>
      </c>
      <c r="AA81">
        <v>7236</v>
      </c>
      <c r="AB81">
        <f>VLOOKUP(HFrame_List[[#This Row],[lookup]],'Pallet and shipping info'!$A$5:$H$33,6,FALSE)</f>
        <v>9</v>
      </c>
      <c r="AC81">
        <f>VLOOKUP(HFrame_List[[#This Row],[lookup]],'Pallet and shipping info'!$A$5:$H$33,8,FALSE)</f>
        <v>14</v>
      </c>
      <c r="AD81"/>
      <c r="AE81"/>
      <c r="AF81"/>
    </row>
    <row r="82" spans="1:32" x14ac:dyDescent="0.25">
      <c r="A82" s="1" t="s">
        <v>344</v>
      </c>
      <c r="B82" s="1" t="s">
        <v>345</v>
      </c>
      <c r="C82" s="1">
        <f t="shared" si="23"/>
        <v>25.675000000000001</v>
      </c>
      <c r="D82" s="1">
        <f t="shared" si="24"/>
        <v>62.050999999999995</v>
      </c>
      <c r="E82" s="1">
        <v>24</v>
      </c>
      <c r="F82" s="1">
        <v>48</v>
      </c>
      <c r="G82" s="1">
        <f t="shared" si="31"/>
        <v>44.24</v>
      </c>
      <c r="H82" s="1">
        <v>2</v>
      </c>
      <c r="I82" s="1" t="s">
        <v>176</v>
      </c>
      <c r="J82" s="1">
        <v>1</v>
      </c>
      <c r="K82" s="2">
        <f t="shared" si="25"/>
        <v>14.375</v>
      </c>
      <c r="L82" s="1">
        <f t="shared" si="26"/>
        <v>4</v>
      </c>
      <c r="M82" s="1">
        <f t="shared" si="32"/>
        <v>18</v>
      </c>
      <c r="N82" s="1">
        <f t="shared" si="33"/>
        <v>6</v>
      </c>
      <c r="O82" s="3">
        <f t="shared" si="27"/>
        <v>16</v>
      </c>
      <c r="P82" s="1">
        <f t="shared" si="28"/>
        <v>2</v>
      </c>
      <c r="Q82">
        <f t="shared" si="29"/>
        <v>10</v>
      </c>
      <c r="R82">
        <f>_xlfn.XLOOKUP(HFrame_List[[#This Row],[Cross piece style]],$AH$2:$AH$4,$AI$2:$AI$4,0,0)*(HFrame_List[[#This Row],[Width between brackets]]/12)</f>
        <v>20.129200000000001</v>
      </c>
      <c r="S82">
        <f>5.46*(HFrame_List[[#This Row],[cross piece quantity]]-1)*(HFrame_List[[#This Row],[Width between brackets]]/12)</f>
        <v>0</v>
      </c>
      <c r="T82" s="5">
        <f>HFrame_List[[#This Row],[Bottom cross piece cost]]+HFrame_List[[#This Row],[Top cross piece cost]]+HFrame_List[[#This Row],[Component costs]]+HFrame_List[[#This Row],[Vertical strut cost]]</f>
        <v>129.3912</v>
      </c>
      <c r="U82" s="7">
        <f>_xlfn.XLOOKUP(HFrame_List[[#This Row],[Fabrication type]],Fabrication_costs[Fabrication type],Fabrication_costs[unit pricing],"no result",0)</f>
        <v>40.200000000000003</v>
      </c>
      <c r="V82" s="5">
        <f>SUM(T82:U82)/(1-HFrame_List[[#This Row],[Margin]])</f>
        <v>484.54628571428577</v>
      </c>
      <c r="W82" s="36">
        <f t="shared" si="30"/>
        <v>0.65</v>
      </c>
      <c r="X82" t="s">
        <v>196</v>
      </c>
      <c r="Y82">
        <f>_xlfn.XLOOKUP("A12",Strut_costs[size],Strut_costs[Strut cost])/12*HFrame_List[[#This Row],[Strut height (in)]]*(2+HFrame_List[[#This Row],[Extra supports]])</f>
        <v>43.68</v>
      </c>
      <c r="Z82">
        <f>(_xlfn.XLOOKUP("PHB",CADDY_costs[Component],CADDY_costs[Current cost])*HFrame_List[[#This Row],[Number of feet]])+(_xlfn.XLOOKUP("HFRMHDW",CADDY_costs[Component],CADDY_costs[Current cost])*(HFrame_List[[#This Row],[number of L-brackets]]/2))</f>
        <v>65.581999999999994</v>
      </c>
      <c r="AA82">
        <v>2448</v>
      </c>
      <c r="AB82">
        <f>VLOOKUP(HFrame_List[[#This Row],[lookup]],'Pallet and shipping info'!$A$5:$H$33,6,FALSE)</f>
        <v>7</v>
      </c>
      <c r="AC82">
        <f>VLOOKUP(HFrame_List[[#This Row],[lookup]],'Pallet and shipping info'!$A$5:$H$33,8,FALSE)</f>
        <v>10</v>
      </c>
      <c r="AD82"/>
      <c r="AE82"/>
      <c r="AF82"/>
    </row>
    <row r="83" spans="1:32" x14ac:dyDescent="0.25">
      <c r="A83" s="1" t="s">
        <v>346</v>
      </c>
      <c r="B83" s="1" t="s">
        <v>347</v>
      </c>
      <c r="C83" s="1">
        <f t="shared" si="23"/>
        <v>37.674999999999997</v>
      </c>
      <c r="D83" s="1">
        <f t="shared" si="24"/>
        <v>62.050999999999995</v>
      </c>
      <c r="E83" s="1">
        <v>36</v>
      </c>
      <c r="F83" s="1">
        <f t="shared" si="35"/>
        <v>48</v>
      </c>
      <c r="G83" s="1">
        <f t="shared" si="31"/>
        <v>44.24</v>
      </c>
      <c r="H83" s="1">
        <v>2</v>
      </c>
      <c r="I83" s="1" t="s">
        <v>176</v>
      </c>
      <c r="J83" s="1">
        <v>1</v>
      </c>
      <c r="K83" s="2">
        <f t="shared" si="25"/>
        <v>14.375</v>
      </c>
      <c r="L83" s="1">
        <f t="shared" si="26"/>
        <v>4</v>
      </c>
      <c r="M83" s="1">
        <f t="shared" si="32"/>
        <v>18</v>
      </c>
      <c r="N83" s="1">
        <f t="shared" si="33"/>
        <v>6</v>
      </c>
      <c r="O83" s="3">
        <f t="shared" si="27"/>
        <v>22</v>
      </c>
      <c r="P83" s="1">
        <f t="shared" si="28"/>
        <v>3</v>
      </c>
      <c r="Q83">
        <f t="shared" si="29"/>
        <v>10</v>
      </c>
      <c r="R83">
        <f>_xlfn.XLOOKUP(HFrame_List[[#This Row],[Cross piece style]],$AH$2:$AH$4,$AI$2:$AI$4,0,0)*(HFrame_List[[#This Row],[Width between brackets]]/12)</f>
        <v>20.129200000000001</v>
      </c>
      <c r="S83">
        <f>5.46*(HFrame_List[[#This Row],[cross piece quantity]]-1)*(HFrame_List[[#This Row],[Width between brackets]]/12)</f>
        <v>0</v>
      </c>
      <c r="T83" s="5">
        <f>HFrame_List[[#This Row],[Bottom cross piece cost]]+HFrame_List[[#This Row],[Top cross piece cost]]+HFrame_List[[#This Row],[Component costs]]+HFrame_List[[#This Row],[Vertical strut cost]]</f>
        <v>151.2312</v>
      </c>
      <c r="U83" s="7">
        <f>_xlfn.XLOOKUP(HFrame_List[[#This Row],[Fabrication type]],Fabrication_costs[Fabrication type],Fabrication_costs[unit pricing],"no result",0)</f>
        <v>40.200000000000003</v>
      </c>
      <c r="V83" s="5">
        <f>SUM(T83:U83)/(1-HFrame_List[[#This Row],[Margin]])</f>
        <v>546.94628571428575</v>
      </c>
      <c r="W83" s="36">
        <f t="shared" si="30"/>
        <v>0.65</v>
      </c>
      <c r="X83" t="s">
        <v>196</v>
      </c>
      <c r="Y83">
        <f>_xlfn.XLOOKUP("A12",Strut_costs[size],Strut_costs[Strut cost])/12*HFrame_List[[#This Row],[Strut height (in)]]*(2+HFrame_List[[#This Row],[Extra supports]])</f>
        <v>65.52</v>
      </c>
      <c r="Z83">
        <f>(_xlfn.XLOOKUP("PHB",CADDY_costs[Component],CADDY_costs[Current cost])*HFrame_List[[#This Row],[Number of feet]])+(_xlfn.XLOOKUP("HFRMHDW",CADDY_costs[Component],CADDY_costs[Current cost])*(HFrame_List[[#This Row],[number of L-brackets]]/2))</f>
        <v>65.581999999999994</v>
      </c>
      <c r="AA83">
        <v>3648</v>
      </c>
      <c r="AB83">
        <f>VLOOKUP(HFrame_List[[#This Row],[lookup]],'Pallet and shipping info'!$A$5:$H$33,6,FALSE)</f>
        <v>7</v>
      </c>
      <c r="AC83">
        <f>VLOOKUP(HFrame_List[[#This Row],[lookup]],'Pallet and shipping info'!$A$5:$H$33,8,FALSE)</f>
        <v>10</v>
      </c>
      <c r="AD83"/>
      <c r="AE83"/>
      <c r="AF83"/>
    </row>
    <row r="84" spans="1:32" x14ac:dyDescent="0.25">
      <c r="A84" s="1" t="s">
        <v>348</v>
      </c>
      <c r="B84" s="1" t="s">
        <v>349</v>
      </c>
      <c r="C84" s="1">
        <f t="shared" si="23"/>
        <v>49.674999999999997</v>
      </c>
      <c r="D84" s="1">
        <f t="shared" si="24"/>
        <v>62.050999999999995</v>
      </c>
      <c r="E84" s="1">
        <v>48</v>
      </c>
      <c r="F84" s="1">
        <f t="shared" si="35"/>
        <v>48</v>
      </c>
      <c r="G84" s="1">
        <f t="shared" si="31"/>
        <v>44.24</v>
      </c>
      <c r="H84" s="1">
        <v>2</v>
      </c>
      <c r="I84" s="1" t="s">
        <v>176</v>
      </c>
      <c r="J84" s="1">
        <v>1</v>
      </c>
      <c r="K84" s="2">
        <f t="shared" si="25"/>
        <v>14.375</v>
      </c>
      <c r="L84" s="1">
        <f t="shared" si="26"/>
        <v>4</v>
      </c>
      <c r="M84" s="1">
        <f t="shared" si="32"/>
        <v>18</v>
      </c>
      <c r="N84" s="1">
        <f t="shared" si="33"/>
        <v>6</v>
      </c>
      <c r="O84" s="3">
        <f t="shared" si="27"/>
        <v>28</v>
      </c>
      <c r="P84" s="1">
        <f t="shared" si="28"/>
        <v>3</v>
      </c>
      <c r="Q84">
        <f t="shared" si="29"/>
        <v>10</v>
      </c>
      <c r="R84">
        <f>_xlfn.XLOOKUP(HFrame_List[[#This Row],[Cross piece style]],$AH$2:$AH$4,$AI$2:$AI$4,0,0)*(HFrame_List[[#This Row],[Width between brackets]]/12)</f>
        <v>20.129200000000001</v>
      </c>
      <c r="S84">
        <f>5.46*(HFrame_List[[#This Row],[cross piece quantity]]-1)*(HFrame_List[[#This Row],[Width between brackets]]/12)</f>
        <v>0</v>
      </c>
      <c r="T84" s="5">
        <f>HFrame_List[[#This Row],[Bottom cross piece cost]]+HFrame_List[[#This Row],[Top cross piece cost]]+HFrame_List[[#This Row],[Component costs]]+HFrame_List[[#This Row],[Vertical strut cost]]</f>
        <v>173.07119999999998</v>
      </c>
      <c r="U84" s="7">
        <f>_xlfn.XLOOKUP(HFrame_List[[#This Row],[Fabrication type]],Fabrication_costs[Fabrication type],Fabrication_costs[unit pricing],"no result",0)</f>
        <v>40.200000000000003</v>
      </c>
      <c r="V84" s="5">
        <f>SUM(T84:U84)/(1-HFrame_List[[#This Row],[Margin]])</f>
        <v>609.34628571428561</v>
      </c>
      <c r="W84" s="36">
        <f t="shared" si="30"/>
        <v>0.65</v>
      </c>
      <c r="X84" t="s">
        <v>196</v>
      </c>
      <c r="Y84">
        <f>_xlfn.XLOOKUP("A12",Strut_costs[size],Strut_costs[Strut cost])/12*HFrame_List[[#This Row],[Strut height (in)]]*(2+HFrame_List[[#This Row],[Extra supports]])</f>
        <v>87.36</v>
      </c>
      <c r="Z84">
        <f>(_xlfn.XLOOKUP("PHB",CADDY_costs[Component],CADDY_costs[Current cost])*HFrame_List[[#This Row],[Number of feet]])+(_xlfn.XLOOKUP("HFRMHDW",CADDY_costs[Component],CADDY_costs[Current cost])*(HFrame_List[[#This Row],[number of L-brackets]]/2))</f>
        <v>65.581999999999994</v>
      </c>
      <c r="AA84">
        <v>4848</v>
      </c>
      <c r="AB84">
        <f>VLOOKUP(HFrame_List[[#This Row],[lookup]],'Pallet and shipping info'!$A$5:$H$33,6,FALSE)</f>
        <v>7</v>
      </c>
      <c r="AC84">
        <f>VLOOKUP(HFrame_List[[#This Row],[lookup]],'Pallet and shipping info'!$A$5:$H$33,8,FALSE)</f>
        <v>10</v>
      </c>
      <c r="AD84"/>
      <c r="AE84"/>
      <c r="AF84"/>
    </row>
    <row r="85" spans="1:32" x14ac:dyDescent="0.25">
      <c r="A85" s="1" t="s">
        <v>350</v>
      </c>
      <c r="B85" s="1" t="s">
        <v>351</v>
      </c>
      <c r="C85" s="1">
        <f t="shared" si="23"/>
        <v>73.674999999999997</v>
      </c>
      <c r="D85" s="1">
        <f t="shared" si="24"/>
        <v>62.050999999999995</v>
      </c>
      <c r="E85" s="1">
        <v>72</v>
      </c>
      <c r="F85" s="1">
        <f t="shared" si="35"/>
        <v>48</v>
      </c>
      <c r="G85" s="1">
        <f t="shared" si="31"/>
        <v>44.24</v>
      </c>
      <c r="H85" s="1">
        <v>2</v>
      </c>
      <c r="I85" s="1" t="s">
        <v>176</v>
      </c>
      <c r="J85" s="1">
        <v>1</v>
      </c>
      <c r="K85" s="2">
        <f t="shared" si="25"/>
        <v>14.375</v>
      </c>
      <c r="L85" s="1">
        <f t="shared" si="26"/>
        <v>4</v>
      </c>
      <c r="M85" s="1">
        <f t="shared" si="32"/>
        <v>18</v>
      </c>
      <c r="N85" s="1">
        <f t="shared" si="33"/>
        <v>6</v>
      </c>
      <c r="O85" s="3">
        <f t="shared" si="27"/>
        <v>40</v>
      </c>
      <c r="P85" s="1">
        <f t="shared" si="28"/>
        <v>4</v>
      </c>
      <c r="Q85">
        <f t="shared" si="29"/>
        <v>10</v>
      </c>
      <c r="R85">
        <f>_xlfn.XLOOKUP(HFrame_List[[#This Row],[Cross piece style]],$AH$2:$AH$4,$AI$2:$AI$4,0,0)*(HFrame_List[[#This Row],[Width between brackets]]/12)</f>
        <v>20.129200000000001</v>
      </c>
      <c r="S85">
        <f>5.46*(HFrame_List[[#This Row],[cross piece quantity]]-1)*(HFrame_List[[#This Row],[Width between brackets]]/12)</f>
        <v>0</v>
      </c>
      <c r="T85" s="5">
        <f>HFrame_List[[#This Row],[Bottom cross piece cost]]+HFrame_List[[#This Row],[Top cross piece cost]]+HFrame_List[[#This Row],[Component costs]]+HFrame_List[[#This Row],[Vertical strut cost]]</f>
        <v>216.75119999999998</v>
      </c>
      <c r="U85" s="7">
        <f>_xlfn.XLOOKUP(HFrame_List[[#This Row],[Fabrication type]],Fabrication_costs[Fabrication type],Fabrication_costs[unit pricing],"no result",0)</f>
        <v>40.200000000000003</v>
      </c>
      <c r="V85" s="5">
        <f>SUM(T85:U85)/(1-HFrame_List[[#This Row],[Margin]])</f>
        <v>734.14628571428568</v>
      </c>
      <c r="W85" s="36">
        <f t="shared" si="30"/>
        <v>0.65</v>
      </c>
      <c r="X85" t="s">
        <v>196</v>
      </c>
      <c r="Y85">
        <f>_xlfn.XLOOKUP("A12",Strut_costs[size],Strut_costs[Strut cost])/12*HFrame_List[[#This Row],[Strut height (in)]]*(2+HFrame_List[[#This Row],[Extra supports]])</f>
        <v>131.04</v>
      </c>
      <c r="Z85">
        <f>(_xlfn.XLOOKUP("PHB",CADDY_costs[Component],CADDY_costs[Current cost])*HFrame_List[[#This Row],[Number of feet]])+(_xlfn.XLOOKUP("HFRMHDW",CADDY_costs[Component],CADDY_costs[Current cost])*(HFrame_List[[#This Row],[number of L-brackets]]/2))</f>
        <v>65.581999999999994</v>
      </c>
      <c r="AA85">
        <v>7248</v>
      </c>
      <c r="AB85">
        <f>VLOOKUP(HFrame_List[[#This Row],[lookup]],'Pallet and shipping info'!$A$5:$H$33,6,FALSE)</f>
        <v>7</v>
      </c>
      <c r="AC85">
        <f>VLOOKUP(HFrame_List[[#This Row],[lookup]],'Pallet and shipping info'!$A$5:$H$33,8,FALSE)</f>
        <v>10</v>
      </c>
      <c r="AD85"/>
      <c r="AE85"/>
      <c r="AF85"/>
    </row>
    <row r="86" spans="1:32" x14ac:dyDescent="0.25">
      <c r="A86" s="1" t="s">
        <v>352</v>
      </c>
      <c r="B86" s="1" t="s">
        <v>353</v>
      </c>
      <c r="C86" s="1">
        <f t="shared" si="23"/>
        <v>25.675000000000001</v>
      </c>
      <c r="D86" s="1">
        <f t="shared" si="24"/>
        <v>74.051000000000002</v>
      </c>
      <c r="E86" s="1">
        <v>24</v>
      </c>
      <c r="F86" s="1">
        <v>60</v>
      </c>
      <c r="G86" s="1">
        <f t="shared" si="31"/>
        <v>56.24</v>
      </c>
      <c r="H86" s="1">
        <v>2</v>
      </c>
      <c r="I86" s="1" t="s">
        <v>176</v>
      </c>
      <c r="J86" s="1">
        <v>1</v>
      </c>
      <c r="K86" s="2">
        <f t="shared" si="25"/>
        <v>18.375</v>
      </c>
      <c r="L86" s="1">
        <f t="shared" si="26"/>
        <v>4</v>
      </c>
      <c r="M86" s="1">
        <f t="shared" si="32"/>
        <v>18</v>
      </c>
      <c r="N86" s="1">
        <f t="shared" si="33"/>
        <v>6</v>
      </c>
      <c r="O86" s="3">
        <f t="shared" si="27"/>
        <v>17</v>
      </c>
      <c r="P86" s="1">
        <f t="shared" si="28"/>
        <v>2</v>
      </c>
      <c r="Q86">
        <f t="shared" si="29"/>
        <v>10</v>
      </c>
      <c r="R86">
        <f>_xlfn.XLOOKUP(HFrame_List[[#This Row],[Cross piece style]],$AH$2:$AH$4,$AI$2:$AI$4,0,0)*(HFrame_List[[#This Row],[Width between brackets]]/12)</f>
        <v>25.589199999999998</v>
      </c>
      <c r="S86">
        <f>5.46*(HFrame_List[[#This Row],[cross piece quantity]]-1)*(HFrame_List[[#This Row],[Width between brackets]]/12)</f>
        <v>0</v>
      </c>
      <c r="T86" s="5">
        <f>HFrame_List[[#This Row],[Bottom cross piece cost]]+HFrame_List[[#This Row],[Top cross piece cost]]+HFrame_List[[#This Row],[Component costs]]+HFrame_List[[#This Row],[Vertical strut cost]]</f>
        <v>134.85120000000001</v>
      </c>
      <c r="U86" s="7">
        <f>_xlfn.XLOOKUP(HFrame_List[[#This Row],[Fabrication type]],Fabrication_costs[Fabrication type],Fabrication_costs[unit pricing],"no result",0)</f>
        <v>40.200000000000003</v>
      </c>
      <c r="V86" s="5">
        <f>SUM(T86:U86)/(1-HFrame_List[[#This Row],[Margin]])</f>
        <v>500.14628571428574</v>
      </c>
      <c r="W86" s="36">
        <f t="shared" si="30"/>
        <v>0.65</v>
      </c>
      <c r="X86" t="s">
        <v>196</v>
      </c>
      <c r="Y86">
        <f>_xlfn.XLOOKUP("A12",Strut_costs[size],Strut_costs[Strut cost])/12*HFrame_List[[#This Row],[Strut height (in)]]*(2+HFrame_List[[#This Row],[Extra supports]])</f>
        <v>43.68</v>
      </c>
      <c r="Z86">
        <f>(_xlfn.XLOOKUP("PHB",CADDY_costs[Component],CADDY_costs[Current cost])*HFrame_List[[#This Row],[Number of feet]])+(_xlfn.XLOOKUP("HFRMHDW",CADDY_costs[Component],CADDY_costs[Current cost])*(HFrame_List[[#This Row],[number of L-brackets]]/2))</f>
        <v>65.581999999999994</v>
      </c>
      <c r="AA86">
        <v>2460</v>
      </c>
      <c r="AB86" t="str">
        <f>VLOOKUP(HFrame_List[[#This Row],[lookup]],'Pallet and shipping info'!$A$5:$H$33,6,FALSE)</f>
        <v>x</v>
      </c>
      <c r="AC86">
        <f>VLOOKUP(HFrame_List[[#This Row],[lookup]],'Pallet and shipping info'!$A$5:$H$33,8,FALSE)</f>
        <v>7</v>
      </c>
      <c r="AD86"/>
      <c r="AE86"/>
      <c r="AF86"/>
    </row>
    <row r="87" spans="1:32" x14ac:dyDescent="0.25">
      <c r="A87" s="1" t="s">
        <v>354</v>
      </c>
      <c r="B87" s="1" t="s">
        <v>355</v>
      </c>
      <c r="C87" s="1">
        <f t="shared" si="23"/>
        <v>37.674999999999997</v>
      </c>
      <c r="D87" s="1">
        <f t="shared" si="24"/>
        <v>74.051000000000002</v>
      </c>
      <c r="E87" s="1">
        <v>36</v>
      </c>
      <c r="F87" s="1">
        <v>60</v>
      </c>
      <c r="G87" s="1">
        <f t="shared" si="31"/>
        <v>56.24</v>
      </c>
      <c r="H87" s="1">
        <v>2</v>
      </c>
      <c r="I87" s="1" t="s">
        <v>176</v>
      </c>
      <c r="J87" s="1">
        <v>1</v>
      </c>
      <c r="K87" s="2">
        <f t="shared" si="25"/>
        <v>18.375</v>
      </c>
      <c r="L87" s="1">
        <f t="shared" si="26"/>
        <v>4</v>
      </c>
      <c r="M87" s="1">
        <f t="shared" si="32"/>
        <v>18</v>
      </c>
      <c r="N87" s="1">
        <f t="shared" si="33"/>
        <v>6</v>
      </c>
      <c r="O87" s="3">
        <f t="shared" si="27"/>
        <v>23</v>
      </c>
      <c r="P87" s="1">
        <f t="shared" si="28"/>
        <v>3</v>
      </c>
      <c r="Q87">
        <f t="shared" si="29"/>
        <v>10</v>
      </c>
      <c r="R87">
        <f>_xlfn.XLOOKUP(HFrame_List[[#This Row],[Cross piece style]],$AH$2:$AH$4,$AI$2:$AI$4,0,0)*(HFrame_List[[#This Row],[Width between brackets]]/12)</f>
        <v>25.589199999999998</v>
      </c>
      <c r="S87">
        <f>5.46*(HFrame_List[[#This Row],[cross piece quantity]]-1)*(HFrame_List[[#This Row],[Width between brackets]]/12)</f>
        <v>0</v>
      </c>
      <c r="T87" s="5">
        <f>HFrame_List[[#This Row],[Bottom cross piece cost]]+HFrame_List[[#This Row],[Top cross piece cost]]+HFrame_List[[#This Row],[Component costs]]+HFrame_List[[#This Row],[Vertical strut cost]]</f>
        <v>156.69119999999998</v>
      </c>
      <c r="U87" s="7">
        <f>_xlfn.XLOOKUP(HFrame_List[[#This Row],[Fabrication type]],Fabrication_costs[Fabrication type],Fabrication_costs[unit pricing],"no result",0)</f>
        <v>40.200000000000003</v>
      </c>
      <c r="V87" s="5">
        <f>SUM(T87:U87)/(1-HFrame_List[[#This Row],[Margin]])</f>
        <v>562.54628571428566</v>
      </c>
      <c r="W87" s="36">
        <f t="shared" si="30"/>
        <v>0.65</v>
      </c>
      <c r="X87" t="s">
        <v>196</v>
      </c>
      <c r="Y87">
        <f>_xlfn.XLOOKUP("A12",Strut_costs[size],Strut_costs[Strut cost])/12*HFrame_List[[#This Row],[Strut height (in)]]*(2+HFrame_List[[#This Row],[Extra supports]])</f>
        <v>65.52</v>
      </c>
      <c r="Z87">
        <f>(_xlfn.XLOOKUP("PHB",CADDY_costs[Component],CADDY_costs[Current cost])*HFrame_List[[#This Row],[Number of feet]])+(_xlfn.XLOOKUP("HFRMHDW",CADDY_costs[Component],CADDY_costs[Current cost])*(HFrame_List[[#This Row],[number of L-brackets]]/2))</f>
        <v>65.581999999999994</v>
      </c>
      <c r="AA87">
        <v>3660</v>
      </c>
      <c r="AB87" t="str">
        <f>VLOOKUP(HFrame_List[[#This Row],[lookup]],'Pallet and shipping info'!$A$5:$H$33,6,FALSE)</f>
        <v>x</v>
      </c>
      <c r="AC87">
        <f>VLOOKUP(HFrame_List[[#This Row],[lookup]],'Pallet and shipping info'!$A$5:$H$33,8,FALSE)</f>
        <v>7</v>
      </c>
      <c r="AD87"/>
      <c r="AE87"/>
      <c r="AF87"/>
    </row>
    <row r="88" spans="1:32" x14ac:dyDescent="0.25">
      <c r="A88" s="1" t="s">
        <v>356</v>
      </c>
      <c r="B88" s="1" t="s">
        <v>357</v>
      </c>
      <c r="C88" s="1">
        <f t="shared" si="23"/>
        <v>49.674999999999997</v>
      </c>
      <c r="D88" s="1">
        <f t="shared" si="24"/>
        <v>74.051000000000002</v>
      </c>
      <c r="E88" s="1">
        <v>48</v>
      </c>
      <c r="F88" s="1">
        <v>60</v>
      </c>
      <c r="G88" s="1">
        <f t="shared" si="31"/>
        <v>56.24</v>
      </c>
      <c r="H88" s="1">
        <v>2</v>
      </c>
      <c r="I88" s="1" t="s">
        <v>176</v>
      </c>
      <c r="J88" s="1">
        <v>1</v>
      </c>
      <c r="K88" s="2">
        <f t="shared" si="25"/>
        <v>18.375</v>
      </c>
      <c r="L88" s="1">
        <f t="shared" si="26"/>
        <v>4</v>
      </c>
      <c r="M88" s="1">
        <f t="shared" si="32"/>
        <v>18</v>
      </c>
      <c r="N88" s="1">
        <f t="shared" si="33"/>
        <v>6</v>
      </c>
      <c r="O88" s="3">
        <f t="shared" si="27"/>
        <v>29</v>
      </c>
      <c r="P88" s="1">
        <f t="shared" si="28"/>
        <v>3</v>
      </c>
      <c r="Q88">
        <f t="shared" si="29"/>
        <v>10</v>
      </c>
      <c r="R88">
        <f>_xlfn.XLOOKUP(HFrame_List[[#This Row],[Cross piece style]],$AH$2:$AH$4,$AI$2:$AI$4,0,0)*(HFrame_List[[#This Row],[Width between brackets]]/12)</f>
        <v>25.589199999999998</v>
      </c>
      <c r="S88">
        <f>5.46*(HFrame_List[[#This Row],[cross piece quantity]]-1)*(HFrame_List[[#This Row],[Width between brackets]]/12)</f>
        <v>0</v>
      </c>
      <c r="T88" s="5">
        <f>HFrame_List[[#This Row],[Bottom cross piece cost]]+HFrame_List[[#This Row],[Top cross piece cost]]+HFrame_List[[#This Row],[Component costs]]+HFrame_List[[#This Row],[Vertical strut cost]]</f>
        <v>178.53120000000001</v>
      </c>
      <c r="U88" s="7">
        <f>_xlfn.XLOOKUP(HFrame_List[[#This Row],[Fabrication type]],Fabrication_costs[Fabrication type],Fabrication_costs[unit pricing],"no result",0)</f>
        <v>40.200000000000003</v>
      </c>
      <c r="V88" s="5">
        <f>SUM(T88:U88)/(1-HFrame_List[[#This Row],[Margin]])</f>
        <v>624.94628571428575</v>
      </c>
      <c r="W88" s="36">
        <f t="shared" si="30"/>
        <v>0.65</v>
      </c>
      <c r="X88" t="s">
        <v>196</v>
      </c>
      <c r="Y88">
        <f>_xlfn.XLOOKUP("A12",Strut_costs[size],Strut_costs[Strut cost])/12*HFrame_List[[#This Row],[Strut height (in)]]*(2+HFrame_List[[#This Row],[Extra supports]])</f>
        <v>87.36</v>
      </c>
      <c r="Z88">
        <f>(_xlfn.XLOOKUP("PHB",CADDY_costs[Component],CADDY_costs[Current cost])*HFrame_List[[#This Row],[Number of feet]])+(_xlfn.XLOOKUP("HFRMHDW",CADDY_costs[Component],CADDY_costs[Current cost])*(HFrame_List[[#This Row],[number of L-brackets]]/2))</f>
        <v>65.581999999999994</v>
      </c>
      <c r="AA88">
        <v>4860</v>
      </c>
      <c r="AB88" t="str">
        <f>VLOOKUP(HFrame_List[[#This Row],[lookup]],'Pallet and shipping info'!$A$5:$H$33,6,FALSE)</f>
        <v>x</v>
      </c>
      <c r="AC88">
        <f>VLOOKUP(HFrame_List[[#This Row],[lookup]],'Pallet and shipping info'!$A$5:$H$33,8,FALSE)</f>
        <v>7</v>
      </c>
      <c r="AD88"/>
      <c r="AE88"/>
      <c r="AF88"/>
    </row>
    <row r="89" spans="1:32" x14ac:dyDescent="0.25">
      <c r="A89" s="1" t="s">
        <v>358</v>
      </c>
      <c r="B89" s="1" t="s">
        <v>359</v>
      </c>
      <c r="C89" s="1">
        <f t="shared" si="23"/>
        <v>73.674999999999997</v>
      </c>
      <c r="D89" s="1">
        <f t="shared" si="24"/>
        <v>74.051000000000002</v>
      </c>
      <c r="E89" s="1">
        <v>72</v>
      </c>
      <c r="F89" s="1">
        <v>60</v>
      </c>
      <c r="G89" s="1">
        <f t="shared" si="31"/>
        <v>56.24</v>
      </c>
      <c r="H89" s="1">
        <v>2</v>
      </c>
      <c r="I89" s="1" t="s">
        <v>176</v>
      </c>
      <c r="J89" s="1">
        <v>1</v>
      </c>
      <c r="K89" s="2">
        <f t="shared" si="25"/>
        <v>18.375</v>
      </c>
      <c r="L89" s="1">
        <f t="shared" si="26"/>
        <v>4</v>
      </c>
      <c r="M89" s="1">
        <f t="shared" si="32"/>
        <v>18</v>
      </c>
      <c r="N89" s="1">
        <f t="shared" si="33"/>
        <v>6</v>
      </c>
      <c r="O89" s="3">
        <f t="shared" si="27"/>
        <v>41</v>
      </c>
      <c r="P89" s="1">
        <f t="shared" si="28"/>
        <v>5</v>
      </c>
      <c r="Q89">
        <f t="shared" si="29"/>
        <v>10</v>
      </c>
      <c r="R89">
        <f>_xlfn.XLOOKUP(HFrame_List[[#This Row],[Cross piece style]],$AH$2:$AH$4,$AI$2:$AI$4,0,0)*(HFrame_List[[#This Row],[Width between brackets]]/12)</f>
        <v>25.589199999999998</v>
      </c>
      <c r="S89">
        <f>5.46*(HFrame_List[[#This Row],[cross piece quantity]]-1)*(HFrame_List[[#This Row],[Width between brackets]]/12)</f>
        <v>0</v>
      </c>
      <c r="T89" s="5">
        <f>HFrame_List[[#This Row],[Bottom cross piece cost]]+HFrame_List[[#This Row],[Top cross piece cost]]+HFrame_List[[#This Row],[Component costs]]+HFrame_List[[#This Row],[Vertical strut cost]]</f>
        <v>222.21119999999999</v>
      </c>
      <c r="U89" s="7">
        <f>_xlfn.XLOOKUP(HFrame_List[[#This Row],[Fabrication type]],Fabrication_costs[Fabrication type],Fabrication_costs[unit pricing],"no result",0)</f>
        <v>40.200000000000003</v>
      </c>
      <c r="V89" s="5">
        <f>SUM(T89:U89)/(1-HFrame_List[[#This Row],[Margin]])</f>
        <v>749.74628571428582</v>
      </c>
      <c r="W89" s="36">
        <f t="shared" si="30"/>
        <v>0.65</v>
      </c>
      <c r="X89" t="s">
        <v>196</v>
      </c>
      <c r="Y89">
        <f>_xlfn.XLOOKUP("A12",Strut_costs[size],Strut_costs[Strut cost])/12*HFrame_List[[#This Row],[Strut height (in)]]*(2+HFrame_List[[#This Row],[Extra supports]])</f>
        <v>131.04</v>
      </c>
      <c r="Z89">
        <f>(_xlfn.XLOOKUP("PHB",CADDY_costs[Component],CADDY_costs[Current cost])*HFrame_List[[#This Row],[Number of feet]])+(_xlfn.XLOOKUP("HFRMHDW",CADDY_costs[Component],CADDY_costs[Current cost])*(HFrame_List[[#This Row],[number of L-brackets]]/2))</f>
        <v>65.581999999999994</v>
      </c>
      <c r="AA89">
        <v>7260</v>
      </c>
      <c r="AB89" t="str">
        <f>VLOOKUP(HFrame_List[[#This Row],[lookup]],'Pallet and shipping info'!$A$5:$H$33,6,FALSE)</f>
        <v>x</v>
      </c>
      <c r="AC89">
        <f>VLOOKUP(HFrame_List[[#This Row],[lookup]],'Pallet and shipping info'!$A$5:$H$33,8,FALSE)</f>
        <v>7</v>
      </c>
      <c r="AD89"/>
      <c r="AE89"/>
      <c r="AF89"/>
    </row>
    <row r="90" spans="1:32" x14ac:dyDescent="0.25">
      <c r="A90" s="1" t="s">
        <v>360</v>
      </c>
      <c r="B90" s="1" t="s">
        <v>361</v>
      </c>
      <c r="C90" s="1">
        <f t="shared" si="23"/>
        <v>25.675000000000001</v>
      </c>
      <c r="D90" s="1">
        <f t="shared" si="24"/>
        <v>86.051000000000002</v>
      </c>
      <c r="E90" s="1">
        <v>24</v>
      </c>
      <c r="F90" s="1">
        <v>72</v>
      </c>
      <c r="G90" s="1">
        <f t="shared" si="31"/>
        <v>68.239999999999995</v>
      </c>
      <c r="H90" s="1">
        <v>2</v>
      </c>
      <c r="I90" s="1" t="s">
        <v>176</v>
      </c>
      <c r="J90" s="1">
        <v>1</v>
      </c>
      <c r="K90" s="2">
        <f t="shared" si="25"/>
        <v>22.375</v>
      </c>
      <c r="L90" s="1">
        <f t="shared" si="26"/>
        <v>4</v>
      </c>
      <c r="M90" s="1">
        <f t="shared" si="32"/>
        <v>18</v>
      </c>
      <c r="N90" s="1">
        <f t="shared" si="33"/>
        <v>6</v>
      </c>
      <c r="O90" s="3">
        <f t="shared" si="27"/>
        <v>18</v>
      </c>
      <c r="P90" s="1">
        <f t="shared" si="28"/>
        <v>2</v>
      </c>
      <c r="Q90">
        <f t="shared" si="29"/>
        <v>10</v>
      </c>
      <c r="R90">
        <f>_xlfn.XLOOKUP(HFrame_List[[#This Row],[Cross piece style]],$AH$2:$AH$4,$AI$2:$AI$4,0,0)*(HFrame_List[[#This Row],[Width between brackets]]/12)</f>
        <v>31.049199999999999</v>
      </c>
      <c r="S90">
        <f>5.46*(HFrame_List[[#This Row],[cross piece quantity]]-1)*(HFrame_List[[#This Row],[Width between brackets]]/12)</f>
        <v>0</v>
      </c>
      <c r="T90" s="5">
        <f>HFrame_List[[#This Row],[Bottom cross piece cost]]+HFrame_List[[#This Row],[Top cross piece cost]]+HFrame_List[[#This Row],[Component costs]]+HFrame_List[[#This Row],[Vertical strut cost]]</f>
        <v>140.31119999999999</v>
      </c>
      <c r="U90" s="7">
        <f>_xlfn.XLOOKUP(HFrame_List[[#This Row],[Fabrication type]],Fabrication_costs[Fabrication type],Fabrication_costs[unit pricing],"no result",0)</f>
        <v>40.200000000000003</v>
      </c>
      <c r="V90" s="5">
        <f>SUM(T90:U90)/(1-HFrame_List[[#This Row],[Margin]])</f>
        <v>515.7462857142857</v>
      </c>
      <c r="W90" s="36">
        <f t="shared" si="30"/>
        <v>0.65</v>
      </c>
      <c r="X90" t="s">
        <v>196</v>
      </c>
      <c r="Y90">
        <f>_xlfn.XLOOKUP("A12",Strut_costs[size],Strut_costs[Strut cost])/12*HFrame_List[[#This Row],[Strut height (in)]]*(2+HFrame_List[[#This Row],[Extra supports]])</f>
        <v>43.68</v>
      </c>
      <c r="Z90">
        <f>(_xlfn.XLOOKUP("PHB",CADDY_costs[Component],CADDY_costs[Current cost])*HFrame_List[[#This Row],[Number of feet]])+(_xlfn.XLOOKUP("HFRMHDW",CADDY_costs[Component],CADDY_costs[Current cost])*(HFrame_List[[#This Row],[number of L-brackets]]/2))</f>
        <v>65.581999999999994</v>
      </c>
      <c r="AA90">
        <v>2472</v>
      </c>
      <c r="AB90" t="str">
        <f>VLOOKUP(HFrame_List[[#This Row],[lookup]],'Pallet and shipping info'!$A$5:$H$33,6,FALSE)</f>
        <v>x</v>
      </c>
      <c r="AC90">
        <f>VLOOKUP(HFrame_List[[#This Row],[lookup]],'Pallet and shipping info'!$A$5:$H$33,8,FALSE)</f>
        <v>7</v>
      </c>
      <c r="AD90"/>
      <c r="AE90"/>
      <c r="AF90"/>
    </row>
    <row r="91" spans="1:32" x14ac:dyDescent="0.25">
      <c r="A91" s="1" t="s">
        <v>362</v>
      </c>
      <c r="B91" s="1" t="s">
        <v>363</v>
      </c>
      <c r="C91" s="1">
        <f t="shared" si="23"/>
        <v>37.674999999999997</v>
      </c>
      <c r="D91" s="1">
        <f t="shared" si="24"/>
        <v>86.051000000000002</v>
      </c>
      <c r="E91" s="1">
        <v>36</v>
      </c>
      <c r="F91" s="1">
        <v>72</v>
      </c>
      <c r="G91" s="1">
        <f t="shared" si="31"/>
        <v>68.239999999999995</v>
      </c>
      <c r="H91" s="1">
        <v>2</v>
      </c>
      <c r="I91" s="1" t="s">
        <v>176</v>
      </c>
      <c r="J91" s="1">
        <v>1</v>
      </c>
      <c r="K91" s="2">
        <f t="shared" si="25"/>
        <v>22.375</v>
      </c>
      <c r="L91" s="1">
        <f t="shared" si="26"/>
        <v>4</v>
      </c>
      <c r="M91" s="1">
        <f t="shared" si="32"/>
        <v>18</v>
      </c>
      <c r="N91" s="1">
        <f t="shared" si="33"/>
        <v>6</v>
      </c>
      <c r="O91" s="3">
        <f t="shared" si="27"/>
        <v>24</v>
      </c>
      <c r="P91" s="1">
        <f t="shared" si="28"/>
        <v>3</v>
      </c>
      <c r="Q91">
        <f t="shared" si="29"/>
        <v>10</v>
      </c>
      <c r="R91">
        <f>_xlfn.XLOOKUP(HFrame_List[[#This Row],[Cross piece style]],$AH$2:$AH$4,$AI$2:$AI$4,0,0)*(HFrame_List[[#This Row],[Width between brackets]]/12)</f>
        <v>31.049199999999999</v>
      </c>
      <c r="S91">
        <f>5.46*(HFrame_List[[#This Row],[cross piece quantity]]-1)*(HFrame_List[[#This Row],[Width between brackets]]/12)</f>
        <v>0</v>
      </c>
      <c r="T91" s="5">
        <f>HFrame_List[[#This Row],[Bottom cross piece cost]]+HFrame_List[[#This Row],[Top cross piece cost]]+HFrame_List[[#This Row],[Component costs]]+HFrame_List[[#This Row],[Vertical strut cost]]</f>
        <v>162.15119999999999</v>
      </c>
      <c r="U91" s="7">
        <f>_xlfn.XLOOKUP(HFrame_List[[#This Row],[Fabrication type]],Fabrication_costs[Fabrication type],Fabrication_costs[unit pricing],"no result",0)</f>
        <v>40.200000000000003</v>
      </c>
      <c r="V91" s="5">
        <f>SUM(T91:U91)/(1-HFrame_List[[#This Row],[Margin]])</f>
        <v>578.1462857142858</v>
      </c>
      <c r="W91" s="36">
        <f t="shared" si="30"/>
        <v>0.65</v>
      </c>
      <c r="X91" t="s">
        <v>196</v>
      </c>
      <c r="Y91">
        <f>_xlfn.XLOOKUP("A12",Strut_costs[size],Strut_costs[Strut cost])/12*HFrame_List[[#This Row],[Strut height (in)]]*(2+HFrame_List[[#This Row],[Extra supports]])</f>
        <v>65.52</v>
      </c>
      <c r="Z91">
        <f>(_xlfn.XLOOKUP("PHB",CADDY_costs[Component],CADDY_costs[Current cost])*HFrame_List[[#This Row],[Number of feet]])+(_xlfn.XLOOKUP("HFRMHDW",CADDY_costs[Component],CADDY_costs[Current cost])*(HFrame_List[[#This Row],[number of L-brackets]]/2))</f>
        <v>65.581999999999994</v>
      </c>
      <c r="AA91">
        <v>3672</v>
      </c>
      <c r="AB91" t="str">
        <f>VLOOKUP(HFrame_List[[#This Row],[lookup]],'Pallet and shipping info'!$A$5:$H$33,6,FALSE)</f>
        <v>x</v>
      </c>
      <c r="AC91">
        <f>VLOOKUP(HFrame_List[[#This Row],[lookup]],'Pallet and shipping info'!$A$5:$H$33,8,FALSE)</f>
        <v>7</v>
      </c>
      <c r="AD91"/>
      <c r="AE91"/>
      <c r="AF91"/>
    </row>
    <row r="92" spans="1:32" x14ac:dyDescent="0.25">
      <c r="A92" s="1" t="s">
        <v>364</v>
      </c>
      <c r="B92" s="1" t="s">
        <v>365</v>
      </c>
      <c r="C92" s="1">
        <f t="shared" si="23"/>
        <v>49.674999999999997</v>
      </c>
      <c r="D92" s="1">
        <f t="shared" si="24"/>
        <v>86.051000000000002</v>
      </c>
      <c r="E92" s="1">
        <v>48</v>
      </c>
      <c r="F92" s="1">
        <v>72</v>
      </c>
      <c r="G92" s="1">
        <f t="shared" si="31"/>
        <v>68.239999999999995</v>
      </c>
      <c r="H92" s="1">
        <v>2</v>
      </c>
      <c r="I92" s="1" t="s">
        <v>176</v>
      </c>
      <c r="J92" s="1">
        <v>1</v>
      </c>
      <c r="K92" s="2">
        <f t="shared" si="25"/>
        <v>22.375</v>
      </c>
      <c r="L92" s="1">
        <f t="shared" si="26"/>
        <v>4</v>
      </c>
      <c r="M92" s="1">
        <f t="shared" si="32"/>
        <v>18</v>
      </c>
      <c r="N92" s="1">
        <f t="shared" si="33"/>
        <v>6</v>
      </c>
      <c r="O92" s="3">
        <f t="shared" si="27"/>
        <v>30</v>
      </c>
      <c r="P92" s="1">
        <f t="shared" si="28"/>
        <v>3</v>
      </c>
      <c r="Q92">
        <f t="shared" si="29"/>
        <v>10</v>
      </c>
      <c r="R92">
        <f>_xlfn.XLOOKUP(HFrame_List[[#This Row],[Cross piece style]],$AH$2:$AH$4,$AI$2:$AI$4,0,0)*(HFrame_List[[#This Row],[Width between brackets]]/12)</f>
        <v>31.049199999999999</v>
      </c>
      <c r="S92">
        <f>5.46*(HFrame_List[[#This Row],[cross piece quantity]]-1)*(HFrame_List[[#This Row],[Width between brackets]]/12)</f>
        <v>0</v>
      </c>
      <c r="T92" s="5">
        <f>HFrame_List[[#This Row],[Bottom cross piece cost]]+HFrame_List[[#This Row],[Top cross piece cost]]+HFrame_List[[#This Row],[Component costs]]+HFrame_List[[#This Row],[Vertical strut cost]]</f>
        <v>183.99119999999999</v>
      </c>
      <c r="U92" s="7">
        <f>_xlfn.XLOOKUP(HFrame_List[[#This Row],[Fabrication type]],Fabrication_costs[Fabrication type],Fabrication_costs[unit pricing],"no result",0)</f>
        <v>40.200000000000003</v>
      </c>
      <c r="V92" s="5">
        <f>SUM(T92:U92)/(1-HFrame_List[[#This Row],[Margin]])</f>
        <v>640.54628571428566</v>
      </c>
      <c r="W92" s="36">
        <f t="shared" si="30"/>
        <v>0.65</v>
      </c>
      <c r="X92" t="s">
        <v>196</v>
      </c>
      <c r="Y92">
        <f>_xlfn.XLOOKUP("A12",Strut_costs[size],Strut_costs[Strut cost])/12*HFrame_List[[#This Row],[Strut height (in)]]*(2+HFrame_List[[#This Row],[Extra supports]])</f>
        <v>87.36</v>
      </c>
      <c r="Z92">
        <f>(_xlfn.XLOOKUP("PHB",CADDY_costs[Component],CADDY_costs[Current cost])*HFrame_List[[#This Row],[Number of feet]])+(_xlfn.XLOOKUP("HFRMHDW",CADDY_costs[Component],CADDY_costs[Current cost])*(HFrame_List[[#This Row],[number of L-brackets]]/2))</f>
        <v>65.581999999999994</v>
      </c>
      <c r="AA92">
        <v>4872</v>
      </c>
      <c r="AB92" t="str">
        <f>VLOOKUP(HFrame_List[[#This Row],[lookup]],'Pallet and shipping info'!$A$5:$H$33,6,FALSE)</f>
        <v>x</v>
      </c>
      <c r="AC92">
        <f>VLOOKUP(HFrame_List[[#This Row],[lookup]],'Pallet and shipping info'!$A$5:$H$33,8,FALSE)</f>
        <v>7</v>
      </c>
      <c r="AD92"/>
      <c r="AE92"/>
      <c r="AF92"/>
    </row>
    <row r="93" spans="1:32" x14ac:dyDescent="0.25">
      <c r="A93" s="1" t="s">
        <v>366</v>
      </c>
      <c r="B93" s="1" t="s">
        <v>367</v>
      </c>
      <c r="C93" s="1">
        <f t="shared" si="23"/>
        <v>73.674999999999997</v>
      </c>
      <c r="D93" s="1">
        <f t="shared" si="24"/>
        <v>86.051000000000002</v>
      </c>
      <c r="E93" s="1">
        <v>72</v>
      </c>
      <c r="F93" s="1">
        <v>72</v>
      </c>
      <c r="G93" s="1">
        <f t="shared" si="31"/>
        <v>68.239999999999995</v>
      </c>
      <c r="H93" s="1">
        <v>2</v>
      </c>
      <c r="I93" s="1" t="s">
        <v>176</v>
      </c>
      <c r="J93" s="1">
        <v>1</v>
      </c>
      <c r="K93" s="2">
        <f t="shared" si="25"/>
        <v>22.375</v>
      </c>
      <c r="L93" s="1">
        <f t="shared" si="26"/>
        <v>4</v>
      </c>
      <c r="M93" s="1">
        <f t="shared" si="32"/>
        <v>18</v>
      </c>
      <c r="N93" s="1">
        <f t="shared" si="33"/>
        <v>6</v>
      </c>
      <c r="O93" s="3">
        <f t="shared" si="27"/>
        <v>42</v>
      </c>
      <c r="P93" s="1">
        <f t="shared" si="28"/>
        <v>5</v>
      </c>
      <c r="Q93">
        <f t="shared" si="29"/>
        <v>10</v>
      </c>
      <c r="R93">
        <f>_xlfn.XLOOKUP(HFrame_List[[#This Row],[Cross piece style]],$AH$2:$AH$4,$AI$2:$AI$4,0,0)*(HFrame_List[[#This Row],[Width between brackets]]/12)</f>
        <v>31.049199999999999</v>
      </c>
      <c r="S93">
        <f>5.46*(HFrame_List[[#This Row],[cross piece quantity]]-1)*(HFrame_List[[#This Row],[Width between brackets]]/12)</f>
        <v>0</v>
      </c>
      <c r="T93" s="5">
        <f>HFrame_List[[#This Row],[Bottom cross piece cost]]+HFrame_List[[#This Row],[Top cross piece cost]]+HFrame_List[[#This Row],[Component costs]]+HFrame_List[[#This Row],[Vertical strut cost]]</f>
        <v>227.6712</v>
      </c>
      <c r="U93" s="7">
        <f>_xlfn.XLOOKUP(HFrame_List[[#This Row],[Fabrication type]],Fabrication_costs[Fabrication type],Fabrication_costs[unit pricing],"no result",0)</f>
        <v>40.200000000000003</v>
      </c>
      <c r="V93" s="5">
        <f>SUM(T93:U93)/(1-HFrame_List[[#This Row],[Margin]])</f>
        <v>765.34628571428573</v>
      </c>
      <c r="W93" s="36">
        <f t="shared" si="30"/>
        <v>0.65</v>
      </c>
      <c r="X93" t="s">
        <v>196</v>
      </c>
      <c r="Y93">
        <f>_xlfn.XLOOKUP("A12",Strut_costs[size],Strut_costs[Strut cost])/12*HFrame_List[[#This Row],[Strut height (in)]]*(2+HFrame_List[[#This Row],[Extra supports]])</f>
        <v>131.04</v>
      </c>
      <c r="Z93">
        <f>(_xlfn.XLOOKUP("PHB",CADDY_costs[Component],CADDY_costs[Current cost])*HFrame_List[[#This Row],[Number of feet]])+(_xlfn.XLOOKUP("HFRMHDW",CADDY_costs[Component],CADDY_costs[Current cost])*(HFrame_List[[#This Row],[number of L-brackets]]/2))</f>
        <v>65.581999999999994</v>
      </c>
      <c r="AA93">
        <v>7272</v>
      </c>
      <c r="AB93" t="str">
        <f>VLOOKUP(HFrame_List[[#This Row],[lookup]],'Pallet and shipping info'!$A$5:$H$33,6,FALSE)</f>
        <v>x</v>
      </c>
      <c r="AC93">
        <f>VLOOKUP(HFrame_List[[#This Row],[lookup]],'Pallet and shipping info'!$A$5:$H$33,8,FALSE)</f>
        <v>7</v>
      </c>
      <c r="AD93"/>
      <c r="AE93"/>
      <c r="AF93"/>
    </row>
    <row r="94" spans="1:32" x14ac:dyDescent="0.25">
      <c r="A94" s="1" t="s">
        <v>368</v>
      </c>
      <c r="B94" s="1" t="s">
        <v>369</v>
      </c>
      <c r="C94" s="1">
        <f t="shared" si="23"/>
        <v>25.675000000000001</v>
      </c>
      <c r="D94" s="1">
        <f t="shared" si="24"/>
        <v>98.051000000000002</v>
      </c>
      <c r="E94" s="1">
        <v>24</v>
      </c>
      <c r="F94" s="1">
        <v>84</v>
      </c>
      <c r="G94" s="1">
        <f t="shared" si="31"/>
        <v>80.239999999999995</v>
      </c>
      <c r="H94" s="1">
        <v>2</v>
      </c>
      <c r="I94" s="1" t="s">
        <v>176</v>
      </c>
      <c r="J94" s="1">
        <v>1</v>
      </c>
      <c r="K94" s="2">
        <f t="shared" si="25"/>
        <v>26.375</v>
      </c>
      <c r="L94" s="1">
        <f t="shared" si="26"/>
        <v>4</v>
      </c>
      <c r="M94" s="1">
        <f t="shared" si="32"/>
        <v>18</v>
      </c>
      <c r="N94" s="1">
        <f t="shared" si="33"/>
        <v>6</v>
      </c>
      <c r="O94" s="3">
        <f t="shared" si="27"/>
        <v>19</v>
      </c>
      <c r="P94" s="1">
        <f t="shared" si="28"/>
        <v>2</v>
      </c>
      <c r="Q94">
        <f t="shared" si="29"/>
        <v>10</v>
      </c>
      <c r="R94">
        <f>_xlfn.XLOOKUP(HFrame_List[[#This Row],[Cross piece style]],$AH$2:$AH$4,$AI$2:$AI$4,0,0)*(HFrame_List[[#This Row],[Width between brackets]]/12)</f>
        <v>36.5092</v>
      </c>
      <c r="S94">
        <f>5.46*(HFrame_List[[#This Row],[cross piece quantity]]-1)*(HFrame_List[[#This Row],[Width between brackets]]/12)</f>
        <v>0</v>
      </c>
      <c r="T94" s="5">
        <f>HFrame_List[[#This Row],[Bottom cross piece cost]]+HFrame_List[[#This Row],[Top cross piece cost]]+HFrame_List[[#This Row],[Component costs]]+HFrame_List[[#This Row],[Vertical strut cost]]</f>
        <v>145.77119999999999</v>
      </c>
      <c r="U94" s="7">
        <f>_xlfn.XLOOKUP(HFrame_List[[#This Row],[Fabrication type]],Fabrication_costs[Fabrication type],Fabrication_costs[unit pricing],"no result",0)</f>
        <v>40.200000000000003</v>
      </c>
      <c r="V94" s="5">
        <f>SUM(T94:U94)/(1-HFrame_List[[#This Row],[Margin]])</f>
        <v>531.34628571428573</v>
      </c>
      <c r="W94" s="36">
        <f t="shared" si="30"/>
        <v>0.65</v>
      </c>
      <c r="X94" t="s">
        <v>196</v>
      </c>
      <c r="Y94">
        <f>_xlfn.XLOOKUP("A12",Strut_costs[size],Strut_costs[Strut cost])/12*HFrame_List[[#This Row],[Strut height (in)]]*(2+HFrame_List[[#This Row],[Extra supports]])</f>
        <v>43.68</v>
      </c>
      <c r="Z94">
        <f>(_xlfn.XLOOKUP("PHB",CADDY_costs[Component],CADDY_costs[Current cost])*HFrame_List[[#This Row],[Number of feet]])+(_xlfn.XLOOKUP("HFRMHDW",CADDY_costs[Component],CADDY_costs[Current cost])*(HFrame_List[[#This Row],[number of L-brackets]]/2))</f>
        <v>65.581999999999994</v>
      </c>
      <c r="AA94">
        <v>2484</v>
      </c>
      <c r="AB94" t="str">
        <f>VLOOKUP(HFrame_List[[#This Row],[lookup]],'Pallet and shipping info'!$A$5:$H$33,6,FALSE)</f>
        <v>x</v>
      </c>
      <c r="AC94">
        <f>VLOOKUP(HFrame_List[[#This Row],[lookup]],'Pallet and shipping info'!$A$5:$H$33,8,FALSE)</f>
        <v>7</v>
      </c>
      <c r="AD94"/>
      <c r="AE94"/>
      <c r="AF94"/>
    </row>
    <row r="95" spans="1:32" x14ac:dyDescent="0.25">
      <c r="A95" s="1" t="s">
        <v>370</v>
      </c>
      <c r="B95" s="1" t="s">
        <v>371</v>
      </c>
      <c r="C95" s="1">
        <f t="shared" si="23"/>
        <v>37.674999999999997</v>
      </c>
      <c r="D95" s="1">
        <f t="shared" si="24"/>
        <v>98.051000000000002</v>
      </c>
      <c r="E95" s="1">
        <v>36</v>
      </c>
      <c r="F95" s="1">
        <v>84</v>
      </c>
      <c r="G95" s="1">
        <f t="shared" si="31"/>
        <v>80.239999999999995</v>
      </c>
      <c r="H95" s="1">
        <v>2</v>
      </c>
      <c r="I95" s="1" t="s">
        <v>176</v>
      </c>
      <c r="J95" s="1">
        <v>1</v>
      </c>
      <c r="K95" s="2">
        <f t="shared" si="25"/>
        <v>26.375</v>
      </c>
      <c r="L95" s="1">
        <f t="shared" si="26"/>
        <v>4</v>
      </c>
      <c r="M95" s="1">
        <f t="shared" si="32"/>
        <v>18</v>
      </c>
      <c r="N95" s="1">
        <f t="shared" si="33"/>
        <v>6</v>
      </c>
      <c r="O95" s="3">
        <f t="shared" si="27"/>
        <v>25</v>
      </c>
      <c r="P95" s="1">
        <f t="shared" si="28"/>
        <v>3</v>
      </c>
      <c r="Q95">
        <f t="shared" si="29"/>
        <v>10</v>
      </c>
      <c r="R95">
        <f>_xlfn.XLOOKUP(HFrame_List[[#This Row],[Cross piece style]],$AH$2:$AH$4,$AI$2:$AI$4,0,0)*(HFrame_List[[#This Row],[Width between brackets]]/12)</f>
        <v>36.5092</v>
      </c>
      <c r="S95">
        <f>5.46*(HFrame_List[[#This Row],[cross piece quantity]]-1)*(HFrame_List[[#This Row],[Width between brackets]]/12)</f>
        <v>0</v>
      </c>
      <c r="T95" s="5">
        <f>HFrame_List[[#This Row],[Bottom cross piece cost]]+HFrame_List[[#This Row],[Top cross piece cost]]+HFrame_List[[#This Row],[Component costs]]+HFrame_List[[#This Row],[Vertical strut cost]]</f>
        <v>167.6112</v>
      </c>
      <c r="U95" s="7">
        <f>_xlfn.XLOOKUP(HFrame_List[[#This Row],[Fabrication type]],Fabrication_costs[Fabrication type],Fabrication_costs[unit pricing],"no result",0)</f>
        <v>40.200000000000003</v>
      </c>
      <c r="V95" s="5">
        <f>SUM(T95:U95)/(1-HFrame_List[[#This Row],[Margin]])</f>
        <v>593.7462857142857</v>
      </c>
      <c r="W95" s="36">
        <f t="shared" si="30"/>
        <v>0.65</v>
      </c>
      <c r="X95" t="s">
        <v>196</v>
      </c>
      <c r="Y95">
        <f>_xlfn.XLOOKUP("A12",Strut_costs[size],Strut_costs[Strut cost])/12*HFrame_List[[#This Row],[Strut height (in)]]*(2+HFrame_List[[#This Row],[Extra supports]])</f>
        <v>65.52</v>
      </c>
      <c r="Z95">
        <f>(_xlfn.XLOOKUP("PHB",CADDY_costs[Component],CADDY_costs[Current cost])*HFrame_List[[#This Row],[Number of feet]])+(_xlfn.XLOOKUP("HFRMHDW",CADDY_costs[Component],CADDY_costs[Current cost])*(HFrame_List[[#This Row],[number of L-brackets]]/2))</f>
        <v>65.581999999999994</v>
      </c>
      <c r="AA95">
        <v>3684</v>
      </c>
      <c r="AB95" t="str">
        <f>VLOOKUP(HFrame_List[[#This Row],[lookup]],'Pallet and shipping info'!$A$5:$H$33,6,FALSE)</f>
        <v>x</v>
      </c>
      <c r="AC95">
        <f>VLOOKUP(HFrame_List[[#This Row],[lookup]],'Pallet and shipping info'!$A$5:$H$33,8,FALSE)</f>
        <v>7</v>
      </c>
      <c r="AD95"/>
      <c r="AE95"/>
      <c r="AF95"/>
    </row>
    <row r="96" spans="1:32" x14ac:dyDescent="0.25">
      <c r="A96" s="1" t="s">
        <v>372</v>
      </c>
      <c r="B96" s="1" t="s">
        <v>373</v>
      </c>
      <c r="C96" s="1">
        <f t="shared" si="23"/>
        <v>49.674999999999997</v>
      </c>
      <c r="D96" s="1">
        <f t="shared" si="24"/>
        <v>98.051000000000002</v>
      </c>
      <c r="E96" s="1">
        <v>48</v>
      </c>
      <c r="F96" s="1">
        <v>84</v>
      </c>
      <c r="G96" s="1">
        <f t="shared" si="31"/>
        <v>80.239999999999995</v>
      </c>
      <c r="H96" s="1">
        <v>2</v>
      </c>
      <c r="I96" s="1" t="s">
        <v>176</v>
      </c>
      <c r="J96" s="1">
        <v>1</v>
      </c>
      <c r="K96" s="2">
        <f t="shared" si="25"/>
        <v>26.375</v>
      </c>
      <c r="L96" s="1">
        <f t="shared" si="26"/>
        <v>4</v>
      </c>
      <c r="M96" s="1">
        <f t="shared" si="32"/>
        <v>18</v>
      </c>
      <c r="N96" s="1">
        <f t="shared" si="33"/>
        <v>6</v>
      </c>
      <c r="O96" s="3">
        <f t="shared" si="27"/>
        <v>31</v>
      </c>
      <c r="P96" s="1">
        <f t="shared" si="28"/>
        <v>4</v>
      </c>
      <c r="Q96">
        <f t="shared" si="29"/>
        <v>10</v>
      </c>
      <c r="R96">
        <f>_xlfn.XLOOKUP(HFrame_List[[#This Row],[Cross piece style]],$AH$2:$AH$4,$AI$2:$AI$4,0,0)*(HFrame_List[[#This Row],[Width between brackets]]/12)</f>
        <v>36.5092</v>
      </c>
      <c r="S96">
        <f>5.46*(HFrame_List[[#This Row],[cross piece quantity]]-1)*(HFrame_List[[#This Row],[Width between brackets]]/12)</f>
        <v>0</v>
      </c>
      <c r="T96" s="5">
        <f>HFrame_List[[#This Row],[Bottom cross piece cost]]+HFrame_List[[#This Row],[Top cross piece cost]]+HFrame_List[[#This Row],[Component costs]]+HFrame_List[[#This Row],[Vertical strut cost]]</f>
        <v>189.45119999999997</v>
      </c>
      <c r="U96" s="7">
        <f>_xlfn.XLOOKUP(HFrame_List[[#This Row],[Fabrication type]],Fabrication_costs[Fabrication type],Fabrication_costs[unit pricing],"no result",0)</f>
        <v>40.200000000000003</v>
      </c>
      <c r="V96" s="5">
        <f>SUM(T96:U96)/(1-HFrame_List[[#This Row],[Margin]])</f>
        <v>656.14628571428568</v>
      </c>
      <c r="W96" s="36">
        <f t="shared" si="30"/>
        <v>0.65</v>
      </c>
      <c r="X96" t="s">
        <v>196</v>
      </c>
      <c r="Y96">
        <f>_xlfn.XLOOKUP("A12",Strut_costs[size],Strut_costs[Strut cost])/12*HFrame_List[[#This Row],[Strut height (in)]]*(2+HFrame_List[[#This Row],[Extra supports]])</f>
        <v>87.36</v>
      </c>
      <c r="Z96">
        <f>(_xlfn.XLOOKUP("PHB",CADDY_costs[Component],CADDY_costs[Current cost])*HFrame_List[[#This Row],[Number of feet]])+(_xlfn.XLOOKUP("HFRMHDW",CADDY_costs[Component],CADDY_costs[Current cost])*(HFrame_List[[#This Row],[number of L-brackets]]/2))</f>
        <v>65.581999999999994</v>
      </c>
      <c r="AA96">
        <v>4884</v>
      </c>
      <c r="AB96" t="str">
        <f>VLOOKUP(HFrame_List[[#This Row],[lookup]],'Pallet and shipping info'!$A$5:$H$33,6,FALSE)</f>
        <v>x</v>
      </c>
      <c r="AC96">
        <f>VLOOKUP(HFrame_List[[#This Row],[lookup]],'Pallet and shipping info'!$A$5:$H$33,8,FALSE)</f>
        <v>7</v>
      </c>
      <c r="AD96"/>
      <c r="AE96"/>
      <c r="AF96"/>
    </row>
    <row r="97" spans="1:32" x14ac:dyDescent="0.25">
      <c r="A97" s="1" t="s">
        <v>374</v>
      </c>
      <c r="B97" s="1" t="s">
        <v>375</v>
      </c>
      <c r="C97" s="1">
        <f t="shared" si="23"/>
        <v>73.674999999999997</v>
      </c>
      <c r="D97" s="1">
        <f t="shared" si="24"/>
        <v>98.051000000000002</v>
      </c>
      <c r="E97" s="1">
        <v>72</v>
      </c>
      <c r="F97" s="1">
        <v>84</v>
      </c>
      <c r="G97" s="1">
        <f t="shared" si="31"/>
        <v>80.239999999999995</v>
      </c>
      <c r="H97" s="1">
        <v>2</v>
      </c>
      <c r="I97" s="1" t="s">
        <v>176</v>
      </c>
      <c r="J97" s="1">
        <v>1</v>
      </c>
      <c r="K97" s="2">
        <f t="shared" si="25"/>
        <v>26.375</v>
      </c>
      <c r="L97" s="1">
        <f t="shared" si="26"/>
        <v>4</v>
      </c>
      <c r="M97" s="1">
        <f t="shared" si="32"/>
        <v>18</v>
      </c>
      <c r="N97" s="1">
        <f t="shared" si="33"/>
        <v>6</v>
      </c>
      <c r="O97" s="3">
        <f t="shared" si="27"/>
        <v>43</v>
      </c>
      <c r="P97" s="1">
        <f t="shared" si="28"/>
        <v>5</v>
      </c>
      <c r="Q97">
        <f t="shared" si="29"/>
        <v>10</v>
      </c>
      <c r="R97">
        <f>_xlfn.XLOOKUP(HFrame_List[[#This Row],[Cross piece style]],$AH$2:$AH$4,$AI$2:$AI$4,0,0)*(HFrame_List[[#This Row],[Width between brackets]]/12)</f>
        <v>36.5092</v>
      </c>
      <c r="S97">
        <f>5.46*(HFrame_List[[#This Row],[cross piece quantity]]-1)*(HFrame_List[[#This Row],[Width between brackets]]/12)</f>
        <v>0</v>
      </c>
      <c r="T97" s="5">
        <f>HFrame_List[[#This Row],[Bottom cross piece cost]]+HFrame_List[[#This Row],[Top cross piece cost]]+HFrame_List[[#This Row],[Component costs]]+HFrame_List[[#This Row],[Vertical strut cost]]</f>
        <v>233.13119999999998</v>
      </c>
      <c r="U97" s="7">
        <f>_xlfn.XLOOKUP(HFrame_List[[#This Row],[Fabrication type]],Fabrication_costs[Fabrication type],Fabrication_costs[unit pricing],"no result",0)</f>
        <v>40.200000000000003</v>
      </c>
      <c r="V97" s="5">
        <f>SUM(T97:U97)/(1-HFrame_List[[#This Row],[Margin]])</f>
        <v>780.94628571428564</v>
      </c>
      <c r="W97" s="36">
        <f t="shared" si="30"/>
        <v>0.65</v>
      </c>
      <c r="X97" t="s">
        <v>196</v>
      </c>
      <c r="Y97">
        <f>_xlfn.XLOOKUP("A12",Strut_costs[size],Strut_costs[Strut cost])/12*HFrame_List[[#This Row],[Strut height (in)]]*(2+HFrame_List[[#This Row],[Extra supports]])</f>
        <v>131.04</v>
      </c>
      <c r="Z97">
        <f>(_xlfn.XLOOKUP("PHB",CADDY_costs[Component],CADDY_costs[Current cost])*HFrame_List[[#This Row],[Number of feet]])+(_xlfn.XLOOKUP("HFRMHDW",CADDY_costs[Component],CADDY_costs[Current cost])*(HFrame_List[[#This Row],[number of L-brackets]]/2))</f>
        <v>65.581999999999994</v>
      </c>
      <c r="AA97">
        <v>7284</v>
      </c>
      <c r="AB97" t="str">
        <f>VLOOKUP(HFrame_List[[#This Row],[lookup]],'Pallet and shipping info'!$A$5:$H$33,6,FALSE)</f>
        <v>x</v>
      </c>
      <c r="AC97">
        <f>VLOOKUP(HFrame_List[[#This Row],[lookup]],'Pallet and shipping info'!$A$5:$H$33,8,FALSE)</f>
        <v>7</v>
      </c>
      <c r="AD97"/>
      <c r="AE97"/>
      <c r="AF97"/>
    </row>
    <row r="98" spans="1:32" x14ac:dyDescent="0.25">
      <c r="A98" s="1" t="s">
        <v>376</v>
      </c>
      <c r="B98" t="s">
        <v>377</v>
      </c>
      <c r="C98">
        <f t="shared" si="23"/>
        <v>25.675000000000001</v>
      </c>
      <c r="D98">
        <f t="shared" si="24"/>
        <v>34.051000000000002</v>
      </c>
      <c r="E98">
        <v>24</v>
      </c>
      <c r="F98">
        <v>20</v>
      </c>
      <c r="G98">
        <f>F98-(1.88*2)</f>
        <v>16.240000000000002</v>
      </c>
      <c r="H98">
        <v>0</v>
      </c>
      <c r="I98" t="s">
        <v>181</v>
      </c>
      <c r="J98">
        <v>1</v>
      </c>
      <c r="K98" s="6">
        <f t="shared" si="25"/>
        <v>20</v>
      </c>
      <c r="L98">
        <f t="shared" si="26"/>
        <v>2</v>
      </c>
      <c r="M98">
        <f>3*N98</f>
        <v>6</v>
      </c>
      <c r="N98">
        <f>(2+(2*H98))*J98</f>
        <v>2</v>
      </c>
      <c r="O98" s="7">
        <f>((E98*(L98+H98))+(F98*J98))/12</f>
        <v>5.666666666666667</v>
      </c>
      <c r="P98">
        <f t="shared" si="28"/>
        <v>1</v>
      </c>
      <c r="Q98">
        <f t="shared" si="29"/>
        <v>6</v>
      </c>
      <c r="R98">
        <f>_xlfn.XLOOKUP(HFrame_List[[#This Row],[Cross piece style]],$AH$2:$AH$4,$AI$2:$AI$4,0,0)*(HFrame_List[[#This Row],[Width between brackets]]/12)</f>
        <v>18.851933333333335</v>
      </c>
      <c r="S98">
        <f>5.46*(HFrame_List[[#This Row],[cross piece quantity]]-1)*(HFrame_List[[#This Row],[Width between brackets]]/12)</f>
        <v>0</v>
      </c>
      <c r="T98" s="5">
        <f>HFrame_List[[#This Row],[Bottom cross piece cost]]+HFrame_List[[#This Row],[Top cross piece cost]]+HFrame_List[[#This Row],[Component costs]]+HFrame_List[[#This Row],[Vertical strut cost]]</f>
        <v>68.749933333333331</v>
      </c>
      <c r="U98" s="7">
        <f>_xlfn.XLOOKUP(HFrame_List[[#This Row],[Fabrication type]],Fabrication_costs[Fabrication type],Fabrication_costs[unit pricing],"no result",0)</f>
        <v>19.8</v>
      </c>
      <c r="V98" s="5">
        <f>SUM(T98:U98)/(1-HFrame_List[[#This Row],[Margin]])</f>
        <v>252.99980952380952</v>
      </c>
      <c r="W98" s="36">
        <f t="shared" si="30"/>
        <v>0.65</v>
      </c>
      <c r="X98" t="s">
        <v>177</v>
      </c>
      <c r="Y98">
        <f>_xlfn.XLOOKUP("A12",Strut_costs[size],Strut_costs[Strut cost])/12*HFrame_List[[#This Row],[Strut height (in)]]*(2+HFrame_List[[#This Row],[Extra supports]])</f>
        <v>21.84</v>
      </c>
      <c r="Z98">
        <f>(_xlfn.XLOOKUP("PHB",CADDY_costs[Component],CADDY_costs[Current cost])*HFrame_List[[#This Row],[Number of feet]])+(_xlfn.XLOOKUP("HFRMHDW",CADDY_costs[Component],CADDY_costs[Current cost])*(HFrame_List[[#This Row],[number of L-brackets]]/2))</f>
        <v>28.058</v>
      </c>
      <c r="AA98">
        <v>2420</v>
      </c>
      <c r="AB98">
        <f>VLOOKUP(HFrame_List[[#This Row],[lookup]],'Pallet and shipping info'!$A$5:$H$33,6,FALSE)</f>
        <v>11</v>
      </c>
      <c r="AC98">
        <f>VLOOKUP(HFrame_List[[#This Row],[lookup]],'Pallet and shipping info'!$A$5:$H$33,8,FALSE)</f>
        <v>15</v>
      </c>
      <c r="AD98"/>
      <c r="AE98"/>
      <c r="AF98"/>
    </row>
    <row r="99" spans="1:32" x14ac:dyDescent="0.25">
      <c r="A99" s="1" t="s">
        <v>378</v>
      </c>
      <c r="B99" t="s">
        <v>379</v>
      </c>
      <c r="C99">
        <f t="shared" si="23"/>
        <v>37.674999999999997</v>
      </c>
      <c r="D99">
        <f t="shared" si="24"/>
        <v>34.051000000000002</v>
      </c>
      <c r="E99">
        <v>36</v>
      </c>
      <c r="F99">
        <f>F98</f>
        <v>20</v>
      </c>
      <c r="G99">
        <f t="shared" ref="G99:G121" si="36">F99-(1.88*2)</f>
        <v>16.240000000000002</v>
      </c>
      <c r="H99">
        <v>0</v>
      </c>
      <c r="I99" t="s">
        <v>181</v>
      </c>
      <c r="J99">
        <v>1</v>
      </c>
      <c r="K99" s="6">
        <f t="shared" si="25"/>
        <v>20</v>
      </c>
      <c r="L99">
        <f t="shared" si="26"/>
        <v>2</v>
      </c>
      <c r="M99">
        <f t="shared" ref="M99:M121" si="37">3*N99</f>
        <v>6</v>
      </c>
      <c r="N99">
        <f t="shared" ref="N99:N121" si="38">(2+(2*H99))*J99</f>
        <v>2</v>
      </c>
      <c r="O99" s="7">
        <f t="shared" ref="O99:O162" si="39">((E99*(L99+H99))+(F99*J99))/12</f>
        <v>7.666666666666667</v>
      </c>
      <c r="P99">
        <f t="shared" si="28"/>
        <v>1</v>
      </c>
      <c r="Q99">
        <f t="shared" si="29"/>
        <v>6</v>
      </c>
      <c r="R99">
        <f>_xlfn.XLOOKUP(HFrame_List[[#This Row],[Cross piece style]],$AH$2:$AH$4,$AI$2:$AI$4,0,0)*(HFrame_List[[#This Row],[Width between brackets]]/12)</f>
        <v>18.851933333333335</v>
      </c>
      <c r="S99">
        <f>5.46*(HFrame_List[[#This Row],[cross piece quantity]]-1)*(HFrame_List[[#This Row],[Width between brackets]]/12)</f>
        <v>0</v>
      </c>
      <c r="T99" s="5">
        <f>HFrame_List[[#This Row],[Bottom cross piece cost]]+HFrame_List[[#This Row],[Top cross piece cost]]+HFrame_List[[#This Row],[Component costs]]+HFrame_List[[#This Row],[Vertical strut cost]]</f>
        <v>79.669933333333333</v>
      </c>
      <c r="U99" s="7">
        <f>_xlfn.XLOOKUP(HFrame_List[[#This Row],[Fabrication type]],Fabrication_costs[Fabrication type],Fabrication_costs[unit pricing],"no result",0)</f>
        <v>19.8</v>
      </c>
      <c r="V99" s="5">
        <f>SUM(T99:U99)/(1-HFrame_List[[#This Row],[Margin]])</f>
        <v>284.19980952380951</v>
      </c>
      <c r="W99" s="36">
        <f t="shared" si="30"/>
        <v>0.65</v>
      </c>
      <c r="X99" t="s">
        <v>177</v>
      </c>
      <c r="Y99">
        <f>_xlfn.XLOOKUP("A12",Strut_costs[size],Strut_costs[Strut cost])/12*HFrame_List[[#This Row],[Strut height (in)]]*(2+HFrame_List[[#This Row],[Extra supports]])</f>
        <v>32.76</v>
      </c>
      <c r="Z99">
        <f>(_xlfn.XLOOKUP("PHB",CADDY_costs[Component],CADDY_costs[Current cost])*HFrame_List[[#This Row],[Number of feet]])+(_xlfn.XLOOKUP("HFRMHDW",CADDY_costs[Component],CADDY_costs[Current cost])*(HFrame_List[[#This Row],[number of L-brackets]]/2))</f>
        <v>28.058</v>
      </c>
      <c r="AA99">
        <v>3620</v>
      </c>
      <c r="AB99">
        <f>VLOOKUP(HFrame_List[[#This Row],[lookup]],'Pallet and shipping info'!$A$5:$H$33,6,FALSE)</f>
        <v>11</v>
      </c>
      <c r="AC99">
        <f>VLOOKUP(HFrame_List[[#This Row],[lookup]],'Pallet and shipping info'!$A$5:$H$33,8,FALSE)</f>
        <v>15</v>
      </c>
      <c r="AD99"/>
      <c r="AE99"/>
      <c r="AF99"/>
    </row>
    <row r="100" spans="1:32" x14ac:dyDescent="0.25">
      <c r="A100" s="1" t="s">
        <v>380</v>
      </c>
      <c r="B100" t="s">
        <v>381</v>
      </c>
      <c r="C100">
        <f t="shared" si="23"/>
        <v>49.674999999999997</v>
      </c>
      <c r="D100">
        <f t="shared" si="24"/>
        <v>34.051000000000002</v>
      </c>
      <c r="E100">
        <v>48</v>
      </c>
      <c r="F100">
        <f t="shared" ref="F100:F101" si="40">F99</f>
        <v>20</v>
      </c>
      <c r="G100">
        <f t="shared" si="36"/>
        <v>16.240000000000002</v>
      </c>
      <c r="H100">
        <v>0</v>
      </c>
      <c r="I100" t="s">
        <v>181</v>
      </c>
      <c r="J100">
        <v>1</v>
      </c>
      <c r="K100" s="6">
        <f t="shared" si="25"/>
        <v>20</v>
      </c>
      <c r="L100">
        <f t="shared" si="26"/>
        <v>2</v>
      </c>
      <c r="M100">
        <f t="shared" si="37"/>
        <v>6</v>
      </c>
      <c r="N100">
        <f t="shared" si="38"/>
        <v>2</v>
      </c>
      <c r="O100" s="7">
        <f t="shared" si="39"/>
        <v>9.6666666666666661</v>
      </c>
      <c r="P100">
        <f t="shared" si="28"/>
        <v>1</v>
      </c>
      <c r="Q100">
        <f t="shared" si="29"/>
        <v>6</v>
      </c>
      <c r="R100">
        <f>_xlfn.XLOOKUP(HFrame_List[[#This Row],[Cross piece style]],$AH$2:$AH$4,$AI$2:$AI$4,0,0)*(HFrame_List[[#This Row],[Width between brackets]]/12)</f>
        <v>18.851933333333335</v>
      </c>
      <c r="S100">
        <f>5.46*(HFrame_List[[#This Row],[cross piece quantity]]-1)*(HFrame_List[[#This Row],[Width between brackets]]/12)</f>
        <v>0</v>
      </c>
      <c r="T100" s="5">
        <f>HFrame_List[[#This Row],[Bottom cross piece cost]]+HFrame_List[[#This Row],[Top cross piece cost]]+HFrame_List[[#This Row],[Component costs]]+HFrame_List[[#This Row],[Vertical strut cost]]</f>
        <v>90.589933333333335</v>
      </c>
      <c r="U100" s="7">
        <f>_xlfn.XLOOKUP(HFrame_List[[#This Row],[Fabrication type]],Fabrication_costs[Fabrication type],Fabrication_costs[unit pricing],"no result",0)</f>
        <v>19.8</v>
      </c>
      <c r="V100" s="5">
        <f>SUM(T100:U100)/(1-HFrame_List[[#This Row],[Margin]])</f>
        <v>315.39980952380955</v>
      </c>
      <c r="W100" s="36">
        <f t="shared" si="30"/>
        <v>0.65</v>
      </c>
      <c r="X100" t="s">
        <v>177</v>
      </c>
      <c r="Y100">
        <f>_xlfn.XLOOKUP("A12",Strut_costs[size],Strut_costs[Strut cost])/12*HFrame_List[[#This Row],[Strut height (in)]]*(2+HFrame_List[[#This Row],[Extra supports]])</f>
        <v>43.68</v>
      </c>
      <c r="Z100">
        <f>(_xlfn.XLOOKUP("PHB",CADDY_costs[Component],CADDY_costs[Current cost])*HFrame_List[[#This Row],[Number of feet]])+(_xlfn.XLOOKUP("HFRMHDW",CADDY_costs[Component],CADDY_costs[Current cost])*(HFrame_List[[#This Row],[number of L-brackets]]/2))</f>
        <v>28.058</v>
      </c>
      <c r="AA100">
        <v>4820</v>
      </c>
      <c r="AB100">
        <f>VLOOKUP(HFrame_List[[#This Row],[lookup]],'Pallet and shipping info'!$A$5:$H$33,6,FALSE)</f>
        <v>11</v>
      </c>
      <c r="AC100">
        <f>VLOOKUP(HFrame_List[[#This Row],[lookup]],'Pallet and shipping info'!$A$5:$H$33,8,FALSE)</f>
        <v>15</v>
      </c>
      <c r="AD100"/>
      <c r="AE100"/>
      <c r="AF100"/>
    </row>
    <row r="101" spans="1:32" x14ac:dyDescent="0.25">
      <c r="A101" s="1" t="s">
        <v>382</v>
      </c>
      <c r="B101" t="s">
        <v>383</v>
      </c>
      <c r="C101">
        <f t="shared" si="23"/>
        <v>73.674999999999997</v>
      </c>
      <c r="D101">
        <f t="shared" si="24"/>
        <v>34.051000000000002</v>
      </c>
      <c r="E101">
        <v>72</v>
      </c>
      <c r="F101">
        <f t="shared" si="40"/>
        <v>20</v>
      </c>
      <c r="G101">
        <f t="shared" si="36"/>
        <v>16.240000000000002</v>
      </c>
      <c r="H101">
        <v>0</v>
      </c>
      <c r="I101" t="s">
        <v>181</v>
      </c>
      <c r="J101">
        <v>1</v>
      </c>
      <c r="K101" s="6">
        <f t="shared" si="25"/>
        <v>20</v>
      </c>
      <c r="L101">
        <f t="shared" si="26"/>
        <v>2</v>
      </c>
      <c r="M101">
        <f t="shared" si="37"/>
        <v>6</v>
      </c>
      <c r="N101">
        <f t="shared" si="38"/>
        <v>2</v>
      </c>
      <c r="O101" s="7">
        <f t="shared" si="39"/>
        <v>13.666666666666666</v>
      </c>
      <c r="P101">
        <f t="shared" si="28"/>
        <v>2</v>
      </c>
      <c r="Q101">
        <f t="shared" si="29"/>
        <v>6</v>
      </c>
      <c r="R101">
        <f>_xlfn.XLOOKUP(HFrame_List[[#This Row],[Cross piece style]],$AH$2:$AH$4,$AI$2:$AI$4,0,0)*(HFrame_List[[#This Row],[Width between brackets]]/12)</f>
        <v>18.851933333333335</v>
      </c>
      <c r="S101">
        <f>5.46*(HFrame_List[[#This Row],[cross piece quantity]]-1)*(HFrame_List[[#This Row],[Width between brackets]]/12)</f>
        <v>0</v>
      </c>
      <c r="T101" s="5">
        <f>HFrame_List[[#This Row],[Bottom cross piece cost]]+HFrame_List[[#This Row],[Top cross piece cost]]+HFrame_List[[#This Row],[Component costs]]+HFrame_List[[#This Row],[Vertical strut cost]]</f>
        <v>112.42993333333334</v>
      </c>
      <c r="U101" s="7">
        <f>_xlfn.XLOOKUP(HFrame_List[[#This Row],[Fabrication type]],Fabrication_costs[Fabrication type],Fabrication_costs[unit pricing],"no result",0)</f>
        <v>19.8</v>
      </c>
      <c r="V101" s="5">
        <f>SUM(T101:U101)/(1-HFrame_List[[#This Row],[Margin]])</f>
        <v>377.79980952380959</v>
      </c>
      <c r="W101" s="36">
        <f t="shared" si="30"/>
        <v>0.65</v>
      </c>
      <c r="X101" t="s">
        <v>177</v>
      </c>
      <c r="Y101">
        <f>_xlfn.XLOOKUP("A12",Strut_costs[size],Strut_costs[Strut cost])/12*HFrame_List[[#This Row],[Strut height (in)]]*(2+HFrame_List[[#This Row],[Extra supports]])</f>
        <v>65.52</v>
      </c>
      <c r="Z101">
        <f>(_xlfn.XLOOKUP("PHB",CADDY_costs[Component],CADDY_costs[Current cost])*HFrame_List[[#This Row],[Number of feet]])+(_xlfn.XLOOKUP("HFRMHDW",CADDY_costs[Component],CADDY_costs[Current cost])*(HFrame_List[[#This Row],[number of L-brackets]]/2))</f>
        <v>28.058</v>
      </c>
      <c r="AA101">
        <v>7220</v>
      </c>
      <c r="AB101">
        <f>VLOOKUP(HFrame_List[[#This Row],[lookup]],'Pallet and shipping info'!$A$5:$H$33,6,FALSE)</f>
        <v>11</v>
      </c>
      <c r="AC101">
        <f>VLOOKUP(HFrame_List[[#This Row],[lookup]],'Pallet and shipping info'!$A$5:$H$33,8,FALSE)</f>
        <v>15</v>
      </c>
      <c r="AD101"/>
      <c r="AE101"/>
      <c r="AF101"/>
    </row>
    <row r="102" spans="1:32" x14ac:dyDescent="0.25">
      <c r="A102" s="1" t="s">
        <v>384</v>
      </c>
      <c r="B102" t="s">
        <v>385</v>
      </c>
      <c r="C102">
        <f t="shared" si="23"/>
        <v>25.675000000000001</v>
      </c>
      <c r="D102">
        <f t="shared" si="24"/>
        <v>50.050999999999995</v>
      </c>
      <c r="E102">
        <v>24</v>
      </c>
      <c r="F102">
        <v>36</v>
      </c>
      <c r="G102">
        <f t="shared" si="36"/>
        <v>32.24</v>
      </c>
      <c r="H102">
        <v>0</v>
      </c>
      <c r="I102" t="s">
        <v>181</v>
      </c>
      <c r="J102">
        <v>1</v>
      </c>
      <c r="K102" s="6">
        <f t="shared" si="25"/>
        <v>36</v>
      </c>
      <c r="L102">
        <f t="shared" si="26"/>
        <v>2</v>
      </c>
      <c r="M102">
        <f t="shared" si="37"/>
        <v>6</v>
      </c>
      <c r="N102">
        <f t="shared" si="38"/>
        <v>2</v>
      </c>
      <c r="O102" s="7">
        <f t="shared" si="39"/>
        <v>7</v>
      </c>
      <c r="P102">
        <f t="shared" si="28"/>
        <v>1</v>
      </c>
      <c r="Q102">
        <f t="shared" si="29"/>
        <v>6</v>
      </c>
      <c r="R102">
        <f>_xlfn.XLOOKUP(HFrame_List[[#This Row],[Cross piece style]],$AH$2:$AH$4,$AI$2:$AI$4,0,0)*(HFrame_List[[#This Row],[Width between brackets]]/12)</f>
        <v>37.425266666666673</v>
      </c>
      <c r="S102">
        <f>5.46*(HFrame_List[[#This Row],[cross piece quantity]]-1)*(HFrame_List[[#This Row],[Width between brackets]]/12)</f>
        <v>0</v>
      </c>
      <c r="T102" s="5">
        <f>HFrame_List[[#This Row],[Bottom cross piece cost]]+HFrame_List[[#This Row],[Top cross piece cost]]+HFrame_List[[#This Row],[Component costs]]+HFrame_List[[#This Row],[Vertical strut cost]]</f>
        <v>87.323266666666683</v>
      </c>
      <c r="U102" s="7">
        <f>_xlfn.XLOOKUP(HFrame_List[[#This Row],[Fabrication type]],Fabrication_costs[Fabrication type],Fabrication_costs[unit pricing],"no result",0)</f>
        <v>19.8</v>
      </c>
      <c r="V102" s="5">
        <f>SUM(T102:U102)/(1-HFrame_List[[#This Row],[Margin]])</f>
        <v>306.06647619047624</v>
      </c>
      <c r="W102" s="36">
        <f t="shared" si="30"/>
        <v>0.65</v>
      </c>
      <c r="X102" t="s">
        <v>177</v>
      </c>
      <c r="Y102">
        <f>_xlfn.XLOOKUP("A12",Strut_costs[size],Strut_costs[Strut cost])/12*HFrame_List[[#This Row],[Strut height (in)]]*(2+HFrame_List[[#This Row],[Extra supports]])</f>
        <v>21.84</v>
      </c>
      <c r="Z102">
        <f>(_xlfn.XLOOKUP("PHB",CADDY_costs[Component],CADDY_costs[Current cost])*HFrame_List[[#This Row],[Number of feet]])+(_xlfn.XLOOKUP("HFRMHDW",CADDY_costs[Component],CADDY_costs[Current cost])*(HFrame_List[[#This Row],[number of L-brackets]]/2))</f>
        <v>28.058</v>
      </c>
      <c r="AA102">
        <v>2436</v>
      </c>
      <c r="AB102">
        <f>VLOOKUP(HFrame_List[[#This Row],[lookup]],'Pallet and shipping info'!$A$5:$H$33,6,FALSE)</f>
        <v>9</v>
      </c>
      <c r="AC102">
        <f>VLOOKUP(HFrame_List[[#This Row],[lookup]],'Pallet and shipping info'!$A$5:$H$33,8,FALSE)</f>
        <v>14</v>
      </c>
      <c r="AD102"/>
      <c r="AE102"/>
      <c r="AF102"/>
    </row>
    <row r="103" spans="1:32" x14ac:dyDescent="0.25">
      <c r="A103" s="1" t="s">
        <v>386</v>
      </c>
      <c r="B103" t="s">
        <v>387</v>
      </c>
      <c r="C103">
        <f t="shared" si="23"/>
        <v>37.674999999999997</v>
      </c>
      <c r="D103">
        <f t="shared" si="24"/>
        <v>50.050999999999995</v>
      </c>
      <c r="E103">
        <v>36</v>
      </c>
      <c r="F103">
        <f>F102</f>
        <v>36</v>
      </c>
      <c r="G103">
        <f t="shared" si="36"/>
        <v>32.24</v>
      </c>
      <c r="H103">
        <v>0</v>
      </c>
      <c r="I103" t="s">
        <v>181</v>
      </c>
      <c r="J103">
        <v>1</v>
      </c>
      <c r="K103" s="6">
        <f t="shared" si="25"/>
        <v>36</v>
      </c>
      <c r="L103">
        <f t="shared" si="26"/>
        <v>2</v>
      </c>
      <c r="M103">
        <f t="shared" si="37"/>
        <v>6</v>
      </c>
      <c r="N103">
        <f t="shared" si="38"/>
        <v>2</v>
      </c>
      <c r="O103" s="7">
        <f t="shared" si="39"/>
        <v>9</v>
      </c>
      <c r="P103">
        <f t="shared" si="28"/>
        <v>1</v>
      </c>
      <c r="Q103">
        <f t="shared" si="29"/>
        <v>6</v>
      </c>
      <c r="R103">
        <f>_xlfn.XLOOKUP(HFrame_List[[#This Row],[Cross piece style]],$AH$2:$AH$4,$AI$2:$AI$4,0,0)*(HFrame_List[[#This Row],[Width between brackets]]/12)</f>
        <v>37.425266666666673</v>
      </c>
      <c r="S103">
        <f>5.46*(HFrame_List[[#This Row],[cross piece quantity]]-1)*(HFrame_List[[#This Row],[Width between brackets]]/12)</f>
        <v>0</v>
      </c>
      <c r="T103" s="5">
        <f>HFrame_List[[#This Row],[Bottom cross piece cost]]+HFrame_List[[#This Row],[Top cross piece cost]]+HFrame_List[[#This Row],[Component costs]]+HFrame_List[[#This Row],[Vertical strut cost]]</f>
        <v>98.243266666666671</v>
      </c>
      <c r="U103" s="7">
        <f>_xlfn.XLOOKUP(HFrame_List[[#This Row],[Fabrication type]],Fabrication_costs[Fabrication type],Fabrication_costs[unit pricing],"no result",0)</f>
        <v>19.8</v>
      </c>
      <c r="V103" s="5">
        <f>SUM(T103:U103)/(1-HFrame_List[[#This Row],[Margin]])</f>
        <v>337.26647619047623</v>
      </c>
      <c r="W103" s="36">
        <f t="shared" si="30"/>
        <v>0.65</v>
      </c>
      <c r="X103" t="s">
        <v>177</v>
      </c>
      <c r="Y103">
        <f>_xlfn.XLOOKUP("A12",Strut_costs[size],Strut_costs[Strut cost])/12*HFrame_List[[#This Row],[Strut height (in)]]*(2+HFrame_List[[#This Row],[Extra supports]])</f>
        <v>32.76</v>
      </c>
      <c r="Z103">
        <f>(_xlfn.XLOOKUP("PHB",CADDY_costs[Component],CADDY_costs[Current cost])*HFrame_List[[#This Row],[Number of feet]])+(_xlfn.XLOOKUP("HFRMHDW",CADDY_costs[Component],CADDY_costs[Current cost])*(HFrame_List[[#This Row],[number of L-brackets]]/2))</f>
        <v>28.058</v>
      </c>
      <c r="AA103">
        <v>3636</v>
      </c>
      <c r="AB103">
        <f>VLOOKUP(HFrame_List[[#This Row],[lookup]],'Pallet and shipping info'!$A$5:$H$33,6,FALSE)</f>
        <v>9</v>
      </c>
      <c r="AC103">
        <f>VLOOKUP(HFrame_List[[#This Row],[lookup]],'Pallet and shipping info'!$A$5:$H$33,8,FALSE)</f>
        <v>14</v>
      </c>
      <c r="AD103"/>
      <c r="AE103"/>
      <c r="AF103"/>
    </row>
    <row r="104" spans="1:32" x14ac:dyDescent="0.25">
      <c r="A104" s="1" t="s">
        <v>388</v>
      </c>
      <c r="B104" t="s">
        <v>389</v>
      </c>
      <c r="C104">
        <f t="shared" si="23"/>
        <v>49.674999999999997</v>
      </c>
      <c r="D104">
        <f t="shared" si="24"/>
        <v>50.050999999999995</v>
      </c>
      <c r="E104">
        <v>48</v>
      </c>
      <c r="F104">
        <f t="shared" ref="F104:F109" si="41">F103</f>
        <v>36</v>
      </c>
      <c r="G104">
        <f t="shared" si="36"/>
        <v>32.24</v>
      </c>
      <c r="H104">
        <v>0</v>
      </c>
      <c r="I104" t="s">
        <v>181</v>
      </c>
      <c r="J104">
        <v>1</v>
      </c>
      <c r="K104" s="6">
        <f t="shared" si="25"/>
        <v>36</v>
      </c>
      <c r="L104">
        <f t="shared" si="26"/>
        <v>2</v>
      </c>
      <c r="M104">
        <f t="shared" si="37"/>
        <v>6</v>
      </c>
      <c r="N104">
        <f t="shared" si="38"/>
        <v>2</v>
      </c>
      <c r="O104" s="7">
        <f t="shared" si="39"/>
        <v>11</v>
      </c>
      <c r="P104">
        <f t="shared" si="28"/>
        <v>2</v>
      </c>
      <c r="Q104">
        <f t="shared" si="29"/>
        <v>6</v>
      </c>
      <c r="R104">
        <f>_xlfn.XLOOKUP(HFrame_List[[#This Row],[Cross piece style]],$AH$2:$AH$4,$AI$2:$AI$4,0,0)*(HFrame_List[[#This Row],[Width between brackets]]/12)</f>
        <v>37.425266666666673</v>
      </c>
      <c r="S104">
        <f>5.46*(HFrame_List[[#This Row],[cross piece quantity]]-1)*(HFrame_List[[#This Row],[Width between brackets]]/12)</f>
        <v>0</v>
      </c>
      <c r="T104" s="5">
        <f>HFrame_List[[#This Row],[Bottom cross piece cost]]+HFrame_List[[#This Row],[Top cross piece cost]]+HFrame_List[[#This Row],[Component costs]]+HFrame_List[[#This Row],[Vertical strut cost]]</f>
        <v>109.16326666666669</v>
      </c>
      <c r="U104" s="7">
        <f>_xlfn.XLOOKUP(HFrame_List[[#This Row],[Fabrication type]],Fabrication_costs[Fabrication type],Fabrication_costs[unit pricing],"no result",0)</f>
        <v>19.8</v>
      </c>
      <c r="V104" s="5">
        <f>SUM(T104:U104)/(1-HFrame_List[[#This Row],[Margin]])</f>
        <v>368.46647619047633</v>
      </c>
      <c r="W104" s="36">
        <f t="shared" si="30"/>
        <v>0.65</v>
      </c>
      <c r="X104" t="s">
        <v>177</v>
      </c>
      <c r="Y104">
        <f>_xlfn.XLOOKUP("A12",Strut_costs[size],Strut_costs[Strut cost])/12*HFrame_List[[#This Row],[Strut height (in)]]*(2+HFrame_List[[#This Row],[Extra supports]])</f>
        <v>43.68</v>
      </c>
      <c r="Z104">
        <f>(_xlfn.XLOOKUP("PHB",CADDY_costs[Component],CADDY_costs[Current cost])*HFrame_List[[#This Row],[Number of feet]])+(_xlfn.XLOOKUP("HFRMHDW",CADDY_costs[Component],CADDY_costs[Current cost])*(HFrame_List[[#This Row],[number of L-brackets]]/2))</f>
        <v>28.058</v>
      </c>
      <c r="AA104">
        <v>4836</v>
      </c>
      <c r="AB104">
        <f>VLOOKUP(HFrame_List[[#This Row],[lookup]],'Pallet and shipping info'!$A$5:$H$33,6,FALSE)</f>
        <v>9</v>
      </c>
      <c r="AC104">
        <f>VLOOKUP(HFrame_List[[#This Row],[lookup]],'Pallet and shipping info'!$A$5:$H$33,8,FALSE)</f>
        <v>14</v>
      </c>
      <c r="AD104"/>
      <c r="AE104"/>
      <c r="AF104"/>
    </row>
    <row r="105" spans="1:32" x14ac:dyDescent="0.25">
      <c r="A105" s="1" t="s">
        <v>390</v>
      </c>
      <c r="B105" t="s">
        <v>391</v>
      </c>
      <c r="C105">
        <f t="shared" si="23"/>
        <v>73.674999999999997</v>
      </c>
      <c r="D105">
        <f t="shared" si="24"/>
        <v>50.050999999999995</v>
      </c>
      <c r="E105">
        <v>72</v>
      </c>
      <c r="F105">
        <f t="shared" si="41"/>
        <v>36</v>
      </c>
      <c r="G105">
        <f t="shared" si="36"/>
        <v>32.24</v>
      </c>
      <c r="H105">
        <v>0</v>
      </c>
      <c r="I105" t="s">
        <v>181</v>
      </c>
      <c r="J105">
        <v>1</v>
      </c>
      <c r="K105" s="6">
        <f t="shared" si="25"/>
        <v>36</v>
      </c>
      <c r="L105">
        <f t="shared" si="26"/>
        <v>2</v>
      </c>
      <c r="M105">
        <f t="shared" si="37"/>
        <v>6</v>
      </c>
      <c r="N105">
        <f t="shared" si="38"/>
        <v>2</v>
      </c>
      <c r="O105" s="7">
        <f t="shared" si="39"/>
        <v>15</v>
      </c>
      <c r="P105">
        <f t="shared" si="28"/>
        <v>2</v>
      </c>
      <c r="Q105">
        <f t="shared" si="29"/>
        <v>6</v>
      </c>
      <c r="R105">
        <f>_xlfn.XLOOKUP(HFrame_List[[#This Row],[Cross piece style]],$AH$2:$AH$4,$AI$2:$AI$4,0,0)*(HFrame_List[[#This Row],[Width between brackets]]/12)</f>
        <v>37.425266666666673</v>
      </c>
      <c r="S105">
        <f>5.46*(HFrame_List[[#This Row],[cross piece quantity]]-1)*(HFrame_List[[#This Row],[Width between brackets]]/12)</f>
        <v>0</v>
      </c>
      <c r="T105" s="5">
        <f>HFrame_List[[#This Row],[Bottom cross piece cost]]+HFrame_List[[#This Row],[Top cross piece cost]]+HFrame_List[[#This Row],[Component costs]]+HFrame_List[[#This Row],[Vertical strut cost]]</f>
        <v>131.00326666666666</v>
      </c>
      <c r="U105" s="7">
        <f>_xlfn.XLOOKUP(HFrame_List[[#This Row],[Fabrication type]],Fabrication_costs[Fabrication type],Fabrication_costs[unit pricing],"no result",0)</f>
        <v>19.8</v>
      </c>
      <c r="V105" s="5">
        <f>SUM(T105:U105)/(1-HFrame_List[[#This Row],[Margin]])</f>
        <v>430.86647619047625</v>
      </c>
      <c r="W105" s="36">
        <f t="shared" si="30"/>
        <v>0.65</v>
      </c>
      <c r="X105" t="s">
        <v>177</v>
      </c>
      <c r="Y105">
        <f>_xlfn.XLOOKUP("A12",Strut_costs[size],Strut_costs[Strut cost])/12*HFrame_List[[#This Row],[Strut height (in)]]*(2+HFrame_List[[#This Row],[Extra supports]])</f>
        <v>65.52</v>
      </c>
      <c r="Z105">
        <f>(_xlfn.XLOOKUP("PHB",CADDY_costs[Component],CADDY_costs[Current cost])*HFrame_List[[#This Row],[Number of feet]])+(_xlfn.XLOOKUP("HFRMHDW",CADDY_costs[Component],CADDY_costs[Current cost])*(HFrame_List[[#This Row],[number of L-brackets]]/2))</f>
        <v>28.058</v>
      </c>
      <c r="AA105">
        <v>7236</v>
      </c>
      <c r="AB105">
        <f>VLOOKUP(HFrame_List[[#This Row],[lookup]],'Pallet and shipping info'!$A$5:$H$33,6,FALSE)</f>
        <v>9</v>
      </c>
      <c r="AC105">
        <f>VLOOKUP(HFrame_List[[#This Row],[lookup]],'Pallet and shipping info'!$A$5:$H$33,8,FALSE)</f>
        <v>14</v>
      </c>
      <c r="AD105"/>
      <c r="AE105"/>
      <c r="AF105"/>
    </row>
    <row r="106" spans="1:32" x14ac:dyDescent="0.25">
      <c r="A106" s="1" t="s">
        <v>392</v>
      </c>
      <c r="B106" t="s">
        <v>393</v>
      </c>
      <c r="C106">
        <f t="shared" si="23"/>
        <v>25.675000000000001</v>
      </c>
      <c r="D106">
        <f t="shared" si="24"/>
        <v>62.050999999999995</v>
      </c>
      <c r="E106">
        <v>24</v>
      </c>
      <c r="F106">
        <v>48</v>
      </c>
      <c r="G106">
        <f t="shared" si="36"/>
        <v>44.24</v>
      </c>
      <c r="H106">
        <v>0</v>
      </c>
      <c r="I106" t="s">
        <v>181</v>
      </c>
      <c r="J106">
        <v>1</v>
      </c>
      <c r="K106" s="6">
        <f t="shared" si="25"/>
        <v>48</v>
      </c>
      <c r="L106">
        <f t="shared" si="26"/>
        <v>2</v>
      </c>
      <c r="M106">
        <f t="shared" si="37"/>
        <v>6</v>
      </c>
      <c r="N106">
        <f t="shared" si="38"/>
        <v>2</v>
      </c>
      <c r="O106" s="7">
        <f t="shared" si="39"/>
        <v>8</v>
      </c>
      <c r="P106">
        <f t="shared" si="28"/>
        <v>1</v>
      </c>
      <c r="Q106">
        <f t="shared" si="29"/>
        <v>6</v>
      </c>
      <c r="R106">
        <f>_xlfn.XLOOKUP(HFrame_List[[#This Row],[Cross piece style]],$AH$2:$AH$4,$AI$2:$AI$4,0,0)*(HFrame_List[[#This Row],[Width between brackets]]/12)</f>
        <v>51.355266666666672</v>
      </c>
      <c r="S106">
        <f>5.46*(HFrame_List[[#This Row],[cross piece quantity]]-1)*(HFrame_List[[#This Row],[Width between brackets]]/12)</f>
        <v>0</v>
      </c>
      <c r="T106" s="5">
        <f>HFrame_List[[#This Row],[Bottom cross piece cost]]+HFrame_List[[#This Row],[Top cross piece cost]]+HFrame_List[[#This Row],[Component costs]]+HFrame_List[[#This Row],[Vertical strut cost]]</f>
        <v>101.25326666666668</v>
      </c>
      <c r="U106" s="7">
        <f>_xlfn.XLOOKUP(HFrame_List[[#This Row],[Fabrication type]],Fabrication_costs[Fabrication type],Fabrication_costs[unit pricing],"no result",0)</f>
        <v>19.8</v>
      </c>
      <c r="V106" s="5">
        <f>SUM(T106:U106)/(1-HFrame_List[[#This Row],[Margin]])</f>
        <v>345.86647619047625</v>
      </c>
      <c r="W106" s="36">
        <f t="shared" si="30"/>
        <v>0.65</v>
      </c>
      <c r="X106" t="s">
        <v>177</v>
      </c>
      <c r="Y106">
        <f>_xlfn.XLOOKUP("A12",Strut_costs[size],Strut_costs[Strut cost])/12*HFrame_List[[#This Row],[Strut height (in)]]*(2+HFrame_List[[#This Row],[Extra supports]])</f>
        <v>21.84</v>
      </c>
      <c r="Z106">
        <f>(_xlfn.XLOOKUP("PHB",CADDY_costs[Component],CADDY_costs[Current cost])*HFrame_List[[#This Row],[Number of feet]])+(_xlfn.XLOOKUP("HFRMHDW",CADDY_costs[Component],CADDY_costs[Current cost])*(HFrame_List[[#This Row],[number of L-brackets]]/2))</f>
        <v>28.058</v>
      </c>
      <c r="AA106">
        <v>2448</v>
      </c>
      <c r="AB106">
        <f>VLOOKUP(HFrame_List[[#This Row],[lookup]],'Pallet and shipping info'!$A$5:$H$33,6,FALSE)</f>
        <v>7</v>
      </c>
      <c r="AC106">
        <f>VLOOKUP(HFrame_List[[#This Row],[lookup]],'Pallet and shipping info'!$A$5:$H$33,8,FALSE)</f>
        <v>10</v>
      </c>
      <c r="AD106"/>
      <c r="AE106"/>
      <c r="AF106"/>
    </row>
    <row r="107" spans="1:32" x14ac:dyDescent="0.25">
      <c r="A107" s="1" t="s">
        <v>394</v>
      </c>
      <c r="B107" t="s">
        <v>395</v>
      </c>
      <c r="C107">
        <f t="shared" si="23"/>
        <v>37.674999999999997</v>
      </c>
      <c r="D107">
        <f t="shared" si="24"/>
        <v>62.050999999999995</v>
      </c>
      <c r="E107">
        <v>36</v>
      </c>
      <c r="F107">
        <f t="shared" si="41"/>
        <v>48</v>
      </c>
      <c r="G107">
        <f t="shared" si="36"/>
        <v>44.24</v>
      </c>
      <c r="H107">
        <v>0</v>
      </c>
      <c r="I107" t="s">
        <v>181</v>
      </c>
      <c r="J107">
        <v>1</v>
      </c>
      <c r="K107" s="6">
        <f t="shared" si="25"/>
        <v>48</v>
      </c>
      <c r="L107">
        <f t="shared" si="26"/>
        <v>2</v>
      </c>
      <c r="M107">
        <f t="shared" si="37"/>
        <v>6</v>
      </c>
      <c r="N107">
        <f t="shared" si="38"/>
        <v>2</v>
      </c>
      <c r="O107" s="7">
        <f t="shared" si="39"/>
        <v>10</v>
      </c>
      <c r="P107">
        <f t="shared" si="28"/>
        <v>1</v>
      </c>
      <c r="Q107">
        <f t="shared" si="29"/>
        <v>6</v>
      </c>
      <c r="R107">
        <f>_xlfn.XLOOKUP(HFrame_List[[#This Row],[Cross piece style]],$AH$2:$AH$4,$AI$2:$AI$4,0,0)*(HFrame_List[[#This Row],[Width between brackets]]/12)</f>
        <v>51.355266666666672</v>
      </c>
      <c r="S107">
        <f>5.46*(HFrame_List[[#This Row],[cross piece quantity]]-1)*(HFrame_List[[#This Row],[Width between brackets]]/12)</f>
        <v>0</v>
      </c>
      <c r="T107" s="5">
        <f>HFrame_List[[#This Row],[Bottom cross piece cost]]+HFrame_List[[#This Row],[Top cross piece cost]]+HFrame_List[[#This Row],[Component costs]]+HFrame_List[[#This Row],[Vertical strut cost]]</f>
        <v>112.17326666666668</v>
      </c>
      <c r="U107" s="7">
        <f>_xlfn.XLOOKUP(HFrame_List[[#This Row],[Fabrication type]],Fabrication_costs[Fabrication type],Fabrication_costs[unit pricing],"no result",0)</f>
        <v>19.8</v>
      </c>
      <c r="V107" s="5">
        <f>SUM(T107:U107)/(1-HFrame_List[[#This Row],[Margin]])</f>
        <v>377.06647619047629</v>
      </c>
      <c r="W107" s="36">
        <f t="shared" si="30"/>
        <v>0.65</v>
      </c>
      <c r="X107" t="s">
        <v>177</v>
      </c>
      <c r="Y107">
        <f>_xlfn.XLOOKUP("A12",Strut_costs[size],Strut_costs[Strut cost])/12*HFrame_List[[#This Row],[Strut height (in)]]*(2+HFrame_List[[#This Row],[Extra supports]])</f>
        <v>32.76</v>
      </c>
      <c r="Z107">
        <f>(_xlfn.XLOOKUP("PHB",CADDY_costs[Component],CADDY_costs[Current cost])*HFrame_List[[#This Row],[Number of feet]])+(_xlfn.XLOOKUP("HFRMHDW",CADDY_costs[Component],CADDY_costs[Current cost])*(HFrame_List[[#This Row],[number of L-brackets]]/2))</f>
        <v>28.058</v>
      </c>
      <c r="AA107">
        <v>3648</v>
      </c>
      <c r="AB107">
        <f>VLOOKUP(HFrame_List[[#This Row],[lookup]],'Pallet and shipping info'!$A$5:$H$33,6,FALSE)</f>
        <v>7</v>
      </c>
      <c r="AC107">
        <f>VLOOKUP(HFrame_List[[#This Row],[lookup]],'Pallet and shipping info'!$A$5:$H$33,8,FALSE)</f>
        <v>10</v>
      </c>
      <c r="AD107"/>
      <c r="AE107"/>
      <c r="AF107"/>
    </row>
    <row r="108" spans="1:32" x14ac:dyDescent="0.25">
      <c r="A108" s="1" t="s">
        <v>396</v>
      </c>
      <c r="B108" t="s">
        <v>397</v>
      </c>
      <c r="C108">
        <f t="shared" si="23"/>
        <v>49.674999999999997</v>
      </c>
      <c r="D108">
        <f t="shared" si="24"/>
        <v>62.050999999999995</v>
      </c>
      <c r="E108">
        <v>48</v>
      </c>
      <c r="F108">
        <f t="shared" si="41"/>
        <v>48</v>
      </c>
      <c r="G108">
        <f t="shared" si="36"/>
        <v>44.24</v>
      </c>
      <c r="H108">
        <v>0</v>
      </c>
      <c r="I108" t="s">
        <v>181</v>
      </c>
      <c r="J108">
        <v>1</v>
      </c>
      <c r="K108" s="6">
        <f t="shared" si="25"/>
        <v>48</v>
      </c>
      <c r="L108">
        <f t="shared" si="26"/>
        <v>2</v>
      </c>
      <c r="M108">
        <f t="shared" si="37"/>
        <v>6</v>
      </c>
      <c r="N108">
        <f t="shared" si="38"/>
        <v>2</v>
      </c>
      <c r="O108" s="7">
        <f t="shared" si="39"/>
        <v>12</v>
      </c>
      <c r="P108">
        <f t="shared" si="28"/>
        <v>2</v>
      </c>
      <c r="Q108">
        <f t="shared" si="29"/>
        <v>6</v>
      </c>
      <c r="R108">
        <f>_xlfn.XLOOKUP(HFrame_List[[#This Row],[Cross piece style]],$AH$2:$AH$4,$AI$2:$AI$4,0,0)*(HFrame_List[[#This Row],[Width between brackets]]/12)</f>
        <v>51.355266666666672</v>
      </c>
      <c r="S108">
        <f>5.46*(HFrame_List[[#This Row],[cross piece quantity]]-1)*(HFrame_List[[#This Row],[Width between brackets]]/12)</f>
        <v>0</v>
      </c>
      <c r="T108" s="5">
        <f>HFrame_List[[#This Row],[Bottom cross piece cost]]+HFrame_List[[#This Row],[Top cross piece cost]]+HFrame_List[[#This Row],[Component costs]]+HFrame_List[[#This Row],[Vertical strut cost]]</f>
        <v>123.09326666666666</v>
      </c>
      <c r="U108" s="7">
        <f>_xlfn.XLOOKUP(HFrame_List[[#This Row],[Fabrication type]],Fabrication_costs[Fabrication type],Fabrication_costs[unit pricing],"no result",0)</f>
        <v>19.8</v>
      </c>
      <c r="V108" s="5">
        <f>SUM(T108:U108)/(1-HFrame_List[[#This Row],[Margin]])</f>
        <v>408.26647619047623</v>
      </c>
      <c r="W108" s="36">
        <f t="shared" si="30"/>
        <v>0.65</v>
      </c>
      <c r="X108" t="s">
        <v>177</v>
      </c>
      <c r="Y108">
        <f>_xlfn.XLOOKUP("A12",Strut_costs[size],Strut_costs[Strut cost])/12*HFrame_List[[#This Row],[Strut height (in)]]*(2+HFrame_List[[#This Row],[Extra supports]])</f>
        <v>43.68</v>
      </c>
      <c r="Z108">
        <f>(_xlfn.XLOOKUP("PHB",CADDY_costs[Component],CADDY_costs[Current cost])*HFrame_List[[#This Row],[Number of feet]])+(_xlfn.XLOOKUP("HFRMHDW",CADDY_costs[Component],CADDY_costs[Current cost])*(HFrame_List[[#This Row],[number of L-brackets]]/2))</f>
        <v>28.058</v>
      </c>
      <c r="AA108">
        <v>4848</v>
      </c>
      <c r="AB108">
        <f>VLOOKUP(HFrame_List[[#This Row],[lookup]],'Pallet and shipping info'!$A$5:$H$33,6,FALSE)</f>
        <v>7</v>
      </c>
      <c r="AC108">
        <f>VLOOKUP(HFrame_List[[#This Row],[lookup]],'Pallet and shipping info'!$A$5:$H$33,8,FALSE)</f>
        <v>10</v>
      </c>
      <c r="AD108"/>
      <c r="AE108"/>
      <c r="AF108"/>
    </row>
    <row r="109" spans="1:32" x14ac:dyDescent="0.25">
      <c r="A109" s="1" t="s">
        <v>398</v>
      </c>
      <c r="B109" t="s">
        <v>399</v>
      </c>
      <c r="C109">
        <f t="shared" si="23"/>
        <v>73.674999999999997</v>
      </c>
      <c r="D109">
        <f t="shared" si="24"/>
        <v>62.050999999999995</v>
      </c>
      <c r="E109">
        <v>72</v>
      </c>
      <c r="F109">
        <f t="shared" si="41"/>
        <v>48</v>
      </c>
      <c r="G109">
        <f t="shared" si="36"/>
        <v>44.24</v>
      </c>
      <c r="H109">
        <v>0</v>
      </c>
      <c r="I109" t="s">
        <v>181</v>
      </c>
      <c r="J109">
        <v>1</v>
      </c>
      <c r="K109" s="6">
        <f t="shared" si="25"/>
        <v>48</v>
      </c>
      <c r="L109">
        <f t="shared" si="26"/>
        <v>2</v>
      </c>
      <c r="M109">
        <f t="shared" si="37"/>
        <v>6</v>
      </c>
      <c r="N109">
        <f t="shared" si="38"/>
        <v>2</v>
      </c>
      <c r="O109" s="7">
        <f t="shared" si="39"/>
        <v>16</v>
      </c>
      <c r="P109">
        <f t="shared" si="28"/>
        <v>2</v>
      </c>
      <c r="Q109">
        <f t="shared" si="29"/>
        <v>6</v>
      </c>
      <c r="R109">
        <f>_xlfn.XLOOKUP(HFrame_List[[#This Row],[Cross piece style]],$AH$2:$AH$4,$AI$2:$AI$4,0,0)*(HFrame_List[[#This Row],[Width between brackets]]/12)</f>
        <v>51.355266666666672</v>
      </c>
      <c r="S109">
        <f>5.46*(HFrame_List[[#This Row],[cross piece quantity]]-1)*(HFrame_List[[#This Row],[Width between brackets]]/12)</f>
        <v>0</v>
      </c>
      <c r="T109" s="5">
        <f>HFrame_List[[#This Row],[Bottom cross piece cost]]+HFrame_List[[#This Row],[Top cross piece cost]]+HFrame_List[[#This Row],[Component costs]]+HFrame_List[[#This Row],[Vertical strut cost]]</f>
        <v>144.93326666666667</v>
      </c>
      <c r="U109" s="7">
        <f>_xlfn.XLOOKUP(HFrame_List[[#This Row],[Fabrication type]],Fabrication_costs[Fabrication type],Fabrication_costs[unit pricing],"no result",0)</f>
        <v>19.8</v>
      </c>
      <c r="V109" s="5">
        <f>SUM(T109:U109)/(1-HFrame_List[[#This Row],[Margin]])</f>
        <v>470.66647619047626</v>
      </c>
      <c r="W109" s="36">
        <f t="shared" si="30"/>
        <v>0.65</v>
      </c>
      <c r="X109" t="s">
        <v>177</v>
      </c>
      <c r="Y109">
        <f>_xlfn.XLOOKUP("A12",Strut_costs[size],Strut_costs[Strut cost])/12*HFrame_List[[#This Row],[Strut height (in)]]*(2+HFrame_List[[#This Row],[Extra supports]])</f>
        <v>65.52</v>
      </c>
      <c r="Z109">
        <f>(_xlfn.XLOOKUP("PHB",CADDY_costs[Component],CADDY_costs[Current cost])*HFrame_List[[#This Row],[Number of feet]])+(_xlfn.XLOOKUP("HFRMHDW",CADDY_costs[Component],CADDY_costs[Current cost])*(HFrame_List[[#This Row],[number of L-brackets]]/2))</f>
        <v>28.058</v>
      </c>
      <c r="AA109">
        <v>7248</v>
      </c>
      <c r="AB109">
        <f>VLOOKUP(HFrame_List[[#This Row],[lookup]],'Pallet and shipping info'!$A$5:$H$33,6,FALSE)</f>
        <v>7</v>
      </c>
      <c r="AC109">
        <f>VLOOKUP(HFrame_List[[#This Row],[lookup]],'Pallet and shipping info'!$A$5:$H$33,8,FALSE)</f>
        <v>10</v>
      </c>
      <c r="AD109"/>
      <c r="AE109"/>
      <c r="AF109"/>
    </row>
    <row r="110" spans="1:32" x14ac:dyDescent="0.25">
      <c r="A110" s="1" t="s">
        <v>400</v>
      </c>
      <c r="B110" t="s">
        <v>401</v>
      </c>
      <c r="C110">
        <f t="shared" si="23"/>
        <v>25.675000000000001</v>
      </c>
      <c r="D110">
        <f t="shared" si="24"/>
        <v>74.051000000000002</v>
      </c>
      <c r="E110">
        <v>24</v>
      </c>
      <c r="F110">
        <v>60</v>
      </c>
      <c r="G110">
        <f t="shared" si="36"/>
        <v>56.24</v>
      </c>
      <c r="H110">
        <v>0</v>
      </c>
      <c r="I110" t="s">
        <v>181</v>
      </c>
      <c r="J110">
        <v>1</v>
      </c>
      <c r="K110" s="6">
        <f t="shared" si="25"/>
        <v>60</v>
      </c>
      <c r="L110">
        <f t="shared" si="26"/>
        <v>2</v>
      </c>
      <c r="M110">
        <f t="shared" si="37"/>
        <v>6</v>
      </c>
      <c r="N110">
        <f t="shared" si="38"/>
        <v>2</v>
      </c>
      <c r="O110" s="7">
        <f t="shared" si="39"/>
        <v>9</v>
      </c>
      <c r="P110">
        <f t="shared" si="28"/>
        <v>1</v>
      </c>
      <c r="Q110">
        <f t="shared" si="29"/>
        <v>6</v>
      </c>
      <c r="R110">
        <f>_xlfn.XLOOKUP(HFrame_List[[#This Row],[Cross piece style]],$AH$2:$AH$4,$AI$2:$AI$4,0,0)*(HFrame_List[[#This Row],[Width between brackets]]/12)</f>
        <v>65.285266666666658</v>
      </c>
      <c r="S110">
        <f>5.46*(HFrame_List[[#This Row],[cross piece quantity]]-1)*(HFrame_List[[#This Row],[Width between brackets]]/12)</f>
        <v>0</v>
      </c>
      <c r="T110" s="5">
        <f>HFrame_List[[#This Row],[Bottom cross piece cost]]+HFrame_List[[#This Row],[Top cross piece cost]]+HFrame_List[[#This Row],[Component costs]]+HFrame_List[[#This Row],[Vertical strut cost]]</f>
        <v>115.18326666666667</v>
      </c>
      <c r="U110" s="7">
        <f>_xlfn.XLOOKUP(HFrame_List[[#This Row],[Fabrication type]],Fabrication_costs[Fabrication type],Fabrication_costs[unit pricing],"no result",0)</f>
        <v>19.8</v>
      </c>
      <c r="V110" s="5">
        <f>SUM(T110:U110)/(1-HFrame_List[[#This Row],[Margin]])</f>
        <v>385.66647619047626</v>
      </c>
      <c r="W110" s="36">
        <f t="shared" si="30"/>
        <v>0.65</v>
      </c>
      <c r="X110" t="s">
        <v>177</v>
      </c>
      <c r="Y110">
        <f>_xlfn.XLOOKUP("A12",Strut_costs[size],Strut_costs[Strut cost])/12*HFrame_List[[#This Row],[Strut height (in)]]*(2+HFrame_List[[#This Row],[Extra supports]])</f>
        <v>21.84</v>
      </c>
      <c r="Z110">
        <f>(_xlfn.XLOOKUP("PHB",CADDY_costs[Component],CADDY_costs[Current cost])*HFrame_List[[#This Row],[Number of feet]])+(_xlfn.XLOOKUP("HFRMHDW",CADDY_costs[Component],CADDY_costs[Current cost])*(HFrame_List[[#This Row],[number of L-brackets]]/2))</f>
        <v>28.058</v>
      </c>
      <c r="AA110">
        <v>2460</v>
      </c>
      <c r="AB110" t="str">
        <f>VLOOKUP(HFrame_List[[#This Row],[lookup]],'Pallet and shipping info'!$A$5:$H$33,6,FALSE)</f>
        <v>x</v>
      </c>
      <c r="AC110">
        <f>VLOOKUP(HFrame_List[[#This Row],[lookup]],'Pallet and shipping info'!$A$5:$H$33,8,FALSE)</f>
        <v>7</v>
      </c>
      <c r="AD110"/>
      <c r="AE110"/>
      <c r="AF110"/>
    </row>
    <row r="111" spans="1:32" x14ac:dyDescent="0.25">
      <c r="A111" s="1" t="s">
        <v>402</v>
      </c>
      <c r="B111" t="s">
        <v>403</v>
      </c>
      <c r="C111">
        <f t="shared" si="23"/>
        <v>37.674999999999997</v>
      </c>
      <c r="D111">
        <f t="shared" si="24"/>
        <v>74.051000000000002</v>
      </c>
      <c r="E111">
        <v>36</v>
      </c>
      <c r="F111">
        <v>60</v>
      </c>
      <c r="G111">
        <f t="shared" si="36"/>
        <v>56.24</v>
      </c>
      <c r="H111">
        <v>0</v>
      </c>
      <c r="I111" t="s">
        <v>181</v>
      </c>
      <c r="J111">
        <v>1</v>
      </c>
      <c r="K111" s="6">
        <f t="shared" si="25"/>
        <v>60</v>
      </c>
      <c r="L111">
        <f t="shared" si="26"/>
        <v>2</v>
      </c>
      <c r="M111">
        <f t="shared" si="37"/>
        <v>6</v>
      </c>
      <c r="N111">
        <f t="shared" si="38"/>
        <v>2</v>
      </c>
      <c r="O111" s="7">
        <f t="shared" si="39"/>
        <v>11</v>
      </c>
      <c r="P111">
        <f t="shared" si="28"/>
        <v>2</v>
      </c>
      <c r="Q111">
        <f t="shared" si="29"/>
        <v>6</v>
      </c>
      <c r="R111">
        <f>_xlfn.XLOOKUP(HFrame_List[[#This Row],[Cross piece style]],$AH$2:$AH$4,$AI$2:$AI$4,0,0)*(HFrame_List[[#This Row],[Width between brackets]]/12)</f>
        <v>65.285266666666658</v>
      </c>
      <c r="S111">
        <f>5.46*(HFrame_List[[#This Row],[cross piece quantity]]-1)*(HFrame_List[[#This Row],[Width between brackets]]/12)</f>
        <v>0</v>
      </c>
      <c r="T111" s="5">
        <f>HFrame_List[[#This Row],[Bottom cross piece cost]]+HFrame_List[[#This Row],[Top cross piece cost]]+HFrame_List[[#This Row],[Component costs]]+HFrame_List[[#This Row],[Vertical strut cost]]</f>
        <v>126.10326666666666</v>
      </c>
      <c r="U111" s="7">
        <f>_xlfn.XLOOKUP(HFrame_List[[#This Row],[Fabrication type]],Fabrication_costs[Fabrication type],Fabrication_costs[unit pricing],"no result",0)</f>
        <v>19.8</v>
      </c>
      <c r="V111" s="5">
        <f>SUM(T111:U111)/(1-HFrame_List[[#This Row],[Margin]])</f>
        <v>416.86647619047619</v>
      </c>
      <c r="W111" s="36">
        <f t="shared" si="30"/>
        <v>0.65</v>
      </c>
      <c r="X111" t="s">
        <v>177</v>
      </c>
      <c r="Y111">
        <f>_xlfn.XLOOKUP("A12",Strut_costs[size],Strut_costs[Strut cost])/12*HFrame_List[[#This Row],[Strut height (in)]]*(2+HFrame_List[[#This Row],[Extra supports]])</f>
        <v>32.76</v>
      </c>
      <c r="Z111">
        <f>(_xlfn.XLOOKUP("PHB",CADDY_costs[Component],CADDY_costs[Current cost])*HFrame_List[[#This Row],[Number of feet]])+(_xlfn.XLOOKUP("HFRMHDW",CADDY_costs[Component],CADDY_costs[Current cost])*(HFrame_List[[#This Row],[number of L-brackets]]/2))</f>
        <v>28.058</v>
      </c>
      <c r="AA111">
        <v>3660</v>
      </c>
      <c r="AB111" t="str">
        <f>VLOOKUP(HFrame_List[[#This Row],[lookup]],'Pallet and shipping info'!$A$5:$H$33,6,FALSE)</f>
        <v>x</v>
      </c>
      <c r="AC111">
        <f>VLOOKUP(HFrame_List[[#This Row],[lookup]],'Pallet and shipping info'!$A$5:$H$33,8,FALSE)</f>
        <v>7</v>
      </c>
      <c r="AD111"/>
      <c r="AE111"/>
      <c r="AF111"/>
    </row>
    <row r="112" spans="1:32" x14ac:dyDescent="0.25">
      <c r="A112" s="1" t="s">
        <v>404</v>
      </c>
      <c r="B112" t="s">
        <v>405</v>
      </c>
      <c r="C112">
        <f t="shared" si="23"/>
        <v>49.674999999999997</v>
      </c>
      <c r="D112">
        <f t="shared" si="24"/>
        <v>74.051000000000002</v>
      </c>
      <c r="E112">
        <v>48</v>
      </c>
      <c r="F112">
        <v>60</v>
      </c>
      <c r="G112">
        <f t="shared" si="36"/>
        <v>56.24</v>
      </c>
      <c r="H112">
        <v>0</v>
      </c>
      <c r="I112" t="s">
        <v>181</v>
      </c>
      <c r="J112">
        <v>1</v>
      </c>
      <c r="K112" s="6">
        <f t="shared" si="25"/>
        <v>60</v>
      </c>
      <c r="L112">
        <f t="shared" si="26"/>
        <v>2</v>
      </c>
      <c r="M112">
        <f t="shared" si="37"/>
        <v>6</v>
      </c>
      <c r="N112">
        <f t="shared" si="38"/>
        <v>2</v>
      </c>
      <c r="O112" s="7">
        <f t="shared" si="39"/>
        <v>13</v>
      </c>
      <c r="P112">
        <f t="shared" si="28"/>
        <v>2</v>
      </c>
      <c r="Q112">
        <f t="shared" si="29"/>
        <v>6</v>
      </c>
      <c r="R112">
        <f>_xlfn.XLOOKUP(HFrame_List[[#This Row],[Cross piece style]],$AH$2:$AH$4,$AI$2:$AI$4,0,0)*(HFrame_List[[#This Row],[Width between brackets]]/12)</f>
        <v>65.285266666666658</v>
      </c>
      <c r="S112">
        <f>5.46*(HFrame_List[[#This Row],[cross piece quantity]]-1)*(HFrame_List[[#This Row],[Width between brackets]]/12)</f>
        <v>0</v>
      </c>
      <c r="T112" s="5">
        <f>HFrame_List[[#This Row],[Bottom cross piece cost]]+HFrame_List[[#This Row],[Top cross piece cost]]+HFrame_List[[#This Row],[Component costs]]+HFrame_List[[#This Row],[Vertical strut cost]]</f>
        <v>137.02326666666667</v>
      </c>
      <c r="U112" s="7">
        <f>_xlfn.XLOOKUP(HFrame_List[[#This Row],[Fabrication type]],Fabrication_costs[Fabrication type],Fabrication_costs[unit pricing],"no result",0)</f>
        <v>19.8</v>
      </c>
      <c r="V112" s="5">
        <f>SUM(T112:U112)/(1-HFrame_List[[#This Row],[Margin]])</f>
        <v>448.06647619047624</v>
      </c>
      <c r="W112" s="36">
        <f t="shared" si="30"/>
        <v>0.65</v>
      </c>
      <c r="X112" t="s">
        <v>177</v>
      </c>
      <c r="Y112">
        <f>_xlfn.XLOOKUP("A12",Strut_costs[size],Strut_costs[Strut cost])/12*HFrame_List[[#This Row],[Strut height (in)]]*(2+HFrame_List[[#This Row],[Extra supports]])</f>
        <v>43.68</v>
      </c>
      <c r="Z112">
        <f>(_xlfn.XLOOKUP("PHB",CADDY_costs[Component],CADDY_costs[Current cost])*HFrame_List[[#This Row],[Number of feet]])+(_xlfn.XLOOKUP("HFRMHDW",CADDY_costs[Component],CADDY_costs[Current cost])*(HFrame_List[[#This Row],[number of L-brackets]]/2))</f>
        <v>28.058</v>
      </c>
      <c r="AA112">
        <v>4860</v>
      </c>
      <c r="AB112" t="str">
        <f>VLOOKUP(HFrame_List[[#This Row],[lookup]],'Pallet and shipping info'!$A$5:$H$33,6,FALSE)</f>
        <v>x</v>
      </c>
      <c r="AC112">
        <f>VLOOKUP(HFrame_List[[#This Row],[lookup]],'Pallet and shipping info'!$A$5:$H$33,8,FALSE)</f>
        <v>7</v>
      </c>
      <c r="AD112"/>
      <c r="AE112"/>
      <c r="AF112"/>
    </row>
    <row r="113" spans="1:32" x14ac:dyDescent="0.25">
      <c r="A113" s="1" t="s">
        <v>406</v>
      </c>
      <c r="B113" t="s">
        <v>407</v>
      </c>
      <c r="C113">
        <f t="shared" si="23"/>
        <v>73.674999999999997</v>
      </c>
      <c r="D113">
        <f t="shared" si="24"/>
        <v>74.051000000000002</v>
      </c>
      <c r="E113">
        <v>72</v>
      </c>
      <c r="F113">
        <v>60</v>
      </c>
      <c r="G113">
        <f t="shared" si="36"/>
        <v>56.24</v>
      </c>
      <c r="H113">
        <v>0</v>
      </c>
      <c r="I113" t="s">
        <v>181</v>
      </c>
      <c r="J113">
        <v>1</v>
      </c>
      <c r="K113" s="6">
        <f t="shared" si="25"/>
        <v>60</v>
      </c>
      <c r="L113">
        <f t="shared" si="26"/>
        <v>2</v>
      </c>
      <c r="M113">
        <f t="shared" si="37"/>
        <v>6</v>
      </c>
      <c r="N113">
        <f t="shared" si="38"/>
        <v>2</v>
      </c>
      <c r="O113" s="7">
        <f t="shared" si="39"/>
        <v>17</v>
      </c>
      <c r="P113">
        <f t="shared" si="28"/>
        <v>2</v>
      </c>
      <c r="Q113">
        <f t="shared" si="29"/>
        <v>6</v>
      </c>
      <c r="R113">
        <f>_xlfn.XLOOKUP(HFrame_List[[#This Row],[Cross piece style]],$AH$2:$AH$4,$AI$2:$AI$4,0,0)*(HFrame_List[[#This Row],[Width between brackets]]/12)</f>
        <v>65.285266666666658</v>
      </c>
      <c r="S113">
        <f>5.46*(HFrame_List[[#This Row],[cross piece quantity]]-1)*(HFrame_List[[#This Row],[Width between brackets]]/12)</f>
        <v>0</v>
      </c>
      <c r="T113" s="5">
        <f>HFrame_List[[#This Row],[Bottom cross piece cost]]+HFrame_List[[#This Row],[Top cross piece cost]]+HFrame_List[[#This Row],[Component costs]]+HFrame_List[[#This Row],[Vertical strut cost]]</f>
        <v>158.86326666666668</v>
      </c>
      <c r="U113" s="7">
        <f>_xlfn.XLOOKUP(HFrame_List[[#This Row],[Fabrication type]],Fabrication_costs[Fabrication type],Fabrication_costs[unit pricing],"no result",0)</f>
        <v>19.8</v>
      </c>
      <c r="V113" s="5">
        <f>SUM(T113:U113)/(1-HFrame_List[[#This Row],[Margin]])</f>
        <v>510.46647619047627</v>
      </c>
      <c r="W113" s="36">
        <f t="shared" si="30"/>
        <v>0.65</v>
      </c>
      <c r="X113" t="s">
        <v>177</v>
      </c>
      <c r="Y113">
        <f>_xlfn.XLOOKUP("A12",Strut_costs[size],Strut_costs[Strut cost])/12*HFrame_List[[#This Row],[Strut height (in)]]*(2+HFrame_List[[#This Row],[Extra supports]])</f>
        <v>65.52</v>
      </c>
      <c r="Z113">
        <f>(_xlfn.XLOOKUP("PHB",CADDY_costs[Component],CADDY_costs[Current cost])*HFrame_List[[#This Row],[Number of feet]])+(_xlfn.XLOOKUP("HFRMHDW",CADDY_costs[Component],CADDY_costs[Current cost])*(HFrame_List[[#This Row],[number of L-brackets]]/2))</f>
        <v>28.058</v>
      </c>
      <c r="AA113">
        <v>7260</v>
      </c>
      <c r="AB113" t="str">
        <f>VLOOKUP(HFrame_List[[#This Row],[lookup]],'Pallet and shipping info'!$A$5:$H$33,6,FALSE)</f>
        <v>x</v>
      </c>
      <c r="AC113">
        <f>VLOOKUP(HFrame_List[[#This Row],[lookup]],'Pallet and shipping info'!$A$5:$H$33,8,FALSE)</f>
        <v>7</v>
      </c>
      <c r="AD113"/>
      <c r="AE113"/>
      <c r="AF113"/>
    </row>
    <row r="114" spans="1:32" x14ac:dyDescent="0.25">
      <c r="A114" s="1" t="s">
        <v>408</v>
      </c>
      <c r="B114" t="s">
        <v>409</v>
      </c>
      <c r="C114">
        <f t="shared" si="23"/>
        <v>25.675000000000001</v>
      </c>
      <c r="D114">
        <f t="shared" si="24"/>
        <v>86.051000000000002</v>
      </c>
      <c r="E114">
        <v>24</v>
      </c>
      <c r="F114">
        <v>72</v>
      </c>
      <c r="G114">
        <f t="shared" si="36"/>
        <v>68.239999999999995</v>
      </c>
      <c r="H114">
        <v>0</v>
      </c>
      <c r="I114" t="s">
        <v>181</v>
      </c>
      <c r="J114">
        <v>1</v>
      </c>
      <c r="K114" s="6">
        <f t="shared" si="25"/>
        <v>72</v>
      </c>
      <c r="L114">
        <f t="shared" si="26"/>
        <v>2</v>
      </c>
      <c r="M114">
        <f t="shared" si="37"/>
        <v>6</v>
      </c>
      <c r="N114">
        <f t="shared" si="38"/>
        <v>2</v>
      </c>
      <c r="O114" s="7">
        <f t="shared" si="39"/>
        <v>10</v>
      </c>
      <c r="P114">
        <f t="shared" si="28"/>
        <v>1</v>
      </c>
      <c r="Q114">
        <f t="shared" si="29"/>
        <v>6</v>
      </c>
      <c r="R114">
        <f>_xlfn.XLOOKUP(HFrame_List[[#This Row],[Cross piece style]],$AH$2:$AH$4,$AI$2:$AI$4,0,0)*(HFrame_List[[#This Row],[Width between brackets]]/12)</f>
        <v>79.215266666666665</v>
      </c>
      <c r="S114">
        <f>5.46*(HFrame_List[[#This Row],[cross piece quantity]]-1)*(HFrame_List[[#This Row],[Width between brackets]]/12)</f>
        <v>0</v>
      </c>
      <c r="T114" s="5">
        <f>HFrame_List[[#This Row],[Bottom cross piece cost]]+HFrame_List[[#This Row],[Top cross piece cost]]+HFrame_List[[#This Row],[Component costs]]+HFrame_List[[#This Row],[Vertical strut cost]]</f>
        <v>129.11326666666668</v>
      </c>
      <c r="U114" s="7">
        <f>_xlfn.XLOOKUP(HFrame_List[[#This Row],[Fabrication type]],Fabrication_costs[Fabrication type],Fabrication_costs[unit pricing],"no result",0)</f>
        <v>19.8</v>
      </c>
      <c r="V114" s="5">
        <f>SUM(T114:U114)/(1-HFrame_List[[#This Row],[Margin]])</f>
        <v>425.46647619047627</v>
      </c>
      <c r="W114" s="36">
        <f t="shared" si="30"/>
        <v>0.65</v>
      </c>
      <c r="X114" t="s">
        <v>177</v>
      </c>
      <c r="Y114">
        <f>_xlfn.XLOOKUP("A12",Strut_costs[size],Strut_costs[Strut cost])/12*HFrame_List[[#This Row],[Strut height (in)]]*(2+HFrame_List[[#This Row],[Extra supports]])</f>
        <v>21.84</v>
      </c>
      <c r="Z114">
        <f>(_xlfn.XLOOKUP("PHB",CADDY_costs[Component],CADDY_costs[Current cost])*HFrame_List[[#This Row],[Number of feet]])+(_xlfn.XLOOKUP("HFRMHDW",CADDY_costs[Component],CADDY_costs[Current cost])*(HFrame_List[[#This Row],[number of L-brackets]]/2))</f>
        <v>28.058</v>
      </c>
      <c r="AA114">
        <v>2472</v>
      </c>
      <c r="AB114" t="str">
        <f>VLOOKUP(HFrame_List[[#This Row],[lookup]],'Pallet and shipping info'!$A$5:$H$33,6,FALSE)</f>
        <v>x</v>
      </c>
      <c r="AC114">
        <f>VLOOKUP(HFrame_List[[#This Row],[lookup]],'Pallet and shipping info'!$A$5:$H$33,8,FALSE)</f>
        <v>7</v>
      </c>
      <c r="AD114"/>
      <c r="AE114"/>
      <c r="AF114"/>
    </row>
    <row r="115" spans="1:32" x14ac:dyDescent="0.25">
      <c r="A115" s="1" t="s">
        <v>410</v>
      </c>
      <c r="B115" t="s">
        <v>411</v>
      </c>
      <c r="C115">
        <f t="shared" si="23"/>
        <v>37.674999999999997</v>
      </c>
      <c r="D115">
        <f t="shared" si="24"/>
        <v>86.051000000000002</v>
      </c>
      <c r="E115">
        <v>36</v>
      </c>
      <c r="F115">
        <v>72</v>
      </c>
      <c r="G115">
        <f t="shared" si="36"/>
        <v>68.239999999999995</v>
      </c>
      <c r="H115">
        <v>0</v>
      </c>
      <c r="I115" t="s">
        <v>181</v>
      </c>
      <c r="J115">
        <v>1</v>
      </c>
      <c r="K115" s="6">
        <f t="shared" si="25"/>
        <v>72</v>
      </c>
      <c r="L115">
        <f t="shared" si="26"/>
        <v>2</v>
      </c>
      <c r="M115">
        <f t="shared" si="37"/>
        <v>6</v>
      </c>
      <c r="N115">
        <f t="shared" si="38"/>
        <v>2</v>
      </c>
      <c r="O115" s="7">
        <f t="shared" si="39"/>
        <v>12</v>
      </c>
      <c r="P115">
        <f t="shared" si="28"/>
        <v>2</v>
      </c>
      <c r="Q115">
        <f t="shared" si="29"/>
        <v>6</v>
      </c>
      <c r="R115">
        <f>_xlfn.XLOOKUP(HFrame_List[[#This Row],[Cross piece style]],$AH$2:$AH$4,$AI$2:$AI$4,0,0)*(HFrame_List[[#This Row],[Width between brackets]]/12)</f>
        <v>79.215266666666665</v>
      </c>
      <c r="S115">
        <f>5.46*(HFrame_List[[#This Row],[cross piece quantity]]-1)*(HFrame_List[[#This Row],[Width between brackets]]/12)</f>
        <v>0</v>
      </c>
      <c r="T115" s="5">
        <f>HFrame_List[[#This Row],[Bottom cross piece cost]]+HFrame_List[[#This Row],[Top cross piece cost]]+HFrame_List[[#This Row],[Component costs]]+HFrame_List[[#This Row],[Vertical strut cost]]</f>
        <v>140.03326666666666</v>
      </c>
      <c r="U115" s="7">
        <f>_xlfn.XLOOKUP(HFrame_List[[#This Row],[Fabrication type]],Fabrication_costs[Fabrication type],Fabrication_costs[unit pricing],"no result",0)</f>
        <v>19.8</v>
      </c>
      <c r="V115" s="5">
        <f>SUM(T115:U115)/(1-HFrame_List[[#This Row],[Margin]])</f>
        <v>456.66647619047626</v>
      </c>
      <c r="W115" s="36">
        <f t="shared" si="30"/>
        <v>0.65</v>
      </c>
      <c r="X115" t="s">
        <v>177</v>
      </c>
      <c r="Y115">
        <f>_xlfn.XLOOKUP("A12",Strut_costs[size],Strut_costs[Strut cost])/12*HFrame_List[[#This Row],[Strut height (in)]]*(2+HFrame_List[[#This Row],[Extra supports]])</f>
        <v>32.76</v>
      </c>
      <c r="Z115">
        <f>(_xlfn.XLOOKUP("PHB",CADDY_costs[Component],CADDY_costs[Current cost])*HFrame_List[[#This Row],[Number of feet]])+(_xlfn.XLOOKUP("HFRMHDW",CADDY_costs[Component],CADDY_costs[Current cost])*(HFrame_List[[#This Row],[number of L-brackets]]/2))</f>
        <v>28.058</v>
      </c>
      <c r="AA115">
        <v>3672</v>
      </c>
      <c r="AB115" t="str">
        <f>VLOOKUP(HFrame_List[[#This Row],[lookup]],'Pallet and shipping info'!$A$5:$H$33,6,FALSE)</f>
        <v>x</v>
      </c>
      <c r="AC115">
        <f>VLOOKUP(HFrame_List[[#This Row],[lookup]],'Pallet and shipping info'!$A$5:$H$33,8,FALSE)</f>
        <v>7</v>
      </c>
      <c r="AD115"/>
      <c r="AE115"/>
      <c r="AF115"/>
    </row>
    <row r="116" spans="1:32" x14ac:dyDescent="0.25">
      <c r="A116" s="1" t="s">
        <v>412</v>
      </c>
      <c r="B116" t="s">
        <v>413</v>
      </c>
      <c r="C116">
        <f t="shared" si="23"/>
        <v>49.674999999999997</v>
      </c>
      <c r="D116">
        <f t="shared" si="24"/>
        <v>86.051000000000002</v>
      </c>
      <c r="E116">
        <v>48</v>
      </c>
      <c r="F116">
        <v>72</v>
      </c>
      <c r="G116">
        <f t="shared" si="36"/>
        <v>68.239999999999995</v>
      </c>
      <c r="H116">
        <v>0</v>
      </c>
      <c r="I116" t="s">
        <v>181</v>
      </c>
      <c r="J116">
        <v>1</v>
      </c>
      <c r="K116" s="6">
        <f t="shared" si="25"/>
        <v>72</v>
      </c>
      <c r="L116">
        <f t="shared" si="26"/>
        <v>2</v>
      </c>
      <c r="M116">
        <f t="shared" si="37"/>
        <v>6</v>
      </c>
      <c r="N116">
        <f t="shared" si="38"/>
        <v>2</v>
      </c>
      <c r="O116" s="7">
        <f t="shared" si="39"/>
        <v>14</v>
      </c>
      <c r="P116">
        <f t="shared" si="28"/>
        <v>2</v>
      </c>
      <c r="Q116">
        <f t="shared" si="29"/>
        <v>6</v>
      </c>
      <c r="R116">
        <f>_xlfn.XLOOKUP(HFrame_List[[#This Row],[Cross piece style]],$AH$2:$AH$4,$AI$2:$AI$4,0,0)*(HFrame_List[[#This Row],[Width between brackets]]/12)</f>
        <v>79.215266666666665</v>
      </c>
      <c r="S116">
        <f>5.46*(HFrame_List[[#This Row],[cross piece quantity]]-1)*(HFrame_List[[#This Row],[Width between brackets]]/12)</f>
        <v>0</v>
      </c>
      <c r="T116" s="5">
        <f>HFrame_List[[#This Row],[Bottom cross piece cost]]+HFrame_List[[#This Row],[Top cross piece cost]]+HFrame_List[[#This Row],[Component costs]]+HFrame_List[[#This Row],[Vertical strut cost]]</f>
        <v>150.95326666666668</v>
      </c>
      <c r="U116" s="7">
        <f>_xlfn.XLOOKUP(HFrame_List[[#This Row],[Fabrication type]],Fabrication_costs[Fabrication type],Fabrication_costs[unit pricing],"no result",0)</f>
        <v>19.8</v>
      </c>
      <c r="V116" s="5">
        <f>SUM(T116:U116)/(1-HFrame_List[[#This Row],[Margin]])</f>
        <v>487.86647619047631</v>
      </c>
      <c r="W116" s="36">
        <f t="shared" si="30"/>
        <v>0.65</v>
      </c>
      <c r="X116" t="s">
        <v>177</v>
      </c>
      <c r="Y116">
        <f>_xlfn.XLOOKUP("A12",Strut_costs[size],Strut_costs[Strut cost])/12*HFrame_List[[#This Row],[Strut height (in)]]*(2+HFrame_List[[#This Row],[Extra supports]])</f>
        <v>43.68</v>
      </c>
      <c r="Z116">
        <f>(_xlfn.XLOOKUP("PHB",CADDY_costs[Component],CADDY_costs[Current cost])*HFrame_List[[#This Row],[Number of feet]])+(_xlfn.XLOOKUP("HFRMHDW",CADDY_costs[Component],CADDY_costs[Current cost])*(HFrame_List[[#This Row],[number of L-brackets]]/2))</f>
        <v>28.058</v>
      </c>
      <c r="AA116">
        <v>4872</v>
      </c>
      <c r="AB116" t="str">
        <f>VLOOKUP(HFrame_List[[#This Row],[lookup]],'Pallet and shipping info'!$A$5:$H$33,6,FALSE)</f>
        <v>x</v>
      </c>
      <c r="AC116">
        <f>VLOOKUP(HFrame_List[[#This Row],[lookup]],'Pallet and shipping info'!$A$5:$H$33,8,FALSE)</f>
        <v>7</v>
      </c>
      <c r="AD116"/>
      <c r="AE116"/>
      <c r="AF116"/>
    </row>
    <row r="117" spans="1:32" x14ac:dyDescent="0.25">
      <c r="A117" s="1" t="s">
        <v>414</v>
      </c>
      <c r="B117" t="s">
        <v>415</v>
      </c>
      <c r="C117">
        <f t="shared" si="23"/>
        <v>73.674999999999997</v>
      </c>
      <c r="D117">
        <f t="shared" si="24"/>
        <v>86.051000000000002</v>
      </c>
      <c r="E117">
        <v>72</v>
      </c>
      <c r="F117">
        <v>72</v>
      </c>
      <c r="G117">
        <f t="shared" si="36"/>
        <v>68.239999999999995</v>
      </c>
      <c r="H117">
        <v>0</v>
      </c>
      <c r="I117" t="s">
        <v>181</v>
      </c>
      <c r="J117">
        <v>1</v>
      </c>
      <c r="K117" s="6">
        <f t="shared" si="25"/>
        <v>72</v>
      </c>
      <c r="L117">
        <f t="shared" si="26"/>
        <v>2</v>
      </c>
      <c r="M117">
        <f t="shared" si="37"/>
        <v>6</v>
      </c>
      <c r="N117">
        <f t="shared" si="38"/>
        <v>2</v>
      </c>
      <c r="O117" s="7">
        <f t="shared" si="39"/>
        <v>18</v>
      </c>
      <c r="P117">
        <f t="shared" si="28"/>
        <v>2</v>
      </c>
      <c r="Q117">
        <f t="shared" si="29"/>
        <v>6</v>
      </c>
      <c r="R117">
        <f>_xlfn.XLOOKUP(HFrame_List[[#This Row],[Cross piece style]],$AH$2:$AH$4,$AI$2:$AI$4,0,0)*(HFrame_List[[#This Row],[Width between brackets]]/12)</f>
        <v>79.215266666666665</v>
      </c>
      <c r="S117">
        <f>5.46*(HFrame_List[[#This Row],[cross piece quantity]]-1)*(HFrame_List[[#This Row],[Width between brackets]]/12)</f>
        <v>0</v>
      </c>
      <c r="T117" s="5">
        <f>HFrame_List[[#This Row],[Bottom cross piece cost]]+HFrame_List[[#This Row],[Top cross piece cost]]+HFrame_List[[#This Row],[Component costs]]+HFrame_List[[#This Row],[Vertical strut cost]]</f>
        <v>172.79326666666668</v>
      </c>
      <c r="U117" s="7">
        <f>_xlfn.XLOOKUP(HFrame_List[[#This Row],[Fabrication type]],Fabrication_costs[Fabrication type],Fabrication_costs[unit pricing],"no result",0)</f>
        <v>19.8</v>
      </c>
      <c r="V117" s="5">
        <f>SUM(T117:U117)/(1-HFrame_List[[#This Row],[Margin]])</f>
        <v>550.26647619047628</v>
      </c>
      <c r="W117" s="36">
        <f t="shared" si="30"/>
        <v>0.65</v>
      </c>
      <c r="X117" t="s">
        <v>177</v>
      </c>
      <c r="Y117">
        <f>_xlfn.XLOOKUP("A12",Strut_costs[size],Strut_costs[Strut cost])/12*HFrame_List[[#This Row],[Strut height (in)]]*(2+HFrame_List[[#This Row],[Extra supports]])</f>
        <v>65.52</v>
      </c>
      <c r="Z117">
        <f>(_xlfn.XLOOKUP("PHB",CADDY_costs[Component],CADDY_costs[Current cost])*HFrame_List[[#This Row],[Number of feet]])+(_xlfn.XLOOKUP("HFRMHDW",CADDY_costs[Component],CADDY_costs[Current cost])*(HFrame_List[[#This Row],[number of L-brackets]]/2))</f>
        <v>28.058</v>
      </c>
      <c r="AA117">
        <v>7272</v>
      </c>
      <c r="AB117" t="str">
        <f>VLOOKUP(HFrame_List[[#This Row],[lookup]],'Pallet and shipping info'!$A$5:$H$33,6,FALSE)</f>
        <v>x</v>
      </c>
      <c r="AC117">
        <f>VLOOKUP(HFrame_List[[#This Row],[lookup]],'Pallet and shipping info'!$A$5:$H$33,8,FALSE)</f>
        <v>7</v>
      </c>
      <c r="AD117"/>
      <c r="AE117"/>
      <c r="AF117"/>
    </row>
    <row r="118" spans="1:32" x14ac:dyDescent="0.25">
      <c r="A118" s="1" t="s">
        <v>416</v>
      </c>
      <c r="B118" t="s">
        <v>417</v>
      </c>
      <c r="C118">
        <f t="shared" si="23"/>
        <v>25.675000000000001</v>
      </c>
      <c r="D118">
        <f t="shared" si="24"/>
        <v>98.051000000000002</v>
      </c>
      <c r="E118">
        <v>24</v>
      </c>
      <c r="F118">
        <v>84</v>
      </c>
      <c r="G118">
        <f t="shared" si="36"/>
        <v>80.239999999999995</v>
      </c>
      <c r="H118">
        <v>0</v>
      </c>
      <c r="I118" t="s">
        <v>181</v>
      </c>
      <c r="J118">
        <v>1</v>
      </c>
      <c r="K118" s="6">
        <f t="shared" si="25"/>
        <v>84</v>
      </c>
      <c r="L118">
        <f t="shared" si="26"/>
        <v>2</v>
      </c>
      <c r="M118">
        <f t="shared" si="37"/>
        <v>6</v>
      </c>
      <c r="N118">
        <f t="shared" si="38"/>
        <v>2</v>
      </c>
      <c r="O118" s="7">
        <f t="shared" si="39"/>
        <v>11</v>
      </c>
      <c r="P118">
        <f t="shared" si="28"/>
        <v>2</v>
      </c>
      <c r="Q118">
        <f t="shared" si="29"/>
        <v>6</v>
      </c>
      <c r="R118">
        <f>_xlfn.XLOOKUP(HFrame_List[[#This Row],[Cross piece style]],$AH$2:$AH$4,$AI$2:$AI$4,0,0)*(HFrame_List[[#This Row],[Width between brackets]]/12)</f>
        <v>93.145266666666657</v>
      </c>
      <c r="S118">
        <f>5.46*(HFrame_List[[#This Row],[cross piece quantity]]-1)*(HFrame_List[[#This Row],[Width between brackets]]/12)</f>
        <v>0</v>
      </c>
      <c r="T118" s="5">
        <f>HFrame_List[[#This Row],[Bottom cross piece cost]]+HFrame_List[[#This Row],[Top cross piece cost]]+HFrame_List[[#This Row],[Component costs]]+HFrame_List[[#This Row],[Vertical strut cost]]</f>
        <v>143.04326666666665</v>
      </c>
      <c r="U118" s="7">
        <f>_xlfn.XLOOKUP(HFrame_List[[#This Row],[Fabrication type]],Fabrication_costs[Fabrication type],Fabrication_costs[unit pricing],"no result",0)</f>
        <v>19.8</v>
      </c>
      <c r="V118" s="5">
        <f>SUM(T118:U118)/(1-HFrame_List[[#This Row],[Margin]])</f>
        <v>465.26647619047623</v>
      </c>
      <c r="W118" s="36">
        <f t="shared" si="30"/>
        <v>0.65</v>
      </c>
      <c r="X118" t="s">
        <v>177</v>
      </c>
      <c r="Y118">
        <f>_xlfn.XLOOKUP("A12",Strut_costs[size],Strut_costs[Strut cost])/12*HFrame_List[[#This Row],[Strut height (in)]]*(2+HFrame_List[[#This Row],[Extra supports]])</f>
        <v>21.84</v>
      </c>
      <c r="Z118">
        <f>(_xlfn.XLOOKUP("PHB",CADDY_costs[Component],CADDY_costs[Current cost])*HFrame_List[[#This Row],[Number of feet]])+(_xlfn.XLOOKUP("HFRMHDW",CADDY_costs[Component],CADDY_costs[Current cost])*(HFrame_List[[#This Row],[number of L-brackets]]/2))</f>
        <v>28.058</v>
      </c>
      <c r="AA118">
        <v>2484</v>
      </c>
      <c r="AB118" t="str">
        <f>VLOOKUP(HFrame_List[[#This Row],[lookup]],'Pallet and shipping info'!$A$5:$H$33,6,FALSE)</f>
        <v>x</v>
      </c>
      <c r="AC118">
        <f>VLOOKUP(HFrame_List[[#This Row],[lookup]],'Pallet and shipping info'!$A$5:$H$33,8,FALSE)</f>
        <v>7</v>
      </c>
      <c r="AD118"/>
      <c r="AE118"/>
      <c r="AF118"/>
    </row>
    <row r="119" spans="1:32" x14ac:dyDescent="0.25">
      <c r="A119" s="1" t="s">
        <v>418</v>
      </c>
      <c r="B119" t="s">
        <v>419</v>
      </c>
      <c r="C119">
        <f t="shared" si="23"/>
        <v>37.674999999999997</v>
      </c>
      <c r="D119">
        <f t="shared" si="24"/>
        <v>98.051000000000002</v>
      </c>
      <c r="E119">
        <v>36</v>
      </c>
      <c r="F119">
        <v>84</v>
      </c>
      <c r="G119">
        <f t="shared" si="36"/>
        <v>80.239999999999995</v>
      </c>
      <c r="H119">
        <v>0</v>
      </c>
      <c r="I119" t="s">
        <v>181</v>
      </c>
      <c r="J119">
        <v>1</v>
      </c>
      <c r="K119" s="6">
        <f t="shared" si="25"/>
        <v>84</v>
      </c>
      <c r="L119">
        <f t="shared" si="26"/>
        <v>2</v>
      </c>
      <c r="M119">
        <f t="shared" si="37"/>
        <v>6</v>
      </c>
      <c r="N119">
        <f t="shared" si="38"/>
        <v>2</v>
      </c>
      <c r="O119" s="7">
        <f t="shared" si="39"/>
        <v>13</v>
      </c>
      <c r="P119">
        <f t="shared" si="28"/>
        <v>2</v>
      </c>
      <c r="Q119">
        <f t="shared" si="29"/>
        <v>6</v>
      </c>
      <c r="R119">
        <f>_xlfn.XLOOKUP(HFrame_List[[#This Row],[Cross piece style]],$AH$2:$AH$4,$AI$2:$AI$4,0,0)*(HFrame_List[[#This Row],[Width between brackets]]/12)</f>
        <v>93.145266666666657</v>
      </c>
      <c r="S119">
        <f>5.46*(HFrame_List[[#This Row],[cross piece quantity]]-1)*(HFrame_List[[#This Row],[Width between brackets]]/12)</f>
        <v>0</v>
      </c>
      <c r="T119" s="5">
        <f>HFrame_List[[#This Row],[Bottom cross piece cost]]+HFrame_List[[#This Row],[Top cross piece cost]]+HFrame_List[[#This Row],[Component costs]]+HFrame_List[[#This Row],[Vertical strut cost]]</f>
        <v>153.96326666666664</v>
      </c>
      <c r="U119" s="7">
        <f>_xlfn.XLOOKUP(HFrame_List[[#This Row],[Fabrication type]],Fabrication_costs[Fabrication type],Fabrication_costs[unit pricing],"no result",0)</f>
        <v>19.8</v>
      </c>
      <c r="V119" s="5">
        <f>SUM(T119:U119)/(1-HFrame_List[[#This Row],[Margin]])</f>
        <v>496.46647619047616</v>
      </c>
      <c r="W119" s="36">
        <f t="shared" si="30"/>
        <v>0.65</v>
      </c>
      <c r="X119" t="s">
        <v>177</v>
      </c>
      <c r="Y119">
        <f>_xlfn.XLOOKUP("A12",Strut_costs[size],Strut_costs[Strut cost])/12*HFrame_List[[#This Row],[Strut height (in)]]*(2+HFrame_List[[#This Row],[Extra supports]])</f>
        <v>32.76</v>
      </c>
      <c r="Z119">
        <f>(_xlfn.XLOOKUP("PHB",CADDY_costs[Component],CADDY_costs[Current cost])*HFrame_List[[#This Row],[Number of feet]])+(_xlfn.XLOOKUP("HFRMHDW",CADDY_costs[Component],CADDY_costs[Current cost])*(HFrame_List[[#This Row],[number of L-brackets]]/2))</f>
        <v>28.058</v>
      </c>
      <c r="AA119">
        <v>3684</v>
      </c>
      <c r="AB119" t="str">
        <f>VLOOKUP(HFrame_List[[#This Row],[lookup]],'Pallet and shipping info'!$A$5:$H$33,6,FALSE)</f>
        <v>x</v>
      </c>
      <c r="AC119">
        <f>VLOOKUP(HFrame_List[[#This Row],[lookup]],'Pallet and shipping info'!$A$5:$H$33,8,FALSE)</f>
        <v>7</v>
      </c>
      <c r="AD119"/>
      <c r="AE119"/>
      <c r="AF119"/>
    </row>
    <row r="120" spans="1:32" x14ac:dyDescent="0.25">
      <c r="A120" s="1" t="s">
        <v>420</v>
      </c>
      <c r="B120" t="s">
        <v>421</v>
      </c>
      <c r="C120">
        <f t="shared" si="23"/>
        <v>49.674999999999997</v>
      </c>
      <c r="D120">
        <f t="shared" si="24"/>
        <v>98.051000000000002</v>
      </c>
      <c r="E120">
        <v>48</v>
      </c>
      <c r="F120">
        <v>84</v>
      </c>
      <c r="G120">
        <f t="shared" si="36"/>
        <v>80.239999999999995</v>
      </c>
      <c r="H120">
        <v>0</v>
      </c>
      <c r="I120" t="s">
        <v>181</v>
      </c>
      <c r="J120">
        <v>1</v>
      </c>
      <c r="K120" s="6">
        <f t="shared" si="25"/>
        <v>84</v>
      </c>
      <c r="L120">
        <f t="shared" si="26"/>
        <v>2</v>
      </c>
      <c r="M120">
        <f t="shared" si="37"/>
        <v>6</v>
      </c>
      <c r="N120">
        <f t="shared" si="38"/>
        <v>2</v>
      </c>
      <c r="O120" s="7">
        <f t="shared" si="39"/>
        <v>15</v>
      </c>
      <c r="P120">
        <f t="shared" si="28"/>
        <v>2</v>
      </c>
      <c r="Q120">
        <f t="shared" si="29"/>
        <v>6</v>
      </c>
      <c r="R120">
        <f>_xlfn.XLOOKUP(HFrame_List[[#This Row],[Cross piece style]],$AH$2:$AH$4,$AI$2:$AI$4,0,0)*(HFrame_List[[#This Row],[Width between brackets]]/12)</f>
        <v>93.145266666666657</v>
      </c>
      <c r="S120">
        <f>5.46*(HFrame_List[[#This Row],[cross piece quantity]]-1)*(HFrame_List[[#This Row],[Width between brackets]]/12)</f>
        <v>0</v>
      </c>
      <c r="T120" s="5">
        <f>HFrame_List[[#This Row],[Bottom cross piece cost]]+HFrame_List[[#This Row],[Top cross piece cost]]+HFrame_List[[#This Row],[Component costs]]+HFrame_List[[#This Row],[Vertical strut cost]]</f>
        <v>164.88326666666666</v>
      </c>
      <c r="U120" s="7">
        <f>_xlfn.XLOOKUP(HFrame_List[[#This Row],[Fabrication type]],Fabrication_costs[Fabrication type],Fabrication_costs[unit pricing],"no result",0)</f>
        <v>19.8</v>
      </c>
      <c r="V120" s="5">
        <f>SUM(T120:U120)/(1-HFrame_List[[#This Row],[Margin]])</f>
        <v>527.66647619047626</v>
      </c>
      <c r="W120" s="36">
        <f t="shared" si="30"/>
        <v>0.65</v>
      </c>
      <c r="X120" t="s">
        <v>177</v>
      </c>
      <c r="Y120">
        <f>_xlfn.XLOOKUP("A12",Strut_costs[size],Strut_costs[Strut cost])/12*HFrame_List[[#This Row],[Strut height (in)]]*(2+HFrame_List[[#This Row],[Extra supports]])</f>
        <v>43.68</v>
      </c>
      <c r="Z120">
        <f>(_xlfn.XLOOKUP("PHB",CADDY_costs[Component],CADDY_costs[Current cost])*HFrame_List[[#This Row],[Number of feet]])+(_xlfn.XLOOKUP("HFRMHDW",CADDY_costs[Component],CADDY_costs[Current cost])*(HFrame_List[[#This Row],[number of L-brackets]]/2))</f>
        <v>28.058</v>
      </c>
      <c r="AA120">
        <v>4884</v>
      </c>
      <c r="AB120" t="str">
        <f>VLOOKUP(HFrame_List[[#This Row],[lookup]],'Pallet and shipping info'!$A$5:$H$33,6,FALSE)</f>
        <v>x</v>
      </c>
      <c r="AC120">
        <f>VLOOKUP(HFrame_List[[#This Row],[lookup]],'Pallet and shipping info'!$A$5:$H$33,8,FALSE)</f>
        <v>7</v>
      </c>
      <c r="AD120"/>
      <c r="AE120"/>
      <c r="AF120"/>
    </row>
    <row r="121" spans="1:32" x14ac:dyDescent="0.25">
      <c r="A121" s="1" t="s">
        <v>422</v>
      </c>
      <c r="B121" t="s">
        <v>423</v>
      </c>
      <c r="C121">
        <f t="shared" si="23"/>
        <v>73.674999999999997</v>
      </c>
      <c r="D121">
        <f t="shared" si="24"/>
        <v>98.051000000000002</v>
      </c>
      <c r="E121">
        <v>72</v>
      </c>
      <c r="F121">
        <v>84</v>
      </c>
      <c r="G121">
        <f t="shared" si="36"/>
        <v>80.239999999999995</v>
      </c>
      <c r="H121">
        <v>0</v>
      </c>
      <c r="I121" t="s">
        <v>181</v>
      </c>
      <c r="J121">
        <v>1</v>
      </c>
      <c r="K121" s="6">
        <f t="shared" si="25"/>
        <v>84</v>
      </c>
      <c r="L121">
        <f t="shared" si="26"/>
        <v>2</v>
      </c>
      <c r="M121">
        <f t="shared" si="37"/>
        <v>6</v>
      </c>
      <c r="N121">
        <f t="shared" si="38"/>
        <v>2</v>
      </c>
      <c r="O121" s="7">
        <f t="shared" si="39"/>
        <v>19</v>
      </c>
      <c r="P121">
        <f t="shared" si="28"/>
        <v>2</v>
      </c>
      <c r="Q121">
        <f t="shared" si="29"/>
        <v>6</v>
      </c>
      <c r="R121">
        <f>_xlfn.XLOOKUP(HFrame_List[[#This Row],[Cross piece style]],$AH$2:$AH$4,$AI$2:$AI$4,0,0)*(HFrame_List[[#This Row],[Width between brackets]]/12)</f>
        <v>93.145266666666657</v>
      </c>
      <c r="S121">
        <f>5.46*(HFrame_List[[#This Row],[cross piece quantity]]-1)*(HFrame_List[[#This Row],[Width between brackets]]/12)</f>
        <v>0</v>
      </c>
      <c r="T121" s="5">
        <f>HFrame_List[[#This Row],[Bottom cross piece cost]]+HFrame_List[[#This Row],[Top cross piece cost]]+HFrame_List[[#This Row],[Component costs]]+HFrame_List[[#This Row],[Vertical strut cost]]</f>
        <v>186.72326666666663</v>
      </c>
      <c r="U121" s="7">
        <f>_xlfn.XLOOKUP(HFrame_List[[#This Row],[Fabrication type]],Fabrication_costs[Fabrication type],Fabrication_costs[unit pricing],"no result",0)</f>
        <v>19.8</v>
      </c>
      <c r="V121" s="5">
        <f>SUM(T121:U121)/(1-HFrame_List[[#This Row],[Margin]])</f>
        <v>590.06647619047612</v>
      </c>
      <c r="W121" s="36">
        <f t="shared" si="30"/>
        <v>0.65</v>
      </c>
      <c r="X121" t="s">
        <v>177</v>
      </c>
      <c r="Y121">
        <f>_xlfn.XLOOKUP("A12",Strut_costs[size],Strut_costs[Strut cost])/12*HFrame_List[[#This Row],[Strut height (in)]]*(2+HFrame_List[[#This Row],[Extra supports]])</f>
        <v>65.52</v>
      </c>
      <c r="Z121">
        <f>(_xlfn.XLOOKUP("PHB",CADDY_costs[Component],CADDY_costs[Current cost])*HFrame_List[[#This Row],[Number of feet]])+(_xlfn.XLOOKUP("HFRMHDW",CADDY_costs[Component],CADDY_costs[Current cost])*(HFrame_List[[#This Row],[number of L-brackets]]/2))</f>
        <v>28.058</v>
      </c>
      <c r="AA121">
        <v>7284</v>
      </c>
      <c r="AB121" t="str">
        <f>VLOOKUP(HFrame_List[[#This Row],[lookup]],'Pallet and shipping info'!$A$5:$H$33,6,FALSE)</f>
        <v>x</v>
      </c>
      <c r="AC121">
        <f>VLOOKUP(HFrame_List[[#This Row],[lookup]],'Pallet and shipping info'!$A$5:$H$33,8,FALSE)</f>
        <v>7</v>
      </c>
      <c r="AD121"/>
      <c r="AE121"/>
      <c r="AF121"/>
    </row>
    <row r="122" spans="1:32" x14ac:dyDescent="0.25">
      <c r="A122" s="1" t="s">
        <v>424</v>
      </c>
      <c r="B122" t="s">
        <v>425</v>
      </c>
      <c r="C122">
        <f t="shared" si="23"/>
        <v>25.675000000000001</v>
      </c>
      <c r="D122">
        <f t="shared" si="24"/>
        <v>34.051000000000002</v>
      </c>
      <c r="E122">
        <v>24</v>
      </c>
      <c r="F122">
        <v>20</v>
      </c>
      <c r="G122">
        <f>F122-(1.88*2)</f>
        <v>16.240000000000002</v>
      </c>
      <c r="H122">
        <v>1</v>
      </c>
      <c r="I122" t="s">
        <v>181</v>
      </c>
      <c r="J122">
        <v>1</v>
      </c>
      <c r="K122" s="6">
        <f t="shared" si="25"/>
        <v>9.1875</v>
      </c>
      <c r="L122">
        <f t="shared" si="26"/>
        <v>3</v>
      </c>
      <c r="M122">
        <f>3*N122</f>
        <v>12</v>
      </c>
      <c r="N122">
        <f>(2+(2*H122))*J122</f>
        <v>4</v>
      </c>
      <c r="O122" s="7">
        <f t="shared" si="39"/>
        <v>9.6666666666666661</v>
      </c>
      <c r="P122">
        <f t="shared" si="28"/>
        <v>1</v>
      </c>
      <c r="Q122">
        <f t="shared" si="29"/>
        <v>8</v>
      </c>
      <c r="R122">
        <f>_xlfn.XLOOKUP(HFrame_List[[#This Row],[Cross piece style]],$AH$2:$AH$4,$AI$2:$AI$4,0,0)*(HFrame_List[[#This Row],[Width between brackets]]/12)</f>
        <v>18.851933333333335</v>
      </c>
      <c r="S122">
        <f>5.46*(HFrame_List[[#This Row],[cross piece quantity]]-1)*(HFrame_List[[#This Row],[Width between brackets]]/12)</f>
        <v>0</v>
      </c>
      <c r="T122" s="5">
        <f>HFrame_List[[#This Row],[Bottom cross piece cost]]+HFrame_List[[#This Row],[Top cross piece cost]]+HFrame_List[[#This Row],[Component costs]]+HFrame_List[[#This Row],[Vertical strut cost]]</f>
        <v>98.431933333333319</v>
      </c>
      <c r="U122" s="7">
        <f>_xlfn.XLOOKUP(HFrame_List[[#This Row],[Fabrication type]],Fabrication_costs[Fabrication type],Fabrication_costs[unit pricing],"no result",0)</f>
        <v>30</v>
      </c>
      <c r="V122" s="5">
        <f>SUM(T122:U122)/(1-HFrame_List[[#This Row],[Margin]])</f>
        <v>366.94838095238094</v>
      </c>
      <c r="W122" s="36">
        <f t="shared" si="30"/>
        <v>0.65</v>
      </c>
      <c r="X122" t="s">
        <v>193</v>
      </c>
      <c r="Y122">
        <f>_xlfn.XLOOKUP("A12",Strut_costs[size],Strut_costs[Strut cost])/12*HFrame_List[[#This Row],[Strut height (in)]]*(2+HFrame_List[[#This Row],[Extra supports]])</f>
        <v>32.76</v>
      </c>
      <c r="Z122">
        <f>(_xlfn.XLOOKUP("PHB",CADDY_costs[Component],CADDY_costs[Current cost])*HFrame_List[[#This Row],[Number of feet]])+(_xlfn.XLOOKUP("HFRMHDW",CADDY_costs[Component],CADDY_costs[Current cost])*(HFrame_List[[#This Row],[number of L-brackets]]/2))</f>
        <v>46.819999999999993</v>
      </c>
      <c r="AA122">
        <v>2420</v>
      </c>
      <c r="AB122">
        <f>VLOOKUP(HFrame_List[[#This Row],[lookup]],'Pallet and shipping info'!$A$5:$H$33,6,FALSE)</f>
        <v>11</v>
      </c>
      <c r="AC122">
        <f>VLOOKUP(HFrame_List[[#This Row],[lookup]],'Pallet and shipping info'!$A$5:$H$33,8,FALSE)</f>
        <v>15</v>
      </c>
      <c r="AD122"/>
      <c r="AE122"/>
      <c r="AF122"/>
    </row>
    <row r="123" spans="1:32" x14ac:dyDescent="0.25">
      <c r="A123" s="1" t="s">
        <v>426</v>
      </c>
      <c r="B123" t="s">
        <v>427</v>
      </c>
      <c r="C123">
        <f t="shared" si="23"/>
        <v>37.674999999999997</v>
      </c>
      <c r="D123">
        <f t="shared" si="24"/>
        <v>34.051000000000002</v>
      </c>
      <c r="E123">
        <v>36</v>
      </c>
      <c r="F123">
        <f>F122</f>
        <v>20</v>
      </c>
      <c r="G123">
        <f t="shared" ref="G123:G145" si="42">F123-(1.88*2)</f>
        <v>16.240000000000002</v>
      </c>
      <c r="H123">
        <v>1</v>
      </c>
      <c r="I123" t="s">
        <v>181</v>
      </c>
      <c r="J123">
        <v>1</v>
      </c>
      <c r="K123" s="6">
        <f t="shared" si="25"/>
        <v>9.1875</v>
      </c>
      <c r="L123">
        <f t="shared" si="26"/>
        <v>3</v>
      </c>
      <c r="M123">
        <f t="shared" ref="M123:M145" si="43">3*N123</f>
        <v>12</v>
      </c>
      <c r="N123">
        <f t="shared" ref="N123:N145" si="44">(2+(2*H123))*J123</f>
        <v>4</v>
      </c>
      <c r="O123" s="7">
        <f t="shared" si="39"/>
        <v>13.666666666666666</v>
      </c>
      <c r="P123">
        <f t="shared" si="28"/>
        <v>2</v>
      </c>
      <c r="Q123">
        <f t="shared" si="29"/>
        <v>8</v>
      </c>
      <c r="R123">
        <f>_xlfn.XLOOKUP(HFrame_List[[#This Row],[Cross piece style]],$AH$2:$AH$4,$AI$2:$AI$4,0,0)*(HFrame_List[[#This Row],[Width between brackets]]/12)</f>
        <v>18.851933333333335</v>
      </c>
      <c r="S123">
        <f>5.46*(HFrame_List[[#This Row],[cross piece quantity]]-1)*(HFrame_List[[#This Row],[Width between brackets]]/12)</f>
        <v>0</v>
      </c>
      <c r="T123" s="5">
        <f>HFrame_List[[#This Row],[Bottom cross piece cost]]+HFrame_List[[#This Row],[Top cross piece cost]]+HFrame_List[[#This Row],[Component costs]]+HFrame_List[[#This Row],[Vertical strut cost]]</f>
        <v>114.81193333333333</v>
      </c>
      <c r="U123" s="7">
        <f>_xlfn.XLOOKUP(HFrame_List[[#This Row],[Fabrication type]],Fabrication_costs[Fabrication type],Fabrication_costs[unit pricing],"no result",0)</f>
        <v>30</v>
      </c>
      <c r="V123" s="5">
        <f>SUM(T123:U123)/(1-HFrame_List[[#This Row],[Margin]])</f>
        <v>413.74838095238101</v>
      </c>
      <c r="W123" s="36">
        <f t="shared" si="30"/>
        <v>0.65</v>
      </c>
      <c r="X123" t="s">
        <v>193</v>
      </c>
      <c r="Y123">
        <f>_xlfn.XLOOKUP("A12",Strut_costs[size],Strut_costs[Strut cost])/12*HFrame_List[[#This Row],[Strut height (in)]]*(2+HFrame_List[[#This Row],[Extra supports]])</f>
        <v>49.14</v>
      </c>
      <c r="Z123">
        <f>(_xlfn.XLOOKUP("PHB",CADDY_costs[Component],CADDY_costs[Current cost])*HFrame_List[[#This Row],[Number of feet]])+(_xlfn.XLOOKUP("HFRMHDW",CADDY_costs[Component],CADDY_costs[Current cost])*(HFrame_List[[#This Row],[number of L-brackets]]/2))</f>
        <v>46.819999999999993</v>
      </c>
      <c r="AA123">
        <v>3620</v>
      </c>
      <c r="AB123">
        <f>VLOOKUP(HFrame_List[[#This Row],[lookup]],'Pallet and shipping info'!$A$5:$H$33,6,FALSE)</f>
        <v>11</v>
      </c>
      <c r="AC123">
        <f>VLOOKUP(HFrame_List[[#This Row],[lookup]],'Pallet and shipping info'!$A$5:$H$33,8,FALSE)</f>
        <v>15</v>
      </c>
      <c r="AD123"/>
      <c r="AE123"/>
      <c r="AF123"/>
    </row>
    <row r="124" spans="1:32" x14ac:dyDescent="0.25">
      <c r="A124" s="1" t="s">
        <v>428</v>
      </c>
      <c r="B124" t="s">
        <v>429</v>
      </c>
      <c r="C124">
        <f t="shared" si="23"/>
        <v>49.674999999999997</v>
      </c>
      <c r="D124">
        <f t="shared" si="24"/>
        <v>34.051000000000002</v>
      </c>
      <c r="E124">
        <v>48</v>
      </c>
      <c r="F124">
        <f t="shared" ref="F124:F125" si="45">F123</f>
        <v>20</v>
      </c>
      <c r="G124">
        <f t="shared" si="42"/>
        <v>16.240000000000002</v>
      </c>
      <c r="H124">
        <v>1</v>
      </c>
      <c r="I124" t="s">
        <v>181</v>
      </c>
      <c r="J124">
        <v>1</v>
      </c>
      <c r="K124" s="6">
        <f t="shared" si="25"/>
        <v>9.1875</v>
      </c>
      <c r="L124">
        <f t="shared" si="26"/>
        <v>3</v>
      </c>
      <c r="M124">
        <f t="shared" si="43"/>
        <v>12</v>
      </c>
      <c r="N124">
        <f t="shared" si="44"/>
        <v>4</v>
      </c>
      <c r="O124" s="7">
        <f t="shared" si="39"/>
        <v>17.666666666666668</v>
      </c>
      <c r="P124">
        <f t="shared" si="28"/>
        <v>2</v>
      </c>
      <c r="Q124">
        <f t="shared" si="29"/>
        <v>8</v>
      </c>
      <c r="R124">
        <f>_xlfn.XLOOKUP(HFrame_List[[#This Row],[Cross piece style]],$AH$2:$AH$4,$AI$2:$AI$4,0,0)*(HFrame_List[[#This Row],[Width between brackets]]/12)</f>
        <v>18.851933333333335</v>
      </c>
      <c r="S124">
        <f>5.46*(HFrame_List[[#This Row],[cross piece quantity]]-1)*(HFrame_List[[#This Row],[Width between brackets]]/12)</f>
        <v>0</v>
      </c>
      <c r="T124" s="5">
        <f>HFrame_List[[#This Row],[Bottom cross piece cost]]+HFrame_List[[#This Row],[Top cross piece cost]]+HFrame_List[[#This Row],[Component costs]]+HFrame_List[[#This Row],[Vertical strut cost]]</f>
        <v>131.19193333333334</v>
      </c>
      <c r="U124" s="7">
        <f>_xlfn.XLOOKUP(HFrame_List[[#This Row],[Fabrication type]],Fabrication_costs[Fabrication type],Fabrication_costs[unit pricing],"no result",0)</f>
        <v>30</v>
      </c>
      <c r="V124" s="5">
        <f>SUM(T124:U124)/(1-HFrame_List[[#This Row],[Margin]])</f>
        <v>460.54838095238102</v>
      </c>
      <c r="W124" s="36">
        <f t="shared" si="30"/>
        <v>0.65</v>
      </c>
      <c r="X124" t="s">
        <v>193</v>
      </c>
      <c r="Y124">
        <f>_xlfn.XLOOKUP("A12",Strut_costs[size],Strut_costs[Strut cost])/12*HFrame_List[[#This Row],[Strut height (in)]]*(2+HFrame_List[[#This Row],[Extra supports]])</f>
        <v>65.52</v>
      </c>
      <c r="Z124">
        <f>(_xlfn.XLOOKUP("PHB",CADDY_costs[Component],CADDY_costs[Current cost])*HFrame_List[[#This Row],[Number of feet]])+(_xlfn.XLOOKUP("HFRMHDW",CADDY_costs[Component],CADDY_costs[Current cost])*(HFrame_List[[#This Row],[number of L-brackets]]/2))</f>
        <v>46.819999999999993</v>
      </c>
      <c r="AA124">
        <v>4820</v>
      </c>
      <c r="AB124">
        <f>VLOOKUP(HFrame_List[[#This Row],[lookup]],'Pallet and shipping info'!$A$5:$H$33,6,FALSE)</f>
        <v>11</v>
      </c>
      <c r="AC124">
        <f>VLOOKUP(HFrame_List[[#This Row],[lookup]],'Pallet and shipping info'!$A$5:$H$33,8,FALSE)</f>
        <v>15</v>
      </c>
      <c r="AD124"/>
      <c r="AE124"/>
      <c r="AF124"/>
    </row>
    <row r="125" spans="1:32" x14ac:dyDescent="0.25">
      <c r="A125" s="1" t="s">
        <v>430</v>
      </c>
      <c r="B125" t="s">
        <v>431</v>
      </c>
      <c r="C125">
        <f t="shared" si="23"/>
        <v>73.674999999999997</v>
      </c>
      <c r="D125">
        <f t="shared" si="24"/>
        <v>34.051000000000002</v>
      </c>
      <c r="E125">
        <v>72</v>
      </c>
      <c r="F125">
        <f t="shared" si="45"/>
        <v>20</v>
      </c>
      <c r="G125">
        <f t="shared" si="42"/>
        <v>16.240000000000002</v>
      </c>
      <c r="H125">
        <v>1</v>
      </c>
      <c r="I125" t="s">
        <v>181</v>
      </c>
      <c r="J125">
        <v>1</v>
      </c>
      <c r="K125" s="6">
        <f t="shared" si="25"/>
        <v>9.1875</v>
      </c>
      <c r="L125">
        <f t="shared" si="26"/>
        <v>3</v>
      </c>
      <c r="M125">
        <f t="shared" si="43"/>
        <v>12</v>
      </c>
      <c r="N125">
        <f t="shared" si="44"/>
        <v>4</v>
      </c>
      <c r="O125" s="7">
        <f t="shared" si="39"/>
        <v>25.666666666666668</v>
      </c>
      <c r="P125">
        <f t="shared" si="28"/>
        <v>3</v>
      </c>
      <c r="Q125">
        <f t="shared" si="29"/>
        <v>8</v>
      </c>
      <c r="R125">
        <f>_xlfn.XLOOKUP(HFrame_List[[#This Row],[Cross piece style]],$AH$2:$AH$4,$AI$2:$AI$4,0,0)*(HFrame_List[[#This Row],[Width between brackets]]/12)</f>
        <v>18.851933333333335</v>
      </c>
      <c r="S125">
        <f>5.46*(HFrame_List[[#This Row],[cross piece quantity]]-1)*(HFrame_List[[#This Row],[Width between brackets]]/12)</f>
        <v>0</v>
      </c>
      <c r="T125" s="5">
        <f>HFrame_List[[#This Row],[Bottom cross piece cost]]+HFrame_List[[#This Row],[Top cross piece cost]]+HFrame_List[[#This Row],[Component costs]]+HFrame_List[[#This Row],[Vertical strut cost]]</f>
        <v>163.95193333333333</v>
      </c>
      <c r="U125" s="7">
        <f>_xlfn.XLOOKUP(HFrame_List[[#This Row],[Fabrication type]],Fabrication_costs[Fabrication type],Fabrication_costs[unit pricing],"no result",0)</f>
        <v>30</v>
      </c>
      <c r="V125" s="5">
        <f>SUM(T125:U125)/(1-HFrame_List[[#This Row],[Margin]])</f>
        <v>554.14838095238099</v>
      </c>
      <c r="W125" s="36">
        <f t="shared" si="30"/>
        <v>0.65</v>
      </c>
      <c r="X125" t="s">
        <v>193</v>
      </c>
      <c r="Y125">
        <f>_xlfn.XLOOKUP("A12",Strut_costs[size],Strut_costs[Strut cost])/12*HFrame_List[[#This Row],[Strut height (in)]]*(2+HFrame_List[[#This Row],[Extra supports]])</f>
        <v>98.28</v>
      </c>
      <c r="Z125">
        <f>(_xlfn.XLOOKUP("PHB",CADDY_costs[Component],CADDY_costs[Current cost])*HFrame_List[[#This Row],[Number of feet]])+(_xlfn.XLOOKUP("HFRMHDW",CADDY_costs[Component],CADDY_costs[Current cost])*(HFrame_List[[#This Row],[number of L-brackets]]/2))</f>
        <v>46.819999999999993</v>
      </c>
      <c r="AA125">
        <v>7220</v>
      </c>
      <c r="AB125">
        <f>VLOOKUP(HFrame_List[[#This Row],[lookup]],'Pallet and shipping info'!$A$5:$H$33,6,FALSE)</f>
        <v>11</v>
      </c>
      <c r="AC125">
        <f>VLOOKUP(HFrame_List[[#This Row],[lookup]],'Pallet and shipping info'!$A$5:$H$33,8,FALSE)</f>
        <v>15</v>
      </c>
      <c r="AD125"/>
      <c r="AE125"/>
      <c r="AF125"/>
    </row>
    <row r="126" spans="1:32" x14ac:dyDescent="0.25">
      <c r="A126" s="1" t="s">
        <v>432</v>
      </c>
      <c r="B126" t="s">
        <v>433</v>
      </c>
      <c r="C126">
        <f t="shared" si="23"/>
        <v>25.675000000000001</v>
      </c>
      <c r="D126">
        <f t="shared" si="24"/>
        <v>50.050999999999995</v>
      </c>
      <c r="E126">
        <v>24</v>
      </c>
      <c r="F126">
        <v>36</v>
      </c>
      <c r="G126">
        <f t="shared" si="42"/>
        <v>32.24</v>
      </c>
      <c r="H126">
        <v>1</v>
      </c>
      <c r="I126" t="s">
        <v>181</v>
      </c>
      <c r="J126">
        <v>1</v>
      </c>
      <c r="K126" s="6">
        <f t="shared" si="25"/>
        <v>17.1875</v>
      </c>
      <c r="L126">
        <f t="shared" si="26"/>
        <v>3</v>
      </c>
      <c r="M126">
        <f t="shared" si="43"/>
        <v>12</v>
      </c>
      <c r="N126">
        <f t="shared" si="44"/>
        <v>4</v>
      </c>
      <c r="O126" s="7">
        <f t="shared" si="39"/>
        <v>11</v>
      </c>
      <c r="P126">
        <f t="shared" si="28"/>
        <v>2</v>
      </c>
      <c r="Q126">
        <f t="shared" si="29"/>
        <v>8</v>
      </c>
      <c r="R126">
        <f>_xlfn.XLOOKUP(HFrame_List[[#This Row],[Cross piece style]],$AH$2:$AH$4,$AI$2:$AI$4,0,0)*(HFrame_List[[#This Row],[Width between brackets]]/12)</f>
        <v>37.425266666666673</v>
      </c>
      <c r="S126">
        <f>5.46*(HFrame_List[[#This Row],[cross piece quantity]]-1)*(HFrame_List[[#This Row],[Width between brackets]]/12)</f>
        <v>0</v>
      </c>
      <c r="T126" s="5">
        <f>HFrame_List[[#This Row],[Bottom cross piece cost]]+HFrame_List[[#This Row],[Top cross piece cost]]+HFrame_List[[#This Row],[Component costs]]+HFrame_List[[#This Row],[Vertical strut cost]]</f>
        <v>117.00526666666667</v>
      </c>
      <c r="U126" s="7">
        <f>_xlfn.XLOOKUP(HFrame_List[[#This Row],[Fabrication type]],Fabrication_costs[Fabrication type],Fabrication_costs[unit pricing],"no result",0)</f>
        <v>30</v>
      </c>
      <c r="V126" s="5">
        <f>SUM(T126:U126)/(1-HFrame_List[[#This Row],[Margin]])</f>
        <v>420.01504761904766</v>
      </c>
      <c r="W126" s="36">
        <f t="shared" si="30"/>
        <v>0.65</v>
      </c>
      <c r="X126" t="s">
        <v>193</v>
      </c>
      <c r="Y126">
        <f>_xlfn.XLOOKUP("A12",Strut_costs[size],Strut_costs[Strut cost])/12*HFrame_List[[#This Row],[Strut height (in)]]*(2+HFrame_List[[#This Row],[Extra supports]])</f>
        <v>32.76</v>
      </c>
      <c r="Z126">
        <f>(_xlfn.XLOOKUP("PHB",CADDY_costs[Component],CADDY_costs[Current cost])*HFrame_List[[#This Row],[Number of feet]])+(_xlfn.XLOOKUP("HFRMHDW",CADDY_costs[Component],CADDY_costs[Current cost])*(HFrame_List[[#This Row],[number of L-brackets]]/2))</f>
        <v>46.819999999999993</v>
      </c>
      <c r="AA126">
        <v>2436</v>
      </c>
      <c r="AB126">
        <f>VLOOKUP(HFrame_List[[#This Row],[lookup]],'Pallet and shipping info'!$A$5:$H$33,6,FALSE)</f>
        <v>9</v>
      </c>
      <c r="AC126">
        <f>VLOOKUP(HFrame_List[[#This Row],[lookup]],'Pallet and shipping info'!$A$5:$H$33,8,FALSE)</f>
        <v>14</v>
      </c>
      <c r="AD126"/>
      <c r="AE126"/>
      <c r="AF126"/>
    </row>
    <row r="127" spans="1:32" x14ac:dyDescent="0.25">
      <c r="A127" s="1" t="s">
        <v>434</v>
      </c>
      <c r="B127" t="s">
        <v>435</v>
      </c>
      <c r="C127">
        <f t="shared" si="23"/>
        <v>37.674999999999997</v>
      </c>
      <c r="D127">
        <f t="shared" si="24"/>
        <v>50.050999999999995</v>
      </c>
      <c r="E127">
        <v>36</v>
      </c>
      <c r="F127">
        <f>F126</f>
        <v>36</v>
      </c>
      <c r="G127">
        <f t="shared" si="42"/>
        <v>32.24</v>
      </c>
      <c r="H127">
        <v>1</v>
      </c>
      <c r="I127" t="s">
        <v>181</v>
      </c>
      <c r="J127">
        <v>1</v>
      </c>
      <c r="K127" s="6">
        <f t="shared" si="25"/>
        <v>17.1875</v>
      </c>
      <c r="L127">
        <f t="shared" si="26"/>
        <v>3</v>
      </c>
      <c r="M127">
        <f t="shared" si="43"/>
        <v>12</v>
      </c>
      <c r="N127">
        <f t="shared" si="44"/>
        <v>4</v>
      </c>
      <c r="O127" s="7">
        <f t="shared" si="39"/>
        <v>15</v>
      </c>
      <c r="P127">
        <f t="shared" si="28"/>
        <v>2</v>
      </c>
      <c r="Q127">
        <f t="shared" si="29"/>
        <v>8</v>
      </c>
      <c r="R127">
        <f>_xlfn.XLOOKUP(HFrame_List[[#This Row],[Cross piece style]],$AH$2:$AH$4,$AI$2:$AI$4,0,0)*(HFrame_List[[#This Row],[Width between brackets]]/12)</f>
        <v>37.425266666666673</v>
      </c>
      <c r="S127">
        <f>5.46*(HFrame_List[[#This Row],[cross piece quantity]]-1)*(HFrame_List[[#This Row],[Width between brackets]]/12)</f>
        <v>0</v>
      </c>
      <c r="T127" s="5">
        <f>HFrame_List[[#This Row],[Bottom cross piece cost]]+HFrame_List[[#This Row],[Top cross piece cost]]+HFrame_List[[#This Row],[Component costs]]+HFrame_List[[#This Row],[Vertical strut cost]]</f>
        <v>133.38526666666667</v>
      </c>
      <c r="U127" s="7">
        <f>_xlfn.XLOOKUP(HFrame_List[[#This Row],[Fabrication type]],Fabrication_costs[Fabrication type],Fabrication_costs[unit pricing],"no result",0)</f>
        <v>30</v>
      </c>
      <c r="V127" s="5">
        <f>SUM(T127:U127)/(1-HFrame_List[[#This Row],[Margin]])</f>
        <v>466.81504761904768</v>
      </c>
      <c r="W127" s="36">
        <f t="shared" si="30"/>
        <v>0.65</v>
      </c>
      <c r="X127" t="s">
        <v>193</v>
      </c>
      <c r="Y127">
        <f>_xlfn.XLOOKUP("A12",Strut_costs[size],Strut_costs[Strut cost])/12*HFrame_List[[#This Row],[Strut height (in)]]*(2+HFrame_List[[#This Row],[Extra supports]])</f>
        <v>49.14</v>
      </c>
      <c r="Z127">
        <f>(_xlfn.XLOOKUP("PHB",CADDY_costs[Component],CADDY_costs[Current cost])*HFrame_List[[#This Row],[Number of feet]])+(_xlfn.XLOOKUP("HFRMHDW",CADDY_costs[Component],CADDY_costs[Current cost])*(HFrame_List[[#This Row],[number of L-brackets]]/2))</f>
        <v>46.819999999999993</v>
      </c>
      <c r="AA127">
        <v>3636</v>
      </c>
      <c r="AB127">
        <f>VLOOKUP(HFrame_List[[#This Row],[lookup]],'Pallet and shipping info'!$A$5:$H$33,6,FALSE)</f>
        <v>9</v>
      </c>
      <c r="AC127">
        <f>VLOOKUP(HFrame_List[[#This Row],[lookup]],'Pallet and shipping info'!$A$5:$H$33,8,FALSE)</f>
        <v>14</v>
      </c>
      <c r="AD127"/>
      <c r="AE127"/>
      <c r="AF127"/>
    </row>
    <row r="128" spans="1:32" x14ac:dyDescent="0.25">
      <c r="A128" s="1" t="s">
        <v>436</v>
      </c>
      <c r="B128" t="s">
        <v>437</v>
      </c>
      <c r="C128">
        <f t="shared" si="23"/>
        <v>49.674999999999997</v>
      </c>
      <c r="D128">
        <f t="shared" si="24"/>
        <v>50.050999999999995</v>
      </c>
      <c r="E128">
        <v>48</v>
      </c>
      <c r="F128">
        <f t="shared" ref="F128:F133" si="46">F127</f>
        <v>36</v>
      </c>
      <c r="G128">
        <f t="shared" si="42"/>
        <v>32.24</v>
      </c>
      <c r="H128">
        <v>1</v>
      </c>
      <c r="I128" t="s">
        <v>181</v>
      </c>
      <c r="J128">
        <v>1</v>
      </c>
      <c r="K128" s="6">
        <f t="shared" si="25"/>
        <v>17.1875</v>
      </c>
      <c r="L128">
        <f t="shared" si="26"/>
        <v>3</v>
      </c>
      <c r="M128">
        <f t="shared" si="43"/>
        <v>12</v>
      </c>
      <c r="N128">
        <f t="shared" si="44"/>
        <v>4</v>
      </c>
      <c r="O128" s="7">
        <f t="shared" si="39"/>
        <v>19</v>
      </c>
      <c r="P128">
        <f t="shared" si="28"/>
        <v>2</v>
      </c>
      <c r="Q128">
        <f t="shared" si="29"/>
        <v>8</v>
      </c>
      <c r="R128">
        <f>_xlfn.XLOOKUP(HFrame_List[[#This Row],[Cross piece style]],$AH$2:$AH$4,$AI$2:$AI$4,0,0)*(HFrame_List[[#This Row],[Width between brackets]]/12)</f>
        <v>37.425266666666673</v>
      </c>
      <c r="S128">
        <f>5.46*(HFrame_List[[#This Row],[cross piece quantity]]-1)*(HFrame_List[[#This Row],[Width between brackets]]/12)</f>
        <v>0</v>
      </c>
      <c r="T128" s="5">
        <f>HFrame_List[[#This Row],[Bottom cross piece cost]]+HFrame_List[[#This Row],[Top cross piece cost]]+HFrame_List[[#This Row],[Component costs]]+HFrame_List[[#This Row],[Vertical strut cost]]</f>
        <v>149.76526666666666</v>
      </c>
      <c r="U128" s="7">
        <f>_xlfn.XLOOKUP(HFrame_List[[#This Row],[Fabrication type]],Fabrication_costs[Fabrication type],Fabrication_costs[unit pricing],"no result",0)</f>
        <v>30</v>
      </c>
      <c r="V128" s="5">
        <f>SUM(T128:U128)/(1-HFrame_List[[#This Row],[Margin]])</f>
        <v>513.61504761904769</v>
      </c>
      <c r="W128" s="36">
        <f t="shared" si="30"/>
        <v>0.65</v>
      </c>
      <c r="X128" t="s">
        <v>193</v>
      </c>
      <c r="Y128">
        <f>_xlfn.XLOOKUP("A12",Strut_costs[size],Strut_costs[Strut cost])/12*HFrame_List[[#This Row],[Strut height (in)]]*(2+HFrame_List[[#This Row],[Extra supports]])</f>
        <v>65.52</v>
      </c>
      <c r="Z128">
        <f>(_xlfn.XLOOKUP("PHB",CADDY_costs[Component],CADDY_costs[Current cost])*HFrame_List[[#This Row],[Number of feet]])+(_xlfn.XLOOKUP("HFRMHDW",CADDY_costs[Component],CADDY_costs[Current cost])*(HFrame_List[[#This Row],[number of L-brackets]]/2))</f>
        <v>46.819999999999993</v>
      </c>
      <c r="AA128">
        <v>4836</v>
      </c>
      <c r="AB128">
        <f>VLOOKUP(HFrame_List[[#This Row],[lookup]],'Pallet and shipping info'!$A$5:$H$33,6,FALSE)</f>
        <v>9</v>
      </c>
      <c r="AC128">
        <f>VLOOKUP(HFrame_List[[#This Row],[lookup]],'Pallet and shipping info'!$A$5:$H$33,8,FALSE)</f>
        <v>14</v>
      </c>
      <c r="AD128"/>
      <c r="AE128"/>
      <c r="AF128"/>
    </row>
    <row r="129" spans="1:32" x14ac:dyDescent="0.25">
      <c r="A129" s="1" t="s">
        <v>438</v>
      </c>
      <c r="B129" t="s">
        <v>439</v>
      </c>
      <c r="C129">
        <f t="shared" si="23"/>
        <v>73.674999999999997</v>
      </c>
      <c r="D129">
        <f t="shared" si="24"/>
        <v>50.050999999999995</v>
      </c>
      <c r="E129">
        <v>72</v>
      </c>
      <c r="F129">
        <f t="shared" si="46"/>
        <v>36</v>
      </c>
      <c r="G129">
        <f t="shared" si="42"/>
        <v>32.24</v>
      </c>
      <c r="H129">
        <v>1</v>
      </c>
      <c r="I129" t="s">
        <v>181</v>
      </c>
      <c r="J129">
        <v>1</v>
      </c>
      <c r="K129" s="6">
        <f t="shared" si="25"/>
        <v>17.1875</v>
      </c>
      <c r="L129">
        <f t="shared" si="26"/>
        <v>3</v>
      </c>
      <c r="M129">
        <f t="shared" si="43"/>
        <v>12</v>
      </c>
      <c r="N129">
        <f t="shared" si="44"/>
        <v>4</v>
      </c>
      <c r="O129" s="7">
        <f t="shared" si="39"/>
        <v>27</v>
      </c>
      <c r="P129">
        <f t="shared" si="28"/>
        <v>3</v>
      </c>
      <c r="Q129">
        <f t="shared" si="29"/>
        <v>8</v>
      </c>
      <c r="R129">
        <f>_xlfn.XLOOKUP(HFrame_List[[#This Row],[Cross piece style]],$AH$2:$AH$4,$AI$2:$AI$4,0,0)*(HFrame_List[[#This Row],[Width between brackets]]/12)</f>
        <v>37.425266666666673</v>
      </c>
      <c r="S129">
        <f>5.46*(HFrame_List[[#This Row],[cross piece quantity]]-1)*(HFrame_List[[#This Row],[Width between brackets]]/12)</f>
        <v>0</v>
      </c>
      <c r="T129" s="5">
        <f>HFrame_List[[#This Row],[Bottom cross piece cost]]+HFrame_List[[#This Row],[Top cross piece cost]]+HFrame_List[[#This Row],[Component costs]]+HFrame_List[[#This Row],[Vertical strut cost]]</f>
        <v>182.52526666666665</v>
      </c>
      <c r="U129" s="7">
        <f>_xlfn.XLOOKUP(HFrame_List[[#This Row],[Fabrication type]],Fabrication_costs[Fabrication type],Fabrication_costs[unit pricing],"no result",0)</f>
        <v>30</v>
      </c>
      <c r="V129" s="5">
        <f>SUM(T129:U129)/(1-HFrame_List[[#This Row],[Margin]])</f>
        <v>607.2150476190476</v>
      </c>
      <c r="W129" s="36">
        <f t="shared" si="30"/>
        <v>0.65</v>
      </c>
      <c r="X129" t="s">
        <v>193</v>
      </c>
      <c r="Y129">
        <f>_xlfn.XLOOKUP("A12",Strut_costs[size],Strut_costs[Strut cost])/12*HFrame_List[[#This Row],[Strut height (in)]]*(2+HFrame_List[[#This Row],[Extra supports]])</f>
        <v>98.28</v>
      </c>
      <c r="Z129">
        <f>(_xlfn.XLOOKUP("PHB",CADDY_costs[Component],CADDY_costs[Current cost])*HFrame_List[[#This Row],[Number of feet]])+(_xlfn.XLOOKUP("HFRMHDW",CADDY_costs[Component],CADDY_costs[Current cost])*(HFrame_List[[#This Row],[number of L-brackets]]/2))</f>
        <v>46.819999999999993</v>
      </c>
      <c r="AA129">
        <v>7236</v>
      </c>
      <c r="AB129">
        <f>VLOOKUP(HFrame_List[[#This Row],[lookup]],'Pallet and shipping info'!$A$5:$H$33,6,FALSE)</f>
        <v>9</v>
      </c>
      <c r="AC129">
        <f>VLOOKUP(HFrame_List[[#This Row],[lookup]],'Pallet and shipping info'!$A$5:$H$33,8,FALSE)</f>
        <v>14</v>
      </c>
      <c r="AD129"/>
      <c r="AE129"/>
      <c r="AF129"/>
    </row>
    <row r="130" spans="1:32" x14ac:dyDescent="0.25">
      <c r="A130" s="1" t="s">
        <v>440</v>
      </c>
      <c r="B130" t="s">
        <v>441</v>
      </c>
      <c r="C130">
        <f t="shared" ref="C130:C193" si="47">E130+1.675</f>
        <v>25.675000000000001</v>
      </c>
      <c r="D130">
        <f t="shared" ref="D130:D193" si="48">F130+1.675+12.376</f>
        <v>62.050999999999995</v>
      </c>
      <c r="E130">
        <v>24</v>
      </c>
      <c r="F130">
        <v>48</v>
      </c>
      <c r="G130">
        <f t="shared" si="42"/>
        <v>44.24</v>
      </c>
      <c r="H130">
        <v>1</v>
      </c>
      <c r="I130" t="s">
        <v>181</v>
      </c>
      <c r="J130">
        <v>1</v>
      </c>
      <c r="K130" s="6">
        <f t="shared" ref="K130:K193" si="49">((F130)/(L130-1))-(H130*0.8125)</f>
        <v>23.1875</v>
      </c>
      <c r="L130">
        <f t="shared" ref="L130:L193" si="50">2+(H130)</f>
        <v>3</v>
      </c>
      <c r="M130">
        <f t="shared" si="43"/>
        <v>12</v>
      </c>
      <c r="N130">
        <f t="shared" si="44"/>
        <v>4</v>
      </c>
      <c r="O130" s="7">
        <f t="shared" si="39"/>
        <v>12</v>
      </c>
      <c r="P130">
        <f t="shared" si="28"/>
        <v>2</v>
      </c>
      <c r="Q130">
        <f t="shared" si="29"/>
        <v>8</v>
      </c>
      <c r="R130">
        <f>_xlfn.XLOOKUP(HFrame_List[[#This Row],[Cross piece style]],$AH$2:$AH$4,$AI$2:$AI$4,0,0)*(HFrame_List[[#This Row],[Width between brackets]]/12)</f>
        <v>51.355266666666672</v>
      </c>
      <c r="S130">
        <f>5.46*(HFrame_List[[#This Row],[cross piece quantity]]-1)*(HFrame_List[[#This Row],[Width between brackets]]/12)</f>
        <v>0</v>
      </c>
      <c r="T130" s="5">
        <f>HFrame_List[[#This Row],[Bottom cross piece cost]]+HFrame_List[[#This Row],[Top cross piece cost]]+HFrame_List[[#This Row],[Component costs]]+HFrame_List[[#This Row],[Vertical strut cost]]</f>
        <v>130.93526666666665</v>
      </c>
      <c r="U130" s="7">
        <f>_xlfn.XLOOKUP(HFrame_List[[#This Row],[Fabrication type]],Fabrication_costs[Fabrication type],Fabrication_costs[unit pricing],"no result",0)</f>
        <v>30</v>
      </c>
      <c r="V130" s="5">
        <f>SUM(T130:U130)/(1-HFrame_List[[#This Row],[Margin]])</f>
        <v>459.81504761904762</v>
      </c>
      <c r="W130" s="36">
        <f t="shared" si="30"/>
        <v>0.65</v>
      </c>
      <c r="X130" t="s">
        <v>193</v>
      </c>
      <c r="Y130">
        <f>_xlfn.XLOOKUP("A12",Strut_costs[size],Strut_costs[Strut cost])/12*HFrame_List[[#This Row],[Strut height (in)]]*(2+HFrame_List[[#This Row],[Extra supports]])</f>
        <v>32.76</v>
      </c>
      <c r="Z130">
        <f>(_xlfn.XLOOKUP("PHB",CADDY_costs[Component],CADDY_costs[Current cost])*HFrame_List[[#This Row],[Number of feet]])+(_xlfn.XLOOKUP("HFRMHDW",CADDY_costs[Component],CADDY_costs[Current cost])*(HFrame_List[[#This Row],[number of L-brackets]]/2))</f>
        <v>46.819999999999993</v>
      </c>
      <c r="AA130">
        <v>2448</v>
      </c>
      <c r="AB130">
        <f>VLOOKUP(HFrame_List[[#This Row],[lookup]],'Pallet and shipping info'!$A$5:$H$33,6,FALSE)</f>
        <v>7</v>
      </c>
      <c r="AC130">
        <f>VLOOKUP(HFrame_List[[#This Row],[lookup]],'Pallet and shipping info'!$A$5:$H$33,8,FALSE)</f>
        <v>10</v>
      </c>
      <c r="AD130"/>
      <c r="AE130"/>
      <c r="AF130"/>
    </row>
    <row r="131" spans="1:32" x14ac:dyDescent="0.25">
      <c r="A131" s="1" t="s">
        <v>442</v>
      </c>
      <c r="B131" t="s">
        <v>443</v>
      </c>
      <c r="C131">
        <f t="shared" si="47"/>
        <v>37.674999999999997</v>
      </c>
      <c r="D131">
        <f t="shared" si="48"/>
        <v>62.050999999999995</v>
      </c>
      <c r="E131">
        <v>36</v>
      </c>
      <c r="F131">
        <f t="shared" si="46"/>
        <v>48</v>
      </c>
      <c r="G131">
        <f t="shared" si="42"/>
        <v>44.24</v>
      </c>
      <c r="H131">
        <v>1</v>
      </c>
      <c r="I131" t="s">
        <v>181</v>
      </c>
      <c r="J131">
        <v>1</v>
      </c>
      <c r="K131" s="6">
        <f t="shared" si="49"/>
        <v>23.1875</v>
      </c>
      <c r="L131">
        <f t="shared" si="50"/>
        <v>3</v>
      </c>
      <c r="M131">
        <f t="shared" si="43"/>
        <v>12</v>
      </c>
      <c r="N131">
        <f t="shared" si="44"/>
        <v>4</v>
      </c>
      <c r="O131" s="7">
        <f t="shared" si="39"/>
        <v>16</v>
      </c>
      <c r="P131">
        <f t="shared" ref="P131:P194" si="51">ROUNDUP(O131/10,0)</f>
        <v>2</v>
      </c>
      <c r="Q131">
        <f t="shared" ref="Q131:Q194" si="52">2*(L131+J131)</f>
        <v>8</v>
      </c>
      <c r="R131">
        <f>_xlfn.XLOOKUP(HFrame_List[[#This Row],[Cross piece style]],$AH$2:$AH$4,$AI$2:$AI$4,0,0)*(HFrame_List[[#This Row],[Width between brackets]]/12)</f>
        <v>51.355266666666672</v>
      </c>
      <c r="S131">
        <f>5.46*(HFrame_List[[#This Row],[cross piece quantity]]-1)*(HFrame_List[[#This Row],[Width between brackets]]/12)</f>
        <v>0</v>
      </c>
      <c r="T131" s="5">
        <f>HFrame_List[[#This Row],[Bottom cross piece cost]]+HFrame_List[[#This Row],[Top cross piece cost]]+HFrame_List[[#This Row],[Component costs]]+HFrame_List[[#This Row],[Vertical strut cost]]</f>
        <v>147.31526666666667</v>
      </c>
      <c r="U131" s="7">
        <f>_xlfn.XLOOKUP(HFrame_List[[#This Row],[Fabrication type]],Fabrication_costs[Fabrication type],Fabrication_costs[unit pricing],"no result",0)</f>
        <v>30</v>
      </c>
      <c r="V131" s="5">
        <f>SUM(T131:U131)/(1-HFrame_List[[#This Row],[Margin]])</f>
        <v>506.61504761904769</v>
      </c>
      <c r="W131" s="36">
        <f t="shared" si="30"/>
        <v>0.65</v>
      </c>
      <c r="X131" t="s">
        <v>193</v>
      </c>
      <c r="Y131">
        <f>_xlfn.XLOOKUP("A12",Strut_costs[size],Strut_costs[Strut cost])/12*HFrame_List[[#This Row],[Strut height (in)]]*(2+HFrame_List[[#This Row],[Extra supports]])</f>
        <v>49.14</v>
      </c>
      <c r="Z131">
        <f>(_xlfn.XLOOKUP("PHB",CADDY_costs[Component],CADDY_costs[Current cost])*HFrame_List[[#This Row],[Number of feet]])+(_xlfn.XLOOKUP("HFRMHDW",CADDY_costs[Component],CADDY_costs[Current cost])*(HFrame_List[[#This Row],[number of L-brackets]]/2))</f>
        <v>46.819999999999993</v>
      </c>
      <c r="AA131">
        <v>3648</v>
      </c>
      <c r="AB131">
        <f>VLOOKUP(HFrame_List[[#This Row],[lookup]],'Pallet and shipping info'!$A$5:$H$33,6,FALSE)</f>
        <v>7</v>
      </c>
      <c r="AC131">
        <f>VLOOKUP(HFrame_List[[#This Row],[lookup]],'Pallet and shipping info'!$A$5:$H$33,8,FALSE)</f>
        <v>10</v>
      </c>
      <c r="AD131"/>
      <c r="AE131"/>
      <c r="AF131"/>
    </row>
    <row r="132" spans="1:32" x14ac:dyDescent="0.25">
      <c r="A132" s="1" t="s">
        <v>444</v>
      </c>
      <c r="B132" t="s">
        <v>445</v>
      </c>
      <c r="C132">
        <f t="shared" si="47"/>
        <v>49.674999999999997</v>
      </c>
      <c r="D132">
        <f t="shared" si="48"/>
        <v>62.050999999999995</v>
      </c>
      <c r="E132">
        <v>48</v>
      </c>
      <c r="F132">
        <f t="shared" si="46"/>
        <v>48</v>
      </c>
      <c r="G132">
        <f t="shared" si="42"/>
        <v>44.24</v>
      </c>
      <c r="H132">
        <v>1</v>
      </c>
      <c r="I132" t="s">
        <v>181</v>
      </c>
      <c r="J132">
        <v>1</v>
      </c>
      <c r="K132" s="6">
        <f t="shared" si="49"/>
        <v>23.1875</v>
      </c>
      <c r="L132">
        <f t="shared" si="50"/>
        <v>3</v>
      </c>
      <c r="M132">
        <f t="shared" si="43"/>
        <v>12</v>
      </c>
      <c r="N132">
        <f t="shared" si="44"/>
        <v>4</v>
      </c>
      <c r="O132" s="7">
        <f t="shared" si="39"/>
        <v>20</v>
      </c>
      <c r="P132">
        <f t="shared" si="51"/>
        <v>2</v>
      </c>
      <c r="Q132">
        <f t="shared" si="52"/>
        <v>8</v>
      </c>
      <c r="R132">
        <f>_xlfn.XLOOKUP(HFrame_List[[#This Row],[Cross piece style]],$AH$2:$AH$4,$AI$2:$AI$4,0,0)*(HFrame_List[[#This Row],[Width between brackets]]/12)</f>
        <v>51.355266666666672</v>
      </c>
      <c r="S132">
        <f>5.46*(HFrame_List[[#This Row],[cross piece quantity]]-1)*(HFrame_List[[#This Row],[Width between brackets]]/12)</f>
        <v>0</v>
      </c>
      <c r="T132" s="5">
        <f>HFrame_List[[#This Row],[Bottom cross piece cost]]+HFrame_List[[#This Row],[Top cross piece cost]]+HFrame_List[[#This Row],[Component costs]]+HFrame_List[[#This Row],[Vertical strut cost]]</f>
        <v>163.69526666666667</v>
      </c>
      <c r="U132" s="7">
        <f>_xlfn.XLOOKUP(HFrame_List[[#This Row],[Fabrication type]],Fabrication_costs[Fabrication type],Fabrication_costs[unit pricing],"no result",0)</f>
        <v>30</v>
      </c>
      <c r="V132" s="5">
        <f>SUM(T132:U132)/(1-HFrame_List[[#This Row],[Margin]])</f>
        <v>553.41504761904764</v>
      </c>
      <c r="W132" s="36">
        <f t="shared" ref="W132:W195" si="53">W131</f>
        <v>0.65</v>
      </c>
      <c r="X132" t="s">
        <v>193</v>
      </c>
      <c r="Y132">
        <f>_xlfn.XLOOKUP("A12",Strut_costs[size],Strut_costs[Strut cost])/12*HFrame_List[[#This Row],[Strut height (in)]]*(2+HFrame_List[[#This Row],[Extra supports]])</f>
        <v>65.52</v>
      </c>
      <c r="Z132">
        <f>(_xlfn.XLOOKUP("PHB",CADDY_costs[Component],CADDY_costs[Current cost])*HFrame_List[[#This Row],[Number of feet]])+(_xlfn.XLOOKUP("HFRMHDW",CADDY_costs[Component],CADDY_costs[Current cost])*(HFrame_List[[#This Row],[number of L-brackets]]/2))</f>
        <v>46.819999999999993</v>
      </c>
      <c r="AA132">
        <v>4848</v>
      </c>
      <c r="AB132">
        <f>VLOOKUP(HFrame_List[[#This Row],[lookup]],'Pallet and shipping info'!$A$5:$H$33,6,FALSE)</f>
        <v>7</v>
      </c>
      <c r="AC132">
        <f>VLOOKUP(HFrame_List[[#This Row],[lookup]],'Pallet and shipping info'!$A$5:$H$33,8,FALSE)</f>
        <v>10</v>
      </c>
      <c r="AD132"/>
      <c r="AE132"/>
      <c r="AF132"/>
    </row>
    <row r="133" spans="1:32" x14ac:dyDescent="0.25">
      <c r="A133" s="1" t="s">
        <v>446</v>
      </c>
      <c r="B133" t="s">
        <v>447</v>
      </c>
      <c r="C133">
        <f t="shared" si="47"/>
        <v>73.674999999999997</v>
      </c>
      <c r="D133">
        <f t="shared" si="48"/>
        <v>62.050999999999995</v>
      </c>
      <c r="E133">
        <v>72</v>
      </c>
      <c r="F133">
        <f t="shared" si="46"/>
        <v>48</v>
      </c>
      <c r="G133">
        <f t="shared" si="42"/>
        <v>44.24</v>
      </c>
      <c r="H133">
        <v>1</v>
      </c>
      <c r="I133" t="s">
        <v>181</v>
      </c>
      <c r="J133">
        <v>1</v>
      </c>
      <c r="K133" s="6">
        <f t="shared" si="49"/>
        <v>23.1875</v>
      </c>
      <c r="L133">
        <f t="shared" si="50"/>
        <v>3</v>
      </c>
      <c r="M133">
        <f t="shared" si="43"/>
        <v>12</v>
      </c>
      <c r="N133">
        <f t="shared" si="44"/>
        <v>4</v>
      </c>
      <c r="O133" s="7">
        <f t="shared" si="39"/>
        <v>28</v>
      </c>
      <c r="P133">
        <f t="shared" si="51"/>
        <v>3</v>
      </c>
      <c r="Q133">
        <f t="shared" si="52"/>
        <v>8</v>
      </c>
      <c r="R133">
        <f>_xlfn.XLOOKUP(HFrame_List[[#This Row],[Cross piece style]],$AH$2:$AH$4,$AI$2:$AI$4,0,0)*(HFrame_List[[#This Row],[Width between brackets]]/12)</f>
        <v>51.355266666666672</v>
      </c>
      <c r="S133">
        <f>5.46*(HFrame_List[[#This Row],[cross piece quantity]]-1)*(HFrame_List[[#This Row],[Width between brackets]]/12)</f>
        <v>0</v>
      </c>
      <c r="T133" s="5">
        <f>HFrame_List[[#This Row],[Bottom cross piece cost]]+HFrame_List[[#This Row],[Top cross piece cost]]+HFrame_List[[#This Row],[Component costs]]+HFrame_List[[#This Row],[Vertical strut cost]]</f>
        <v>196.45526666666666</v>
      </c>
      <c r="U133" s="7">
        <f>_xlfn.XLOOKUP(HFrame_List[[#This Row],[Fabrication type]],Fabrication_costs[Fabrication type],Fabrication_costs[unit pricing],"no result",0)</f>
        <v>30</v>
      </c>
      <c r="V133" s="5">
        <f>SUM(T133:U133)/(1-HFrame_List[[#This Row],[Margin]])</f>
        <v>647.01504761904766</v>
      </c>
      <c r="W133" s="36">
        <f t="shared" si="53"/>
        <v>0.65</v>
      </c>
      <c r="X133" t="s">
        <v>193</v>
      </c>
      <c r="Y133">
        <f>_xlfn.XLOOKUP("A12",Strut_costs[size],Strut_costs[Strut cost])/12*HFrame_List[[#This Row],[Strut height (in)]]*(2+HFrame_List[[#This Row],[Extra supports]])</f>
        <v>98.28</v>
      </c>
      <c r="Z133">
        <f>(_xlfn.XLOOKUP("PHB",CADDY_costs[Component],CADDY_costs[Current cost])*HFrame_List[[#This Row],[Number of feet]])+(_xlfn.XLOOKUP("HFRMHDW",CADDY_costs[Component],CADDY_costs[Current cost])*(HFrame_List[[#This Row],[number of L-brackets]]/2))</f>
        <v>46.819999999999993</v>
      </c>
      <c r="AA133">
        <v>7248</v>
      </c>
      <c r="AB133">
        <f>VLOOKUP(HFrame_List[[#This Row],[lookup]],'Pallet and shipping info'!$A$5:$H$33,6,FALSE)</f>
        <v>7</v>
      </c>
      <c r="AC133">
        <f>VLOOKUP(HFrame_List[[#This Row],[lookup]],'Pallet and shipping info'!$A$5:$H$33,8,FALSE)</f>
        <v>10</v>
      </c>
      <c r="AD133"/>
      <c r="AE133"/>
      <c r="AF133"/>
    </row>
    <row r="134" spans="1:32" x14ac:dyDescent="0.25">
      <c r="A134" s="1" t="s">
        <v>448</v>
      </c>
      <c r="B134" t="s">
        <v>449</v>
      </c>
      <c r="C134">
        <f t="shared" si="47"/>
        <v>25.675000000000001</v>
      </c>
      <c r="D134">
        <f t="shared" si="48"/>
        <v>74.051000000000002</v>
      </c>
      <c r="E134">
        <v>24</v>
      </c>
      <c r="F134">
        <v>60</v>
      </c>
      <c r="G134">
        <f t="shared" si="42"/>
        <v>56.24</v>
      </c>
      <c r="H134">
        <v>1</v>
      </c>
      <c r="I134" t="s">
        <v>181</v>
      </c>
      <c r="J134">
        <v>1</v>
      </c>
      <c r="K134" s="6">
        <f t="shared" si="49"/>
        <v>29.1875</v>
      </c>
      <c r="L134">
        <f t="shared" si="50"/>
        <v>3</v>
      </c>
      <c r="M134">
        <f t="shared" si="43"/>
        <v>12</v>
      </c>
      <c r="N134">
        <f t="shared" si="44"/>
        <v>4</v>
      </c>
      <c r="O134" s="7">
        <f t="shared" si="39"/>
        <v>13</v>
      </c>
      <c r="P134">
        <f t="shared" si="51"/>
        <v>2</v>
      </c>
      <c r="Q134">
        <f t="shared" si="52"/>
        <v>8</v>
      </c>
      <c r="R134">
        <f>_xlfn.XLOOKUP(HFrame_List[[#This Row],[Cross piece style]],$AH$2:$AH$4,$AI$2:$AI$4,0,0)*(HFrame_List[[#This Row],[Width between brackets]]/12)</f>
        <v>65.285266666666658</v>
      </c>
      <c r="S134">
        <f>5.46*(HFrame_List[[#This Row],[cross piece quantity]]-1)*(HFrame_List[[#This Row],[Width between brackets]]/12)</f>
        <v>0</v>
      </c>
      <c r="T134" s="5">
        <f>HFrame_List[[#This Row],[Bottom cross piece cost]]+HFrame_List[[#This Row],[Top cross piece cost]]+HFrame_List[[#This Row],[Component costs]]+HFrame_List[[#This Row],[Vertical strut cost]]</f>
        <v>144.86526666666666</v>
      </c>
      <c r="U134" s="7">
        <f>_xlfn.XLOOKUP(HFrame_List[[#This Row],[Fabrication type]],Fabrication_costs[Fabrication type],Fabrication_costs[unit pricing],"no result",0)</f>
        <v>30</v>
      </c>
      <c r="V134" s="5">
        <f>SUM(T134:U134)/(1-HFrame_List[[#This Row],[Margin]])</f>
        <v>499.61504761904763</v>
      </c>
      <c r="W134" s="36">
        <f t="shared" si="53"/>
        <v>0.65</v>
      </c>
      <c r="X134" t="s">
        <v>193</v>
      </c>
      <c r="Y134">
        <f>_xlfn.XLOOKUP("A12",Strut_costs[size],Strut_costs[Strut cost])/12*HFrame_List[[#This Row],[Strut height (in)]]*(2+HFrame_List[[#This Row],[Extra supports]])</f>
        <v>32.76</v>
      </c>
      <c r="Z134">
        <f>(_xlfn.XLOOKUP("PHB",CADDY_costs[Component],CADDY_costs[Current cost])*HFrame_List[[#This Row],[Number of feet]])+(_xlfn.XLOOKUP("HFRMHDW",CADDY_costs[Component],CADDY_costs[Current cost])*(HFrame_List[[#This Row],[number of L-brackets]]/2))</f>
        <v>46.819999999999993</v>
      </c>
      <c r="AA134">
        <v>2460</v>
      </c>
      <c r="AB134" t="str">
        <f>VLOOKUP(HFrame_List[[#This Row],[lookup]],'Pallet and shipping info'!$A$5:$H$33,6,FALSE)</f>
        <v>x</v>
      </c>
      <c r="AC134">
        <f>VLOOKUP(HFrame_List[[#This Row],[lookup]],'Pallet and shipping info'!$A$5:$H$33,8,FALSE)</f>
        <v>7</v>
      </c>
      <c r="AD134"/>
      <c r="AE134"/>
      <c r="AF134"/>
    </row>
    <row r="135" spans="1:32" x14ac:dyDescent="0.25">
      <c r="A135" s="1" t="s">
        <v>450</v>
      </c>
      <c r="B135" t="s">
        <v>451</v>
      </c>
      <c r="C135">
        <f t="shared" si="47"/>
        <v>37.674999999999997</v>
      </c>
      <c r="D135">
        <f t="shared" si="48"/>
        <v>74.051000000000002</v>
      </c>
      <c r="E135">
        <v>36</v>
      </c>
      <c r="F135">
        <v>60</v>
      </c>
      <c r="G135">
        <f t="shared" si="42"/>
        <v>56.24</v>
      </c>
      <c r="H135">
        <v>1</v>
      </c>
      <c r="I135" t="s">
        <v>181</v>
      </c>
      <c r="J135">
        <v>1</v>
      </c>
      <c r="K135" s="6">
        <f t="shared" si="49"/>
        <v>29.1875</v>
      </c>
      <c r="L135">
        <f t="shared" si="50"/>
        <v>3</v>
      </c>
      <c r="M135">
        <f t="shared" si="43"/>
        <v>12</v>
      </c>
      <c r="N135">
        <f t="shared" si="44"/>
        <v>4</v>
      </c>
      <c r="O135" s="7">
        <f t="shared" si="39"/>
        <v>17</v>
      </c>
      <c r="P135">
        <f t="shared" si="51"/>
        <v>2</v>
      </c>
      <c r="Q135">
        <f t="shared" si="52"/>
        <v>8</v>
      </c>
      <c r="R135">
        <f>_xlfn.XLOOKUP(HFrame_List[[#This Row],[Cross piece style]],$AH$2:$AH$4,$AI$2:$AI$4,0,0)*(HFrame_List[[#This Row],[Width between brackets]]/12)</f>
        <v>65.285266666666658</v>
      </c>
      <c r="S135">
        <f>5.46*(HFrame_List[[#This Row],[cross piece quantity]]-1)*(HFrame_List[[#This Row],[Width between brackets]]/12)</f>
        <v>0</v>
      </c>
      <c r="T135" s="5">
        <f>HFrame_List[[#This Row],[Bottom cross piece cost]]+HFrame_List[[#This Row],[Top cross piece cost]]+HFrame_List[[#This Row],[Component costs]]+HFrame_List[[#This Row],[Vertical strut cost]]</f>
        <v>161.24526666666665</v>
      </c>
      <c r="U135" s="7">
        <f>_xlfn.XLOOKUP(HFrame_List[[#This Row],[Fabrication type]],Fabrication_costs[Fabrication type],Fabrication_costs[unit pricing],"no result",0)</f>
        <v>30</v>
      </c>
      <c r="V135" s="5">
        <f>SUM(T135:U135)/(1-HFrame_List[[#This Row],[Margin]])</f>
        <v>546.41504761904764</v>
      </c>
      <c r="W135" s="36">
        <f t="shared" si="53"/>
        <v>0.65</v>
      </c>
      <c r="X135" t="s">
        <v>193</v>
      </c>
      <c r="Y135">
        <f>_xlfn.XLOOKUP("A12",Strut_costs[size],Strut_costs[Strut cost])/12*HFrame_List[[#This Row],[Strut height (in)]]*(2+HFrame_List[[#This Row],[Extra supports]])</f>
        <v>49.14</v>
      </c>
      <c r="Z135">
        <f>(_xlfn.XLOOKUP("PHB",CADDY_costs[Component],CADDY_costs[Current cost])*HFrame_List[[#This Row],[Number of feet]])+(_xlfn.XLOOKUP("HFRMHDW",CADDY_costs[Component],CADDY_costs[Current cost])*(HFrame_List[[#This Row],[number of L-brackets]]/2))</f>
        <v>46.819999999999993</v>
      </c>
      <c r="AA135">
        <v>3660</v>
      </c>
      <c r="AB135" t="str">
        <f>VLOOKUP(HFrame_List[[#This Row],[lookup]],'Pallet and shipping info'!$A$5:$H$33,6,FALSE)</f>
        <v>x</v>
      </c>
      <c r="AC135">
        <f>VLOOKUP(HFrame_List[[#This Row],[lookup]],'Pallet and shipping info'!$A$5:$H$33,8,FALSE)</f>
        <v>7</v>
      </c>
      <c r="AD135"/>
      <c r="AE135"/>
      <c r="AF135"/>
    </row>
    <row r="136" spans="1:32" x14ac:dyDescent="0.25">
      <c r="A136" s="1" t="s">
        <v>452</v>
      </c>
      <c r="B136" t="s">
        <v>453</v>
      </c>
      <c r="C136">
        <f t="shared" si="47"/>
        <v>49.674999999999997</v>
      </c>
      <c r="D136">
        <f t="shared" si="48"/>
        <v>74.051000000000002</v>
      </c>
      <c r="E136">
        <v>48</v>
      </c>
      <c r="F136">
        <v>60</v>
      </c>
      <c r="G136">
        <f t="shared" si="42"/>
        <v>56.24</v>
      </c>
      <c r="H136">
        <v>1</v>
      </c>
      <c r="I136" t="s">
        <v>181</v>
      </c>
      <c r="J136">
        <v>1</v>
      </c>
      <c r="K136" s="6">
        <f t="shared" si="49"/>
        <v>29.1875</v>
      </c>
      <c r="L136">
        <f t="shared" si="50"/>
        <v>3</v>
      </c>
      <c r="M136">
        <f t="shared" si="43"/>
        <v>12</v>
      </c>
      <c r="N136">
        <f t="shared" si="44"/>
        <v>4</v>
      </c>
      <c r="O136" s="7">
        <f t="shared" si="39"/>
        <v>21</v>
      </c>
      <c r="P136">
        <f t="shared" si="51"/>
        <v>3</v>
      </c>
      <c r="Q136">
        <f t="shared" si="52"/>
        <v>8</v>
      </c>
      <c r="R136">
        <f>_xlfn.XLOOKUP(HFrame_List[[#This Row],[Cross piece style]],$AH$2:$AH$4,$AI$2:$AI$4,0,0)*(HFrame_List[[#This Row],[Width between brackets]]/12)</f>
        <v>65.285266666666658</v>
      </c>
      <c r="S136">
        <f>5.46*(HFrame_List[[#This Row],[cross piece quantity]]-1)*(HFrame_List[[#This Row],[Width between brackets]]/12)</f>
        <v>0</v>
      </c>
      <c r="T136" s="5">
        <f>HFrame_List[[#This Row],[Bottom cross piece cost]]+HFrame_List[[#This Row],[Top cross piece cost]]+HFrame_List[[#This Row],[Component costs]]+HFrame_List[[#This Row],[Vertical strut cost]]</f>
        <v>177.62526666666665</v>
      </c>
      <c r="U136" s="7">
        <f>_xlfn.XLOOKUP(HFrame_List[[#This Row],[Fabrication type]],Fabrication_costs[Fabrication type],Fabrication_costs[unit pricing],"no result",0)</f>
        <v>30</v>
      </c>
      <c r="V136" s="5">
        <f>SUM(T136:U136)/(1-HFrame_List[[#This Row],[Margin]])</f>
        <v>593.2150476190476</v>
      </c>
      <c r="W136" s="36">
        <f t="shared" si="53"/>
        <v>0.65</v>
      </c>
      <c r="X136" t="s">
        <v>193</v>
      </c>
      <c r="Y136">
        <f>_xlfn.XLOOKUP("A12",Strut_costs[size],Strut_costs[Strut cost])/12*HFrame_List[[#This Row],[Strut height (in)]]*(2+HFrame_List[[#This Row],[Extra supports]])</f>
        <v>65.52</v>
      </c>
      <c r="Z136">
        <f>(_xlfn.XLOOKUP("PHB",CADDY_costs[Component],CADDY_costs[Current cost])*HFrame_List[[#This Row],[Number of feet]])+(_xlfn.XLOOKUP("HFRMHDW",CADDY_costs[Component],CADDY_costs[Current cost])*(HFrame_List[[#This Row],[number of L-brackets]]/2))</f>
        <v>46.819999999999993</v>
      </c>
      <c r="AA136">
        <v>4860</v>
      </c>
      <c r="AB136" t="str">
        <f>VLOOKUP(HFrame_List[[#This Row],[lookup]],'Pallet and shipping info'!$A$5:$H$33,6,FALSE)</f>
        <v>x</v>
      </c>
      <c r="AC136">
        <f>VLOOKUP(HFrame_List[[#This Row],[lookup]],'Pallet and shipping info'!$A$5:$H$33,8,FALSE)</f>
        <v>7</v>
      </c>
      <c r="AD136"/>
      <c r="AE136"/>
      <c r="AF136"/>
    </row>
    <row r="137" spans="1:32" x14ac:dyDescent="0.25">
      <c r="A137" s="1" t="s">
        <v>454</v>
      </c>
      <c r="B137" t="s">
        <v>455</v>
      </c>
      <c r="C137">
        <f t="shared" si="47"/>
        <v>73.674999999999997</v>
      </c>
      <c r="D137">
        <f t="shared" si="48"/>
        <v>74.051000000000002</v>
      </c>
      <c r="E137">
        <v>72</v>
      </c>
      <c r="F137">
        <v>60</v>
      </c>
      <c r="G137">
        <f t="shared" si="42"/>
        <v>56.24</v>
      </c>
      <c r="H137">
        <v>1</v>
      </c>
      <c r="I137" t="s">
        <v>181</v>
      </c>
      <c r="J137">
        <v>1</v>
      </c>
      <c r="K137" s="6">
        <f t="shared" si="49"/>
        <v>29.1875</v>
      </c>
      <c r="L137">
        <f t="shared" si="50"/>
        <v>3</v>
      </c>
      <c r="M137">
        <f t="shared" si="43"/>
        <v>12</v>
      </c>
      <c r="N137">
        <f t="shared" si="44"/>
        <v>4</v>
      </c>
      <c r="O137" s="7">
        <f t="shared" si="39"/>
        <v>29</v>
      </c>
      <c r="P137">
        <f t="shared" si="51"/>
        <v>3</v>
      </c>
      <c r="Q137">
        <f t="shared" si="52"/>
        <v>8</v>
      </c>
      <c r="R137">
        <f>_xlfn.XLOOKUP(HFrame_List[[#This Row],[Cross piece style]],$AH$2:$AH$4,$AI$2:$AI$4,0,0)*(HFrame_List[[#This Row],[Width between brackets]]/12)</f>
        <v>65.285266666666658</v>
      </c>
      <c r="S137">
        <f>5.46*(HFrame_List[[#This Row],[cross piece quantity]]-1)*(HFrame_List[[#This Row],[Width between brackets]]/12)</f>
        <v>0</v>
      </c>
      <c r="T137" s="5">
        <f>HFrame_List[[#This Row],[Bottom cross piece cost]]+HFrame_List[[#This Row],[Top cross piece cost]]+HFrame_List[[#This Row],[Component costs]]+HFrame_List[[#This Row],[Vertical strut cost]]</f>
        <v>210.38526666666667</v>
      </c>
      <c r="U137" s="7">
        <f>_xlfn.XLOOKUP(HFrame_List[[#This Row],[Fabrication type]],Fabrication_costs[Fabrication type],Fabrication_costs[unit pricing],"no result",0)</f>
        <v>30</v>
      </c>
      <c r="V137" s="5">
        <f>SUM(T137:U137)/(1-HFrame_List[[#This Row],[Margin]])</f>
        <v>686.81504761904762</v>
      </c>
      <c r="W137" s="36">
        <f t="shared" si="53"/>
        <v>0.65</v>
      </c>
      <c r="X137" t="s">
        <v>193</v>
      </c>
      <c r="Y137">
        <f>_xlfn.XLOOKUP("A12",Strut_costs[size],Strut_costs[Strut cost])/12*HFrame_List[[#This Row],[Strut height (in)]]*(2+HFrame_List[[#This Row],[Extra supports]])</f>
        <v>98.28</v>
      </c>
      <c r="Z137">
        <f>(_xlfn.XLOOKUP("PHB",CADDY_costs[Component],CADDY_costs[Current cost])*HFrame_List[[#This Row],[Number of feet]])+(_xlfn.XLOOKUP("HFRMHDW",CADDY_costs[Component],CADDY_costs[Current cost])*(HFrame_List[[#This Row],[number of L-brackets]]/2))</f>
        <v>46.819999999999993</v>
      </c>
      <c r="AA137">
        <v>7260</v>
      </c>
      <c r="AB137" t="str">
        <f>VLOOKUP(HFrame_List[[#This Row],[lookup]],'Pallet and shipping info'!$A$5:$H$33,6,FALSE)</f>
        <v>x</v>
      </c>
      <c r="AC137">
        <f>VLOOKUP(HFrame_List[[#This Row],[lookup]],'Pallet and shipping info'!$A$5:$H$33,8,FALSE)</f>
        <v>7</v>
      </c>
      <c r="AD137"/>
      <c r="AE137"/>
      <c r="AF137"/>
    </row>
    <row r="138" spans="1:32" x14ac:dyDescent="0.25">
      <c r="A138" s="1" t="s">
        <v>456</v>
      </c>
      <c r="B138" t="s">
        <v>457</v>
      </c>
      <c r="C138">
        <f t="shared" si="47"/>
        <v>25.675000000000001</v>
      </c>
      <c r="D138">
        <f t="shared" si="48"/>
        <v>86.051000000000002</v>
      </c>
      <c r="E138">
        <v>24</v>
      </c>
      <c r="F138">
        <v>72</v>
      </c>
      <c r="G138">
        <f t="shared" si="42"/>
        <v>68.239999999999995</v>
      </c>
      <c r="H138">
        <v>1</v>
      </c>
      <c r="I138" t="s">
        <v>181</v>
      </c>
      <c r="J138">
        <v>1</v>
      </c>
      <c r="K138" s="6">
        <f t="shared" si="49"/>
        <v>35.1875</v>
      </c>
      <c r="L138">
        <f t="shared" si="50"/>
        <v>3</v>
      </c>
      <c r="M138">
        <f t="shared" si="43"/>
        <v>12</v>
      </c>
      <c r="N138">
        <f t="shared" si="44"/>
        <v>4</v>
      </c>
      <c r="O138" s="7">
        <f t="shared" si="39"/>
        <v>14</v>
      </c>
      <c r="P138">
        <f t="shared" si="51"/>
        <v>2</v>
      </c>
      <c r="Q138">
        <f t="shared" si="52"/>
        <v>8</v>
      </c>
      <c r="R138">
        <f>_xlfn.XLOOKUP(HFrame_List[[#This Row],[Cross piece style]],$AH$2:$AH$4,$AI$2:$AI$4,0,0)*(HFrame_List[[#This Row],[Width between brackets]]/12)</f>
        <v>79.215266666666665</v>
      </c>
      <c r="S138">
        <f>5.46*(HFrame_List[[#This Row],[cross piece quantity]]-1)*(HFrame_List[[#This Row],[Width between brackets]]/12)</f>
        <v>0</v>
      </c>
      <c r="T138" s="5">
        <f>HFrame_List[[#This Row],[Bottom cross piece cost]]+HFrame_List[[#This Row],[Top cross piece cost]]+HFrame_List[[#This Row],[Component costs]]+HFrame_List[[#This Row],[Vertical strut cost]]</f>
        <v>158.79526666666666</v>
      </c>
      <c r="U138" s="7">
        <f>_xlfn.XLOOKUP(HFrame_List[[#This Row],[Fabrication type]],Fabrication_costs[Fabrication type],Fabrication_costs[unit pricing],"no result",0)</f>
        <v>30</v>
      </c>
      <c r="V138" s="5">
        <f>SUM(T138:U138)/(1-HFrame_List[[#This Row],[Margin]])</f>
        <v>539.41504761904764</v>
      </c>
      <c r="W138" s="36">
        <f t="shared" si="53"/>
        <v>0.65</v>
      </c>
      <c r="X138" t="s">
        <v>193</v>
      </c>
      <c r="Y138">
        <f>_xlfn.XLOOKUP("A12",Strut_costs[size],Strut_costs[Strut cost])/12*HFrame_List[[#This Row],[Strut height (in)]]*(2+HFrame_List[[#This Row],[Extra supports]])</f>
        <v>32.76</v>
      </c>
      <c r="Z138">
        <f>(_xlfn.XLOOKUP("PHB",CADDY_costs[Component],CADDY_costs[Current cost])*HFrame_List[[#This Row],[Number of feet]])+(_xlfn.XLOOKUP("HFRMHDW",CADDY_costs[Component],CADDY_costs[Current cost])*(HFrame_List[[#This Row],[number of L-brackets]]/2))</f>
        <v>46.819999999999993</v>
      </c>
      <c r="AA138">
        <v>2472</v>
      </c>
      <c r="AB138" t="str">
        <f>VLOOKUP(HFrame_List[[#This Row],[lookup]],'Pallet and shipping info'!$A$5:$H$33,6,FALSE)</f>
        <v>x</v>
      </c>
      <c r="AC138">
        <f>VLOOKUP(HFrame_List[[#This Row],[lookup]],'Pallet and shipping info'!$A$5:$H$33,8,FALSE)</f>
        <v>7</v>
      </c>
      <c r="AD138"/>
      <c r="AE138"/>
      <c r="AF138"/>
    </row>
    <row r="139" spans="1:32" x14ac:dyDescent="0.25">
      <c r="A139" s="1" t="s">
        <v>458</v>
      </c>
      <c r="B139" t="s">
        <v>459</v>
      </c>
      <c r="C139">
        <f t="shared" si="47"/>
        <v>37.674999999999997</v>
      </c>
      <c r="D139">
        <f t="shared" si="48"/>
        <v>86.051000000000002</v>
      </c>
      <c r="E139">
        <v>36</v>
      </c>
      <c r="F139">
        <v>72</v>
      </c>
      <c r="G139">
        <f t="shared" si="42"/>
        <v>68.239999999999995</v>
      </c>
      <c r="H139">
        <v>1</v>
      </c>
      <c r="I139" t="s">
        <v>181</v>
      </c>
      <c r="J139">
        <v>1</v>
      </c>
      <c r="K139" s="6">
        <f t="shared" si="49"/>
        <v>35.1875</v>
      </c>
      <c r="L139">
        <f t="shared" si="50"/>
        <v>3</v>
      </c>
      <c r="M139">
        <f t="shared" si="43"/>
        <v>12</v>
      </c>
      <c r="N139">
        <f t="shared" si="44"/>
        <v>4</v>
      </c>
      <c r="O139" s="7">
        <f t="shared" si="39"/>
        <v>18</v>
      </c>
      <c r="P139">
        <f t="shared" si="51"/>
        <v>2</v>
      </c>
      <c r="Q139">
        <f t="shared" si="52"/>
        <v>8</v>
      </c>
      <c r="R139">
        <f>_xlfn.XLOOKUP(HFrame_List[[#This Row],[Cross piece style]],$AH$2:$AH$4,$AI$2:$AI$4,0,0)*(HFrame_List[[#This Row],[Width between brackets]]/12)</f>
        <v>79.215266666666665</v>
      </c>
      <c r="S139">
        <f>5.46*(HFrame_List[[#This Row],[cross piece quantity]]-1)*(HFrame_List[[#This Row],[Width between brackets]]/12)</f>
        <v>0</v>
      </c>
      <c r="T139" s="5">
        <f>HFrame_List[[#This Row],[Bottom cross piece cost]]+HFrame_List[[#This Row],[Top cross piece cost]]+HFrame_List[[#This Row],[Component costs]]+HFrame_List[[#This Row],[Vertical strut cost]]</f>
        <v>175.17526666666666</v>
      </c>
      <c r="U139" s="7">
        <f>_xlfn.XLOOKUP(HFrame_List[[#This Row],[Fabrication type]],Fabrication_costs[Fabrication type],Fabrication_costs[unit pricing],"no result",0)</f>
        <v>30</v>
      </c>
      <c r="V139" s="5">
        <f>SUM(T139:U139)/(1-HFrame_List[[#This Row],[Margin]])</f>
        <v>586.2150476190476</v>
      </c>
      <c r="W139" s="36">
        <f t="shared" si="53"/>
        <v>0.65</v>
      </c>
      <c r="X139" t="s">
        <v>193</v>
      </c>
      <c r="Y139">
        <f>_xlfn.XLOOKUP("A12",Strut_costs[size],Strut_costs[Strut cost])/12*HFrame_List[[#This Row],[Strut height (in)]]*(2+HFrame_List[[#This Row],[Extra supports]])</f>
        <v>49.14</v>
      </c>
      <c r="Z139">
        <f>(_xlfn.XLOOKUP("PHB",CADDY_costs[Component],CADDY_costs[Current cost])*HFrame_List[[#This Row],[Number of feet]])+(_xlfn.XLOOKUP("HFRMHDW",CADDY_costs[Component],CADDY_costs[Current cost])*(HFrame_List[[#This Row],[number of L-brackets]]/2))</f>
        <v>46.819999999999993</v>
      </c>
      <c r="AA139">
        <v>3672</v>
      </c>
      <c r="AB139" t="str">
        <f>VLOOKUP(HFrame_List[[#This Row],[lookup]],'Pallet and shipping info'!$A$5:$H$33,6,FALSE)</f>
        <v>x</v>
      </c>
      <c r="AC139">
        <f>VLOOKUP(HFrame_List[[#This Row],[lookup]],'Pallet and shipping info'!$A$5:$H$33,8,FALSE)</f>
        <v>7</v>
      </c>
      <c r="AD139"/>
      <c r="AE139"/>
      <c r="AF139"/>
    </row>
    <row r="140" spans="1:32" x14ac:dyDescent="0.25">
      <c r="A140" s="1" t="s">
        <v>460</v>
      </c>
      <c r="B140" t="s">
        <v>461</v>
      </c>
      <c r="C140">
        <f t="shared" si="47"/>
        <v>49.674999999999997</v>
      </c>
      <c r="D140">
        <f t="shared" si="48"/>
        <v>86.051000000000002</v>
      </c>
      <c r="E140">
        <v>48</v>
      </c>
      <c r="F140">
        <v>72</v>
      </c>
      <c r="G140">
        <f t="shared" si="42"/>
        <v>68.239999999999995</v>
      </c>
      <c r="H140">
        <v>1</v>
      </c>
      <c r="I140" t="s">
        <v>181</v>
      </c>
      <c r="J140">
        <v>1</v>
      </c>
      <c r="K140" s="6">
        <f t="shared" si="49"/>
        <v>35.1875</v>
      </c>
      <c r="L140">
        <f t="shared" si="50"/>
        <v>3</v>
      </c>
      <c r="M140">
        <f t="shared" si="43"/>
        <v>12</v>
      </c>
      <c r="N140">
        <f t="shared" si="44"/>
        <v>4</v>
      </c>
      <c r="O140" s="7">
        <f t="shared" si="39"/>
        <v>22</v>
      </c>
      <c r="P140">
        <f t="shared" si="51"/>
        <v>3</v>
      </c>
      <c r="Q140">
        <f t="shared" si="52"/>
        <v>8</v>
      </c>
      <c r="R140">
        <f>_xlfn.XLOOKUP(HFrame_List[[#This Row],[Cross piece style]],$AH$2:$AH$4,$AI$2:$AI$4,0,0)*(HFrame_List[[#This Row],[Width between brackets]]/12)</f>
        <v>79.215266666666665</v>
      </c>
      <c r="S140">
        <f>5.46*(HFrame_List[[#This Row],[cross piece quantity]]-1)*(HFrame_List[[#This Row],[Width between brackets]]/12)</f>
        <v>0</v>
      </c>
      <c r="T140" s="5">
        <f>HFrame_List[[#This Row],[Bottom cross piece cost]]+HFrame_List[[#This Row],[Top cross piece cost]]+HFrame_List[[#This Row],[Component costs]]+HFrame_List[[#This Row],[Vertical strut cost]]</f>
        <v>191.55526666666665</v>
      </c>
      <c r="U140" s="7">
        <f>_xlfn.XLOOKUP(HFrame_List[[#This Row],[Fabrication type]],Fabrication_costs[Fabrication type],Fabrication_costs[unit pricing],"no result",0)</f>
        <v>30</v>
      </c>
      <c r="V140" s="5">
        <f>SUM(T140:U140)/(1-HFrame_List[[#This Row],[Margin]])</f>
        <v>633.01504761904766</v>
      </c>
      <c r="W140" s="36">
        <f t="shared" si="53"/>
        <v>0.65</v>
      </c>
      <c r="X140" t="s">
        <v>193</v>
      </c>
      <c r="Y140">
        <f>_xlfn.XLOOKUP("A12",Strut_costs[size],Strut_costs[Strut cost])/12*HFrame_List[[#This Row],[Strut height (in)]]*(2+HFrame_List[[#This Row],[Extra supports]])</f>
        <v>65.52</v>
      </c>
      <c r="Z140">
        <f>(_xlfn.XLOOKUP("PHB",CADDY_costs[Component],CADDY_costs[Current cost])*HFrame_List[[#This Row],[Number of feet]])+(_xlfn.XLOOKUP("HFRMHDW",CADDY_costs[Component],CADDY_costs[Current cost])*(HFrame_List[[#This Row],[number of L-brackets]]/2))</f>
        <v>46.819999999999993</v>
      </c>
      <c r="AA140">
        <v>4872</v>
      </c>
      <c r="AB140" t="str">
        <f>VLOOKUP(HFrame_List[[#This Row],[lookup]],'Pallet and shipping info'!$A$5:$H$33,6,FALSE)</f>
        <v>x</v>
      </c>
      <c r="AC140">
        <f>VLOOKUP(HFrame_List[[#This Row],[lookup]],'Pallet and shipping info'!$A$5:$H$33,8,FALSE)</f>
        <v>7</v>
      </c>
      <c r="AD140"/>
      <c r="AE140"/>
      <c r="AF140"/>
    </row>
    <row r="141" spans="1:32" x14ac:dyDescent="0.25">
      <c r="A141" s="1" t="s">
        <v>462</v>
      </c>
      <c r="B141" t="s">
        <v>463</v>
      </c>
      <c r="C141">
        <f t="shared" si="47"/>
        <v>73.674999999999997</v>
      </c>
      <c r="D141">
        <f t="shared" si="48"/>
        <v>86.051000000000002</v>
      </c>
      <c r="E141">
        <v>72</v>
      </c>
      <c r="F141">
        <v>72</v>
      </c>
      <c r="G141">
        <f t="shared" si="42"/>
        <v>68.239999999999995</v>
      </c>
      <c r="H141">
        <v>1</v>
      </c>
      <c r="I141" t="s">
        <v>181</v>
      </c>
      <c r="J141">
        <v>1</v>
      </c>
      <c r="K141" s="6">
        <f t="shared" si="49"/>
        <v>35.1875</v>
      </c>
      <c r="L141">
        <f t="shared" si="50"/>
        <v>3</v>
      </c>
      <c r="M141">
        <f t="shared" si="43"/>
        <v>12</v>
      </c>
      <c r="N141">
        <f t="shared" si="44"/>
        <v>4</v>
      </c>
      <c r="O141" s="7">
        <f t="shared" si="39"/>
        <v>30</v>
      </c>
      <c r="P141">
        <f t="shared" si="51"/>
        <v>3</v>
      </c>
      <c r="Q141">
        <f t="shared" si="52"/>
        <v>8</v>
      </c>
      <c r="R141">
        <f>_xlfn.XLOOKUP(HFrame_List[[#This Row],[Cross piece style]],$AH$2:$AH$4,$AI$2:$AI$4,0,0)*(HFrame_List[[#This Row],[Width between brackets]]/12)</f>
        <v>79.215266666666665</v>
      </c>
      <c r="S141">
        <f>5.46*(HFrame_List[[#This Row],[cross piece quantity]]-1)*(HFrame_List[[#This Row],[Width between brackets]]/12)</f>
        <v>0</v>
      </c>
      <c r="T141" s="5">
        <f>HFrame_List[[#This Row],[Bottom cross piece cost]]+HFrame_List[[#This Row],[Top cross piece cost]]+HFrame_List[[#This Row],[Component costs]]+HFrame_List[[#This Row],[Vertical strut cost]]</f>
        <v>224.31526666666667</v>
      </c>
      <c r="U141" s="7">
        <f>_xlfn.XLOOKUP(HFrame_List[[#This Row],[Fabrication type]],Fabrication_costs[Fabrication type],Fabrication_costs[unit pricing],"no result",0)</f>
        <v>30</v>
      </c>
      <c r="V141" s="5">
        <f>SUM(T141:U141)/(1-HFrame_List[[#This Row],[Margin]])</f>
        <v>726.61504761904769</v>
      </c>
      <c r="W141" s="36">
        <f t="shared" si="53"/>
        <v>0.65</v>
      </c>
      <c r="X141" t="s">
        <v>193</v>
      </c>
      <c r="Y141">
        <f>_xlfn.XLOOKUP("A12",Strut_costs[size],Strut_costs[Strut cost])/12*HFrame_List[[#This Row],[Strut height (in)]]*(2+HFrame_List[[#This Row],[Extra supports]])</f>
        <v>98.28</v>
      </c>
      <c r="Z141">
        <f>(_xlfn.XLOOKUP("PHB",CADDY_costs[Component],CADDY_costs[Current cost])*HFrame_List[[#This Row],[Number of feet]])+(_xlfn.XLOOKUP("HFRMHDW",CADDY_costs[Component],CADDY_costs[Current cost])*(HFrame_List[[#This Row],[number of L-brackets]]/2))</f>
        <v>46.819999999999993</v>
      </c>
      <c r="AA141">
        <v>7272</v>
      </c>
      <c r="AB141" t="str">
        <f>VLOOKUP(HFrame_List[[#This Row],[lookup]],'Pallet and shipping info'!$A$5:$H$33,6,FALSE)</f>
        <v>x</v>
      </c>
      <c r="AC141">
        <f>VLOOKUP(HFrame_List[[#This Row],[lookup]],'Pallet and shipping info'!$A$5:$H$33,8,FALSE)</f>
        <v>7</v>
      </c>
      <c r="AD141"/>
      <c r="AE141"/>
      <c r="AF141"/>
    </row>
    <row r="142" spans="1:32" x14ac:dyDescent="0.25">
      <c r="A142" s="1" t="s">
        <v>464</v>
      </c>
      <c r="B142" t="s">
        <v>465</v>
      </c>
      <c r="C142">
        <f t="shared" si="47"/>
        <v>25.675000000000001</v>
      </c>
      <c r="D142">
        <f t="shared" si="48"/>
        <v>98.051000000000002</v>
      </c>
      <c r="E142">
        <v>24</v>
      </c>
      <c r="F142">
        <v>84</v>
      </c>
      <c r="G142">
        <f t="shared" si="42"/>
        <v>80.239999999999995</v>
      </c>
      <c r="H142">
        <v>1</v>
      </c>
      <c r="I142" t="s">
        <v>181</v>
      </c>
      <c r="J142">
        <v>1</v>
      </c>
      <c r="K142" s="6">
        <f t="shared" si="49"/>
        <v>41.1875</v>
      </c>
      <c r="L142">
        <f t="shared" si="50"/>
        <v>3</v>
      </c>
      <c r="M142">
        <f t="shared" si="43"/>
        <v>12</v>
      </c>
      <c r="N142">
        <f t="shared" si="44"/>
        <v>4</v>
      </c>
      <c r="O142" s="7">
        <f t="shared" si="39"/>
        <v>15</v>
      </c>
      <c r="P142">
        <f t="shared" si="51"/>
        <v>2</v>
      </c>
      <c r="Q142">
        <f t="shared" si="52"/>
        <v>8</v>
      </c>
      <c r="R142">
        <f>_xlfn.XLOOKUP(HFrame_List[[#This Row],[Cross piece style]],$AH$2:$AH$4,$AI$2:$AI$4,0,0)*(HFrame_List[[#This Row],[Width between brackets]]/12)</f>
        <v>93.145266666666657</v>
      </c>
      <c r="S142">
        <f>5.46*(HFrame_List[[#This Row],[cross piece quantity]]-1)*(HFrame_List[[#This Row],[Width between brackets]]/12)</f>
        <v>0</v>
      </c>
      <c r="T142" s="5">
        <f>HFrame_List[[#This Row],[Bottom cross piece cost]]+HFrame_List[[#This Row],[Top cross piece cost]]+HFrame_List[[#This Row],[Component costs]]+HFrame_List[[#This Row],[Vertical strut cost]]</f>
        <v>172.72526666666664</v>
      </c>
      <c r="U142" s="7">
        <f>_xlfn.XLOOKUP(HFrame_List[[#This Row],[Fabrication type]],Fabrication_costs[Fabrication type],Fabrication_costs[unit pricing],"no result",0)</f>
        <v>30</v>
      </c>
      <c r="V142" s="5">
        <f>SUM(T142:U142)/(1-HFrame_List[[#This Row],[Margin]])</f>
        <v>579.2150476190476</v>
      </c>
      <c r="W142" s="36">
        <f t="shared" si="53"/>
        <v>0.65</v>
      </c>
      <c r="X142" t="s">
        <v>193</v>
      </c>
      <c r="Y142">
        <f>_xlfn.XLOOKUP("A12",Strut_costs[size],Strut_costs[Strut cost])/12*HFrame_List[[#This Row],[Strut height (in)]]*(2+HFrame_List[[#This Row],[Extra supports]])</f>
        <v>32.76</v>
      </c>
      <c r="Z142">
        <f>(_xlfn.XLOOKUP("PHB",CADDY_costs[Component],CADDY_costs[Current cost])*HFrame_List[[#This Row],[Number of feet]])+(_xlfn.XLOOKUP("HFRMHDW",CADDY_costs[Component],CADDY_costs[Current cost])*(HFrame_List[[#This Row],[number of L-brackets]]/2))</f>
        <v>46.819999999999993</v>
      </c>
      <c r="AA142">
        <v>2484</v>
      </c>
      <c r="AB142" t="str">
        <f>VLOOKUP(HFrame_List[[#This Row],[lookup]],'Pallet and shipping info'!$A$5:$H$33,6,FALSE)</f>
        <v>x</v>
      </c>
      <c r="AC142">
        <f>VLOOKUP(HFrame_List[[#This Row],[lookup]],'Pallet and shipping info'!$A$5:$H$33,8,FALSE)</f>
        <v>7</v>
      </c>
      <c r="AD142"/>
      <c r="AE142"/>
      <c r="AF142"/>
    </row>
    <row r="143" spans="1:32" x14ac:dyDescent="0.25">
      <c r="A143" s="1" t="s">
        <v>466</v>
      </c>
      <c r="B143" t="s">
        <v>467</v>
      </c>
      <c r="C143">
        <f t="shared" si="47"/>
        <v>37.674999999999997</v>
      </c>
      <c r="D143">
        <f t="shared" si="48"/>
        <v>98.051000000000002</v>
      </c>
      <c r="E143">
        <v>36</v>
      </c>
      <c r="F143">
        <v>84</v>
      </c>
      <c r="G143">
        <f t="shared" si="42"/>
        <v>80.239999999999995</v>
      </c>
      <c r="H143">
        <v>1</v>
      </c>
      <c r="I143" t="s">
        <v>181</v>
      </c>
      <c r="J143">
        <v>1</v>
      </c>
      <c r="K143" s="6">
        <f t="shared" si="49"/>
        <v>41.1875</v>
      </c>
      <c r="L143">
        <f t="shared" si="50"/>
        <v>3</v>
      </c>
      <c r="M143">
        <f t="shared" si="43"/>
        <v>12</v>
      </c>
      <c r="N143">
        <f t="shared" si="44"/>
        <v>4</v>
      </c>
      <c r="O143" s="7">
        <f t="shared" si="39"/>
        <v>19</v>
      </c>
      <c r="P143">
        <f t="shared" si="51"/>
        <v>2</v>
      </c>
      <c r="Q143">
        <f t="shared" si="52"/>
        <v>8</v>
      </c>
      <c r="R143">
        <f>_xlfn.XLOOKUP(HFrame_List[[#This Row],[Cross piece style]],$AH$2:$AH$4,$AI$2:$AI$4,0,0)*(HFrame_List[[#This Row],[Width between brackets]]/12)</f>
        <v>93.145266666666657</v>
      </c>
      <c r="S143">
        <f>5.46*(HFrame_List[[#This Row],[cross piece quantity]]-1)*(HFrame_List[[#This Row],[Width between brackets]]/12)</f>
        <v>0</v>
      </c>
      <c r="T143" s="5">
        <f>HFrame_List[[#This Row],[Bottom cross piece cost]]+HFrame_List[[#This Row],[Top cross piece cost]]+HFrame_List[[#This Row],[Component costs]]+HFrame_List[[#This Row],[Vertical strut cost]]</f>
        <v>189.10526666666664</v>
      </c>
      <c r="U143" s="7">
        <f>_xlfn.XLOOKUP(HFrame_List[[#This Row],[Fabrication type]],Fabrication_costs[Fabrication type],Fabrication_costs[unit pricing],"no result",0)</f>
        <v>30</v>
      </c>
      <c r="V143" s="5">
        <f>SUM(T143:U143)/(1-HFrame_List[[#This Row],[Margin]])</f>
        <v>626.01504761904755</v>
      </c>
      <c r="W143" s="36">
        <f t="shared" si="53"/>
        <v>0.65</v>
      </c>
      <c r="X143" t="s">
        <v>193</v>
      </c>
      <c r="Y143">
        <f>_xlfn.XLOOKUP("A12",Strut_costs[size],Strut_costs[Strut cost])/12*HFrame_List[[#This Row],[Strut height (in)]]*(2+HFrame_List[[#This Row],[Extra supports]])</f>
        <v>49.14</v>
      </c>
      <c r="Z143">
        <f>(_xlfn.XLOOKUP("PHB",CADDY_costs[Component],CADDY_costs[Current cost])*HFrame_List[[#This Row],[Number of feet]])+(_xlfn.XLOOKUP("HFRMHDW",CADDY_costs[Component],CADDY_costs[Current cost])*(HFrame_List[[#This Row],[number of L-brackets]]/2))</f>
        <v>46.819999999999993</v>
      </c>
      <c r="AA143">
        <v>3684</v>
      </c>
      <c r="AB143" t="str">
        <f>VLOOKUP(HFrame_List[[#This Row],[lookup]],'Pallet and shipping info'!$A$5:$H$33,6,FALSE)</f>
        <v>x</v>
      </c>
      <c r="AC143">
        <f>VLOOKUP(HFrame_List[[#This Row],[lookup]],'Pallet and shipping info'!$A$5:$H$33,8,FALSE)</f>
        <v>7</v>
      </c>
      <c r="AD143"/>
      <c r="AE143"/>
      <c r="AF143"/>
    </row>
    <row r="144" spans="1:32" x14ac:dyDescent="0.25">
      <c r="A144" s="1" t="s">
        <v>468</v>
      </c>
      <c r="B144" t="s">
        <v>469</v>
      </c>
      <c r="C144">
        <f t="shared" si="47"/>
        <v>49.674999999999997</v>
      </c>
      <c r="D144">
        <f t="shared" si="48"/>
        <v>98.051000000000002</v>
      </c>
      <c r="E144">
        <v>48</v>
      </c>
      <c r="F144">
        <v>84</v>
      </c>
      <c r="G144">
        <f t="shared" si="42"/>
        <v>80.239999999999995</v>
      </c>
      <c r="H144">
        <v>1</v>
      </c>
      <c r="I144" t="s">
        <v>181</v>
      </c>
      <c r="J144">
        <v>1</v>
      </c>
      <c r="K144" s="6">
        <f t="shared" si="49"/>
        <v>41.1875</v>
      </c>
      <c r="L144">
        <f t="shared" si="50"/>
        <v>3</v>
      </c>
      <c r="M144">
        <f t="shared" si="43"/>
        <v>12</v>
      </c>
      <c r="N144">
        <f t="shared" si="44"/>
        <v>4</v>
      </c>
      <c r="O144" s="7">
        <f t="shared" si="39"/>
        <v>23</v>
      </c>
      <c r="P144">
        <f t="shared" si="51"/>
        <v>3</v>
      </c>
      <c r="Q144">
        <f t="shared" si="52"/>
        <v>8</v>
      </c>
      <c r="R144">
        <f>_xlfn.XLOOKUP(HFrame_List[[#This Row],[Cross piece style]],$AH$2:$AH$4,$AI$2:$AI$4,0,0)*(HFrame_List[[#This Row],[Width between brackets]]/12)</f>
        <v>93.145266666666657</v>
      </c>
      <c r="S144">
        <f>5.46*(HFrame_List[[#This Row],[cross piece quantity]]-1)*(HFrame_List[[#This Row],[Width between brackets]]/12)</f>
        <v>0</v>
      </c>
      <c r="T144" s="5">
        <f>HFrame_List[[#This Row],[Bottom cross piece cost]]+HFrame_List[[#This Row],[Top cross piece cost]]+HFrame_List[[#This Row],[Component costs]]+HFrame_List[[#This Row],[Vertical strut cost]]</f>
        <v>205.48526666666663</v>
      </c>
      <c r="U144" s="7">
        <f>_xlfn.XLOOKUP(HFrame_List[[#This Row],[Fabrication type]],Fabrication_costs[Fabrication type],Fabrication_costs[unit pricing],"no result",0)</f>
        <v>30</v>
      </c>
      <c r="V144" s="5">
        <f>SUM(T144:U144)/(1-HFrame_List[[#This Row],[Margin]])</f>
        <v>672.81504761904762</v>
      </c>
      <c r="W144" s="36">
        <f t="shared" si="53"/>
        <v>0.65</v>
      </c>
      <c r="X144" t="s">
        <v>193</v>
      </c>
      <c r="Y144">
        <f>_xlfn.XLOOKUP("A12",Strut_costs[size],Strut_costs[Strut cost])/12*HFrame_List[[#This Row],[Strut height (in)]]*(2+HFrame_List[[#This Row],[Extra supports]])</f>
        <v>65.52</v>
      </c>
      <c r="Z144">
        <f>(_xlfn.XLOOKUP("PHB",CADDY_costs[Component],CADDY_costs[Current cost])*HFrame_List[[#This Row],[Number of feet]])+(_xlfn.XLOOKUP("HFRMHDW",CADDY_costs[Component],CADDY_costs[Current cost])*(HFrame_List[[#This Row],[number of L-brackets]]/2))</f>
        <v>46.819999999999993</v>
      </c>
      <c r="AA144">
        <v>4884</v>
      </c>
      <c r="AB144" t="str">
        <f>VLOOKUP(HFrame_List[[#This Row],[lookup]],'Pallet and shipping info'!$A$5:$H$33,6,FALSE)</f>
        <v>x</v>
      </c>
      <c r="AC144">
        <f>VLOOKUP(HFrame_List[[#This Row],[lookup]],'Pallet and shipping info'!$A$5:$H$33,8,FALSE)</f>
        <v>7</v>
      </c>
      <c r="AD144"/>
      <c r="AE144"/>
      <c r="AF144"/>
    </row>
    <row r="145" spans="1:32" x14ac:dyDescent="0.25">
      <c r="A145" s="1" t="s">
        <v>470</v>
      </c>
      <c r="B145" t="s">
        <v>471</v>
      </c>
      <c r="C145">
        <f t="shared" si="47"/>
        <v>73.674999999999997</v>
      </c>
      <c r="D145">
        <f t="shared" si="48"/>
        <v>98.051000000000002</v>
      </c>
      <c r="E145">
        <v>72</v>
      </c>
      <c r="F145">
        <v>84</v>
      </c>
      <c r="G145">
        <f t="shared" si="42"/>
        <v>80.239999999999995</v>
      </c>
      <c r="H145">
        <v>1</v>
      </c>
      <c r="I145" t="s">
        <v>181</v>
      </c>
      <c r="J145">
        <v>1</v>
      </c>
      <c r="K145" s="6">
        <f t="shared" si="49"/>
        <v>41.1875</v>
      </c>
      <c r="L145">
        <f t="shared" si="50"/>
        <v>3</v>
      </c>
      <c r="M145">
        <f t="shared" si="43"/>
        <v>12</v>
      </c>
      <c r="N145">
        <f t="shared" si="44"/>
        <v>4</v>
      </c>
      <c r="O145" s="7">
        <f t="shared" si="39"/>
        <v>31</v>
      </c>
      <c r="P145">
        <f t="shared" si="51"/>
        <v>4</v>
      </c>
      <c r="Q145">
        <f t="shared" si="52"/>
        <v>8</v>
      </c>
      <c r="R145">
        <f>_xlfn.XLOOKUP(HFrame_List[[#This Row],[Cross piece style]],$AH$2:$AH$4,$AI$2:$AI$4,0,0)*(HFrame_List[[#This Row],[Width between brackets]]/12)</f>
        <v>93.145266666666657</v>
      </c>
      <c r="S145">
        <f>5.46*(HFrame_List[[#This Row],[cross piece quantity]]-1)*(HFrame_List[[#This Row],[Width between brackets]]/12)</f>
        <v>0</v>
      </c>
      <c r="T145" s="5">
        <f>HFrame_List[[#This Row],[Bottom cross piece cost]]+HFrame_List[[#This Row],[Top cross piece cost]]+HFrame_List[[#This Row],[Component costs]]+HFrame_List[[#This Row],[Vertical strut cost]]</f>
        <v>238.24526666666665</v>
      </c>
      <c r="U145" s="7">
        <f>_xlfn.XLOOKUP(HFrame_List[[#This Row],[Fabrication type]],Fabrication_costs[Fabrication type],Fabrication_costs[unit pricing],"no result",0)</f>
        <v>30</v>
      </c>
      <c r="V145" s="5">
        <f>SUM(T145:U145)/(1-HFrame_List[[#This Row],[Margin]])</f>
        <v>766.41504761904775</v>
      </c>
      <c r="W145" s="36">
        <f t="shared" si="53"/>
        <v>0.65</v>
      </c>
      <c r="X145" t="s">
        <v>193</v>
      </c>
      <c r="Y145">
        <f>_xlfn.XLOOKUP("A12",Strut_costs[size],Strut_costs[Strut cost])/12*HFrame_List[[#This Row],[Strut height (in)]]*(2+HFrame_List[[#This Row],[Extra supports]])</f>
        <v>98.28</v>
      </c>
      <c r="Z145">
        <f>(_xlfn.XLOOKUP("PHB",CADDY_costs[Component],CADDY_costs[Current cost])*HFrame_List[[#This Row],[Number of feet]])+(_xlfn.XLOOKUP("HFRMHDW",CADDY_costs[Component],CADDY_costs[Current cost])*(HFrame_List[[#This Row],[number of L-brackets]]/2))</f>
        <v>46.819999999999993</v>
      </c>
      <c r="AA145">
        <v>7284</v>
      </c>
      <c r="AB145" t="str">
        <f>VLOOKUP(HFrame_List[[#This Row],[lookup]],'Pallet and shipping info'!$A$5:$H$33,6,FALSE)</f>
        <v>x</v>
      </c>
      <c r="AC145">
        <f>VLOOKUP(HFrame_List[[#This Row],[lookup]],'Pallet and shipping info'!$A$5:$H$33,8,FALSE)</f>
        <v>7</v>
      </c>
      <c r="AD145"/>
      <c r="AE145"/>
      <c r="AF145"/>
    </row>
    <row r="146" spans="1:32" x14ac:dyDescent="0.25">
      <c r="A146" s="1" t="s">
        <v>472</v>
      </c>
      <c r="B146" t="s">
        <v>473</v>
      </c>
      <c r="C146">
        <f t="shared" si="47"/>
        <v>25.675000000000001</v>
      </c>
      <c r="D146">
        <f t="shared" si="48"/>
        <v>34.051000000000002</v>
      </c>
      <c r="E146">
        <v>24</v>
      </c>
      <c r="F146">
        <v>20</v>
      </c>
      <c r="G146">
        <f>F146-(1.88*2)</f>
        <v>16.240000000000002</v>
      </c>
      <c r="H146">
        <v>2</v>
      </c>
      <c r="I146" t="s">
        <v>181</v>
      </c>
      <c r="J146">
        <v>1</v>
      </c>
      <c r="K146" s="6">
        <f t="shared" si="49"/>
        <v>5.041666666666667</v>
      </c>
      <c r="L146">
        <f t="shared" si="50"/>
        <v>4</v>
      </c>
      <c r="M146">
        <f>3*N146</f>
        <v>18</v>
      </c>
      <c r="N146">
        <f>(2+(2*H146))*J146</f>
        <v>6</v>
      </c>
      <c r="O146" s="7">
        <f t="shared" si="39"/>
        <v>13.666666666666666</v>
      </c>
      <c r="P146">
        <f t="shared" si="51"/>
        <v>2</v>
      </c>
      <c r="Q146">
        <f t="shared" si="52"/>
        <v>10</v>
      </c>
      <c r="R146">
        <f>_xlfn.XLOOKUP(HFrame_List[[#This Row],[Cross piece style]],$AH$2:$AH$4,$AI$2:$AI$4,0,0)*(HFrame_List[[#This Row],[Width between brackets]]/12)</f>
        <v>18.851933333333335</v>
      </c>
      <c r="S146">
        <f>5.46*(HFrame_List[[#This Row],[cross piece quantity]]-1)*(HFrame_List[[#This Row],[Width between brackets]]/12)</f>
        <v>0</v>
      </c>
      <c r="T146" s="5">
        <f>HFrame_List[[#This Row],[Bottom cross piece cost]]+HFrame_List[[#This Row],[Top cross piece cost]]+HFrame_List[[#This Row],[Component costs]]+HFrame_List[[#This Row],[Vertical strut cost]]</f>
        <v>128.11393333333334</v>
      </c>
      <c r="U146" s="7">
        <f>_xlfn.XLOOKUP(HFrame_List[[#This Row],[Fabrication type]],Fabrication_costs[Fabrication type],Fabrication_costs[unit pricing],"no result",0)</f>
        <v>40.200000000000003</v>
      </c>
      <c r="V146" s="5">
        <f>SUM(T146:U146)/(1-HFrame_List[[#This Row],[Margin]])</f>
        <v>480.89695238095248</v>
      </c>
      <c r="W146" s="36">
        <f t="shared" si="53"/>
        <v>0.65</v>
      </c>
      <c r="X146" t="s">
        <v>196</v>
      </c>
      <c r="Y146">
        <f>_xlfn.XLOOKUP("A12",Strut_costs[size],Strut_costs[Strut cost])/12*HFrame_List[[#This Row],[Strut height (in)]]*(2+HFrame_List[[#This Row],[Extra supports]])</f>
        <v>43.68</v>
      </c>
      <c r="Z146">
        <f>(_xlfn.XLOOKUP("PHB",CADDY_costs[Component],CADDY_costs[Current cost])*HFrame_List[[#This Row],[Number of feet]])+(_xlfn.XLOOKUP("HFRMHDW",CADDY_costs[Component],CADDY_costs[Current cost])*(HFrame_List[[#This Row],[number of L-brackets]]/2))</f>
        <v>65.581999999999994</v>
      </c>
      <c r="AA146">
        <v>2420</v>
      </c>
      <c r="AB146">
        <f>VLOOKUP(HFrame_List[[#This Row],[lookup]],'Pallet and shipping info'!$A$5:$H$33,6,FALSE)</f>
        <v>11</v>
      </c>
      <c r="AC146">
        <f>VLOOKUP(HFrame_List[[#This Row],[lookup]],'Pallet and shipping info'!$A$5:$H$33,8,FALSE)</f>
        <v>15</v>
      </c>
      <c r="AD146"/>
      <c r="AE146"/>
      <c r="AF146"/>
    </row>
    <row r="147" spans="1:32" x14ac:dyDescent="0.25">
      <c r="A147" s="1" t="s">
        <v>474</v>
      </c>
      <c r="B147" t="s">
        <v>475</v>
      </c>
      <c r="C147">
        <f t="shared" si="47"/>
        <v>37.674999999999997</v>
      </c>
      <c r="D147">
        <f t="shared" si="48"/>
        <v>34.051000000000002</v>
      </c>
      <c r="E147">
        <v>36</v>
      </c>
      <c r="F147">
        <f>F146</f>
        <v>20</v>
      </c>
      <c r="G147">
        <f t="shared" ref="G147:G169" si="54">F147-(1.88*2)</f>
        <v>16.240000000000002</v>
      </c>
      <c r="H147">
        <v>2</v>
      </c>
      <c r="I147" t="s">
        <v>181</v>
      </c>
      <c r="J147">
        <v>1</v>
      </c>
      <c r="K147" s="6">
        <f t="shared" si="49"/>
        <v>5.041666666666667</v>
      </c>
      <c r="L147">
        <f t="shared" si="50"/>
        <v>4</v>
      </c>
      <c r="M147">
        <f t="shared" ref="M147:M169" si="55">3*N147</f>
        <v>18</v>
      </c>
      <c r="N147">
        <f t="shared" ref="N147:N169" si="56">(2+(2*H147))*J147</f>
        <v>6</v>
      </c>
      <c r="O147" s="7">
        <f t="shared" si="39"/>
        <v>19.666666666666668</v>
      </c>
      <c r="P147">
        <f t="shared" si="51"/>
        <v>2</v>
      </c>
      <c r="Q147">
        <f t="shared" si="52"/>
        <v>10</v>
      </c>
      <c r="R147">
        <f>_xlfn.XLOOKUP(HFrame_List[[#This Row],[Cross piece style]],$AH$2:$AH$4,$AI$2:$AI$4,0,0)*(HFrame_List[[#This Row],[Width between brackets]]/12)</f>
        <v>18.851933333333335</v>
      </c>
      <c r="S147">
        <f>5.46*(HFrame_List[[#This Row],[cross piece quantity]]-1)*(HFrame_List[[#This Row],[Width between brackets]]/12)</f>
        <v>0</v>
      </c>
      <c r="T147" s="5">
        <f>HFrame_List[[#This Row],[Bottom cross piece cost]]+HFrame_List[[#This Row],[Top cross piece cost]]+HFrame_List[[#This Row],[Component costs]]+HFrame_List[[#This Row],[Vertical strut cost]]</f>
        <v>149.95393333333334</v>
      </c>
      <c r="U147" s="7">
        <f>_xlfn.XLOOKUP(HFrame_List[[#This Row],[Fabrication type]],Fabrication_costs[Fabrication type],Fabrication_costs[unit pricing],"no result",0)</f>
        <v>40.200000000000003</v>
      </c>
      <c r="V147" s="5">
        <f>SUM(T147:U147)/(1-HFrame_List[[#This Row],[Margin]])</f>
        <v>543.29695238095235</v>
      </c>
      <c r="W147" s="36">
        <f t="shared" si="53"/>
        <v>0.65</v>
      </c>
      <c r="X147" t="s">
        <v>196</v>
      </c>
      <c r="Y147">
        <f>_xlfn.XLOOKUP("A12",Strut_costs[size],Strut_costs[Strut cost])/12*HFrame_List[[#This Row],[Strut height (in)]]*(2+HFrame_List[[#This Row],[Extra supports]])</f>
        <v>65.52</v>
      </c>
      <c r="Z147">
        <f>(_xlfn.XLOOKUP("PHB",CADDY_costs[Component],CADDY_costs[Current cost])*HFrame_List[[#This Row],[Number of feet]])+(_xlfn.XLOOKUP("HFRMHDW",CADDY_costs[Component],CADDY_costs[Current cost])*(HFrame_List[[#This Row],[number of L-brackets]]/2))</f>
        <v>65.581999999999994</v>
      </c>
      <c r="AA147">
        <v>3620</v>
      </c>
      <c r="AB147">
        <f>VLOOKUP(HFrame_List[[#This Row],[lookup]],'Pallet and shipping info'!$A$5:$H$33,6,FALSE)</f>
        <v>11</v>
      </c>
      <c r="AC147">
        <f>VLOOKUP(HFrame_List[[#This Row],[lookup]],'Pallet and shipping info'!$A$5:$H$33,8,FALSE)</f>
        <v>15</v>
      </c>
      <c r="AD147"/>
      <c r="AE147"/>
      <c r="AF147"/>
    </row>
    <row r="148" spans="1:32" x14ac:dyDescent="0.25">
      <c r="A148" s="1" t="s">
        <v>476</v>
      </c>
      <c r="B148" t="s">
        <v>477</v>
      </c>
      <c r="C148">
        <f t="shared" si="47"/>
        <v>49.674999999999997</v>
      </c>
      <c r="D148">
        <f t="shared" si="48"/>
        <v>34.051000000000002</v>
      </c>
      <c r="E148">
        <v>48</v>
      </c>
      <c r="F148">
        <f t="shared" ref="F148:F149" si="57">F147</f>
        <v>20</v>
      </c>
      <c r="G148">
        <f t="shared" si="54"/>
        <v>16.240000000000002</v>
      </c>
      <c r="H148">
        <v>2</v>
      </c>
      <c r="I148" t="s">
        <v>181</v>
      </c>
      <c r="J148">
        <v>1</v>
      </c>
      <c r="K148" s="6">
        <f t="shared" si="49"/>
        <v>5.041666666666667</v>
      </c>
      <c r="L148">
        <f t="shared" si="50"/>
        <v>4</v>
      </c>
      <c r="M148">
        <f t="shared" si="55"/>
        <v>18</v>
      </c>
      <c r="N148">
        <f t="shared" si="56"/>
        <v>6</v>
      </c>
      <c r="O148" s="7">
        <f t="shared" si="39"/>
        <v>25.666666666666668</v>
      </c>
      <c r="P148">
        <f t="shared" si="51"/>
        <v>3</v>
      </c>
      <c r="Q148">
        <f t="shared" si="52"/>
        <v>10</v>
      </c>
      <c r="R148">
        <f>_xlfn.XLOOKUP(HFrame_List[[#This Row],[Cross piece style]],$AH$2:$AH$4,$AI$2:$AI$4,0,0)*(HFrame_List[[#This Row],[Width between brackets]]/12)</f>
        <v>18.851933333333335</v>
      </c>
      <c r="S148">
        <f>5.46*(HFrame_List[[#This Row],[cross piece quantity]]-1)*(HFrame_List[[#This Row],[Width between brackets]]/12)</f>
        <v>0</v>
      </c>
      <c r="T148" s="5">
        <f>HFrame_List[[#This Row],[Bottom cross piece cost]]+HFrame_List[[#This Row],[Top cross piece cost]]+HFrame_List[[#This Row],[Component costs]]+HFrame_List[[#This Row],[Vertical strut cost]]</f>
        <v>171.79393333333331</v>
      </c>
      <c r="U148" s="7">
        <f>_xlfn.XLOOKUP(HFrame_List[[#This Row],[Fabrication type]],Fabrication_costs[Fabrication type],Fabrication_costs[unit pricing],"no result",0)</f>
        <v>40.200000000000003</v>
      </c>
      <c r="V148" s="5">
        <f>SUM(T148:U148)/(1-HFrame_List[[#This Row],[Margin]])</f>
        <v>605.69695238095233</v>
      </c>
      <c r="W148" s="36">
        <f t="shared" si="53"/>
        <v>0.65</v>
      </c>
      <c r="X148" t="s">
        <v>196</v>
      </c>
      <c r="Y148">
        <f>_xlfn.XLOOKUP("A12",Strut_costs[size],Strut_costs[Strut cost])/12*HFrame_List[[#This Row],[Strut height (in)]]*(2+HFrame_List[[#This Row],[Extra supports]])</f>
        <v>87.36</v>
      </c>
      <c r="Z148">
        <f>(_xlfn.XLOOKUP("PHB",CADDY_costs[Component],CADDY_costs[Current cost])*HFrame_List[[#This Row],[Number of feet]])+(_xlfn.XLOOKUP("HFRMHDW",CADDY_costs[Component],CADDY_costs[Current cost])*(HFrame_List[[#This Row],[number of L-brackets]]/2))</f>
        <v>65.581999999999994</v>
      </c>
      <c r="AA148">
        <v>4820</v>
      </c>
      <c r="AB148">
        <f>VLOOKUP(HFrame_List[[#This Row],[lookup]],'Pallet and shipping info'!$A$5:$H$33,6,FALSE)</f>
        <v>11</v>
      </c>
      <c r="AC148">
        <f>VLOOKUP(HFrame_List[[#This Row],[lookup]],'Pallet and shipping info'!$A$5:$H$33,8,FALSE)</f>
        <v>15</v>
      </c>
      <c r="AD148"/>
      <c r="AE148"/>
      <c r="AF148"/>
    </row>
    <row r="149" spans="1:32" x14ac:dyDescent="0.25">
      <c r="A149" s="1" t="s">
        <v>478</v>
      </c>
      <c r="B149" t="s">
        <v>479</v>
      </c>
      <c r="C149">
        <f t="shared" si="47"/>
        <v>73.674999999999997</v>
      </c>
      <c r="D149">
        <f t="shared" si="48"/>
        <v>34.051000000000002</v>
      </c>
      <c r="E149">
        <v>72</v>
      </c>
      <c r="F149">
        <f t="shared" si="57"/>
        <v>20</v>
      </c>
      <c r="G149">
        <f t="shared" si="54"/>
        <v>16.240000000000002</v>
      </c>
      <c r="H149">
        <v>2</v>
      </c>
      <c r="I149" t="s">
        <v>181</v>
      </c>
      <c r="J149">
        <v>1</v>
      </c>
      <c r="K149" s="6">
        <f t="shared" si="49"/>
        <v>5.041666666666667</v>
      </c>
      <c r="L149">
        <f t="shared" si="50"/>
        <v>4</v>
      </c>
      <c r="M149">
        <f t="shared" si="55"/>
        <v>18</v>
      </c>
      <c r="N149">
        <f t="shared" si="56"/>
        <v>6</v>
      </c>
      <c r="O149" s="7">
        <f t="shared" si="39"/>
        <v>37.666666666666664</v>
      </c>
      <c r="P149">
        <f t="shared" si="51"/>
        <v>4</v>
      </c>
      <c r="Q149">
        <f t="shared" si="52"/>
        <v>10</v>
      </c>
      <c r="R149">
        <f>_xlfn.XLOOKUP(HFrame_List[[#This Row],[Cross piece style]],$AH$2:$AH$4,$AI$2:$AI$4,0,0)*(HFrame_List[[#This Row],[Width between brackets]]/12)</f>
        <v>18.851933333333335</v>
      </c>
      <c r="S149">
        <f>5.46*(HFrame_List[[#This Row],[cross piece quantity]]-1)*(HFrame_List[[#This Row],[Width between brackets]]/12)</f>
        <v>0</v>
      </c>
      <c r="T149" s="5">
        <f>HFrame_List[[#This Row],[Bottom cross piece cost]]+HFrame_List[[#This Row],[Top cross piece cost]]+HFrame_List[[#This Row],[Component costs]]+HFrame_List[[#This Row],[Vertical strut cost]]</f>
        <v>215.47393333333332</v>
      </c>
      <c r="U149" s="7">
        <f>_xlfn.XLOOKUP(HFrame_List[[#This Row],[Fabrication type]],Fabrication_costs[Fabrication type],Fabrication_costs[unit pricing],"no result",0)</f>
        <v>40.200000000000003</v>
      </c>
      <c r="V149" s="5">
        <f>SUM(T149:U149)/(1-HFrame_List[[#This Row],[Margin]])</f>
        <v>730.49695238095239</v>
      </c>
      <c r="W149" s="36">
        <f t="shared" si="53"/>
        <v>0.65</v>
      </c>
      <c r="X149" t="s">
        <v>196</v>
      </c>
      <c r="Y149">
        <f>_xlfn.XLOOKUP("A12",Strut_costs[size],Strut_costs[Strut cost])/12*HFrame_List[[#This Row],[Strut height (in)]]*(2+HFrame_List[[#This Row],[Extra supports]])</f>
        <v>131.04</v>
      </c>
      <c r="Z149">
        <f>(_xlfn.XLOOKUP("PHB",CADDY_costs[Component],CADDY_costs[Current cost])*HFrame_List[[#This Row],[Number of feet]])+(_xlfn.XLOOKUP("HFRMHDW",CADDY_costs[Component],CADDY_costs[Current cost])*(HFrame_List[[#This Row],[number of L-brackets]]/2))</f>
        <v>65.581999999999994</v>
      </c>
      <c r="AA149">
        <v>7220</v>
      </c>
      <c r="AB149">
        <f>VLOOKUP(HFrame_List[[#This Row],[lookup]],'Pallet and shipping info'!$A$5:$H$33,6,FALSE)</f>
        <v>11</v>
      </c>
      <c r="AC149">
        <f>VLOOKUP(HFrame_List[[#This Row],[lookup]],'Pallet and shipping info'!$A$5:$H$33,8,FALSE)</f>
        <v>15</v>
      </c>
      <c r="AD149"/>
      <c r="AE149"/>
      <c r="AF149"/>
    </row>
    <row r="150" spans="1:32" x14ac:dyDescent="0.25">
      <c r="A150" s="1" t="s">
        <v>480</v>
      </c>
      <c r="B150" t="s">
        <v>481</v>
      </c>
      <c r="C150">
        <f t="shared" si="47"/>
        <v>25.675000000000001</v>
      </c>
      <c r="D150">
        <f t="shared" si="48"/>
        <v>50.050999999999995</v>
      </c>
      <c r="E150">
        <v>24</v>
      </c>
      <c r="F150">
        <v>36</v>
      </c>
      <c r="G150">
        <f t="shared" si="54"/>
        <v>32.24</v>
      </c>
      <c r="H150">
        <v>2</v>
      </c>
      <c r="I150" t="s">
        <v>181</v>
      </c>
      <c r="J150">
        <v>1</v>
      </c>
      <c r="K150" s="6">
        <f t="shared" si="49"/>
        <v>10.375</v>
      </c>
      <c r="L150">
        <f t="shared" si="50"/>
        <v>4</v>
      </c>
      <c r="M150">
        <f t="shared" si="55"/>
        <v>18</v>
      </c>
      <c r="N150">
        <f t="shared" si="56"/>
        <v>6</v>
      </c>
      <c r="O150" s="7">
        <f t="shared" si="39"/>
        <v>15</v>
      </c>
      <c r="P150">
        <f t="shared" si="51"/>
        <v>2</v>
      </c>
      <c r="Q150">
        <f t="shared" si="52"/>
        <v>10</v>
      </c>
      <c r="R150">
        <f>_xlfn.XLOOKUP(HFrame_List[[#This Row],[Cross piece style]],$AH$2:$AH$4,$AI$2:$AI$4,0,0)*(HFrame_List[[#This Row],[Width between brackets]]/12)</f>
        <v>37.425266666666673</v>
      </c>
      <c r="S150">
        <f>5.46*(HFrame_List[[#This Row],[cross piece quantity]]-1)*(HFrame_List[[#This Row],[Width between brackets]]/12)</f>
        <v>0</v>
      </c>
      <c r="T150" s="5">
        <f>HFrame_List[[#This Row],[Bottom cross piece cost]]+HFrame_List[[#This Row],[Top cross piece cost]]+HFrame_List[[#This Row],[Component costs]]+HFrame_List[[#This Row],[Vertical strut cost]]</f>
        <v>146.68726666666666</v>
      </c>
      <c r="U150" s="7">
        <f>_xlfn.XLOOKUP(HFrame_List[[#This Row],[Fabrication type]],Fabrication_costs[Fabrication type],Fabrication_costs[unit pricing],"no result",0)</f>
        <v>40.200000000000003</v>
      </c>
      <c r="V150" s="5">
        <f>SUM(T150:U150)/(1-HFrame_List[[#This Row],[Margin]])</f>
        <v>533.96361904761909</v>
      </c>
      <c r="W150" s="36">
        <f t="shared" si="53"/>
        <v>0.65</v>
      </c>
      <c r="X150" t="s">
        <v>196</v>
      </c>
      <c r="Y150">
        <f>_xlfn.XLOOKUP("A12",Strut_costs[size],Strut_costs[Strut cost])/12*HFrame_List[[#This Row],[Strut height (in)]]*(2+HFrame_List[[#This Row],[Extra supports]])</f>
        <v>43.68</v>
      </c>
      <c r="Z150">
        <f>(_xlfn.XLOOKUP("PHB",CADDY_costs[Component],CADDY_costs[Current cost])*HFrame_List[[#This Row],[Number of feet]])+(_xlfn.XLOOKUP("HFRMHDW",CADDY_costs[Component],CADDY_costs[Current cost])*(HFrame_List[[#This Row],[number of L-brackets]]/2))</f>
        <v>65.581999999999994</v>
      </c>
      <c r="AA150">
        <v>2436</v>
      </c>
      <c r="AB150">
        <f>VLOOKUP(HFrame_List[[#This Row],[lookup]],'Pallet and shipping info'!$A$5:$H$33,6,FALSE)</f>
        <v>9</v>
      </c>
      <c r="AC150">
        <f>VLOOKUP(HFrame_List[[#This Row],[lookup]],'Pallet and shipping info'!$A$5:$H$33,8,FALSE)</f>
        <v>14</v>
      </c>
      <c r="AD150"/>
      <c r="AE150"/>
      <c r="AF150"/>
    </row>
    <row r="151" spans="1:32" x14ac:dyDescent="0.25">
      <c r="A151" s="1" t="s">
        <v>482</v>
      </c>
      <c r="B151" t="s">
        <v>483</v>
      </c>
      <c r="C151">
        <f t="shared" si="47"/>
        <v>37.674999999999997</v>
      </c>
      <c r="D151">
        <f t="shared" si="48"/>
        <v>50.050999999999995</v>
      </c>
      <c r="E151">
        <v>36</v>
      </c>
      <c r="F151">
        <f>F150</f>
        <v>36</v>
      </c>
      <c r="G151">
        <f t="shared" si="54"/>
        <v>32.24</v>
      </c>
      <c r="H151">
        <v>2</v>
      </c>
      <c r="I151" t="s">
        <v>181</v>
      </c>
      <c r="J151">
        <v>1</v>
      </c>
      <c r="K151" s="6">
        <f t="shared" si="49"/>
        <v>10.375</v>
      </c>
      <c r="L151">
        <f t="shared" si="50"/>
        <v>4</v>
      </c>
      <c r="M151">
        <f t="shared" si="55"/>
        <v>18</v>
      </c>
      <c r="N151">
        <f t="shared" si="56"/>
        <v>6</v>
      </c>
      <c r="O151" s="7">
        <f t="shared" si="39"/>
        <v>21</v>
      </c>
      <c r="P151">
        <f t="shared" si="51"/>
        <v>3</v>
      </c>
      <c r="Q151">
        <f t="shared" si="52"/>
        <v>10</v>
      </c>
      <c r="R151">
        <f>_xlfn.XLOOKUP(HFrame_List[[#This Row],[Cross piece style]],$AH$2:$AH$4,$AI$2:$AI$4,0,0)*(HFrame_List[[#This Row],[Width between brackets]]/12)</f>
        <v>37.425266666666673</v>
      </c>
      <c r="S151">
        <f>5.46*(HFrame_List[[#This Row],[cross piece quantity]]-1)*(HFrame_List[[#This Row],[Width between brackets]]/12)</f>
        <v>0</v>
      </c>
      <c r="T151" s="5">
        <f>HFrame_List[[#This Row],[Bottom cross piece cost]]+HFrame_List[[#This Row],[Top cross piece cost]]+HFrame_List[[#This Row],[Component costs]]+HFrame_List[[#This Row],[Vertical strut cost]]</f>
        <v>168.52726666666666</v>
      </c>
      <c r="U151" s="7">
        <f>_xlfn.XLOOKUP(HFrame_List[[#This Row],[Fabrication type]],Fabrication_costs[Fabrication type],Fabrication_costs[unit pricing],"no result",0)</f>
        <v>40.200000000000003</v>
      </c>
      <c r="V151" s="5">
        <f>SUM(T151:U151)/(1-HFrame_List[[#This Row],[Margin]])</f>
        <v>596.36361904761907</v>
      </c>
      <c r="W151" s="36">
        <f t="shared" si="53"/>
        <v>0.65</v>
      </c>
      <c r="X151" t="s">
        <v>196</v>
      </c>
      <c r="Y151">
        <f>_xlfn.XLOOKUP("A12",Strut_costs[size],Strut_costs[Strut cost])/12*HFrame_List[[#This Row],[Strut height (in)]]*(2+HFrame_List[[#This Row],[Extra supports]])</f>
        <v>65.52</v>
      </c>
      <c r="Z151">
        <f>(_xlfn.XLOOKUP("PHB",CADDY_costs[Component],CADDY_costs[Current cost])*HFrame_List[[#This Row],[Number of feet]])+(_xlfn.XLOOKUP("HFRMHDW",CADDY_costs[Component],CADDY_costs[Current cost])*(HFrame_List[[#This Row],[number of L-brackets]]/2))</f>
        <v>65.581999999999994</v>
      </c>
      <c r="AA151">
        <v>3636</v>
      </c>
      <c r="AB151">
        <f>VLOOKUP(HFrame_List[[#This Row],[lookup]],'Pallet and shipping info'!$A$5:$H$33,6,FALSE)</f>
        <v>9</v>
      </c>
      <c r="AC151">
        <f>VLOOKUP(HFrame_List[[#This Row],[lookup]],'Pallet and shipping info'!$A$5:$H$33,8,FALSE)</f>
        <v>14</v>
      </c>
      <c r="AD151"/>
      <c r="AE151"/>
      <c r="AF151"/>
    </row>
    <row r="152" spans="1:32" x14ac:dyDescent="0.25">
      <c r="A152" s="1" t="s">
        <v>484</v>
      </c>
      <c r="B152" t="s">
        <v>485</v>
      </c>
      <c r="C152">
        <f t="shared" si="47"/>
        <v>49.674999999999997</v>
      </c>
      <c r="D152">
        <f t="shared" si="48"/>
        <v>50.050999999999995</v>
      </c>
      <c r="E152">
        <v>48</v>
      </c>
      <c r="F152">
        <f t="shared" ref="F152:F157" si="58">F151</f>
        <v>36</v>
      </c>
      <c r="G152">
        <f t="shared" si="54"/>
        <v>32.24</v>
      </c>
      <c r="H152">
        <v>2</v>
      </c>
      <c r="I152" t="s">
        <v>181</v>
      </c>
      <c r="J152">
        <v>1</v>
      </c>
      <c r="K152" s="6">
        <f t="shared" si="49"/>
        <v>10.375</v>
      </c>
      <c r="L152">
        <f t="shared" si="50"/>
        <v>4</v>
      </c>
      <c r="M152">
        <f t="shared" si="55"/>
        <v>18</v>
      </c>
      <c r="N152">
        <f t="shared" si="56"/>
        <v>6</v>
      </c>
      <c r="O152" s="7">
        <f t="shared" si="39"/>
        <v>27</v>
      </c>
      <c r="P152">
        <f t="shared" si="51"/>
        <v>3</v>
      </c>
      <c r="Q152">
        <f t="shared" si="52"/>
        <v>10</v>
      </c>
      <c r="R152">
        <f>_xlfn.XLOOKUP(HFrame_List[[#This Row],[Cross piece style]],$AH$2:$AH$4,$AI$2:$AI$4,0,0)*(HFrame_List[[#This Row],[Width between brackets]]/12)</f>
        <v>37.425266666666673</v>
      </c>
      <c r="S152">
        <f>5.46*(HFrame_List[[#This Row],[cross piece quantity]]-1)*(HFrame_List[[#This Row],[Width between brackets]]/12)</f>
        <v>0</v>
      </c>
      <c r="T152" s="5">
        <f>HFrame_List[[#This Row],[Bottom cross piece cost]]+HFrame_List[[#This Row],[Top cross piece cost]]+HFrame_List[[#This Row],[Component costs]]+HFrame_List[[#This Row],[Vertical strut cost]]</f>
        <v>190.36726666666667</v>
      </c>
      <c r="U152" s="7">
        <f>_xlfn.XLOOKUP(HFrame_List[[#This Row],[Fabrication type]],Fabrication_costs[Fabrication type],Fabrication_costs[unit pricing],"no result",0)</f>
        <v>40.200000000000003</v>
      </c>
      <c r="V152" s="5">
        <f>SUM(T152:U152)/(1-HFrame_List[[#This Row],[Margin]])</f>
        <v>658.76361904761916</v>
      </c>
      <c r="W152" s="36">
        <f t="shared" si="53"/>
        <v>0.65</v>
      </c>
      <c r="X152" t="s">
        <v>196</v>
      </c>
      <c r="Y152">
        <f>_xlfn.XLOOKUP("A12",Strut_costs[size],Strut_costs[Strut cost])/12*HFrame_List[[#This Row],[Strut height (in)]]*(2+HFrame_List[[#This Row],[Extra supports]])</f>
        <v>87.36</v>
      </c>
      <c r="Z152">
        <f>(_xlfn.XLOOKUP("PHB",CADDY_costs[Component],CADDY_costs[Current cost])*HFrame_List[[#This Row],[Number of feet]])+(_xlfn.XLOOKUP("HFRMHDW",CADDY_costs[Component],CADDY_costs[Current cost])*(HFrame_List[[#This Row],[number of L-brackets]]/2))</f>
        <v>65.581999999999994</v>
      </c>
      <c r="AA152">
        <v>4836</v>
      </c>
      <c r="AB152">
        <f>VLOOKUP(HFrame_List[[#This Row],[lookup]],'Pallet and shipping info'!$A$5:$H$33,6,FALSE)</f>
        <v>9</v>
      </c>
      <c r="AC152">
        <f>VLOOKUP(HFrame_List[[#This Row],[lookup]],'Pallet and shipping info'!$A$5:$H$33,8,FALSE)</f>
        <v>14</v>
      </c>
      <c r="AD152"/>
      <c r="AE152"/>
      <c r="AF152"/>
    </row>
    <row r="153" spans="1:32" x14ac:dyDescent="0.25">
      <c r="A153" s="1" t="s">
        <v>486</v>
      </c>
      <c r="B153" t="s">
        <v>487</v>
      </c>
      <c r="C153">
        <f t="shared" si="47"/>
        <v>73.674999999999997</v>
      </c>
      <c r="D153">
        <f t="shared" si="48"/>
        <v>50.050999999999995</v>
      </c>
      <c r="E153">
        <v>72</v>
      </c>
      <c r="F153">
        <f t="shared" si="58"/>
        <v>36</v>
      </c>
      <c r="G153">
        <f t="shared" si="54"/>
        <v>32.24</v>
      </c>
      <c r="H153">
        <v>2</v>
      </c>
      <c r="I153" t="s">
        <v>181</v>
      </c>
      <c r="J153">
        <v>1</v>
      </c>
      <c r="K153" s="6">
        <f t="shared" si="49"/>
        <v>10.375</v>
      </c>
      <c r="L153">
        <f t="shared" si="50"/>
        <v>4</v>
      </c>
      <c r="M153">
        <f t="shared" si="55"/>
        <v>18</v>
      </c>
      <c r="N153">
        <f t="shared" si="56"/>
        <v>6</v>
      </c>
      <c r="O153" s="7">
        <f t="shared" si="39"/>
        <v>39</v>
      </c>
      <c r="P153">
        <f t="shared" si="51"/>
        <v>4</v>
      </c>
      <c r="Q153">
        <f t="shared" si="52"/>
        <v>10</v>
      </c>
      <c r="R153">
        <f>_xlfn.XLOOKUP(HFrame_List[[#This Row],[Cross piece style]],$AH$2:$AH$4,$AI$2:$AI$4,0,0)*(HFrame_List[[#This Row],[Width between brackets]]/12)</f>
        <v>37.425266666666673</v>
      </c>
      <c r="S153">
        <f>5.46*(HFrame_List[[#This Row],[cross piece quantity]]-1)*(HFrame_List[[#This Row],[Width between brackets]]/12)</f>
        <v>0</v>
      </c>
      <c r="T153" s="5">
        <f>HFrame_List[[#This Row],[Bottom cross piece cost]]+HFrame_List[[#This Row],[Top cross piece cost]]+HFrame_List[[#This Row],[Component costs]]+HFrame_List[[#This Row],[Vertical strut cost]]</f>
        <v>234.04726666666664</v>
      </c>
      <c r="U153" s="7">
        <f>_xlfn.XLOOKUP(HFrame_List[[#This Row],[Fabrication type]],Fabrication_costs[Fabrication type],Fabrication_costs[unit pricing],"no result",0)</f>
        <v>40.200000000000003</v>
      </c>
      <c r="V153" s="5">
        <f>SUM(T153:U153)/(1-HFrame_List[[#This Row],[Margin]])</f>
        <v>783.563619047619</v>
      </c>
      <c r="W153" s="36">
        <f t="shared" si="53"/>
        <v>0.65</v>
      </c>
      <c r="X153" t="s">
        <v>196</v>
      </c>
      <c r="Y153">
        <f>_xlfn.XLOOKUP("A12",Strut_costs[size],Strut_costs[Strut cost])/12*HFrame_List[[#This Row],[Strut height (in)]]*(2+HFrame_List[[#This Row],[Extra supports]])</f>
        <v>131.04</v>
      </c>
      <c r="Z153">
        <f>(_xlfn.XLOOKUP("PHB",CADDY_costs[Component],CADDY_costs[Current cost])*HFrame_List[[#This Row],[Number of feet]])+(_xlfn.XLOOKUP("HFRMHDW",CADDY_costs[Component],CADDY_costs[Current cost])*(HFrame_List[[#This Row],[number of L-brackets]]/2))</f>
        <v>65.581999999999994</v>
      </c>
      <c r="AA153">
        <v>7236</v>
      </c>
      <c r="AB153">
        <f>VLOOKUP(HFrame_List[[#This Row],[lookup]],'Pallet and shipping info'!$A$5:$H$33,6,FALSE)</f>
        <v>9</v>
      </c>
      <c r="AC153">
        <f>VLOOKUP(HFrame_List[[#This Row],[lookup]],'Pallet and shipping info'!$A$5:$H$33,8,FALSE)</f>
        <v>14</v>
      </c>
      <c r="AD153"/>
      <c r="AE153"/>
      <c r="AF153"/>
    </row>
    <row r="154" spans="1:32" x14ac:dyDescent="0.25">
      <c r="A154" s="1" t="s">
        <v>488</v>
      </c>
      <c r="B154" t="s">
        <v>489</v>
      </c>
      <c r="C154">
        <f t="shared" si="47"/>
        <v>25.675000000000001</v>
      </c>
      <c r="D154">
        <f t="shared" si="48"/>
        <v>62.050999999999995</v>
      </c>
      <c r="E154">
        <v>24</v>
      </c>
      <c r="F154">
        <v>48</v>
      </c>
      <c r="G154">
        <f t="shared" si="54"/>
        <v>44.24</v>
      </c>
      <c r="H154">
        <v>2</v>
      </c>
      <c r="I154" t="s">
        <v>181</v>
      </c>
      <c r="J154">
        <v>1</v>
      </c>
      <c r="K154" s="6">
        <f t="shared" si="49"/>
        <v>14.375</v>
      </c>
      <c r="L154">
        <f t="shared" si="50"/>
        <v>4</v>
      </c>
      <c r="M154">
        <f t="shared" si="55"/>
        <v>18</v>
      </c>
      <c r="N154">
        <f t="shared" si="56"/>
        <v>6</v>
      </c>
      <c r="O154" s="7">
        <f t="shared" si="39"/>
        <v>16</v>
      </c>
      <c r="P154">
        <f t="shared" si="51"/>
        <v>2</v>
      </c>
      <c r="Q154">
        <f t="shared" si="52"/>
        <v>10</v>
      </c>
      <c r="R154">
        <f>_xlfn.XLOOKUP(HFrame_List[[#This Row],[Cross piece style]],$AH$2:$AH$4,$AI$2:$AI$4,0,0)*(HFrame_List[[#This Row],[Width between brackets]]/12)</f>
        <v>51.355266666666672</v>
      </c>
      <c r="S154">
        <f>5.46*(HFrame_List[[#This Row],[cross piece quantity]]-1)*(HFrame_List[[#This Row],[Width between brackets]]/12)</f>
        <v>0</v>
      </c>
      <c r="T154" s="5">
        <f>HFrame_List[[#This Row],[Bottom cross piece cost]]+HFrame_List[[#This Row],[Top cross piece cost]]+HFrame_List[[#This Row],[Component costs]]+HFrame_List[[#This Row],[Vertical strut cost]]</f>
        <v>160.61726666666667</v>
      </c>
      <c r="U154" s="7">
        <f>_xlfn.XLOOKUP(HFrame_List[[#This Row],[Fabrication type]],Fabrication_costs[Fabrication type],Fabrication_costs[unit pricing],"no result",0)</f>
        <v>40.200000000000003</v>
      </c>
      <c r="V154" s="5">
        <f>SUM(T154:U154)/(1-HFrame_List[[#This Row],[Margin]])</f>
        <v>573.76361904761916</v>
      </c>
      <c r="W154" s="36">
        <f t="shared" si="53"/>
        <v>0.65</v>
      </c>
      <c r="X154" t="s">
        <v>196</v>
      </c>
      <c r="Y154">
        <f>_xlfn.XLOOKUP("A12",Strut_costs[size],Strut_costs[Strut cost])/12*HFrame_List[[#This Row],[Strut height (in)]]*(2+HFrame_List[[#This Row],[Extra supports]])</f>
        <v>43.68</v>
      </c>
      <c r="Z154">
        <f>(_xlfn.XLOOKUP("PHB",CADDY_costs[Component],CADDY_costs[Current cost])*HFrame_List[[#This Row],[Number of feet]])+(_xlfn.XLOOKUP("HFRMHDW",CADDY_costs[Component],CADDY_costs[Current cost])*(HFrame_List[[#This Row],[number of L-brackets]]/2))</f>
        <v>65.581999999999994</v>
      </c>
      <c r="AA154">
        <v>2448</v>
      </c>
      <c r="AB154">
        <f>VLOOKUP(HFrame_List[[#This Row],[lookup]],'Pallet and shipping info'!$A$5:$H$33,6,FALSE)</f>
        <v>7</v>
      </c>
      <c r="AC154">
        <f>VLOOKUP(HFrame_List[[#This Row],[lookup]],'Pallet and shipping info'!$A$5:$H$33,8,FALSE)</f>
        <v>10</v>
      </c>
      <c r="AD154"/>
      <c r="AE154"/>
      <c r="AF154"/>
    </row>
    <row r="155" spans="1:32" x14ac:dyDescent="0.25">
      <c r="A155" s="1" t="s">
        <v>490</v>
      </c>
      <c r="B155" t="s">
        <v>491</v>
      </c>
      <c r="C155">
        <f t="shared" si="47"/>
        <v>37.674999999999997</v>
      </c>
      <c r="D155">
        <f t="shared" si="48"/>
        <v>62.050999999999995</v>
      </c>
      <c r="E155">
        <v>36</v>
      </c>
      <c r="F155">
        <f t="shared" si="58"/>
        <v>48</v>
      </c>
      <c r="G155">
        <f t="shared" si="54"/>
        <v>44.24</v>
      </c>
      <c r="H155">
        <v>2</v>
      </c>
      <c r="I155" t="s">
        <v>181</v>
      </c>
      <c r="J155">
        <v>1</v>
      </c>
      <c r="K155" s="6">
        <f t="shared" si="49"/>
        <v>14.375</v>
      </c>
      <c r="L155">
        <f t="shared" si="50"/>
        <v>4</v>
      </c>
      <c r="M155">
        <f t="shared" si="55"/>
        <v>18</v>
      </c>
      <c r="N155">
        <f t="shared" si="56"/>
        <v>6</v>
      </c>
      <c r="O155" s="7">
        <f t="shared" si="39"/>
        <v>22</v>
      </c>
      <c r="P155">
        <f t="shared" si="51"/>
        <v>3</v>
      </c>
      <c r="Q155">
        <f t="shared" si="52"/>
        <v>10</v>
      </c>
      <c r="R155">
        <f>_xlfn.XLOOKUP(HFrame_List[[#This Row],[Cross piece style]],$AH$2:$AH$4,$AI$2:$AI$4,0,0)*(HFrame_List[[#This Row],[Width between brackets]]/12)</f>
        <v>51.355266666666672</v>
      </c>
      <c r="S155">
        <f>5.46*(HFrame_List[[#This Row],[cross piece quantity]]-1)*(HFrame_List[[#This Row],[Width between brackets]]/12)</f>
        <v>0</v>
      </c>
      <c r="T155" s="5">
        <f>HFrame_List[[#This Row],[Bottom cross piece cost]]+HFrame_List[[#This Row],[Top cross piece cost]]+HFrame_List[[#This Row],[Component costs]]+HFrame_List[[#This Row],[Vertical strut cost]]</f>
        <v>182.45726666666667</v>
      </c>
      <c r="U155" s="7">
        <f>_xlfn.XLOOKUP(HFrame_List[[#This Row],[Fabrication type]],Fabrication_costs[Fabrication type],Fabrication_costs[unit pricing],"no result",0)</f>
        <v>40.200000000000003</v>
      </c>
      <c r="V155" s="5">
        <f>SUM(T155:U155)/(1-HFrame_List[[#This Row],[Margin]])</f>
        <v>636.16361904761902</v>
      </c>
      <c r="W155" s="36">
        <f t="shared" si="53"/>
        <v>0.65</v>
      </c>
      <c r="X155" t="s">
        <v>196</v>
      </c>
      <c r="Y155">
        <f>_xlfn.XLOOKUP("A12",Strut_costs[size],Strut_costs[Strut cost])/12*HFrame_List[[#This Row],[Strut height (in)]]*(2+HFrame_List[[#This Row],[Extra supports]])</f>
        <v>65.52</v>
      </c>
      <c r="Z155">
        <f>(_xlfn.XLOOKUP("PHB",CADDY_costs[Component],CADDY_costs[Current cost])*HFrame_List[[#This Row],[Number of feet]])+(_xlfn.XLOOKUP("HFRMHDW",CADDY_costs[Component],CADDY_costs[Current cost])*(HFrame_List[[#This Row],[number of L-brackets]]/2))</f>
        <v>65.581999999999994</v>
      </c>
      <c r="AA155">
        <v>3648</v>
      </c>
      <c r="AB155">
        <f>VLOOKUP(HFrame_List[[#This Row],[lookup]],'Pallet and shipping info'!$A$5:$H$33,6,FALSE)</f>
        <v>7</v>
      </c>
      <c r="AC155">
        <f>VLOOKUP(HFrame_List[[#This Row],[lookup]],'Pallet and shipping info'!$A$5:$H$33,8,FALSE)</f>
        <v>10</v>
      </c>
      <c r="AD155"/>
      <c r="AE155"/>
      <c r="AF155"/>
    </row>
    <row r="156" spans="1:32" x14ac:dyDescent="0.25">
      <c r="A156" s="1" t="s">
        <v>492</v>
      </c>
      <c r="B156" t="s">
        <v>493</v>
      </c>
      <c r="C156">
        <f t="shared" si="47"/>
        <v>49.674999999999997</v>
      </c>
      <c r="D156">
        <f t="shared" si="48"/>
        <v>62.050999999999995</v>
      </c>
      <c r="E156">
        <v>48</v>
      </c>
      <c r="F156">
        <f t="shared" si="58"/>
        <v>48</v>
      </c>
      <c r="G156">
        <f t="shared" si="54"/>
        <v>44.24</v>
      </c>
      <c r="H156">
        <v>2</v>
      </c>
      <c r="I156" t="s">
        <v>181</v>
      </c>
      <c r="J156">
        <v>1</v>
      </c>
      <c r="K156" s="6">
        <f t="shared" si="49"/>
        <v>14.375</v>
      </c>
      <c r="L156">
        <f t="shared" si="50"/>
        <v>4</v>
      </c>
      <c r="M156">
        <f t="shared" si="55"/>
        <v>18</v>
      </c>
      <c r="N156">
        <f t="shared" si="56"/>
        <v>6</v>
      </c>
      <c r="O156" s="7">
        <f t="shared" si="39"/>
        <v>28</v>
      </c>
      <c r="P156">
        <f t="shared" si="51"/>
        <v>3</v>
      </c>
      <c r="Q156">
        <f t="shared" si="52"/>
        <v>10</v>
      </c>
      <c r="R156">
        <f>_xlfn.XLOOKUP(HFrame_List[[#This Row],[Cross piece style]],$AH$2:$AH$4,$AI$2:$AI$4,0,0)*(HFrame_List[[#This Row],[Width between brackets]]/12)</f>
        <v>51.355266666666672</v>
      </c>
      <c r="S156">
        <f>5.46*(HFrame_List[[#This Row],[cross piece quantity]]-1)*(HFrame_List[[#This Row],[Width between brackets]]/12)</f>
        <v>0</v>
      </c>
      <c r="T156" s="5">
        <f>HFrame_List[[#This Row],[Bottom cross piece cost]]+HFrame_List[[#This Row],[Top cross piece cost]]+HFrame_List[[#This Row],[Component costs]]+HFrame_List[[#This Row],[Vertical strut cost]]</f>
        <v>204.29726666666664</v>
      </c>
      <c r="U156" s="7">
        <f>_xlfn.XLOOKUP(HFrame_List[[#This Row],[Fabrication type]],Fabrication_costs[Fabrication type],Fabrication_costs[unit pricing],"no result",0)</f>
        <v>40.200000000000003</v>
      </c>
      <c r="V156" s="5">
        <f>SUM(T156:U156)/(1-HFrame_List[[#This Row],[Margin]])</f>
        <v>698.563619047619</v>
      </c>
      <c r="W156" s="36">
        <f t="shared" si="53"/>
        <v>0.65</v>
      </c>
      <c r="X156" t="s">
        <v>196</v>
      </c>
      <c r="Y156">
        <f>_xlfn.XLOOKUP("A12",Strut_costs[size],Strut_costs[Strut cost])/12*HFrame_List[[#This Row],[Strut height (in)]]*(2+HFrame_List[[#This Row],[Extra supports]])</f>
        <v>87.36</v>
      </c>
      <c r="Z156">
        <f>(_xlfn.XLOOKUP("PHB",CADDY_costs[Component],CADDY_costs[Current cost])*HFrame_List[[#This Row],[Number of feet]])+(_xlfn.XLOOKUP("HFRMHDW",CADDY_costs[Component],CADDY_costs[Current cost])*(HFrame_List[[#This Row],[number of L-brackets]]/2))</f>
        <v>65.581999999999994</v>
      </c>
      <c r="AA156">
        <v>4848</v>
      </c>
      <c r="AB156">
        <f>VLOOKUP(HFrame_List[[#This Row],[lookup]],'Pallet and shipping info'!$A$5:$H$33,6,FALSE)</f>
        <v>7</v>
      </c>
      <c r="AC156">
        <f>VLOOKUP(HFrame_List[[#This Row],[lookup]],'Pallet and shipping info'!$A$5:$H$33,8,FALSE)</f>
        <v>10</v>
      </c>
      <c r="AD156"/>
      <c r="AE156"/>
      <c r="AF156"/>
    </row>
    <row r="157" spans="1:32" x14ac:dyDescent="0.25">
      <c r="A157" s="1" t="s">
        <v>494</v>
      </c>
      <c r="B157" t="s">
        <v>495</v>
      </c>
      <c r="C157">
        <f t="shared" si="47"/>
        <v>73.674999999999997</v>
      </c>
      <c r="D157">
        <f t="shared" si="48"/>
        <v>62.050999999999995</v>
      </c>
      <c r="E157">
        <v>72</v>
      </c>
      <c r="F157">
        <f t="shared" si="58"/>
        <v>48</v>
      </c>
      <c r="G157">
        <f t="shared" si="54"/>
        <v>44.24</v>
      </c>
      <c r="H157">
        <v>2</v>
      </c>
      <c r="I157" t="s">
        <v>181</v>
      </c>
      <c r="J157">
        <v>1</v>
      </c>
      <c r="K157" s="6">
        <f t="shared" si="49"/>
        <v>14.375</v>
      </c>
      <c r="L157">
        <f t="shared" si="50"/>
        <v>4</v>
      </c>
      <c r="M157">
        <f t="shared" si="55"/>
        <v>18</v>
      </c>
      <c r="N157">
        <f t="shared" si="56"/>
        <v>6</v>
      </c>
      <c r="O157" s="7">
        <f t="shared" si="39"/>
        <v>40</v>
      </c>
      <c r="P157">
        <f t="shared" si="51"/>
        <v>4</v>
      </c>
      <c r="Q157">
        <f t="shared" si="52"/>
        <v>10</v>
      </c>
      <c r="R157">
        <f>_xlfn.XLOOKUP(HFrame_List[[#This Row],[Cross piece style]],$AH$2:$AH$4,$AI$2:$AI$4,0,0)*(HFrame_List[[#This Row],[Width between brackets]]/12)</f>
        <v>51.355266666666672</v>
      </c>
      <c r="S157">
        <f>5.46*(HFrame_List[[#This Row],[cross piece quantity]]-1)*(HFrame_List[[#This Row],[Width between brackets]]/12)</f>
        <v>0</v>
      </c>
      <c r="T157" s="5">
        <f>HFrame_List[[#This Row],[Bottom cross piece cost]]+HFrame_List[[#This Row],[Top cross piece cost]]+HFrame_List[[#This Row],[Component costs]]+HFrame_List[[#This Row],[Vertical strut cost]]</f>
        <v>247.97726666666665</v>
      </c>
      <c r="U157" s="7">
        <f>_xlfn.XLOOKUP(HFrame_List[[#This Row],[Fabrication type]],Fabrication_costs[Fabrication type],Fabrication_costs[unit pricing],"no result",0)</f>
        <v>40.200000000000003</v>
      </c>
      <c r="V157" s="5">
        <f>SUM(T157:U157)/(1-HFrame_List[[#This Row],[Margin]])</f>
        <v>823.36361904761907</v>
      </c>
      <c r="W157" s="36">
        <f t="shared" si="53"/>
        <v>0.65</v>
      </c>
      <c r="X157" t="s">
        <v>196</v>
      </c>
      <c r="Y157">
        <f>_xlfn.XLOOKUP("A12",Strut_costs[size],Strut_costs[Strut cost])/12*HFrame_List[[#This Row],[Strut height (in)]]*(2+HFrame_List[[#This Row],[Extra supports]])</f>
        <v>131.04</v>
      </c>
      <c r="Z157">
        <f>(_xlfn.XLOOKUP("PHB",CADDY_costs[Component],CADDY_costs[Current cost])*HFrame_List[[#This Row],[Number of feet]])+(_xlfn.XLOOKUP("HFRMHDW",CADDY_costs[Component],CADDY_costs[Current cost])*(HFrame_List[[#This Row],[number of L-brackets]]/2))</f>
        <v>65.581999999999994</v>
      </c>
      <c r="AA157">
        <v>7248</v>
      </c>
      <c r="AB157">
        <f>VLOOKUP(HFrame_List[[#This Row],[lookup]],'Pallet and shipping info'!$A$5:$H$33,6,FALSE)</f>
        <v>7</v>
      </c>
      <c r="AC157">
        <f>VLOOKUP(HFrame_List[[#This Row],[lookup]],'Pallet and shipping info'!$A$5:$H$33,8,FALSE)</f>
        <v>10</v>
      </c>
      <c r="AD157"/>
      <c r="AE157"/>
      <c r="AF157"/>
    </row>
    <row r="158" spans="1:32" x14ac:dyDescent="0.25">
      <c r="A158" s="1" t="s">
        <v>496</v>
      </c>
      <c r="B158" t="s">
        <v>497</v>
      </c>
      <c r="C158">
        <f t="shared" si="47"/>
        <v>25.675000000000001</v>
      </c>
      <c r="D158">
        <f t="shared" si="48"/>
        <v>74.051000000000002</v>
      </c>
      <c r="E158">
        <v>24</v>
      </c>
      <c r="F158">
        <v>60</v>
      </c>
      <c r="G158">
        <f t="shared" si="54"/>
        <v>56.24</v>
      </c>
      <c r="H158">
        <v>2</v>
      </c>
      <c r="I158" t="s">
        <v>181</v>
      </c>
      <c r="J158">
        <v>1</v>
      </c>
      <c r="K158" s="6">
        <f t="shared" si="49"/>
        <v>18.375</v>
      </c>
      <c r="L158">
        <f t="shared" si="50"/>
        <v>4</v>
      </c>
      <c r="M158">
        <f t="shared" si="55"/>
        <v>18</v>
      </c>
      <c r="N158">
        <f t="shared" si="56"/>
        <v>6</v>
      </c>
      <c r="O158" s="7">
        <f t="shared" si="39"/>
        <v>17</v>
      </c>
      <c r="P158">
        <f t="shared" si="51"/>
        <v>2</v>
      </c>
      <c r="Q158">
        <f t="shared" si="52"/>
        <v>10</v>
      </c>
      <c r="R158">
        <f>_xlfn.XLOOKUP(HFrame_List[[#This Row],[Cross piece style]],$AH$2:$AH$4,$AI$2:$AI$4,0,0)*(HFrame_List[[#This Row],[Width between brackets]]/12)</f>
        <v>65.285266666666658</v>
      </c>
      <c r="S158">
        <f>5.46*(HFrame_List[[#This Row],[cross piece quantity]]-1)*(HFrame_List[[#This Row],[Width between brackets]]/12)</f>
        <v>0</v>
      </c>
      <c r="T158" s="5">
        <f>HFrame_List[[#This Row],[Bottom cross piece cost]]+HFrame_List[[#This Row],[Top cross piece cost]]+HFrame_List[[#This Row],[Component costs]]+HFrame_List[[#This Row],[Vertical strut cost]]</f>
        <v>174.54726666666664</v>
      </c>
      <c r="U158" s="7">
        <f>_xlfn.XLOOKUP(HFrame_List[[#This Row],[Fabrication type]],Fabrication_costs[Fabrication type],Fabrication_costs[unit pricing],"no result",0)</f>
        <v>40.200000000000003</v>
      </c>
      <c r="V158" s="5">
        <f>SUM(T158:U158)/(1-HFrame_List[[#This Row],[Margin]])</f>
        <v>613.563619047619</v>
      </c>
      <c r="W158" s="36">
        <f t="shared" si="53"/>
        <v>0.65</v>
      </c>
      <c r="X158" t="s">
        <v>196</v>
      </c>
      <c r="Y158">
        <f>_xlfn.XLOOKUP("A12",Strut_costs[size],Strut_costs[Strut cost])/12*HFrame_List[[#This Row],[Strut height (in)]]*(2+HFrame_List[[#This Row],[Extra supports]])</f>
        <v>43.68</v>
      </c>
      <c r="Z158">
        <f>(_xlfn.XLOOKUP("PHB",CADDY_costs[Component],CADDY_costs[Current cost])*HFrame_List[[#This Row],[Number of feet]])+(_xlfn.XLOOKUP("HFRMHDW",CADDY_costs[Component],CADDY_costs[Current cost])*(HFrame_List[[#This Row],[number of L-brackets]]/2))</f>
        <v>65.581999999999994</v>
      </c>
      <c r="AA158">
        <v>2460</v>
      </c>
      <c r="AB158" t="str">
        <f>VLOOKUP(HFrame_List[[#This Row],[lookup]],'Pallet and shipping info'!$A$5:$H$33,6,FALSE)</f>
        <v>x</v>
      </c>
      <c r="AC158">
        <f>VLOOKUP(HFrame_List[[#This Row],[lookup]],'Pallet and shipping info'!$A$5:$H$33,8,FALSE)</f>
        <v>7</v>
      </c>
      <c r="AD158"/>
      <c r="AE158"/>
      <c r="AF158"/>
    </row>
    <row r="159" spans="1:32" x14ac:dyDescent="0.25">
      <c r="A159" s="1" t="s">
        <v>498</v>
      </c>
      <c r="B159" t="s">
        <v>499</v>
      </c>
      <c r="C159">
        <f t="shared" si="47"/>
        <v>37.674999999999997</v>
      </c>
      <c r="D159">
        <f t="shared" si="48"/>
        <v>74.051000000000002</v>
      </c>
      <c r="E159">
        <v>36</v>
      </c>
      <c r="F159">
        <v>60</v>
      </c>
      <c r="G159">
        <f t="shared" si="54"/>
        <v>56.24</v>
      </c>
      <c r="H159">
        <v>2</v>
      </c>
      <c r="I159" t="s">
        <v>181</v>
      </c>
      <c r="J159">
        <v>1</v>
      </c>
      <c r="K159" s="6">
        <f t="shared" si="49"/>
        <v>18.375</v>
      </c>
      <c r="L159">
        <f t="shared" si="50"/>
        <v>4</v>
      </c>
      <c r="M159">
        <f t="shared" si="55"/>
        <v>18</v>
      </c>
      <c r="N159">
        <f t="shared" si="56"/>
        <v>6</v>
      </c>
      <c r="O159" s="7">
        <f t="shared" si="39"/>
        <v>23</v>
      </c>
      <c r="P159">
        <f t="shared" si="51"/>
        <v>3</v>
      </c>
      <c r="Q159">
        <f t="shared" si="52"/>
        <v>10</v>
      </c>
      <c r="R159">
        <f>_xlfn.XLOOKUP(HFrame_List[[#This Row],[Cross piece style]],$AH$2:$AH$4,$AI$2:$AI$4,0,0)*(HFrame_List[[#This Row],[Width between brackets]]/12)</f>
        <v>65.285266666666658</v>
      </c>
      <c r="S159">
        <f>5.46*(HFrame_List[[#This Row],[cross piece quantity]]-1)*(HFrame_List[[#This Row],[Width between brackets]]/12)</f>
        <v>0</v>
      </c>
      <c r="T159" s="5">
        <f>HFrame_List[[#This Row],[Bottom cross piece cost]]+HFrame_List[[#This Row],[Top cross piece cost]]+HFrame_List[[#This Row],[Component costs]]+HFrame_List[[#This Row],[Vertical strut cost]]</f>
        <v>196.38726666666662</v>
      </c>
      <c r="U159" s="7">
        <f>_xlfn.XLOOKUP(HFrame_List[[#This Row],[Fabrication type]],Fabrication_costs[Fabrication type],Fabrication_costs[unit pricing],"no result",0)</f>
        <v>40.200000000000003</v>
      </c>
      <c r="V159" s="5">
        <f>SUM(T159:U159)/(1-HFrame_List[[#This Row],[Margin]])</f>
        <v>675.96361904761898</v>
      </c>
      <c r="W159" s="36">
        <f t="shared" si="53"/>
        <v>0.65</v>
      </c>
      <c r="X159" t="s">
        <v>196</v>
      </c>
      <c r="Y159">
        <f>_xlfn.XLOOKUP("A12",Strut_costs[size],Strut_costs[Strut cost])/12*HFrame_List[[#This Row],[Strut height (in)]]*(2+HFrame_List[[#This Row],[Extra supports]])</f>
        <v>65.52</v>
      </c>
      <c r="Z159">
        <f>(_xlfn.XLOOKUP("PHB",CADDY_costs[Component],CADDY_costs[Current cost])*HFrame_List[[#This Row],[Number of feet]])+(_xlfn.XLOOKUP("HFRMHDW",CADDY_costs[Component],CADDY_costs[Current cost])*(HFrame_List[[#This Row],[number of L-brackets]]/2))</f>
        <v>65.581999999999994</v>
      </c>
      <c r="AA159">
        <v>3660</v>
      </c>
      <c r="AB159" t="str">
        <f>VLOOKUP(HFrame_List[[#This Row],[lookup]],'Pallet and shipping info'!$A$5:$H$33,6,FALSE)</f>
        <v>x</v>
      </c>
      <c r="AC159">
        <f>VLOOKUP(HFrame_List[[#This Row],[lookup]],'Pallet and shipping info'!$A$5:$H$33,8,FALSE)</f>
        <v>7</v>
      </c>
      <c r="AD159"/>
      <c r="AE159"/>
      <c r="AF159"/>
    </row>
    <row r="160" spans="1:32" x14ac:dyDescent="0.25">
      <c r="A160" s="1" t="s">
        <v>500</v>
      </c>
      <c r="B160" t="s">
        <v>501</v>
      </c>
      <c r="C160">
        <f t="shared" si="47"/>
        <v>49.674999999999997</v>
      </c>
      <c r="D160">
        <f t="shared" si="48"/>
        <v>74.051000000000002</v>
      </c>
      <c r="E160">
        <v>48</v>
      </c>
      <c r="F160">
        <v>60</v>
      </c>
      <c r="G160">
        <f t="shared" si="54"/>
        <v>56.24</v>
      </c>
      <c r="H160">
        <v>2</v>
      </c>
      <c r="I160" t="s">
        <v>181</v>
      </c>
      <c r="J160">
        <v>1</v>
      </c>
      <c r="K160" s="6">
        <f t="shared" si="49"/>
        <v>18.375</v>
      </c>
      <c r="L160">
        <f t="shared" si="50"/>
        <v>4</v>
      </c>
      <c r="M160">
        <f t="shared" si="55"/>
        <v>18</v>
      </c>
      <c r="N160">
        <f t="shared" si="56"/>
        <v>6</v>
      </c>
      <c r="O160" s="7">
        <f t="shared" si="39"/>
        <v>29</v>
      </c>
      <c r="P160">
        <f t="shared" si="51"/>
        <v>3</v>
      </c>
      <c r="Q160">
        <f t="shared" si="52"/>
        <v>10</v>
      </c>
      <c r="R160">
        <f>_xlfn.XLOOKUP(HFrame_List[[#This Row],[Cross piece style]],$AH$2:$AH$4,$AI$2:$AI$4,0,0)*(HFrame_List[[#This Row],[Width between brackets]]/12)</f>
        <v>65.285266666666658</v>
      </c>
      <c r="S160">
        <f>5.46*(HFrame_List[[#This Row],[cross piece quantity]]-1)*(HFrame_List[[#This Row],[Width between brackets]]/12)</f>
        <v>0</v>
      </c>
      <c r="T160" s="5">
        <f>HFrame_List[[#This Row],[Bottom cross piece cost]]+HFrame_List[[#This Row],[Top cross piece cost]]+HFrame_List[[#This Row],[Component costs]]+HFrame_List[[#This Row],[Vertical strut cost]]</f>
        <v>218.22726666666665</v>
      </c>
      <c r="U160" s="7">
        <f>_xlfn.XLOOKUP(HFrame_List[[#This Row],[Fabrication type]],Fabrication_costs[Fabrication type],Fabrication_costs[unit pricing],"no result",0)</f>
        <v>40.200000000000003</v>
      </c>
      <c r="V160" s="5">
        <f>SUM(T160:U160)/(1-HFrame_List[[#This Row],[Margin]])</f>
        <v>738.36361904761907</v>
      </c>
      <c r="W160" s="36">
        <f t="shared" si="53"/>
        <v>0.65</v>
      </c>
      <c r="X160" t="s">
        <v>196</v>
      </c>
      <c r="Y160">
        <f>_xlfn.XLOOKUP("A12",Strut_costs[size],Strut_costs[Strut cost])/12*HFrame_List[[#This Row],[Strut height (in)]]*(2+HFrame_List[[#This Row],[Extra supports]])</f>
        <v>87.36</v>
      </c>
      <c r="Z160">
        <f>(_xlfn.XLOOKUP("PHB",CADDY_costs[Component],CADDY_costs[Current cost])*HFrame_List[[#This Row],[Number of feet]])+(_xlfn.XLOOKUP("HFRMHDW",CADDY_costs[Component],CADDY_costs[Current cost])*(HFrame_List[[#This Row],[number of L-brackets]]/2))</f>
        <v>65.581999999999994</v>
      </c>
      <c r="AA160">
        <v>4860</v>
      </c>
      <c r="AB160" t="str">
        <f>VLOOKUP(HFrame_List[[#This Row],[lookup]],'Pallet and shipping info'!$A$5:$H$33,6,FALSE)</f>
        <v>x</v>
      </c>
      <c r="AC160">
        <f>VLOOKUP(HFrame_List[[#This Row],[lookup]],'Pallet and shipping info'!$A$5:$H$33,8,FALSE)</f>
        <v>7</v>
      </c>
      <c r="AD160"/>
      <c r="AE160"/>
      <c r="AF160"/>
    </row>
    <row r="161" spans="1:32" x14ac:dyDescent="0.25">
      <c r="A161" s="1" t="s">
        <v>502</v>
      </c>
      <c r="B161" t="s">
        <v>503</v>
      </c>
      <c r="C161">
        <f t="shared" si="47"/>
        <v>73.674999999999997</v>
      </c>
      <c r="D161">
        <f t="shared" si="48"/>
        <v>74.051000000000002</v>
      </c>
      <c r="E161">
        <v>72</v>
      </c>
      <c r="F161">
        <v>60</v>
      </c>
      <c r="G161">
        <f t="shared" si="54"/>
        <v>56.24</v>
      </c>
      <c r="H161">
        <v>2</v>
      </c>
      <c r="I161" t="s">
        <v>181</v>
      </c>
      <c r="J161">
        <v>1</v>
      </c>
      <c r="K161" s="6">
        <f t="shared" si="49"/>
        <v>18.375</v>
      </c>
      <c r="L161">
        <f t="shared" si="50"/>
        <v>4</v>
      </c>
      <c r="M161">
        <f t="shared" si="55"/>
        <v>18</v>
      </c>
      <c r="N161">
        <f t="shared" si="56"/>
        <v>6</v>
      </c>
      <c r="O161" s="7">
        <f t="shared" si="39"/>
        <v>41</v>
      </c>
      <c r="P161">
        <f t="shared" si="51"/>
        <v>5</v>
      </c>
      <c r="Q161">
        <f t="shared" si="52"/>
        <v>10</v>
      </c>
      <c r="R161">
        <f>_xlfn.XLOOKUP(HFrame_List[[#This Row],[Cross piece style]],$AH$2:$AH$4,$AI$2:$AI$4,0,0)*(HFrame_List[[#This Row],[Width between brackets]]/12)</f>
        <v>65.285266666666658</v>
      </c>
      <c r="S161">
        <f>5.46*(HFrame_List[[#This Row],[cross piece quantity]]-1)*(HFrame_List[[#This Row],[Width between brackets]]/12)</f>
        <v>0</v>
      </c>
      <c r="T161" s="5">
        <f>HFrame_List[[#This Row],[Bottom cross piece cost]]+HFrame_List[[#This Row],[Top cross piece cost]]+HFrame_List[[#This Row],[Component costs]]+HFrame_List[[#This Row],[Vertical strut cost]]</f>
        <v>261.9072666666666</v>
      </c>
      <c r="U161" s="7">
        <f>_xlfn.XLOOKUP(HFrame_List[[#This Row],[Fabrication type]],Fabrication_costs[Fabrication type],Fabrication_costs[unit pricing],"no result",0)</f>
        <v>40.200000000000003</v>
      </c>
      <c r="V161" s="5">
        <f>SUM(T161:U161)/(1-HFrame_List[[#This Row],[Margin]])</f>
        <v>863.16361904761891</v>
      </c>
      <c r="W161" s="36">
        <f t="shared" si="53"/>
        <v>0.65</v>
      </c>
      <c r="X161" t="s">
        <v>196</v>
      </c>
      <c r="Y161">
        <f>_xlfn.XLOOKUP("A12",Strut_costs[size],Strut_costs[Strut cost])/12*HFrame_List[[#This Row],[Strut height (in)]]*(2+HFrame_List[[#This Row],[Extra supports]])</f>
        <v>131.04</v>
      </c>
      <c r="Z161">
        <f>(_xlfn.XLOOKUP("PHB",CADDY_costs[Component],CADDY_costs[Current cost])*HFrame_List[[#This Row],[Number of feet]])+(_xlfn.XLOOKUP("HFRMHDW",CADDY_costs[Component],CADDY_costs[Current cost])*(HFrame_List[[#This Row],[number of L-brackets]]/2))</f>
        <v>65.581999999999994</v>
      </c>
      <c r="AA161">
        <v>7260</v>
      </c>
      <c r="AB161" t="str">
        <f>VLOOKUP(HFrame_List[[#This Row],[lookup]],'Pallet and shipping info'!$A$5:$H$33,6,FALSE)</f>
        <v>x</v>
      </c>
      <c r="AC161">
        <f>VLOOKUP(HFrame_List[[#This Row],[lookup]],'Pallet and shipping info'!$A$5:$H$33,8,FALSE)</f>
        <v>7</v>
      </c>
      <c r="AD161"/>
      <c r="AE161"/>
      <c r="AF161"/>
    </row>
    <row r="162" spans="1:32" x14ac:dyDescent="0.25">
      <c r="A162" s="1" t="s">
        <v>504</v>
      </c>
      <c r="B162" t="s">
        <v>505</v>
      </c>
      <c r="C162">
        <f t="shared" si="47"/>
        <v>25.675000000000001</v>
      </c>
      <c r="D162">
        <f t="shared" si="48"/>
        <v>86.051000000000002</v>
      </c>
      <c r="E162">
        <v>24</v>
      </c>
      <c r="F162">
        <v>72</v>
      </c>
      <c r="G162">
        <f t="shared" si="54"/>
        <v>68.239999999999995</v>
      </c>
      <c r="H162">
        <v>2</v>
      </c>
      <c r="I162" t="s">
        <v>181</v>
      </c>
      <c r="J162">
        <v>1</v>
      </c>
      <c r="K162" s="6">
        <f t="shared" si="49"/>
        <v>22.375</v>
      </c>
      <c r="L162">
        <f t="shared" si="50"/>
        <v>4</v>
      </c>
      <c r="M162">
        <f t="shared" si="55"/>
        <v>18</v>
      </c>
      <c r="N162">
        <f t="shared" si="56"/>
        <v>6</v>
      </c>
      <c r="O162" s="7">
        <f t="shared" si="39"/>
        <v>18</v>
      </c>
      <c r="P162">
        <f t="shared" si="51"/>
        <v>2</v>
      </c>
      <c r="Q162">
        <f t="shared" si="52"/>
        <v>10</v>
      </c>
      <c r="R162">
        <f>_xlfn.XLOOKUP(HFrame_List[[#This Row],[Cross piece style]],$AH$2:$AH$4,$AI$2:$AI$4,0,0)*(HFrame_List[[#This Row],[Width between brackets]]/12)</f>
        <v>79.215266666666665</v>
      </c>
      <c r="S162">
        <f>5.46*(HFrame_List[[#This Row],[cross piece quantity]]-1)*(HFrame_List[[#This Row],[Width between brackets]]/12)</f>
        <v>0</v>
      </c>
      <c r="T162" s="5">
        <f>HFrame_List[[#This Row],[Bottom cross piece cost]]+HFrame_List[[#This Row],[Top cross piece cost]]+HFrame_List[[#This Row],[Component costs]]+HFrame_List[[#This Row],[Vertical strut cost]]</f>
        <v>188.47726666666665</v>
      </c>
      <c r="U162" s="7">
        <f>_xlfn.XLOOKUP(HFrame_List[[#This Row],[Fabrication type]],Fabrication_costs[Fabrication type],Fabrication_costs[unit pricing],"no result",0)</f>
        <v>40.200000000000003</v>
      </c>
      <c r="V162" s="5">
        <f>SUM(T162:U162)/(1-HFrame_List[[#This Row],[Margin]])</f>
        <v>653.36361904761907</v>
      </c>
      <c r="W162" s="36">
        <f t="shared" si="53"/>
        <v>0.65</v>
      </c>
      <c r="X162" t="s">
        <v>196</v>
      </c>
      <c r="Y162">
        <f>_xlfn.XLOOKUP("A12",Strut_costs[size],Strut_costs[Strut cost])/12*HFrame_List[[#This Row],[Strut height (in)]]*(2+HFrame_List[[#This Row],[Extra supports]])</f>
        <v>43.68</v>
      </c>
      <c r="Z162">
        <f>(_xlfn.XLOOKUP("PHB",CADDY_costs[Component],CADDY_costs[Current cost])*HFrame_List[[#This Row],[Number of feet]])+(_xlfn.XLOOKUP("HFRMHDW",CADDY_costs[Component],CADDY_costs[Current cost])*(HFrame_List[[#This Row],[number of L-brackets]]/2))</f>
        <v>65.581999999999994</v>
      </c>
      <c r="AA162">
        <v>2472</v>
      </c>
      <c r="AB162" t="str">
        <f>VLOOKUP(HFrame_List[[#This Row],[lookup]],'Pallet and shipping info'!$A$5:$H$33,6,FALSE)</f>
        <v>x</v>
      </c>
      <c r="AC162">
        <f>VLOOKUP(HFrame_List[[#This Row],[lookup]],'Pallet and shipping info'!$A$5:$H$33,8,FALSE)</f>
        <v>7</v>
      </c>
      <c r="AD162"/>
      <c r="AE162"/>
      <c r="AF162"/>
    </row>
    <row r="163" spans="1:32" x14ac:dyDescent="0.25">
      <c r="A163" s="1" t="s">
        <v>506</v>
      </c>
      <c r="B163" t="s">
        <v>507</v>
      </c>
      <c r="C163">
        <f t="shared" si="47"/>
        <v>37.674999999999997</v>
      </c>
      <c r="D163">
        <f t="shared" si="48"/>
        <v>86.051000000000002</v>
      </c>
      <c r="E163">
        <v>36</v>
      </c>
      <c r="F163">
        <v>72</v>
      </c>
      <c r="G163">
        <f t="shared" si="54"/>
        <v>68.239999999999995</v>
      </c>
      <c r="H163">
        <v>2</v>
      </c>
      <c r="I163" t="s">
        <v>181</v>
      </c>
      <c r="J163">
        <v>1</v>
      </c>
      <c r="K163" s="6">
        <f t="shared" si="49"/>
        <v>22.375</v>
      </c>
      <c r="L163">
        <f t="shared" si="50"/>
        <v>4</v>
      </c>
      <c r="M163">
        <f t="shared" si="55"/>
        <v>18</v>
      </c>
      <c r="N163">
        <f t="shared" si="56"/>
        <v>6</v>
      </c>
      <c r="O163" s="7">
        <f t="shared" ref="O163:O169" si="59">((E163*(L163+H163))+(F163*J163))/12</f>
        <v>24</v>
      </c>
      <c r="P163">
        <f t="shared" si="51"/>
        <v>3</v>
      </c>
      <c r="Q163">
        <f t="shared" si="52"/>
        <v>10</v>
      </c>
      <c r="R163">
        <f>_xlfn.XLOOKUP(HFrame_List[[#This Row],[Cross piece style]],$AH$2:$AH$4,$AI$2:$AI$4,0,0)*(HFrame_List[[#This Row],[Width between brackets]]/12)</f>
        <v>79.215266666666665</v>
      </c>
      <c r="S163">
        <f>5.46*(HFrame_List[[#This Row],[cross piece quantity]]-1)*(HFrame_List[[#This Row],[Width between brackets]]/12)</f>
        <v>0</v>
      </c>
      <c r="T163" s="5">
        <f>HFrame_List[[#This Row],[Bottom cross piece cost]]+HFrame_List[[#This Row],[Top cross piece cost]]+HFrame_List[[#This Row],[Component costs]]+HFrame_List[[#This Row],[Vertical strut cost]]</f>
        <v>210.31726666666663</v>
      </c>
      <c r="U163" s="7">
        <f>_xlfn.XLOOKUP(HFrame_List[[#This Row],[Fabrication type]],Fabrication_costs[Fabrication type],Fabrication_costs[unit pricing],"no result",0)</f>
        <v>40.200000000000003</v>
      </c>
      <c r="V163" s="5">
        <f>SUM(T163:U163)/(1-HFrame_List[[#This Row],[Margin]])</f>
        <v>715.76361904761893</v>
      </c>
      <c r="W163" s="36">
        <f t="shared" si="53"/>
        <v>0.65</v>
      </c>
      <c r="X163" t="s">
        <v>196</v>
      </c>
      <c r="Y163">
        <f>_xlfn.XLOOKUP("A12",Strut_costs[size],Strut_costs[Strut cost])/12*HFrame_List[[#This Row],[Strut height (in)]]*(2+HFrame_List[[#This Row],[Extra supports]])</f>
        <v>65.52</v>
      </c>
      <c r="Z163">
        <f>(_xlfn.XLOOKUP("PHB",CADDY_costs[Component],CADDY_costs[Current cost])*HFrame_List[[#This Row],[Number of feet]])+(_xlfn.XLOOKUP("HFRMHDW",CADDY_costs[Component],CADDY_costs[Current cost])*(HFrame_List[[#This Row],[number of L-brackets]]/2))</f>
        <v>65.581999999999994</v>
      </c>
      <c r="AA163">
        <v>3672</v>
      </c>
      <c r="AB163" t="str">
        <f>VLOOKUP(HFrame_List[[#This Row],[lookup]],'Pallet and shipping info'!$A$5:$H$33,6,FALSE)</f>
        <v>x</v>
      </c>
      <c r="AC163">
        <f>VLOOKUP(HFrame_List[[#This Row],[lookup]],'Pallet and shipping info'!$A$5:$H$33,8,FALSE)</f>
        <v>7</v>
      </c>
      <c r="AD163"/>
      <c r="AE163"/>
      <c r="AF163"/>
    </row>
    <row r="164" spans="1:32" x14ac:dyDescent="0.25">
      <c r="A164" s="1" t="s">
        <v>508</v>
      </c>
      <c r="B164" t="s">
        <v>509</v>
      </c>
      <c r="C164">
        <f t="shared" si="47"/>
        <v>49.674999999999997</v>
      </c>
      <c r="D164">
        <f t="shared" si="48"/>
        <v>86.051000000000002</v>
      </c>
      <c r="E164">
        <v>48</v>
      </c>
      <c r="F164">
        <v>72</v>
      </c>
      <c r="G164">
        <f t="shared" si="54"/>
        <v>68.239999999999995</v>
      </c>
      <c r="H164">
        <v>2</v>
      </c>
      <c r="I164" t="s">
        <v>181</v>
      </c>
      <c r="J164">
        <v>1</v>
      </c>
      <c r="K164" s="6">
        <f t="shared" si="49"/>
        <v>22.375</v>
      </c>
      <c r="L164">
        <f t="shared" si="50"/>
        <v>4</v>
      </c>
      <c r="M164">
        <f t="shared" si="55"/>
        <v>18</v>
      </c>
      <c r="N164">
        <f t="shared" si="56"/>
        <v>6</v>
      </c>
      <c r="O164" s="7">
        <f t="shared" si="59"/>
        <v>30</v>
      </c>
      <c r="P164">
        <f t="shared" si="51"/>
        <v>3</v>
      </c>
      <c r="Q164">
        <f t="shared" si="52"/>
        <v>10</v>
      </c>
      <c r="R164">
        <f>_xlfn.XLOOKUP(HFrame_List[[#This Row],[Cross piece style]],$AH$2:$AH$4,$AI$2:$AI$4,0,0)*(HFrame_List[[#This Row],[Width between brackets]]/12)</f>
        <v>79.215266666666665</v>
      </c>
      <c r="S164">
        <f>5.46*(HFrame_List[[#This Row],[cross piece quantity]]-1)*(HFrame_List[[#This Row],[Width between brackets]]/12)</f>
        <v>0</v>
      </c>
      <c r="T164" s="5">
        <f>HFrame_List[[#This Row],[Bottom cross piece cost]]+HFrame_List[[#This Row],[Top cross piece cost]]+HFrame_List[[#This Row],[Component costs]]+HFrame_List[[#This Row],[Vertical strut cost]]</f>
        <v>232.15726666666666</v>
      </c>
      <c r="U164" s="7">
        <f>_xlfn.XLOOKUP(HFrame_List[[#This Row],[Fabrication type]],Fabrication_costs[Fabrication type],Fabrication_costs[unit pricing],"no result",0)</f>
        <v>40.200000000000003</v>
      </c>
      <c r="V164" s="5">
        <f>SUM(T164:U164)/(1-HFrame_List[[#This Row],[Margin]])</f>
        <v>778.16361904761902</v>
      </c>
      <c r="W164" s="36">
        <f t="shared" si="53"/>
        <v>0.65</v>
      </c>
      <c r="X164" t="s">
        <v>196</v>
      </c>
      <c r="Y164">
        <f>_xlfn.XLOOKUP("A12",Strut_costs[size],Strut_costs[Strut cost])/12*HFrame_List[[#This Row],[Strut height (in)]]*(2+HFrame_List[[#This Row],[Extra supports]])</f>
        <v>87.36</v>
      </c>
      <c r="Z164">
        <f>(_xlfn.XLOOKUP("PHB",CADDY_costs[Component],CADDY_costs[Current cost])*HFrame_List[[#This Row],[Number of feet]])+(_xlfn.XLOOKUP("HFRMHDW",CADDY_costs[Component],CADDY_costs[Current cost])*(HFrame_List[[#This Row],[number of L-brackets]]/2))</f>
        <v>65.581999999999994</v>
      </c>
      <c r="AA164">
        <v>4872</v>
      </c>
      <c r="AB164" t="str">
        <f>VLOOKUP(HFrame_List[[#This Row],[lookup]],'Pallet and shipping info'!$A$5:$H$33,6,FALSE)</f>
        <v>x</v>
      </c>
      <c r="AC164">
        <f>VLOOKUP(HFrame_List[[#This Row],[lookup]],'Pallet and shipping info'!$A$5:$H$33,8,FALSE)</f>
        <v>7</v>
      </c>
      <c r="AD164"/>
      <c r="AE164"/>
      <c r="AF164"/>
    </row>
    <row r="165" spans="1:32" x14ac:dyDescent="0.25">
      <c r="A165" s="1" t="s">
        <v>510</v>
      </c>
      <c r="B165" t="s">
        <v>511</v>
      </c>
      <c r="C165">
        <f t="shared" si="47"/>
        <v>73.674999999999997</v>
      </c>
      <c r="D165">
        <f t="shared" si="48"/>
        <v>86.051000000000002</v>
      </c>
      <c r="E165">
        <v>72</v>
      </c>
      <c r="F165">
        <v>72</v>
      </c>
      <c r="G165">
        <f t="shared" si="54"/>
        <v>68.239999999999995</v>
      </c>
      <c r="H165">
        <v>2</v>
      </c>
      <c r="I165" t="s">
        <v>181</v>
      </c>
      <c r="J165">
        <v>1</v>
      </c>
      <c r="K165" s="6">
        <f t="shared" si="49"/>
        <v>22.375</v>
      </c>
      <c r="L165">
        <f t="shared" si="50"/>
        <v>4</v>
      </c>
      <c r="M165">
        <f t="shared" si="55"/>
        <v>18</v>
      </c>
      <c r="N165">
        <f t="shared" si="56"/>
        <v>6</v>
      </c>
      <c r="O165" s="7">
        <f t="shared" si="59"/>
        <v>42</v>
      </c>
      <c r="P165">
        <f t="shared" si="51"/>
        <v>5</v>
      </c>
      <c r="Q165">
        <f t="shared" si="52"/>
        <v>10</v>
      </c>
      <c r="R165">
        <f>_xlfn.XLOOKUP(HFrame_List[[#This Row],[Cross piece style]],$AH$2:$AH$4,$AI$2:$AI$4,0,0)*(HFrame_List[[#This Row],[Width between brackets]]/12)</f>
        <v>79.215266666666665</v>
      </c>
      <c r="S165">
        <f>5.46*(HFrame_List[[#This Row],[cross piece quantity]]-1)*(HFrame_List[[#This Row],[Width between brackets]]/12)</f>
        <v>0</v>
      </c>
      <c r="T165" s="5">
        <f>HFrame_List[[#This Row],[Bottom cross piece cost]]+HFrame_List[[#This Row],[Top cross piece cost]]+HFrame_List[[#This Row],[Component costs]]+HFrame_List[[#This Row],[Vertical strut cost]]</f>
        <v>275.83726666666666</v>
      </c>
      <c r="U165" s="7">
        <f>_xlfn.XLOOKUP(HFrame_List[[#This Row],[Fabrication type]],Fabrication_costs[Fabrication type],Fabrication_costs[unit pricing],"no result",0)</f>
        <v>40.200000000000003</v>
      </c>
      <c r="V165" s="5">
        <f>SUM(T165:U165)/(1-HFrame_List[[#This Row],[Margin]])</f>
        <v>902.96361904761909</v>
      </c>
      <c r="W165" s="36">
        <f t="shared" si="53"/>
        <v>0.65</v>
      </c>
      <c r="X165" t="s">
        <v>196</v>
      </c>
      <c r="Y165">
        <f>_xlfn.XLOOKUP("A12",Strut_costs[size],Strut_costs[Strut cost])/12*HFrame_List[[#This Row],[Strut height (in)]]*(2+HFrame_List[[#This Row],[Extra supports]])</f>
        <v>131.04</v>
      </c>
      <c r="Z165">
        <f>(_xlfn.XLOOKUP("PHB",CADDY_costs[Component],CADDY_costs[Current cost])*HFrame_List[[#This Row],[Number of feet]])+(_xlfn.XLOOKUP("HFRMHDW",CADDY_costs[Component],CADDY_costs[Current cost])*(HFrame_List[[#This Row],[number of L-brackets]]/2))</f>
        <v>65.581999999999994</v>
      </c>
      <c r="AA165">
        <v>7272</v>
      </c>
      <c r="AB165" t="str">
        <f>VLOOKUP(HFrame_List[[#This Row],[lookup]],'Pallet and shipping info'!$A$5:$H$33,6,FALSE)</f>
        <v>x</v>
      </c>
      <c r="AC165">
        <f>VLOOKUP(HFrame_List[[#This Row],[lookup]],'Pallet and shipping info'!$A$5:$H$33,8,FALSE)</f>
        <v>7</v>
      </c>
      <c r="AD165"/>
      <c r="AE165"/>
      <c r="AF165"/>
    </row>
    <row r="166" spans="1:32" x14ac:dyDescent="0.25">
      <c r="A166" s="1" t="s">
        <v>512</v>
      </c>
      <c r="B166" t="s">
        <v>513</v>
      </c>
      <c r="C166">
        <f t="shared" si="47"/>
        <v>25.675000000000001</v>
      </c>
      <c r="D166">
        <f t="shared" si="48"/>
        <v>98.051000000000002</v>
      </c>
      <c r="E166">
        <v>24</v>
      </c>
      <c r="F166">
        <v>84</v>
      </c>
      <c r="G166">
        <f t="shared" si="54"/>
        <v>80.239999999999995</v>
      </c>
      <c r="H166">
        <v>2</v>
      </c>
      <c r="I166" t="s">
        <v>181</v>
      </c>
      <c r="J166">
        <v>1</v>
      </c>
      <c r="K166" s="6">
        <f t="shared" si="49"/>
        <v>26.375</v>
      </c>
      <c r="L166">
        <f t="shared" si="50"/>
        <v>4</v>
      </c>
      <c r="M166">
        <f t="shared" si="55"/>
        <v>18</v>
      </c>
      <c r="N166">
        <f t="shared" si="56"/>
        <v>6</v>
      </c>
      <c r="O166" s="7">
        <f t="shared" si="59"/>
        <v>19</v>
      </c>
      <c r="P166">
        <f t="shared" si="51"/>
        <v>2</v>
      </c>
      <c r="Q166">
        <f t="shared" si="52"/>
        <v>10</v>
      </c>
      <c r="R166">
        <f>_xlfn.XLOOKUP(HFrame_List[[#This Row],[Cross piece style]],$AH$2:$AH$4,$AI$2:$AI$4,0,0)*(HFrame_List[[#This Row],[Width between brackets]]/12)</f>
        <v>93.145266666666657</v>
      </c>
      <c r="S166">
        <f>5.46*(HFrame_List[[#This Row],[cross piece quantity]]-1)*(HFrame_List[[#This Row],[Width between brackets]]/12)</f>
        <v>0</v>
      </c>
      <c r="T166" s="5">
        <f>HFrame_List[[#This Row],[Bottom cross piece cost]]+HFrame_List[[#This Row],[Top cross piece cost]]+HFrame_List[[#This Row],[Component costs]]+HFrame_List[[#This Row],[Vertical strut cost]]</f>
        <v>202.40726666666666</v>
      </c>
      <c r="U166" s="7">
        <f>_xlfn.XLOOKUP(HFrame_List[[#This Row],[Fabrication type]],Fabrication_costs[Fabrication type],Fabrication_costs[unit pricing],"no result",0)</f>
        <v>40.200000000000003</v>
      </c>
      <c r="V166" s="5">
        <f>SUM(T166:U166)/(1-HFrame_List[[#This Row],[Margin]])</f>
        <v>693.16361904761902</v>
      </c>
      <c r="W166" s="36">
        <f t="shared" si="53"/>
        <v>0.65</v>
      </c>
      <c r="X166" t="s">
        <v>196</v>
      </c>
      <c r="Y166">
        <f>_xlfn.XLOOKUP("A12",Strut_costs[size],Strut_costs[Strut cost])/12*HFrame_List[[#This Row],[Strut height (in)]]*(2+HFrame_List[[#This Row],[Extra supports]])</f>
        <v>43.68</v>
      </c>
      <c r="Z166">
        <f>(_xlfn.XLOOKUP("PHB",CADDY_costs[Component],CADDY_costs[Current cost])*HFrame_List[[#This Row],[Number of feet]])+(_xlfn.XLOOKUP("HFRMHDW",CADDY_costs[Component],CADDY_costs[Current cost])*(HFrame_List[[#This Row],[number of L-brackets]]/2))</f>
        <v>65.581999999999994</v>
      </c>
      <c r="AA166">
        <v>2484</v>
      </c>
      <c r="AB166" t="str">
        <f>VLOOKUP(HFrame_List[[#This Row],[lookup]],'Pallet and shipping info'!$A$5:$H$33,6,FALSE)</f>
        <v>x</v>
      </c>
      <c r="AC166">
        <f>VLOOKUP(HFrame_List[[#This Row],[lookup]],'Pallet and shipping info'!$A$5:$H$33,8,FALSE)</f>
        <v>7</v>
      </c>
      <c r="AD166"/>
      <c r="AE166"/>
      <c r="AF166"/>
    </row>
    <row r="167" spans="1:32" x14ac:dyDescent="0.25">
      <c r="A167" s="1" t="s">
        <v>514</v>
      </c>
      <c r="B167" t="s">
        <v>515</v>
      </c>
      <c r="C167">
        <f t="shared" si="47"/>
        <v>37.674999999999997</v>
      </c>
      <c r="D167">
        <f t="shared" si="48"/>
        <v>98.051000000000002</v>
      </c>
      <c r="E167">
        <v>36</v>
      </c>
      <c r="F167">
        <v>84</v>
      </c>
      <c r="G167">
        <f t="shared" si="54"/>
        <v>80.239999999999995</v>
      </c>
      <c r="H167">
        <v>2</v>
      </c>
      <c r="I167" t="s">
        <v>181</v>
      </c>
      <c r="J167">
        <v>1</v>
      </c>
      <c r="K167" s="6">
        <f t="shared" si="49"/>
        <v>26.375</v>
      </c>
      <c r="L167">
        <f t="shared" si="50"/>
        <v>4</v>
      </c>
      <c r="M167">
        <f t="shared" si="55"/>
        <v>18</v>
      </c>
      <c r="N167">
        <f t="shared" si="56"/>
        <v>6</v>
      </c>
      <c r="O167" s="7">
        <f t="shared" si="59"/>
        <v>25</v>
      </c>
      <c r="P167">
        <f t="shared" si="51"/>
        <v>3</v>
      </c>
      <c r="Q167">
        <f t="shared" si="52"/>
        <v>10</v>
      </c>
      <c r="R167">
        <f>_xlfn.XLOOKUP(HFrame_List[[#This Row],[Cross piece style]],$AH$2:$AH$4,$AI$2:$AI$4,0,0)*(HFrame_List[[#This Row],[Width between brackets]]/12)</f>
        <v>93.145266666666657</v>
      </c>
      <c r="S167">
        <f>5.46*(HFrame_List[[#This Row],[cross piece quantity]]-1)*(HFrame_List[[#This Row],[Width between brackets]]/12)</f>
        <v>0</v>
      </c>
      <c r="T167" s="5">
        <f>HFrame_List[[#This Row],[Bottom cross piece cost]]+HFrame_List[[#This Row],[Top cross piece cost]]+HFrame_List[[#This Row],[Component costs]]+HFrame_List[[#This Row],[Vertical strut cost]]</f>
        <v>224.24726666666663</v>
      </c>
      <c r="U167" s="7">
        <f>_xlfn.XLOOKUP(HFrame_List[[#This Row],[Fabrication type]],Fabrication_costs[Fabrication type],Fabrication_costs[unit pricing],"no result",0)</f>
        <v>40.200000000000003</v>
      </c>
      <c r="V167" s="5">
        <f>SUM(T167:U167)/(1-HFrame_List[[#This Row],[Margin]])</f>
        <v>755.563619047619</v>
      </c>
      <c r="W167" s="36">
        <f t="shared" si="53"/>
        <v>0.65</v>
      </c>
      <c r="X167" t="s">
        <v>196</v>
      </c>
      <c r="Y167">
        <f>_xlfn.XLOOKUP("A12",Strut_costs[size],Strut_costs[Strut cost])/12*HFrame_List[[#This Row],[Strut height (in)]]*(2+HFrame_List[[#This Row],[Extra supports]])</f>
        <v>65.52</v>
      </c>
      <c r="Z167">
        <f>(_xlfn.XLOOKUP("PHB",CADDY_costs[Component],CADDY_costs[Current cost])*HFrame_List[[#This Row],[Number of feet]])+(_xlfn.XLOOKUP("HFRMHDW",CADDY_costs[Component],CADDY_costs[Current cost])*(HFrame_List[[#This Row],[number of L-brackets]]/2))</f>
        <v>65.581999999999994</v>
      </c>
      <c r="AA167">
        <v>3684</v>
      </c>
      <c r="AB167" t="str">
        <f>VLOOKUP(HFrame_List[[#This Row],[lookup]],'Pallet and shipping info'!$A$5:$H$33,6,FALSE)</f>
        <v>x</v>
      </c>
      <c r="AC167">
        <f>VLOOKUP(HFrame_List[[#This Row],[lookup]],'Pallet and shipping info'!$A$5:$H$33,8,FALSE)</f>
        <v>7</v>
      </c>
      <c r="AD167"/>
      <c r="AE167"/>
      <c r="AF167"/>
    </row>
    <row r="168" spans="1:32" x14ac:dyDescent="0.25">
      <c r="A168" s="1" t="s">
        <v>516</v>
      </c>
      <c r="B168" t="s">
        <v>517</v>
      </c>
      <c r="C168">
        <f t="shared" si="47"/>
        <v>49.674999999999997</v>
      </c>
      <c r="D168">
        <f t="shared" si="48"/>
        <v>98.051000000000002</v>
      </c>
      <c r="E168">
        <v>48</v>
      </c>
      <c r="F168">
        <v>84</v>
      </c>
      <c r="G168">
        <f t="shared" si="54"/>
        <v>80.239999999999995</v>
      </c>
      <c r="H168">
        <v>2</v>
      </c>
      <c r="I168" t="s">
        <v>181</v>
      </c>
      <c r="J168">
        <v>1</v>
      </c>
      <c r="K168" s="6">
        <f t="shared" si="49"/>
        <v>26.375</v>
      </c>
      <c r="L168">
        <f t="shared" si="50"/>
        <v>4</v>
      </c>
      <c r="M168">
        <f t="shared" si="55"/>
        <v>18</v>
      </c>
      <c r="N168">
        <f t="shared" si="56"/>
        <v>6</v>
      </c>
      <c r="O168" s="7">
        <f t="shared" si="59"/>
        <v>31</v>
      </c>
      <c r="P168">
        <f t="shared" si="51"/>
        <v>4</v>
      </c>
      <c r="Q168">
        <f t="shared" si="52"/>
        <v>10</v>
      </c>
      <c r="R168">
        <f>_xlfn.XLOOKUP(HFrame_List[[#This Row],[Cross piece style]],$AH$2:$AH$4,$AI$2:$AI$4,0,0)*(HFrame_List[[#This Row],[Width between brackets]]/12)</f>
        <v>93.145266666666657</v>
      </c>
      <c r="S168">
        <f>5.46*(HFrame_List[[#This Row],[cross piece quantity]]-1)*(HFrame_List[[#This Row],[Width between brackets]]/12)</f>
        <v>0</v>
      </c>
      <c r="T168" s="5">
        <f>HFrame_List[[#This Row],[Bottom cross piece cost]]+HFrame_List[[#This Row],[Top cross piece cost]]+HFrame_List[[#This Row],[Component costs]]+HFrame_List[[#This Row],[Vertical strut cost]]</f>
        <v>246.08726666666666</v>
      </c>
      <c r="U168" s="7">
        <f>_xlfn.XLOOKUP(HFrame_List[[#This Row],[Fabrication type]],Fabrication_costs[Fabrication type],Fabrication_costs[unit pricing],"no result",0)</f>
        <v>40.200000000000003</v>
      </c>
      <c r="V168" s="5">
        <f>SUM(T168:U168)/(1-HFrame_List[[#This Row],[Margin]])</f>
        <v>817.96361904761909</v>
      </c>
      <c r="W168" s="36">
        <f t="shared" si="53"/>
        <v>0.65</v>
      </c>
      <c r="X168" t="s">
        <v>196</v>
      </c>
      <c r="Y168">
        <f>_xlfn.XLOOKUP("A12",Strut_costs[size],Strut_costs[Strut cost])/12*HFrame_List[[#This Row],[Strut height (in)]]*(2+HFrame_List[[#This Row],[Extra supports]])</f>
        <v>87.36</v>
      </c>
      <c r="Z168">
        <f>(_xlfn.XLOOKUP("PHB",CADDY_costs[Component],CADDY_costs[Current cost])*HFrame_List[[#This Row],[Number of feet]])+(_xlfn.XLOOKUP("HFRMHDW",CADDY_costs[Component],CADDY_costs[Current cost])*(HFrame_List[[#This Row],[number of L-brackets]]/2))</f>
        <v>65.581999999999994</v>
      </c>
      <c r="AA168">
        <v>4884</v>
      </c>
      <c r="AB168" t="str">
        <f>VLOOKUP(HFrame_List[[#This Row],[lookup]],'Pallet and shipping info'!$A$5:$H$33,6,FALSE)</f>
        <v>x</v>
      </c>
      <c r="AC168">
        <f>VLOOKUP(HFrame_List[[#This Row],[lookup]],'Pallet and shipping info'!$A$5:$H$33,8,FALSE)</f>
        <v>7</v>
      </c>
      <c r="AD168"/>
      <c r="AE168"/>
      <c r="AF168"/>
    </row>
    <row r="169" spans="1:32" x14ac:dyDescent="0.25">
      <c r="A169" s="1" t="s">
        <v>518</v>
      </c>
      <c r="B169" t="s">
        <v>519</v>
      </c>
      <c r="C169">
        <f t="shared" si="47"/>
        <v>73.674999999999997</v>
      </c>
      <c r="D169">
        <f t="shared" si="48"/>
        <v>98.051000000000002</v>
      </c>
      <c r="E169">
        <v>72</v>
      </c>
      <c r="F169">
        <v>84</v>
      </c>
      <c r="G169">
        <f t="shared" si="54"/>
        <v>80.239999999999995</v>
      </c>
      <c r="H169">
        <v>2</v>
      </c>
      <c r="I169" t="s">
        <v>181</v>
      </c>
      <c r="J169">
        <v>1</v>
      </c>
      <c r="K169" s="6">
        <f t="shared" si="49"/>
        <v>26.375</v>
      </c>
      <c r="L169">
        <f t="shared" si="50"/>
        <v>4</v>
      </c>
      <c r="M169">
        <f t="shared" si="55"/>
        <v>18</v>
      </c>
      <c r="N169">
        <f t="shared" si="56"/>
        <v>6</v>
      </c>
      <c r="O169" s="7">
        <f t="shared" si="59"/>
        <v>43</v>
      </c>
      <c r="P169">
        <f t="shared" si="51"/>
        <v>5</v>
      </c>
      <c r="Q169">
        <f t="shared" si="52"/>
        <v>10</v>
      </c>
      <c r="R169">
        <f>_xlfn.XLOOKUP(HFrame_List[[#This Row],[Cross piece style]],$AH$2:$AH$4,$AI$2:$AI$4,0,0)*(HFrame_List[[#This Row],[Width between brackets]]/12)</f>
        <v>93.145266666666657</v>
      </c>
      <c r="S169">
        <f>5.46*(HFrame_List[[#This Row],[cross piece quantity]]-1)*(HFrame_List[[#This Row],[Width between brackets]]/12)</f>
        <v>0</v>
      </c>
      <c r="T169" s="5">
        <f>HFrame_List[[#This Row],[Bottom cross piece cost]]+HFrame_List[[#This Row],[Top cross piece cost]]+HFrame_List[[#This Row],[Component costs]]+HFrame_List[[#This Row],[Vertical strut cost]]</f>
        <v>289.76726666666661</v>
      </c>
      <c r="U169" s="7">
        <f>_xlfn.XLOOKUP(HFrame_List[[#This Row],[Fabrication type]],Fabrication_costs[Fabrication type],Fabrication_costs[unit pricing],"no result",0)</f>
        <v>40.200000000000003</v>
      </c>
      <c r="V169" s="5">
        <f>SUM(T169:U169)/(1-HFrame_List[[#This Row],[Margin]])</f>
        <v>942.76361904761893</v>
      </c>
      <c r="W169" s="36">
        <f t="shared" si="53"/>
        <v>0.65</v>
      </c>
      <c r="X169" t="s">
        <v>196</v>
      </c>
      <c r="Y169">
        <f>_xlfn.XLOOKUP("A12",Strut_costs[size],Strut_costs[Strut cost])/12*HFrame_List[[#This Row],[Strut height (in)]]*(2+HFrame_List[[#This Row],[Extra supports]])</f>
        <v>131.04</v>
      </c>
      <c r="Z169">
        <f>(_xlfn.XLOOKUP("PHB",CADDY_costs[Component],CADDY_costs[Current cost])*HFrame_List[[#This Row],[Number of feet]])+(_xlfn.XLOOKUP("HFRMHDW",CADDY_costs[Component],CADDY_costs[Current cost])*(HFrame_List[[#This Row],[number of L-brackets]]/2))</f>
        <v>65.581999999999994</v>
      </c>
      <c r="AA169">
        <v>7284</v>
      </c>
      <c r="AB169" t="str">
        <f>VLOOKUP(HFrame_List[[#This Row],[lookup]],'Pallet and shipping info'!$A$5:$H$33,6,FALSE)</f>
        <v>x</v>
      </c>
      <c r="AC169">
        <f>VLOOKUP(HFrame_List[[#This Row],[lookup]],'Pallet and shipping info'!$A$5:$H$33,8,FALSE)</f>
        <v>7</v>
      </c>
      <c r="AD169"/>
      <c r="AE169"/>
      <c r="AF169"/>
    </row>
    <row r="170" spans="1:32" x14ac:dyDescent="0.25">
      <c r="A170" s="1" t="s">
        <v>520</v>
      </c>
      <c r="B170" s="1" t="s">
        <v>521</v>
      </c>
      <c r="C170" s="1">
        <f t="shared" si="47"/>
        <v>25.675000000000001</v>
      </c>
      <c r="D170" s="1">
        <f t="shared" si="48"/>
        <v>34.051000000000002</v>
      </c>
      <c r="E170" s="1">
        <v>24</v>
      </c>
      <c r="F170" s="1">
        <v>20</v>
      </c>
      <c r="G170" s="1">
        <f>F170-(1.88*2)</f>
        <v>16.240000000000002</v>
      </c>
      <c r="H170" s="1">
        <v>0</v>
      </c>
      <c r="I170" s="1" t="s">
        <v>186</v>
      </c>
      <c r="J170" s="1">
        <v>1</v>
      </c>
      <c r="K170" s="2">
        <f t="shared" si="49"/>
        <v>20</v>
      </c>
      <c r="L170" s="1">
        <f t="shared" si="50"/>
        <v>2</v>
      </c>
      <c r="M170" s="1">
        <f>3*N170</f>
        <v>6</v>
      </c>
      <c r="N170" s="1">
        <f>(2+(2*H170))*J170</f>
        <v>2</v>
      </c>
      <c r="O170" s="3">
        <f>((E170*(L170+H170))+(F170*J170))/12</f>
        <v>5.666666666666667</v>
      </c>
      <c r="P170" s="1">
        <f t="shared" si="51"/>
        <v>1</v>
      </c>
      <c r="Q170">
        <f t="shared" si="52"/>
        <v>6</v>
      </c>
      <c r="R170">
        <f>_xlfn.XLOOKUP(HFrame_List[[#This Row],[Cross piece style]],$AH$2:$AH$4,$AI$2:$AI$4,0,0)*(HFrame_List[[#This Row],[Width between brackets]]/12)</f>
        <v>40.194000000000003</v>
      </c>
      <c r="S170">
        <f>5.46*(HFrame_List[[#This Row],[cross piece quantity]]-1)*(HFrame_List[[#This Row],[Width between brackets]]/12)</f>
        <v>0</v>
      </c>
      <c r="T170" s="5">
        <f>HFrame_List[[#This Row],[Bottom cross piece cost]]+HFrame_List[[#This Row],[Top cross piece cost]]+HFrame_List[[#This Row],[Component costs]]+HFrame_List[[#This Row],[Vertical strut cost]]</f>
        <v>90.092000000000013</v>
      </c>
      <c r="U170" s="7">
        <f>_xlfn.XLOOKUP(HFrame_List[[#This Row],[Fabrication type]],Fabrication_costs[Fabrication type],Fabrication_costs[unit pricing],"no result",0)</f>
        <v>19.8</v>
      </c>
      <c r="V170" s="5">
        <f>SUM(T170:U170)/(1-HFrame_List[[#This Row],[Margin]])</f>
        <v>313.97714285714289</v>
      </c>
      <c r="W170" s="36">
        <f t="shared" si="53"/>
        <v>0.65</v>
      </c>
      <c r="X170" t="s">
        <v>177</v>
      </c>
      <c r="Y170">
        <f>_xlfn.XLOOKUP("A12",Strut_costs[size],Strut_costs[Strut cost])/12*HFrame_List[[#This Row],[Strut height (in)]]*(2+HFrame_List[[#This Row],[Extra supports]])</f>
        <v>21.84</v>
      </c>
      <c r="Z170">
        <f>(_xlfn.XLOOKUP("PHB",CADDY_costs[Component],CADDY_costs[Current cost])*HFrame_List[[#This Row],[Number of feet]])+(_xlfn.XLOOKUP("HFRMHDW",CADDY_costs[Component],CADDY_costs[Current cost])*(HFrame_List[[#This Row],[number of L-brackets]]/2))</f>
        <v>28.058</v>
      </c>
      <c r="AA170">
        <v>2420</v>
      </c>
      <c r="AB170">
        <f>VLOOKUP(HFrame_List[[#This Row],[lookup]],'Pallet and shipping info'!$A$5:$H$33,6,FALSE)</f>
        <v>11</v>
      </c>
      <c r="AC170">
        <f>VLOOKUP(HFrame_List[[#This Row],[lookup]],'Pallet and shipping info'!$A$5:$H$33,8,FALSE)</f>
        <v>15</v>
      </c>
      <c r="AD170"/>
      <c r="AE170"/>
      <c r="AF170"/>
    </row>
    <row r="171" spans="1:32" x14ac:dyDescent="0.25">
      <c r="A171" s="1" t="s">
        <v>522</v>
      </c>
      <c r="B171" s="1" t="s">
        <v>523</v>
      </c>
      <c r="C171" s="1">
        <f t="shared" si="47"/>
        <v>37.674999999999997</v>
      </c>
      <c r="D171" s="1">
        <f t="shared" si="48"/>
        <v>34.051000000000002</v>
      </c>
      <c r="E171" s="1">
        <v>36</v>
      </c>
      <c r="F171" s="1">
        <f>F170</f>
        <v>20</v>
      </c>
      <c r="G171" s="1">
        <f t="shared" ref="G171:G193" si="60">F171-(1.88*2)</f>
        <v>16.240000000000002</v>
      </c>
      <c r="H171" s="1">
        <v>0</v>
      </c>
      <c r="I171" s="1" t="s">
        <v>186</v>
      </c>
      <c r="J171" s="1">
        <v>1</v>
      </c>
      <c r="K171" s="2">
        <f t="shared" si="49"/>
        <v>20</v>
      </c>
      <c r="L171" s="1">
        <f t="shared" si="50"/>
        <v>2</v>
      </c>
      <c r="M171" s="1">
        <f t="shared" ref="M171:M193" si="61">3*N171</f>
        <v>6</v>
      </c>
      <c r="N171" s="1">
        <f t="shared" ref="N171:N193" si="62">(2+(2*H171))*J171</f>
        <v>2</v>
      </c>
      <c r="O171" s="3">
        <f t="shared" ref="O171:O234" si="63">((E171*(L171+H171))+(F171*J171))/12</f>
        <v>7.666666666666667</v>
      </c>
      <c r="P171" s="1">
        <f t="shared" si="51"/>
        <v>1</v>
      </c>
      <c r="Q171">
        <f t="shared" si="52"/>
        <v>6</v>
      </c>
      <c r="R171">
        <f>_xlfn.XLOOKUP(HFrame_List[[#This Row],[Cross piece style]],$AH$2:$AH$4,$AI$2:$AI$4,0,0)*(HFrame_List[[#This Row],[Width between brackets]]/12)</f>
        <v>40.194000000000003</v>
      </c>
      <c r="S171">
        <f>5.46*(HFrame_List[[#This Row],[cross piece quantity]]-1)*(HFrame_List[[#This Row],[Width between brackets]]/12)</f>
        <v>0</v>
      </c>
      <c r="T171" s="5">
        <f>HFrame_List[[#This Row],[Bottom cross piece cost]]+HFrame_List[[#This Row],[Top cross piece cost]]+HFrame_List[[#This Row],[Component costs]]+HFrame_List[[#This Row],[Vertical strut cost]]</f>
        <v>101.012</v>
      </c>
      <c r="U171" s="7">
        <f>_xlfn.XLOOKUP(HFrame_List[[#This Row],[Fabrication type]],Fabrication_costs[Fabrication type],Fabrication_costs[unit pricing],"no result",0)</f>
        <v>19.8</v>
      </c>
      <c r="V171" s="5">
        <f>SUM(T171:U171)/(1-HFrame_List[[#This Row],[Margin]])</f>
        <v>345.17714285714288</v>
      </c>
      <c r="W171" s="36">
        <f t="shared" si="53"/>
        <v>0.65</v>
      </c>
      <c r="X171" t="s">
        <v>177</v>
      </c>
      <c r="Y171">
        <f>_xlfn.XLOOKUP("A12",Strut_costs[size],Strut_costs[Strut cost])/12*HFrame_List[[#This Row],[Strut height (in)]]*(2+HFrame_List[[#This Row],[Extra supports]])</f>
        <v>32.76</v>
      </c>
      <c r="Z171">
        <f>(_xlfn.XLOOKUP("PHB",CADDY_costs[Component],CADDY_costs[Current cost])*HFrame_List[[#This Row],[Number of feet]])+(_xlfn.XLOOKUP("HFRMHDW",CADDY_costs[Component],CADDY_costs[Current cost])*(HFrame_List[[#This Row],[number of L-brackets]]/2))</f>
        <v>28.058</v>
      </c>
      <c r="AA171">
        <v>3620</v>
      </c>
      <c r="AB171">
        <f>VLOOKUP(HFrame_List[[#This Row],[lookup]],'Pallet and shipping info'!$A$5:$H$33,6,FALSE)</f>
        <v>11</v>
      </c>
      <c r="AC171">
        <f>VLOOKUP(HFrame_List[[#This Row],[lookup]],'Pallet and shipping info'!$A$5:$H$33,8,FALSE)</f>
        <v>15</v>
      </c>
      <c r="AD171"/>
      <c r="AE171"/>
      <c r="AF171"/>
    </row>
    <row r="172" spans="1:32" x14ac:dyDescent="0.25">
      <c r="A172" s="1" t="s">
        <v>524</v>
      </c>
      <c r="B172" s="1" t="s">
        <v>525</v>
      </c>
      <c r="C172" s="1">
        <f t="shared" si="47"/>
        <v>49.674999999999997</v>
      </c>
      <c r="D172" s="1">
        <f t="shared" si="48"/>
        <v>34.051000000000002</v>
      </c>
      <c r="E172" s="1">
        <v>48</v>
      </c>
      <c r="F172" s="1">
        <f t="shared" ref="F172:F173" si="64">F171</f>
        <v>20</v>
      </c>
      <c r="G172" s="1">
        <f t="shared" si="60"/>
        <v>16.240000000000002</v>
      </c>
      <c r="H172" s="1">
        <v>0</v>
      </c>
      <c r="I172" s="1" t="s">
        <v>186</v>
      </c>
      <c r="J172" s="1">
        <v>1</v>
      </c>
      <c r="K172" s="2">
        <f t="shared" si="49"/>
        <v>20</v>
      </c>
      <c r="L172" s="1">
        <f t="shared" si="50"/>
        <v>2</v>
      </c>
      <c r="M172" s="1">
        <f t="shared" si="61"/>
        <v>6</v>
      </c>
      <c r="N172" s="1">
        <f t="shared" si="62"/>
        <v>2</v>
      </c>
      <c r="O172" s="3">
        <f t="shared" si="63"/>
        <v>9.6666666666666661</v>
      </c>
      <c r="P172" s="1">
        <f t="shared" si="51"/>
        <v>1</v>
      </c>
      <c r="Q172">
        <f t="shared" si="52"/>
        <v>6</v>
      </c>
      <c r="R172">
        <f>_xlfn.XLOOKUP(HFrame_List[[#This Row],[Cross piece style]],$AH$2:$AH$4,$AI$2:$AI$4,0,0)*(HFrame_List[[#This Row],[Width between brackets]]/12)</f>
        <v>40.194000000000003</v>
      </c>
      <c r="S172">
        <f>5.46*(HFrame_List[[#This Row],[cross piece quantity]]-1)*(HFrame_List[[#This Row],[Width between brackets]]/12)</f>
        <v>0</v>
      </c>
      <c r="T172" s="5">
        <f>HFrame_List[[#This Row],[Bottom cross piece cost]]+HFrame_List[[#This Row],[Top cross piece cost]]+HFrame_List[[#This Row],[Component costs]]+HFrame_List[[#This Row],[Vertical strut cost]]</f>
        <v>111.93200000000002</v>
      </c>
      <c r="U172" s="7">
        <f>_xlfn.XLOOKUP(HFrame_List[[#This Row],[Fabrication type]],Fabrication_costs[Fabrication type],Fabrication_costs[unit pricing],"no result",0)</f>
        <v>19.8</v>
      </c>
      <c r="V172" s="5">
        <f>SUM(T172:U172)/(1-HFrame_List[[#This Row],[Margin]])</f>
        <v>376.37714285714299</v>
      </c>
      <c r="W172" s="36">
        <f t="shared" si="53"/>
        <v>0.65</v>
      </c>
      <c r="X172" t="s">
        <v>177</v>
      </c>
      <c r="Y172">
        <f>_xlfn.XLOOKUP("A12",Strut_costs[size],Strut_costs[Strut cost])/12*HFrame_List[[#This Row],[Strut height (in)]]*(2+HFrame_List[[#This Row],[Extra supports]])</f>
        <v>43.68</v>
      </c>
      <c r="Z172">
        <f>(_xlfn.XLOOKUP("PHB",CADDY_costs[Component],CADDY_costs[Current cost])*HFrame_List[[#This Row],[Number of feet]])+(_xlfn.XLOOKUP("HFRMHDW",CADDY_costs[Component],CADDY_costs[Current cost])*(HFrame_List[[#This Row],[number of L-brackets]]/2))</f>
        <v>28.058</v>
      </c>
      <c r="AA172">
        <v>4820</v>
      </c>
      <c r="AB172">
        <f>VLOOKUP(HFrame_List[[#This Row],[lookup]],'Pallet and shipping info'!$A$5:$H$33,6,FALSE)</f>
        <v>11</v>
      </c>
      <c r="AC172">
        <f>VLOOKUP(HFrame_List[[#This Row],[lookup]],'Pallet and shipping info'!$A$5:$H$33,8,FALSE)</f>
        <v>15</v>
      </c>
      <c r="AD172"/>
      <c r="AE172"/>
      <c r="AF172"/>
    </row>
    <row r="173" spans="1:32" x14ac:dyDescent="0.25">
      <c r="A173" s="1" t="s">
        <v>526</v>
      </c>
      <c r="B173" s="1" t="s">
        <v>527</v>
      </c>
      <c r="C173" s="1">
        <f t="shared" si="47"/>
        <v>73.674999999999997</v>
      </c>
      <c r="D173" s="1">
        <f t="shared" si="48"/>
        <v>34.051000000000002</v>
      </c>
      <c r="E173" s="1">
        <v>72</v>
      </c>
      <c r="F173" s="1">
        <f t="shared" si="64"/>
        <v>20</v>
      </c>
      <c r="G173" s="1">
        <f t="shared" si="60"/>
        <v>16.240000000000002</v>
      </c>
      <c r="H173" s="1">
        <v>0</v>
      </c>
      <c r="I173" s="1" t="s">
        <v>186</v>
      </c>
      <c r="J173" s="1">
        <v>1</v>
      </c>
      <c r="K173" s="2">
        <f t="shared" si="49"/>
        <v>20</v>
      </c>
      <c r="L173" s="1">
        <f t="shared" si="50"/>
        <v>2</v>
      </c>
      <c r="M173" s="1">
        <f t="shared" si="61"/>
        <v>6</v>
      </c>
      <c r="N173" s="1">
        <f t="shared" si="62"/>
        <v>2</v>
      </c>
      <c r="O173" s="3">
        <f t="shared" si="63"/>
        <v>13.666666666666666</v>
      </c>
      <c r="P173" s="1">
        <f t="shared" si="51"/>
        <v>2</v>
      </c>
      <c r="Q173">
        <f t="shared" si="52"/>
        <v>6</v>
      </c>
      <c r="R173">
        <f>_xlfn.XLOOKUP(HFrame_List[[#This Row],[Cross piece style]],$AH$2:$AH$4,$AI$2:$AI$4,0,0)*(HFrame_List[[#This Row],[Width between brackets]]/12)</f>
        <v>40.194000000000003</v>
      </c>
      <c r="S173">
        <f>5.46*(HFrame_List[[#This Row],[cross piece quantity]]-1)*(HFrame_List[[#This Row],[Width between brackets]]/12)</f>
        <v>0</v>
      </c>
      <c r="T173" s="5">
        <f>HFrame_List[[#This Row],[Bottom cross piece cost]]+HFrame_List[[#This Row],[Top cross piece cost]]+HFrame_List[[#This Row],[Component costs]]+HFrame_List[[#This Row],[Vertical strut cost]]</f>
        <v>133.77199999999999</v>
      </c>
      <c r="U173" s="7">
        <f>_xlfn.XLOOKUP(HFrame_List[[#This Row],[Fabrication type]],Fabrication_costs[Fabrication type],Fabrication_costs[unit pricing],"no result",0)</f>
        <v>19.8</v>
      </c>
      <c r="V173" s="5">
        <f>SUM(T173:U173)/(1-HFrame_List[[#This Row],[Margin]])</f>
        <v>438.77714285714291</v>
      </c>
      <c r="W173" s="36">
        <f t="shared" si="53"/>
        <v>0.65</v>
      </c>
      <c r="X173" t="s">
        <v>177</v>
      </c>
      <c r="Y173">
        <f>_xlfn.XLOOKUP("A12",Strut_costs[size],Strut_costs[Strut cost])/12*HFrame_List[[#This Row],[Strut height (in)]]*(2+HFrame_List[[#This Row],[Extra supports]])</f>
        <v>65.52</v>
      </c>
      <c r="Z173">
        <f>(_xlfn.XLOOKUP("PHB",CADDY_costs[Component],CADDY_costs[Current cost])*HFrame_List[[#This Row],[Number of feet]])+(_xlfn.XLOOKUP("HFRMHDW",CADDY_costs[Component],CADDY_costs[Current cost])*(HFrame_List[[#This Row],[number of L-brackets]]/2))</f>
        <v>28.058</v>
      </c>
      <c r="AA173">
        <v>7220</v>
      </c>
      <c r="AB173">
        <f>VLOOKUP(HFrame_List[[#This Row],[lookup]],'Pallet and shipping info'!$A$5:$H$33,6,FALSE)</f>
        <v>11</v>
      </c>
      <c r="AC173">
        <f>VLOOKUP(HFrame_List[[#This Row],[lookup]],'Pallet and shipping info'!$A$5:$H$33,8,FALSE)</f>
        <v>15</v>
      </c>
      <c r="AD173"/>
      <c r="AE173"/>
      <c r="AF173"/>
    </row>
    <row r="174" spans="1:32" x14ac:dyDescent="0.25">
      <c r="A174" s="1" t="s">
        <v>528</v>
      </c>
      <c r="B174" s="1" t="s">
        <v>529</v>
      </c>
      <c r="C174" s="1">
        <f t="shared" si="47"/>
        <v>25.675000000000001</v>
      </c>
      <c r="D174" s="1">
        <f t="shared" si="48"/>
        <v>50.050999999999995</v>
      </c>
      <c r="E174" s="1">
        <v>24</v>
      </c>
      <c r="F174" s="1">
        <v>36</v>
      </c>
      <c r="G174" s="1">
        <f t="shared" si="60"/>
        <v>32.24</v>
      </c>
      <c r="H174" s="1">
        <v>0</v>
      </c>
      <c r="I174" s="1" t="s">
        <v>186</v>
      </c>
      <c r="J174" s="1">
        <v>1</v>
      </c>
      <c r="K174" s="2">
        <f t="shared" si="49"/>
        <v>36</v>
      </c>
      <c r="L174" s="1">
        <f t="shared" si="50"/>
        <v>2</v>
      </c>
      <c r="M174" s="1">
        <f t="shared" si="61"/>
        <v>6</v>
      </c>
      <c r="N174" s="1">
        <f t="shared" si="62"/>
        <v>2</v>
      </c>
      <c r="O174" s="3">
        <f t="shared" si="63"/>
        <v>7</v>
      </c>
      <c r="P174" s="1">
        <f t="shared" si="51"/>
        <v>1</v>
      </c>
      <c r="Q174">
        <f t="shared" si="52"/>
        <v>6</v>
      </c>
      <c r="R174">
        <f>_xlfn.XLOOKUP(HFrame_List[[#This Row],[Cross piece style]],$AH$2:$AH$4,$AI$2:$AI$4,0,0)*(HFrame_List[[#This Row],[Width between brackets]]/12)</f>
        <v>79.794000000000011</v>
      </c>
      <c r="S174">
        <f>5.46*(HFrame_List[[#This Row],[cross piece quantity]]-1)*(HFrame_List[[#This Row],[Width between brackets]]/12)</f>
        <v>0</v>
      </c>
      <c r="T174" s="5">
        <f>HFrame_List[[#This Row],[Bottom cross piece cost]]+HFrame_List[[#This Row],[Top cross piece cost]]+HFrame_List[[#This Row],[Component costs]]+HFrame_List[[#This Row],[Vertical strut cost]]</f>
        <v>129.69200000000001</v>
      </c>
      <c r="U174" s="7">
        <f>_xlfn.XLOOKUP(HFrame_List[[#This Row],[Fabrication type]],Fabrication_costs[Fabrication type],Fabrication_costs[unit pricing],"no result",0)</f>
        <v>19.8</v>
      </c>
      <c r="V174" s="5">
        <f>SUM(T174:U174)/(1-HFrame_List[[#This Row],[Margin]])</f>
        <v>427.12000000000006</v>
      </c>
      <c r="W174" s="36">
        <f t="shared" si="53"/>
        <v>0.65</v>
      </c>
      <c r="X174" t="s">
        <v>177</v>
      </c>
      <c r="Y174">
        <f>_xlfn.XLOOKUP("A12",Strut_costs[size],Strut_costs[Strut cost])/12*HFrame_List[[#This Row],[Strut height (in)]]*(2+HFrame_List[[#This Row],[Extra supports]])</f>
        <v>21.84</v>
      </c>
      <c r="Z174">
        <f>(_xlfn.XLOOKUP("PHB",CADDY_costs[Component],CADDY_costs[Current cost])*HFrame_List[[#This Row],[Number of feet]])+(_xlfn.XLOOKUP("HFRMHDW",CADDY_costs[Component],CADDY_costs[Current cost])*(HFrame_List[[#This Row],[number of L-brackets]]/2))</f>
        <v>28.058</v>
      </c>
      <c r="AA174">
        <v>2436</v>
      </c>
      <c r="AB174">
        <f>VLOOKUP(HFrame_List[[#This Row],[lookup]],'Pallet and shipping info'!$A$5:$H$33,6,FALSE)</f>
        <v>9</v>
      </c>
      <c r="AC174">
        <f>VLOOKUP(HFrame_List[[#This Row],[lookup]],'Pallet and shipping info'!$A$5:$H$33,8,FALSE)</f>
        <v>14</v>
      </c>
      <c r="AD174"/>
      <c r="AE174"/>
      <c r="AF174"/>
    </row>
    <row r="175" spans="1:32" x14ac:dyDescent="0.25">
      <c r="A175" s="1" t="s">
        <v>530</v>
      </c>
      <c r="B175" s="1" t="s">
        <v>531</v>
      </c>
      <c r="C175" s="1">
        <f t="shared" si="47"/>
        <v>37.674999999999997</v>
      </c>
      <c r="D175" s="1">
        <f t="shared" si="48"/>
        <v>50.050999999999995</v>
      </c>
      <c r="E175" s="1">
        <v>36</v>
      </c>
      <c r="F175" s="1">
        <f>F174</f>
        <v>36</v>
      </c>
      <c r="G175" s="1">
        <f t="shared" si="60"/>
        <v>32.24</v>
      </c>
      <c r="H175" s="1">
        <v>0</v>
      </c>
      <c r="I175" s="1" t="s">
        <v>186</v>
      </c>
      <c r="J175" s="1">
        <v>1</v>
      </c>
      <c r="K175" s="2">
        <f t="shared" si="49"/>
        <v>36</v>
      </c>
      <c r="L175" s="1">
        <f t="shared" si="50"/>
        <v>2</v>
      </c>
      <c r="M175" s="1">
        <f t="shared" si="61"/>
        <v>6</v>
      </c>
      <c r="N175" s="1">
        <f t="shared" si="62"/>
        <v>2</v>
      </c>
      <c r="O175" s="3">
        <f t="shared" si="63"/>
        <v>9</v>
      </c>
      <c r="P175" s="1">
        <f t="shared" si="51"/>
        <v>1</v>
      </c>
      <c r="Q175">
        <f t="shared" si="52"/>
        <v>6</v>
      </c>
      <c r="R175">
        <f>_xlfn.XLOOKUP(HFrame_List[[#This Row],[Cross piece style]],$AH$2:$AH$4,$AI$2:$AI$4,0,0)*(HFrame_List[[#This Row],[Width between brackets]]/12)</f>
        <v>79.794000000000011</v>
      </c>
      <c r="S175">
        <f>5.46*(HFrame_List[[#This Row],[cross piece quantity]]-1)*(HFrame_List[[#This Row],[Width between brackets]]/12)</f>
        <v>0</v>
      </c>
      <c r="T175" s="5">
        <f>HFrame_List[[#This Row],[Bottom cross piece cost]]+HFrame_List[[#This Row],[Top cross piece cost]]+HFrame_List[[#This Row],[Component costs]]+HFrame_List[[#This Row],[Vertical strut cost]]</f>
        <v>140.61199999999999</v>
      </c>
      <c r="U175" s="7">
        <f>_xlfn.XLOOKUP(HFrame_List[[#This Row],[Fabrication type]],Fabrication_costs[Fabrication type],Fabrication_costs[unit pricing],"no result",0)</f>
        <v>19.8</v>
      </c>
      <c r="V175" s="5">
        <f>SUM(T175:U175)/(1-HFrame_List[[#This Row],[Margin]])</f>
        <v>458.32000000000005</v>
      </c>
      <c r="W175" s="36">
        <f t="shared" si="53"/>
        <v>0.65</v>
      </c>
      <c r="X175" t="s">
        <v>177</v>
      </c>
      <c r="Y175">
        <f>_xlfn.XLOOKUP("A12",Strut_costs[size],Strut_costs[Strut cost])/12*HFrame_List[[#This Row],[Strut height (in)]]*(2+HFrame_List[[#This Row],[Extra supports]])</f>
        <v>32.76</v>
      </c>
      <c r="Z175">
        <f>(_xlfn.XLOOKUP("PHB",CADDY_costs[Component],CADDY_costs[Current cost])*HFrame_List[[#This Row],[Number of feet]])+(_xlfn.XLOOKUP("HFRMHDW",CADDY_costs[Component],CADDY_costs[Current cost])*(HFrame_List[[#This Row],[number of L-brackets]]/2))</f>
        <v>28.058</v>
      </c>
      <c r="AA175">
        <v>3636</v>
      </c>
      <c r="AB175">
        <f>VLOOKUP(HFrame_List[[#This Row],[lookup]],'Pallet and shipping info'!$A$5:$H$33,6,FALSE)</f>
        <v>9</v>
      </c>
      <c r="AC175">
        <f>VLOOKUP(HFrame_List[[#This Row],[lookup]],'Pallet and shipping info'!$A$5:$H$33,8,FALSE)</f>
        <v>14</v>
      </c>
      <c r="AD175"/>
      <c r="AE175"/>
      <c r="AF175"/>
    </row>
    <row r="176" spans="1:32" x14ac:dyDescent="0.25">
      <c r="A176" s="1" t="s">
        <v>532</v>
      </c>
      <c r="B176" s="1" t="s">
        <v>533</v>
      </c>
      <c r="C176" s="1">
        <f t="shared" si="47"/>
        <v>49.674999999999997</v>
      </c>
      <c r="D176" s="1">
        <f t="shared" si="48"/>
        <v>50.050999999999995</v>
      </c>
      <c r="E176" s="1">
        <v>48</v>
      </c>
      <c r="F176" s="1">
        <f t="shared" ref="F176:F181" si="65">F175</f>
        <v>36</v>
      </c>
      <c r="G176" s="1">
        <f t="shared" si="60"/>
        <v>32.24</v>
      </c>
      <c r="H176" s="1">
        <v>0</v>
      </c>
      <c r="I176" s="1" t="s">
        <v>186</v>
      </c>
      <c r="J176" s="1">
        <v>1</v>
      </c>
      <c r="K176" s="2">
        <f t="shared" si="49"/>
        <v>36</v>
      </c>
      <c r="L176" s="1">
        <f t="shared" si="50"/>
        <v>2</v>
      </c>
      <c r="M176" s="1">
        <f t="shared" si="61"/>
        <v>6</v>
      </c>
      <c r="N176" s="1">
        <f t="shared" si="62"/>
        <v>2</v>
      </c>
      <c r="O176" s="3">
        <f t="shared" si="63"/>
        <v>11</v>
      </c>
      <c r="P176" s="1">
        <f t="shared" si="51"/>
        <v>2</v>
      </c>
      <c r="Q176">
        <f t="shared" si="52"/>
        <v>6</v>
      </c>
      <c r="R176">
        <f>_xlfn.XLOOKUP(HFrame_List[[#This Row],[Cross piece style]],$AH$2:$AH$4,$AI$2:$AI$4,0,0)*(HFrame_List[[#This Row],[Width between brackets]]/12)</f>
        <v>79.794000000000011</v>
      </c>
      <c r="S176">
        <f>5.46*(HFrame_List[[#This Row],[cross piece quantity]]-1)*(HFrame_List[[#This Row],[Width between brackets]]/12)</f>
        <v>0</v>
      </c>
      <c r="T176" s="5">
        <f>HFrame_List[[#This Row],[Bottom cross piece cost]]+HFrame_List[[#This Row],[Top cross piece cost]]+HFrame_List[[#This Row],[Component costs]]+HFrame_List[[#This Row],[Vertical strut cost]]</f>
        <v>151.53200000000001</v>
      </c>
      <c r="U176" s="7">
        <f>_xlfn.XLOOKUP(HFrame_List[[#This Row],[Fabrication type]],Fabrication_costs[Fabrication type],Fabrication_costs[unit pricing],"no result",0)</f>
        <v>19.8</v>
      </c>
      <c r="V176" s="5">
        <f>SUM(T176:U176)/(1-HFrame_List[[#This Row],[Margin]])</f>
        <v>489.5200000000001</v>
      </c>
      <c r="W176" s="36">
        <f t="shared" si="53"/>
        <v>0.65</v>
      </c>
      <c r="X176" t="s">
        <v>177</v>
      </c>
      <c r="Y176">
        <f>_xlfn.XLOOKUP("A12",Strut_costs[size],Strut_costs[Strut cost])/12*HFrame_List[[#This Row],[Strut height (in)]]*(2+HFrame_List[[#This Row],[Extra supports]])</f>
        <v>43.68</v>
      </c>
      <c r="Z176">
        <f>(_xlfn.XLOOKUP("PHB",CADDY_costs[Component],CADDY_costs[Current cost])*HFrame_List[[#This Row],[Number of feet]])+(_xlfn.XLOOKUP("HFRMHDW",CADDY_costs[Component],CADDY_costs[Current cost])*(HFrame_List[[#This Row],[number of L-brackets]]/2))</f>
        <v>28.058</v>
      </c>
      <c r="AA176">
        <v>4836</v>
      </c>
      <c r="AB176">
        <f>VLOOKUP(HFrame_List[[#This Row],[lookup]],'Pallet and shipping info'!$A$5:$H$33,6,FALSE)</f>
        <v>9</v>
      </c>
      <c r="AC176">
        <f>VLOOKUP(HFrame_List[[#This Row],[lookup]],'Pallet and shipping info'!$A$5:$H$33,8,FALSE)</f>
        <v>14</v>
      </c>
      <c r="AD176"/>
      <c r="AE176"/>
      <c r="AF176"/>
    </row>
    <row r="177" spans="1:32" x14ac:dyDescent="0.25">
      <c r="A177" s="1" t="s">
        <v>534</v>
      </c>
      <c r="B177" s="1" t="s">
        <v>535</v>
      </c>
      <c r="C177" s="1">
        <f t="shared" si="47"/>
        <v>73.674999999999997</v>
      </c>
      <c r="D177" s="1">
        <f t="shared" si="48"/>
        <v>50.050999999999995</v>
      </c>
      <c r="E177" s="1">
        <v>72</v>
      </c>
      <c r="F177" s="1">
        <f t="shared" si="65"/>
        <v>36</v>
      </c>
      <c r="G177" s="1">
        <f t="shared" si="60"/>
        <v>32.24</v>
      </c>
      <c r="H177" s="1">
        <v>0</v>
      </c>
      <c r="I177" s="1" t="s">
        <v>186</v>
      </c>
      <c r="J177" s="1">
        <v>1</v>
      </c>
      <c r="K177" s="2">
        <f t="shared" si="49"/>
        <v>36</v>
      </c>
      <c r="L177" s="1">
        <f t="shared" si="50"/>
        <v>2</v>
      </c>
      <c r="M177" s="1">
        <f t="shared" si="61"/>
        <v>6</v>
      </c>
      <c r="N177" s="1">
        <f t="shared" si="62"/>
        <v>2</v>
      </c>
      <c r="O177" s="3">
        <f t="shared" si="63"/>
        <v>15</v>
      </c>
      <c r="P177" s="1">
        <f t="shared" si="51"/>
        <v>2</v>
      </c>
      <c r="Q177">
        <f t="shared" si="52"/>
        <v>6</v>
      </c>
      <c r="R177">
        <f>_xlfn.XLOOKUP(HFrame_List[[#This Row],[Cross piece style]],$AH$2:$AH$4,$AI$2:$AI$4,0,0)*(HFrame_List[[#This Row],[Width between brackets]]/12)</f>
        <v>79.794000000000011</v>
      </c>
      <c r="S177">
        <f>5.46*(HFrame_List[[#This Row],[cross piece quantity]]-1)*(HFrame_List[[#This Row],[Width between brackets]]/12)</f>
        <v>0</v>
      </c>
      <c r="T177" s="5">
        <f>HFrame_List[[#This Row],[Bottom cross piece cost]]+HFrame_List[[#This Row],[Top cross piece cost]]+HFrame_List[[#This Row],[Component costs]]+HFrame_List[[#This Row],[Vertical strut cost]]</f>
        <v>173.37200000000001</v>
      </c>
      <c r="U177" s="7">
        <f>_xlfn.XLOOKUP(HFrame_List[[#This Row],[Fabrication type]],Fabrication_costs[Fabrication type],Fabrication_costs[unit pricing],"no result",0)</f>
        <v>19.8</v>
      </c>
      <c r="V177" s="5">
        <f>SUM(T177:U177)/(1-HFrame_List[[#This Row],[Margin]])</f>
        <v>551.92000000000007</v>
      </c>
      <c r="W177" s="36">
        <f t="shared" si="53"/>
        <v>0.65</v>
      </c>
      <c r="X177" t="s">
        <v>177</v>
      </c>
      <c r="Y177">
        <f>_xlfn.XLOOKUP("A12",Strut_costs[size],Strut_costs[Strut cost])/12*HFrame_List[[#This Row],[Strut height (in)]]*(2+HFrame_List[[#This Row],[Extra supports]])</f>
        <v>65.52</v>
      </c>
      <c r="Z177">
        <f>(_xlfn.XLOOKUP("PHB",CADDY_costs[Component],CADDY_costs[Current cost])*HFrame_List[[#This Row],[Number of feet]])+(_xlfn.XLOOKUP("HFRMHDW",CADDY_costs[Component],CADDY_costs[Current cost])*(HFrame_List[[#This Row],[number of L-brackets]]/2))</f>
        <v>28.058</v>
      </c>
      <c r="AA177">
        <v>7236</v>
      </c>
      <c r="AB177">
        <f>VLOOKUP(HFrame_List[[#This Row],[lookup]],'Pallet and shipping info'!$A$5:$H$33,6,FALSE)</f>
        <v>9</v>
      </c>
      <c r="AC177">
        <f>VLOOKUP(HFrame_List[[#This Row],[lookup]],'Pallet and shipping info'!$A$5:$H$33,8,FALSE)</f>
        <v>14</v>
      </c>
      <c r="AD177"/>
      <c r="AE177"/>
      <c r="AF177"/>
    </row>
    <row r="178" spans="1:32" x14ac:dyDescent="0.25">
      <c r="A178" s="1" t="s">
        <v>536</v>
      </c>
      <c r="B178" s="1" t="s">
        <v>537</v>
      </c>
      <c r="C178" s="1">
        <f t="shared" si="47"/>
        <v>25.675000000000001</v>
      </c>
      <c r="D178" s="1">
        <f t="shared" si="48"/>
        <v>62.050999999999995</v>
      </c>
      <c r="E178" s="1">
        <v>24</v>
      </c>
      <c r="F178" s="1">
        <v>48</v>
      </c>
      <c r="G178" s="1">
        <f t="shared" si="60"/>
        <v>44.24</v>
      </c>
      <c r="H178" s="1">
        <v>0</v>
      </c>
      <c r="I178" s="1" t="s">
        <v>186</v>
      </c>
      <c r="J178" s="1">
        <v>1</v>
      </c>
      <c r="K178" s="2">
        <f t="shared" si="49"/>
        <v>48</v>
      </c>
      <c r="L178" s="1">
        <f t="shared" si="50"/>
        <v>2</v>
      </c>
      <c r="M178" s="1">
        <f t="shared" si="61"/>
        <v>6</v>
      </c>
      <c r="N178" s="1">
        <f t="shared" si="62"/>
        <v>2</v>
      </c>
      <c r="O178" s="3">
        <f t="shared" si="63"/>
        <v>8</v>
      </c>
      <c r="P178" s="1">
        <f t="shared" si="51"/>
        <v>1</v>
      </c>
      <c r="Q178">
        <f t="shared" si="52"/>
        <v>6</v>
      </c>
      <c r="R178">
        <f>_xlfn.XLOOKUP(HFrame_List[[#This Row],[Cross piece style]],$AH$2:$AH$4,$AI$2:$AI$4,0,0)*(HFrame_List[[#This Row],[Width between brackets]]/12)</f>
        <v>109.494</v>
      </c>
      <c r="S178">
        <f>5.46*(HFrame_List[[#This Row],[cross piece quantity]]-1)*(HFrame_List[[#This Row],[Width between brackets]]/12)</f>
        <v>0</v>
      </c>
      <c r="T178" s="5">
        <f>HFrame_List[[#This Row],[Bottom cross piece cost]]+HFrame_List[[#This Row],[Top cross piece cost]]+HFrame_List[[#This Row],[Component costs]]+HFrame_List[[#This Row],[Vertical strut cost]]</f>
        <v>159.392</v>
      </c>
      <c r="U178" s="7">
        <f>_xlfn.XLOOKUP(HFrame_List[[#This Row],[Fabrication type]],Fabrication_costs[Fabrication type],Fabrication_costs[unit pricing],"no result",0)</f>
        <v>19.8</v>
      </c>
      <c r="V178" s="5">
        <f>SUM(T178:U178)/(1-HFrame_List[[#This Row],[Margin]])</f>
        <v>511.97714285714289</v>
      </c>
      <c r="W178" s="36">
        <f t="shared" si="53"/>
        <v>0.65</v>
      </c>
      <c r="X178" t="s">
        <v>177</v>
      </c>
      <c r="Y178">
        <f>_xlfn.XLOOKUP("A12",Strut_costs[size],Strut_costs[Strut cost])/12*HFrame_List[[#This Row],[Strut height (in)]]*(2+HFrame_List[[#This Row],[Extra supports]])</f>
        <v>21.84</v>
      </c>
      <c r="Z178">
        <f>(_xlfn.XLOOKUP("PHB",CADDY_costs[Component],CADDY_costs[Current cost])*HFrame_List[[#This Row],[Number of feet]])+(_xlfn.XLOOKUP("HFRMHDW",CADDY_costs[Component],CADDY_costs[Current cost])*(HFrame_List[[#This Row],[number of L-brackets]]/2))</f>
        <v>28.058</v>
      </c>
      <c r="AA178">
        <v>2448</v>
      </c>
      <c r="AB178">
        <f>VLOOKUP(HFrame_List[[#This Row],[lookup]],'Pallet and shipping info'!$A$5:$H$33,6,FALSE)</f>
        <v>7</v>
      </c>
      <c r="AC178">
        <f>VLOOKUP(HFrame_List[[#This Row],[lookup]],'Pallet and shipping info'!$A$5:$H$33,8,FALSE)</f>
        <v>10</v>
      </c>
      <c r="AD178"/>
      <c r="AE178"/>
      <c r="AF178"/>
    </row>
    <row r="179" spans="1:32" x14ac:dyDescent="0.25">
      <c r="A179" s="1" t="s">
        <v>538</v>
      </c>
      <c r="B179" s="1" t="s">
        <v>539</v>
      </c>
      <c r="C179" s="1">
        <f t="shared" si="47"/>
        <v>37.674999999999997</v>
      </c>
      <c r="D179" s="1">
        <f t="shared" si="48"/>
        <v>62.050999999999995</v>
      </c>
      <c r="E179" s="1">
        <v>36</v>
      </c>
      <c r="F179" s="1">
        <f t="shared" si="65"/>
        <v>48</v>
      </c>
      <c r="G179" s="1">
        <f t="shared" si="60"/>
        <v>44.24</v>
      </c>
      <c r="H179" s="1">
        <v>0</v>
      </c>
      <c r="I179" s="1" t="s">
        <v>186</v>
      </c>
      <c r="J179" s="1">
        <v>1</v>
      </c>
      <c r="K179" s="2">
        <f t="shared" si="49"/>
        <v>48</v>
      </c>
      <c r="L179" s="1">
        <f t="shared" si="50"/>
        <v>2</v>
      </c>
      <c r="M179" s="1">
        <f t="shared" si="61"/>
        <v>6</v>
      </c>
      <c r="N179" s="1">
        <f t="shared" si="62"/>
        <v>2</v>
      </c>
      <c r="O179" s="3">
        <f t="shared" si="63"/>
        <v>10</v>
      </c>
      <c r="P179" s="1">
        <f t="shared" si="51"/>
        <v>1</v>
      </c>
      <c r="Q179">
        <f t="shared" si="52"/>
        <v>6</v>
      </c>
      <c r="R179">
        <f>_xlfn.XLOOKUP(HFrame_List[[#This Row],[Cross piece style]],$AH$2:$AH$4,$AI$2:$AI$4,0,0)*(HFrame_List[[#This Row],[Width between brackets]]/12)</f>
        <v>109.494</v>
      </c>
      <c r="S179">
        <f>5.46*(HFrame_List[[#This Row],[cross piece quantity]]-1)*(HFrame_List[[#This Row],[Width between brackets]]/12)</f>
        <v>0</v>
      </c>
      <c r="T179" s="5">
        <f>HFrame_List[[#This Row],[Bottom cross piece cost]]+HFrame_List[[#This Row],[Top cross piece cost]]+HFrame_List[[#This Row],[Component costs]]+HFrame_List[[#This Row],[Vertical strut cost]]</f>
        <v>170.31199999999998</v>
      </c>
      <c r="U179" s="7">
        <f>_xlfn.XLOOKUP(HFrame_List[[#This Row],[Fabrication type]],Fabrication_costs[Fabrication type],Fabrication_costs[unit pricing],"no result",0)</f>
        <v>19.8</v>
      </c>
      <c r="V179" s="5">
        <f>SUM(T179:U179)/(1-HFrame_List[[#This Row],[Margin]])</f>
        <v>543.17714285714283</v>
      </c>
      <c r="W179" s="36">
        <f t="shared" si="53"/>
        <v>0.65</v>
      </c>
      <c r="X179" t="s">
        <v>177</v>
      </c>
      <c r="Y179">
        <f>_xlfn.XLOOKUP("A12",Strut_costs[size],Strut_costs[Strut cost])/12*HFrame_List[[#This Row],[Strut height (in)]]*(2+HFrame_List[[#This Row],[Extra supports]])</f>
        <v>32.76</v>
      </c>
      <c r="Z179">
        <f>(_xlfn.XLOOKUP("PHB",CADDY_costs[Component],CADDY_costs[Current cost])*HFrame_List[[#This Row],[Number of feet]])+(_xlfn.XLOOKUP("HFRMHDW",CADDY_costs[Component],CADDY_costs[Current cost])*(HFrame_List[[#This Row],[number of L-brackets]]/2))</f>
        <v>28.058</v>
      </c>
      <c r="AA179">
        <v>3648</v>
      </c>
      <c r="AB179">
        <f>VLOOKUP(HFrame_List[[#This Row],[lookup]],'Pallet and shipping info'!$A$5:$H$33,6,FALSE)</f>
        <v>7</v>
      </c>
      <c r="AC179">
        <f>VLOOKUP(HFrame_List[[#This Row],[lookup]],'Pallet and shipping info'!$A$5:$H$33,8,FALSE)</f>
        <v>10</v>
      </c>
      <c r="AD179"/>
      <c r="AE179"/>
      <c r="AF179"/>
    </row>
    <row r="180" spans="1:32" x14ac:dyDescent="0.25">
      <c r="A180" s="1" t="s">
        <v>540</v>
      </c>
      <c r="B180" s="1" t="s">
        <v>541</v>
      </c>
      <c r="C180" s="1">
        <f t="shared" si="47"/>
        <v>49.674999999999997</v>
      </c>
      <c r="D180" s="1">
        <f t="shared" si="48"/>
        <v>62.050999999999995</v>
      </c>
      <c r="E180" s="1">
        <v>48</v>
      </c>
      <c r="F180" s="1">
        <f t="shared" si="65"/>
        <v>48</v>
      </c>
      <c r="G180" s="1">
        <f t="shared" si="60"/>
        <v>44.24</v>
      </c>
      <c r="H180" s="1">
        <v>0</v>
      </c>
      <c r="I180" s="1" t="s">
        <v>186</v>
      </c>
      <c r="J180" s="1">
        <v>1</v>
      </c>
      <c r="K180" s="2">
        <f t="shared" si="49"/>
        <v>48</v>
      </c>
      <c r="L180" s="1">
        <f t="shared" si="50"/>
        <v>2</v>
      </c>
      <c r="M180" s="1">
        <f t="shared" si="61"/>
        <v>6</v>
      </c>
      <c r="N180" s="1">
        <f t="shared" si="62"/>
        <v>2</v>
      </c>
      <c r="O180" s="3">
        <f t="shared" si="63"/>
        <v>12</v>
      </c>
      <c r="P180" s="1">
        <f t="shared" si="51"/>
        <v>2</v>
      </c>
      <c r="Q180">
        <f t="shared" si="52"/>
        <v>6</v>
      </c>
      <c r="R180">
        <f>_xlfn.XLOOKUP(HFrame_List[[#This Row],[Cross piece style]],$AH$2:$AH$4,$AI$2:$AI$4,0,0)*(HFrame_List[[#This Row],[Width between brackets]]/12)</f>
        <v>109.494</v>
      </c>
      <c r="S180">
        <f>5.46*(HFrame_List[[#This Row],[cross piece quantity]]-1)*(HFrame_List[[#This Row],[Width between brackets]]/12)</f>
        <v>0</v>
      </c>
      <c r="T180" s="5">
        <f>HFrame_List[[#This Row],[Bottom cross piece cost]]+HFrame_List[[#This Row],[Top cross piece cost]]+HFrame_List[[#This Row],[Component costs]]+HFrame_List[[#This Row],[Vertical strut cost]]</f>
        <v>181.232</v>
      </c>
      <c r="U180" s="7">
        <f>_xlfn.XLOOKUP(HFrame_List[[#This Row],[Fabrication type]],Fabrication_costs[Fabrication type],Fabrication_costs[unit pricing],"no result",0)</f>
        <v>19.8</v>
      </c>
      <c r="V180" s="5">
        <f>SUM(T180:U180)/(1-HFrame_List[[#This Row],[Margin]])</f>
        <v>574.37714285714287</v>
      </c>
      <c r="W180" s="36">
        <f t="shared" si="53"/>
        <v>0.65</v>
      </c>
      <c r="X180" t="s">
        <v>177</v>
      </c>
      <c r="Y180">
        <f>_xlfn.XLOOKUP("A12",Strut_costs[size],Strut_costs[Strut cost])/12*HFrame_List[[#This Row],[Strut height (in)]]*(2+HFrame_List[[#This Row],[Extra supports]])</f>
        <v>43.68</v>
      </c>
      <c r="Z180">
        <f>(_xlfn.XLOOKUP("PHB",CADDY_costs[Component],CADDY_costs[Current cost])*HFrame_List[[#This Row],[Number of feet]])+(_xlfn.XLOOKUP("HFRMHDW",CADDY_costs[Component],CADDY_costs[Current cost])*(HFrame_List[[#This Row],[number of L-brackets]]/2))</f>
        <v>28.058</v>
      </c>
      <c r="AA180">
        <v>4848</v>
      </c>
      <c r="AB180">
        <f>VLOOKUP(HFrame_List[[#This Row],[lookup]],'Pallet and shipping info'!$A$5:$H$33,6,FALSE)</f>
        <v>7</v>
      </c>
      <c r="AC180">
        <f>VLOOKUP(HFrame_List[[#This Row],[lookup]],'Pallet and shipping info'!$A$5:$H$33,8,FALSE)</f>
        <v>10</v>
      </c>
      <c r="AD180"/>
      <c r="AE180"/>
      <c r="AF180"/>
    </row>
    <row r="181" spans="1:32" x14ac:dyDescent="0.25">
      <c r="A181" s="1" t="s">
        <v>542</v>
      </c>
      <c r="B181" s="1" t="s">
        <v>543</v>
      </c>
      <c r="C181" s="1">
        <f t="shared" si="47"/>
        <v>73.674999999999997</v>
      </c>
      <c r="D181" s="1">
        <f t="shared" si="48"/>
        <v>62.050999999999995</v>
      </c>
      <c r="E181" s="1">
        <v>72</v>
      </c>
      <c r="F181" s="1">
        <f t="shared" si="65"/>
        <v>48</v>
      </c>
      <c r="G181" s="1">
        <f t="shared" si="60"/>
        <v>44.24</v>
      </c>
      <c r="H181" s="1">
        <v>0</v>
      </c>
      <c r="I181" s="1" t="s">
        <v>186</v>
      </c>
      <c r="J181" s="1">
        <v>1</v>
      </c>
      <c r="K181" s="2">
        <f t="shared" si="49"/>
        <v>48</v>
      </c>
      <c r="L181" s="1">
        <f t="shared" si="50"/>
        <v>2</v>
      </c>
      <c r="M181" s="1">
        <f t="shared" si="61"/>
        <v>6</v>
      </c>
      <c r="N181" s="1">
        <f t="shared" si="62"/>
        <v>2</v>
      </c>
      <c r="O181" s="3">
        <f t="shared" si="63"/>
        <v>16</v>
      </c>
      <c r="P181" s="1">
        <f t="shared" si="51"/>
        <v>2</v>
      </c>
      <c r="Q181">
        <f t="shared" si="52"/>
        <v>6</v>
      </c>
      <c r="R181">
        <f>_xlfn.XLOOKUP(HFrame_List[[#This Row],[Cross piece style]],$AH$2:$AH$4,$AI$2:$AI$4,0,0)*(HFrame_List[[#This Row],[Width between brackets]]/12)</f>
        <v>109.494</v>
      </c>
      <c r="S181">
        <f>5.46*(HFrame_List[[#This Row],[cross piece quantity]]-1)*(HFrame_List[[#This Row],[Width between brackets]]/12)</f>
        <v>0</v>
      </c>
      <c r="T181" s="5">
        <f>HFrame_List[[#This Row],[Bottom cross piece cost]]+HFrame_List[[#This Row],[Top cross piece cost]]+HFrame_List[[#This Row],[Component costs]]+HFrame_List[[#This Row],[Vertical strut cost]]</f>
        <v>203.072</v>
      </c>
      <c r="U181" s="7">
        <f>_xlfn.XLOOKUP(HFrame_List[[#This Row],[Fabrication type]],Fabrication_costs[Fabrication type],Fabrication_costs[unit pricing],"no result",0)</f>
        <v>19.8</v>
      </c>
      <c r="V181" s="5">
        <f>SUM(T181:U181)/(1-HFrame_List[[#This Row],[Margin]])</f>
        <v>636.77714285714296</v>
      </c>
      <c r="W181" s="36">
        <f t="shared" si="53"/>
        <v>0.65</v>
      </c>
      <c r="X181" t="s">
        <v>177</v>
      </c>
      <c r="Y181">
        <f>_xlfn.XLOOKUP("A12",Strut_costs[size],Strut_costs[Strut cost])/12*HFrame_List[[#This Row],[Strut height (in)]]*(2+HFrame_List[[#This Row],[Extra supports]])</f>
        <v>65.52</v>
      </c>
      <c r="Z181">
        <f>(_xlfn.XLOOKUP("PHB",CADDY_costs[Component],CADDY_costs[Current cost])*HFrame_List[[#This Row],[Number of feet]])+(_xlfn.XLOOKUP("HFRMHDW",CADDY_costs[Component],CADDY_costs[Current cost])*(HFrame_List[[#This Row],[number of L-brackets]]/2))</f>
        <v>28.058</v>
      </c>
      <c r="AA181">
        <v>7248</v>
      </c>
      <c r="AB181">
        <f>VLOOKUP(HFrame_List[[#This Row],[lookup]],'Pallet and shipping info'!$A$5:$H$33,6,FALSE)</f>
        <v>7</v>
      </c>
      <c r="AC181">
        <f>VLOOKUP(HFrame_List[[#This Row],[lookup]],'Pallet and shipping info'!$A$5:$H$33,8,FALSE)</f>
        <v>10</v>
      </c>
      <c r="AD181"/>
      <c r="AE181"/>
      <c r="AF181"/>
    </row>
    <row r="182" spans="1:32" x14ac:dyDescent="0.25">
      <c r="A182" s="1" t="s">
        <v>544</v>
      </c>
      <c r="B182" s="1" t="s">
        <v>545</v>
      </c>
      <c r="C182" s="1">
        <f t="shared" si="47"/>
        <v>25.675000000000001</v>
      </c>
      <c r="D182" s="1">
        <f t="shared" si="48"/>
        <v>74.051000000000002</v>
      </c>
      <c r="E182" s="1">
        <v>24</v>
      </c>
      <c r="F182" s="1">
        <v>60</v>
      </c>
      <c r="G182" s="1">
        <f t="shared" si="60"/>
        <v>56.24</v>
      </c>
      <c r="H182" s="1">
        <v>0</v>
      </c>
      <c r="I182" s="1" t="s">
        <v>186</v>
      </c>
      <c r="J182" s="1">
        <v>1</v>
      </c>
      <c r="K182" s="2">
        <f t="shared" si="49"/>
        <v>60</v>
      </c>
      <c r="L182" s="1">
        <f t="shared" si="50"/>
        <v>2</v>
      </c>
      <c r="M182" s="1">
        <f t="shared" si="61"/>
        <v>6</v>
      </c>
      <c r="N182" s="1">
        <f t="shared" si="62"/>
        <v>2</v>
      </c>
      <c r="O182" s="3">
        <f t="shared" si="63"/>
        <v>9</v>
      </c>
      <c r="P182" s="1">
        <f t="shared" si="51"/>
        <v>1</v>
      </c>
      <c r="Q182">
        <f t="shared" si="52"/>
        <v>6</v>
      </c>
      <c r="R182">
        <f>_xlfn.XLOOKUP(HFrame_List[[#This Row],[Cross piece style]],$AH$2:$AH$4,$AI$2:$AI$4,0,0)*(HFrame_List[[#This Row],[Width between brackets]]/12)</f>
        <v>139.19399999999999</v>
      </c>
      <c r="S182">
        <f>5.46*(HFrame_List[[#This Row],[cross piece quantity]]-1)*(HFrame_List[[#This Row],[Width between brackets]]/12)</f>
        <v>0</v>
      </c>
      <c r="T182" s="5">
        <f>HFrame_List[[#This Row],[Bottom cross piece cost]]+HFrame_List[[#This Row],[Top cross piece cost]]+HFrame_List[[#This Row],[Component costs]]+HFrame_List[[#This Row],[Vertical strut cost]]</f>
        <v>189.09199999999998</v>
      </c>
      <c r="U182" s="7">
        <f>_xlfn.XLOOKUP(HFrame_List[[#This Row],[Fabrication type]],Fabrication_costs[Fabrication type],Fabrication_costs[unit pricing],"no result",0)</f>
        <v>19.8</v>
      </c>
      <c r="V182" s="5">
        <f>SUM(T182:U182)/(1-HFrame_List[[#This Row],[Margin]])</f>
        <v>596.83428571428578</v>
      </c>
      <c r="W182" s="36">
        <f t="shared" si="53"/>
        <v>0.65</v>
      </c>
      <c r="X182" t="s">
        <v>177</v>
      </c>
      <c r="Y182">
        <f>_xlfn.XLOOKUP("A12",Strut_costs[size],Strut_costs[Strut cost])/12*HFrame_List[[#This Row],[Strut height (in)]]*(2+HFrame_List[[#This Row],[Extra supports]])</f>
        <v>21.84</v>
      </c>
      <c r="Z182">
        <f>(_xlfn.XLOOKUP("PHB",CADDY_costs[Component],CADDY_costs[Current cost])*HFrame_List[[#This Row],[Number of feet]])+(_xlfn.XLOOKUP("HFRMHDW",CADDY_costs[Component],CADDY_costs[Current cost])*(HFrame_List[[#This Row],[number of L-brackets]]/2))</f>
        <v>28.058</v>
      </c>
      <c r="AA182">
        <v>2460</v>
      </c>
      <c r="AB182" t="str">
        <f>VLOOKUP(HFrame_List[[#This Row],[lookup]],'Pallet and shipping info'!$A$5:$H$33,6,FALSE)</f>
        <v>x</v>
      </c>
      <c r="AC182">
        <f>VLOOKUP(HFrame_List[[#This Row],[lookup]],'Pallet and shipping info'!$A$5:$H$33,8,FALSE)</f>
        <v>7</v>
      </c>
      <c r="AD182"/>
      <c r="AE182"/>
      <c r="AF182"/>
    </row>
    <row r="183" spans="1:32" x14ac:dyDescent="0.25">
      <c r="A183" s="1" t="s">
        <v>546</v>
      </c>
      <c r="B183" s="1" t="s">
        <v>547</v>
      </c>
      <c r="C183" s="1">
        <f t="shared" si="47"/>
        <v>37.674999999999997</v>
      </c>
      <c r="D183" s="1">
        <f t="shared" si="48"/>
        <v>74.051000000000002</v>
      </c>
      <c r="E183" s="1">
        <v>36</v>
      </c>
      <c r="F183" s="1">
        <v>60</v>
      </c>
      <c r="G183" s="1">
        <f t="shared" si="60"/>
        <v>56.24</v>
      </c>
      <c r="H183" s="1">
        <v>0</v>
      </c>
      <c r="I183" s="1" t="s">
        <v>186</v>
      </c>
      <c r="J183" s="1">
        <v>1</v>
      </c>
      <c r="K183" s="2">
        <f t="shared" si="49"/>
        <v>60</v>
      </c>
      <c r="L183" s="1">
        <f t="shared" si="50"/>
        <v>2</v>
      </c>
      <c r="M183" s="1">
        <f t="shared" si="61"/>
        <v>6</v>
      </c>
      <c r="N183" s="1">
        <f t="shared" si="62"/>
        <v>2</v>
      </c>
      <c r="O183" s="3">
        <f t="shared" si="63"/>
        <v>11</v>
      </c>
      <c r="P183" s="1">
        <f t="shared" si="51"/>
        <v>2</v>
      </c>
      <c r="Q183">
        <f t="shared" si="52"/>
        <v>6</v>
      </c>
      <c r="R183">
        <f>_xlfn.XLOOKUP(HFrame_List[[#This Row],[Cross piece style]],$AH$2:$AH$4,$AI$2:$AI$4,0,0)*(HFrame_List[[#This Row],[Width between brackets]]/12)</f>
        <v>139.19399999999999</v>
      </c>
      <c r="S183">
        <f>5.46*(HFrame_List[[#This Row],[cross piece quantity]]-1)*(HFrame_List[[#This Row],[Width between brackets]]/12)</f>
        <v>0</v>
      </c>
      <c r="T183" s="5">
        <f>HFrame_List[[#This Row],[Bottom cross piece cost]]+HFrame_List[[#This Row],[Top cross piece cost]]+HFrame_List[[#This Row],[Component costs]]+HFrame_List[[#This Row],[Vertical strut cost]]</f>
        <v>200.01199999999997</v>
      </c>
      <c r="U183" s="7">
        <f>_xlfn.XLOOKUP(HFrame_List[[#This Row],[Fabrication type]],Fabrication_costs[Fabrication type],Fabrication_costs[unit pricing],"no result",0)</f>
        <v>19.8</v>
      </c>
      <c r="V183" s="5">
        <f>SUM(T183:U183)/(1-HFrame_List[[#This Row],[Margin]])</f>
        <v>628.03428571428572</v>
      </c>
      <c r="W183" s="36">
        <f t="shared" si="53"/>
        <v>0.65</v>
      </c>
      <c r="X183" t="s">
        <v>177</v>
      </c>
      <c r="Y183">
        <f>_xlfn.XLOOKUP("A12",Strut_costs[size],Strut_costs[Strut cost])/12*HFrame_List[[#This Row],[Strut height (in)]]*(2+HFrame_List[[#This Row],[Extra supports]])</f>
        <v>32.76</v>
      </c>
      <c r="Z183">
        <f>(_xlfn.XLOOKUP("PHB",CADDY_costs[Component],CADDY_costs[Current cost])*HFrame_List[[#This Row],[Number of feet]])+(_xlfn.XLOOKUP("HFRMHDW",CADDY_costs[Component],CADDY_costs[Current cost])*(HFrame_List[[#This Row],[number of L-brackets]]/2))</f>
        <v>28.058</v>
      </c>
      <c r="AA183">
        <v>3660</v>
      </c>
      <c r="AB183" t="str">
        <f>VLOOKUP(HFrame_List[[#This Row],[lookup]],'Pallet and shipping info'!$A$5:$H$33,6,FALSE)</f>
        <v>x</v>
      </c>
      <c r="AC183">
        <f>VLOOKUP(HFrame_List[[#This Row],[lookup]],'Pallet and shipping info'!$A$5:$H$33,8,FALSE)</f>
        <v>7</v>
      </c>
      <c r="AD183"/>
      <c r="AE183"/>
      <c r="AF183"/>
    </row>
    <row r="184" spans="1:32" x14ac:dyDescent="0.25">
      <c r="A184" s="1" t="s">
        <v>548</v>
      </c>
      <c r="B184" s="1" t="s">
        <v>549</v>
      </c>
      <c r="C184" s="1">
        <f t="shared" si="47"/>
        <v>49.674999999999997</v>
      </c>
      <c r="D184" s="1">
        <f t="shared" si="48"/>
        <v>74.051000000000002</v>
      </c>
      <c r="E184" s="1">
        <v>48</v>
      </c>
      <c r="F184" s="1">
        <v>60</v>
      </c>
      <c r="G184" s="1">
        <f t="shared" si="60"/>
        <v>56.24</v>
      </c>
      <c r="H184" s="1">
        <v>0</v>
      </c>
      <c r="I184" s="1" t="s">
        <v>186</v>
      </c>
      <c r="J184" s="1">
        <v>1</v>
      </c>
      <c r="K184" s="2">
        <f t="shared" si="49"/>
        <v>60</v>
      </c>
      <c r="L184" s="1">
        <f t="shared" si="50"/>
        <v>2</v>
      </c>
      <c r="M184" s="1">
        <f t="shared" si="61"/>
        <v>6</v>
      </c>
      <c r="N184" s="1">
        <f t="shared" si="62"/>
        <v>2</v>
      </c>
      <c r="O184" s="3">
        <f t="shared" si="63"/>
        <v>13</v>
      </c>
      <c r="P184" s="1">
        <f t="shared" si="51"/>
        <v>2</v>
      </c>
      <c r="Q184">
        <f t="shared" si="52"/>
        <v>6</v>
      </c>
      <c r="R184">
        <f>_xlfn.XLOOKUP(HFrame_List[[#This Row],[Cross piece style]],$AH$2:$AH$4,$AI$2:$AI$4,0,0)*(HFrame_List[[#This Row],[Width between brackets]]/12)</f>
        <v>139.19399999999999</v>
      </c>
      <c r="S184">
        <f>5.46*(HFrame_List[[#This Row],[cross piece quantity]]-1)*(HFrame_List[[#This Row],[Width between brackets]]/12)</f>
        <v>0</v>
      </c>
      <c r="T184" s="5">
        <f>HFrame_List[[#This Row],[Bottom cross piece cost]]+HFrame_List[[#This Row],[Top cross piece cost]]+HFrame_List[[#This Row],[Component costs]]+HFrame_List[[#This Row],[Vertical strut cost]]</f>
        <v>210.93199999999999</v>
      </c>
      <c r="U184" s="7">
        <f>_xlfn.XLOOKUP(HFrame_List[[#This Row],[Fabrication type]],Fabrication_costs[Fabrication type],Fabrication_costs[unit pricing],"no result",0)</f>
        <v>19.8</v>
      </c>
      <c r="V184" s="5">
        <f>SUM(T184:U184)/(1-HFrame_List[[#This Row],[Margin]])</f>
        <v>659.23428571428576</v>
      </c>
      <c r="W184" s="36">
        <f t="shared" si="53"/>
        <v>0.65</v>
      </c>
      <c r="X184" t="s">
        <v>177</v>
      </c>
      <c r="Y184">
        <f>_xlfn.XLOOKUP("A12",Strut_costs[size],Strut_costs[Strut cost])/12*HFrame_List[[#This Row],[Strut height (in)]]*(2+HFrame_List[[#This Row],[Extra supports]])</f>
        <v>43.68</v>
      </c>
      <c r="Z184">
        <f>(_xlfn.XLOOKUP("PHB",CADDY_costs[Component],CADDY_costs[Current cost])*HFrame_List[[#This Row],[Number of feet]])+(_xlfn.XLOOKUP("HFRMHDW",CADDY_costs[Component],CADDY_costs[Current cost])*(HFrame_List[[#This Row],[number of L-brackets]]/2))</f>
        <v>28.058</v>
      </c>
      <c r="AA184">
        <v>4860</v>
      </c>
      <c r="AB184" t="str">
        <f>VLOOKUP(HFrame_List[[#This Row],[lookup]],'Pallet and shipping info'!$A$5:$H$33,6,FALSE)</f>
        <v>x</v>
      </c>
      <c r="AC184">
        <f>VLOOKUP(HFrame_List[[#This Row],[lookup]],'Pallet and shipping info'!$A$5:$H$33,8,FALSE)</f>
        <v>7</v>
      </c>
      <c r="AD184"/>
      <c r="AE184"/>
      <c r="AF184"/>
    </row>
    <row r="185" spans="1:32" x14ac:dyDescent="0.25">
      <c r="A185" s="1" t="s">
        <v>550</v>
      </c>
      <c r="B185" s="1" t="s">
        <v>551</v>
      </c>
      <c r="C185" s="1">
        <f t="shared" si="47"/>
        <v>73.674999999999997</v>
      </c>
      <c r="D185" s="1">
        <f t="shared" si="48"/>
        <v>74.051000000000002</v>
      </c>
      <c r="E185" s="1">
        <v>72</v>
      </c>
      <c r="F185" s="1">
        <v>60</v>
      </c>
      <c r="G185" s="1">
        <f t="shared" si="60"/>
        <v>56.24</v>
      </c>
      <c r="H185" s="1">
        <v>0</v>
      </c>
      <c r="I185" s="1" t="s">
        <v>186</v>
      </c>
      <c r="J185" s="1">
        <v>1</v>
      </c>
      <c r="K185" s="2">
        <f t="shared" si="49"/>
        <v>60</v>
      </c>
      <c r="L185" s="1">
        <f t="shared" si="50"/>
        <v>2</v>
      </c>
      <c r="M185" s="1">
        <f t="shared" si="61"/>
        <v>6</v>
      </c>
      <c r="N185" s="1">
        <f t="shared" si="62"/>
        <v>2</v>
      </c>
      <c r="O185" s="3">
        <f t="shared" si="63"/>
        <v>17</v>
      </c>
      <c r="P185" s="1">
        <f t="shared" si="51"/>
        <v>2</v>
      </c>
      <c r="Q185">
        <f t="shared" si="52"/>
        <v>6</v>
      </c>
      <c r="R185">
        <f>_xlfn.XLOOKUP(HFrame_List[[#This Row],[Cross piece style]],$AH$2:$AH$4,$AI$2:$AI$4,0,0)*(HFrame_List[[#This Row],[Width between brackets]]/12)</f>
        <v>139.19399999999999</v>
      </c>
      <c r="S185">
        <f>5.46*(HFrame_List[[#This Row],[cross piece quantity]]-1)*(HFrame_List[[#This Row],[Width between brackets]]/12)</f>
        <v>0</v>
      </c>
      <c r="T185" s="5">
        <f>HFrame_List[[#This Row],[Bottom cross piece cost]]+HFrame_List[[#This Row],[Top cross piece cost]]+HFrame_List[[#This Row],[Component costs]]+HFrame_List[[#This Row],[Vertical strut cost]]</f>
        <v>232.77199999999999</v>
      </c>
      <c r="U185" s="7">
        <f>_xlfn.XLOOKUP(HFrame_List[[#This Row],[Fabrication type]],Fabrication_costs[Fabrication type],Fabrication_costs[unit pricing],"no result",0)</f>
        <v>19.8</v>
      </c>
      <c r="V185" s="5">
        <f>SUM(T185:U185)/(1-HFrame_List[[#This Row],[Margin]])</f>
        <v>721.63428571428574</v>
      </c>
      <c r="W185" s="36">
        <f t="shared" si="53"/>
        <v>0.65</v>
      </c>
      <c r="X185" t="s">
        <v>177</v>
      </c>
      <c r="Y185">
        <f>_xlfn.XLOOKUP("A12",Strut_costs[size],Strut_costs[Strut cost])/12*HFrame_List[[#This Row],[Strut height (in)]]*(2+HFrame_List[[#This Row],[Extra supports]])</f>
        <v>65.52</v>
      </c>
      <c r="Z185">
        <f>(_xlfn.XLOOKUP("PHB",CADDY_costs[Component],CADDY_costs[Current cost])*HFrame_List[[#This Row],[Number of feet]])+(_xlfn.XLOOKUP("HFRMHDW",CADDY_costs[Component],CADDY_costs[Current cost])*(HFrame_List[[#This Row],[number of L-brackets]]/2))</f>
        <v>28.058</v>
      </c>
      <c r="AA185">
        <v>7260</v>
      </c>
      <c r="AB185" t="str">
        <f>VLOOKUP(HFrame_List[[#This Row],[lookup]],'Pallet and shipping info'!$A$5:$H$33,6,FALSE)</f>
        <v>x</v>
      </c>
      <c r="AC185">
        <f>VLOOKUP(HFrame_List[[#This Row],[lookup]],'Pallet and shipping info'!$A$5:$H$33,8,FALSE)</f>
        <v>7</v>
      </c>
      <c r="AD185"/>
      <c r="AE185"/>
      <c r="AF185"/>
    </row>
    <row r="186" spans="1:32" x14ac:dyDescent="0.25">
      <c r="A186" s="1" t="s">
        <v>552</v>
      </c>
      <c r="B186" s="1" t="s">
        <v>553</v>
      </c>
      <c r="C186" s="1">
        <f t="shared" si="47"/>
        <v>25.675000000000001</v>
      </c>
      <c r="D186" s="1">
        <f t="shared" si="48"/>
        <v>86.051000000000002</v>
      </c>
      <c r="E186" s="1">
        <v>24</v>
      </c>
      <c r="F186" s="1">
        <v>72</v>
      </c>
      <c r="G186" s="1">
        <f t="shared" si="60"/>
        <v>68.239999999999995</v>
      </c>
      <c r="H186" s="1">
        <v>0</v>
      </c>
      <c r="I186" s="1" t="s">
        <v>186</v>
      </c>
      <c r="J186" s="1">
        <v>1</v>
      </c>
      <c r="K186" s="2">
        <f t="shared" si="49"/>
        <v>72</v>
      </c>
      <c r="L186" s="1">
        <f t="shared" si="50"/>
        <v>2</v>
      </c>
      <c r="M186" s="1">
        <f t="shared" si="61"/>
        <v>6</v>
      </c>
      <c r="N186" s="1">
        <f t="shared" si="62"/>
        <v>2</v>
      </c>
      <c r="O186" s="3">
        <f t="shared" si="63"/>
        <v>10</v>
      </c>
      <c r="P186" s="1">
        <f t="shared" si="51"/>
        <v>1</v>
      </c>
      <c r="Q186">
        <f t="shared" si="52"/>
        <v>6</v>
      </c>
      <c r="R186">
        <f>_xlfn.XLOOKUP(HFrame_List[[#This Row],[Cross piece style]],$AH$2:$AH$4,$AI$2:$AI$4,0,0)*(HFrame_List[[#This Row],[Width between brackets]]/12)</f>
        <v>168.89400000000001</v>
      </c>
      <c r="S186">
        <f>5.46*(HFrame_List[[#This Row],[cross piece quantity]]-1)*(HFrame_List[[#This Row],[Width between brackets]]/12)</f>
        <v>0</v>
      </c>
      <c r="T186" s="5">
        <f>HFrame_List[[#This Row],[Bottom cross piece cost]]+HFrame_List[[#This Row],[Top cross piece cost]]+HFrame_List[[#This Row],[Component costs]]+HFrame_List[[#This Row],[Vertical strut cost]]</f>
        <v>218.792</v>
      </c>
      <c r="U186" s="7">
        <f>_xlfn.XLOOKUP(HFrame_List[[#This Row],[Fabrication type]],Fabrication_costs[Fabrication type],Fabrication_costs[unit pricing],"no result",0)</f>
        <v>19.8</v>
      </c>
      <c r="V186" s="5">
        <f>SUM(T186:U186)/(1-HFrame_List[[#This Row],[Margin]])</f>
        <v>681.69142857142867</v>
      </c>
      <c r="W186" s="36">
        <f t="shared" si="53"/>
        <v>0.65</v>
      </c>
      <c r="X186" t="s">
        <v>177</v>
      </c>
      <c r="Y186">
        <f>_xlfn.XLOOKUP("A12",Strut_costs[size],Strut_costs[Strut cost])/12*HFrame_List[[#This Row],[Strut height (in)]]*(2+HFrame_List[[#This Row],[Extra supports]])</f>
        <v>21.84</v>
      </c>
      <c r="Z186">
        <f>(_xlfn.XLOOKUP("PHB",CADDY_costs[Component],CADDY_costs[Current cost])*HFrame_List[[#This Row],[Number of feet]])+(_xlfn.XLOOKUP("HFRMHDW",CADDY_costs[Component],CADDY_costs[Current cost])*(HFrame_List[[#This Row],[number of L-brackets]]/2))</f>
        <v>28.058</v>
      </c>
      <c r="AA186">
        <v>2472</v>
      </c>
      <c r="AB186" t="str">
        <f>VLOOKUP(HFrame_List[[#This Row],[lookup]],'Pallet and shipping info'!$A$5:$H$33,6,FALSE)</f>
        <v>x</v>
      </c>
      <c r="AC186">
        <f>VLOOKUP(HFrame_List[[#This Row],[lookup]],'Pallet and shipping info'!$A$5:$H$33,8,FALSE)</f>
        <v>7</v>
      </c>
      <c r="AD186"/>
      <c r="AE186"/>
      <c r="AF186"/>
    </row>
    <row r="187" spans="1:32" x14ac:dyDescent="0.25">
      <c r="A187" s="1" t="s">
        <v>554</v>
      </c>
      <c r="B187" s="1" t="s">
        <v>555</v>
      </c>
      <c r="C187" s="1">
        <f t="shared" si="47"/>
        <v>37.674999999999997</v>
      </c>
      <c r="D187" s="1">
        <f t="shared" si="48"/>
        <v>86.051000000000002</v>
      </c>
      <c r="E187" s="1">
        <v>36</v>
      </c>
      <c r="F187" s="1">
        <v>72</v>
      </c>
      <c r="G187" s="1">
        <f t="shared" si="60"/>
        <v>68.239999999999995</v>
      </c>
      <c r="H187" s="1">
        <v>0</v>
      </c>
      <c r="I187" s="1" t="s">
        <v>186</v>
      </c>
      <c r="J187" s="1">
        <v>1</v>
      </c>
      <c r="K187" s="2">
        <f t="shared" si="49"/>
        <v>72</v>
      </c>
      <c r="L187" s="1">
        <f t="shared" si="50"/>
        <v>2</v>
      </c>
      <c r="M187" s="1">
        <f t="shared" si="61"/>
        <v>6</v>
      </c>
      <c r="N187" s="1">
        <f t="shared" si="62"/>
        <v>2</v>
      </c>
      <c r="O187" s="3">
        <f t="shared" si="63"/>
        <v>12</v>
      </c>
      <c r="P187" s="1">
        <f t="shared" si="51"/>
        <v>2</v>
      </c>
      <c r="Q187">
        <f t="shared" si="52"/>
        <v>6</v>
      </c>
      <c r="R187">
        <f>_xlfn.XLOOKUP(HFrame_List[[#This Row],[Cross piece style]],$AH$2:$AH$4,$AI$2:$AI$4,0,0)*(HFrame_List[[#This Row],[Width between brackets]]/12)</f>
        <v>168.89400000000001</v>
      </c>
      <c r="S187">
        <f>5.46*(HFrame_List[[#This Row],[cross piece quantity]]-1)*(HFrame_List[[#This Row],[Width between brackets]]/12)</f>
        <v>0</v>
      </c>
      <c r="T187" s="5">
        <f>HFrame_List[[#This Row],[Bottom cross piece cost]]+HFrame_List[[#This Row],[Top cross piece cost]]+HFrame_List[[#This Row],[Component costs]]+HFrame_List[[#This Row],[Vertical strut cost]]</f>
        <v>229.71199999999999</v>
      </c>
      <c r="U187" s="7">
        <f>_xlfn.XLOOKUP(HFrame_List[[#This Row],[Fabrication type]],Fabrication_costs[Fabrication type],Fabrication_costs[unit pricing],"no result",0)</f>
        <v>19.8</v>
      </c>
      <c r="V187" s="5">
        <f>SUM(T187:U187)/(1-HFrame_List[[#This Row],[Margin]])</f>
        <v>712.89142857142861</v>
      </c>
      <c r="W187" s="36">
        <f t="shared" si="53"/>
        <v>0.65</v>
      </c>
      <c r="X187" t="s">
        <v>177</v>
      </c>
      <c r="Y187">
        <f>_xlfn.XLOOKUP("A12",Strut_costs[size],Strut_costs[Strut cost])/12*HFrame_List[[#This Row],[Strut height (in)]]*(2+HFrame_List[[#This Row],[Extra supports]])</f>
        <v>32.76</v>
      </c>
      <c r="Z187">
        <f>(_xlfn.XLOOKUP("PHB",CADDY_costs[Component],CADDY_costs[Current cost])*HFrame_List[[#This Row],[Number of feet]])+(_xlfn.XLOOKUP("HFRMHDW",CADDY_costs[Component],CADDY_costs[Current cost])*(HFrame_List[[#This Row],[number of L-brackets]]/2))</f>
        <v>28.058</v>
      </c>
      <c r="AA187">
        <v>3672</v>
      </c>
      <c r="AB187" t="str">
        <f>VLOOKUP(HFrame_List[[#This Row],[lookup]],'Pallet and shipping info'!$A$5:$H$33,6,FALSE)</f>
        <v>x</v>
      </c>
      <c r="AC187">
        <f>VLOOKUP(HFrame_List[[#This Row],[lookup]],'Pallet and shipping info'!$A$5:$H$33,8,FALSE)</f>
        <v>7</v>
      </c>
      <c r="AD187"/>
      <c r="AE187"/>
      <c r="AF187"/>
    </row>
    <row r="188" spans="1:32" x14ac:dyDescent="0.25">
      <c r="A188" s="1" t="s">
        <v>556</v>
      </c>
      <c r="B188" s="1" t="s">
        <v>557</v>
      </c>
      <c r="C188" s="1">
        <f t="shared" si="47"/>
        <v>49.674999999999997</v>
      </c>
      <c r="D188" s="1">
        <f t="shared" si="48"/>
        <v>86.051000000000002</v>
      </c>
      <c r="E188" s="1">
        <v>48</v>
      </c>
      <c r="F188" s="1">
        <v>72</v>
      </c>
      <c r="G188" s="1">
        <f t="shared" si="60"/>
        <v>68.239999999999995</v>
      </c>
      <c r="H188" s="1">
        <v>0</v>
      </c>
      <c r="I188" s="1" t="s">
        <v>186</v>
      </c>
      <c r="J188" s="1">
        <v>1</v>
      </c>
      <c r="K188" s="2">
        <f t="shared" si="49"/>
        <v>72</v>
      </c>
      <c r="L188" s="1">
        <f t="shared" si="50"/>
        <v>2</v>
      </c>
      <c r="M188" s="1">
        <f t="shared" si="61"/>
        <v>6</v>
      </c>
      <c r="N188" s="1">
        <f t="shared" si="62"/>
        <v>2</v>
      </c>
      <c r="O188" s="3">
        <f t="shared" si="63"/>
        <v>14</v>
      </c>
      <c r="P188" s="1">
        <f t="shared" si="51"/>
        <v>2</v>
      </c>
      <c r="Q188">
        <f t="shared" si="52"/>
        <v>6</v>
      </c>
      <c r="R188">
        <f>_xlfn.XLOOKUP(HFrame_List[[#This Row],[Cross piece style]],$AH$2:$AH$4,$AI$2:$AI$4,0,0)*(HFrame_List[[#This Row],[Width between brackets]]/12)</f>
        <v>168.89400000000001</v>
      </c>
      <c r="S188">
        <f>5.46*(HFrame_List[[#This Row],[cross piece quantity]]-1)*(HFrame_List[[#This Row],[Width between brackets]]/12)</f>
        <v>0</v>
      </c>
      <c r="T188" s="5">
        <f>HFrame_List[[#This Row],[Bottom cross piece cost]]+HFrame_List[[#This Row],[Top cross piece cost]]+HFrame_List[[#This Row],[Component costs]]+HFrame_List[[#This Row],[Vertical strut cost]]</f>
        <v>240.63200000000001</v>
      </c>
      <c r="U188" s="7">
        <f>_xlfn.XLOOKUP(HFrame_List[[#This Row],[Fabrication type]],Fabrication_costs[Fabrication type],Fabrication_costs[unit pricing],"no result",0)</f>
        <v>19.8</v>
      </c>
      <c r="V188" s="5">
        <f>SUM(T188:U188)/(1-HFrame_List[[#This Row],[Margin]])</f>
        <v>744.09142857142865</v>
      </c>
      <c r="W188" s="36">
        <f t="shared" si="53"/>
        <v>0.65</v>
      </c>
      <c r="X188" t="s">
        <v>177</v>
      </c>
      <c r="Y188">
        <f>_xlfn.XLOOKUP("A12",Strut_costs[size],Strut_costs[Strut cost])/12*HFrame_List[[#This Row],[Strut height (in)]]*(2+HFrame_List[[#This Row],[Extra supports]])</f>
        <v>43.68</v>
      </c>
      <c r="Z188">
        <f>(_xlfn.XLOOKUP("PHB",CADDY_costs[Component],CADDY_costs[Current cost])*HFrame_List[[#This Row],[Number of feet]])+(_xlfn.XLOOKUP("HFRMHDW",CADDY_costs[Component],CADDY_costs[Current cost])*(HFrame_List[[#This Row],[number of L-brackets]]/2))</f>
        <v>28.058</v>
      </c>
      <c r="AA188">
        <v>4872</v>
      </c>
      <c r="AB188" t="str">
        <f>VLOOKUP(HFrame_List[[#This Row],[lookup]],'Pallet and shipping info'!$A$5:$H$33,6,FALSE)</f>
        <v>x</v>
      </c>
      <c r="AC188">
        <f>VLOOKUP(HFrame_List[[#This Row],[lookup]],'Pallet and shipping info'!$A$5:$H$33,8,FALSE)</f>
        <v>7</v>
      </c>
      <c r="AD188"/>
      <c r="AE188"/>
      <c r="AF188"/>
    </row>
    <row r="189" spans="1:32" x14ac:dyDescent="0.25">
      <c r="A189" s="1" t="s">
        <v>558</v>
      </c>
      <c r="B189" s="1" t="s">
        <v>559</v>
      </c>
      <c r="C189" s="1">
        <f t="shared" si="47"/>
        <v>73.674999999999997</v>
      </c>
      <c r="D189" s="1">
        <f t="shared" si="48"/>
        <v>86.051000000000002</v>
      </c>
      <c r="E189" s="1">
        <v>72</v>
      </c>
      <c r="F189" s="1">
        <v>72</v>
      </c>
      <c r="G189" s="1">
        <f t="shared" si="60"/>
        <v>68.239999999999995</v>
      </c>
      <c r="H189" s="1">
        <v>0</v>
      </c>
      <c r="I189" s="1" t="s">
        <v>186</v>
      </c>
      <c r="J189" s="1">
        <v>1</v>
      </c>
      <c r="K189" s="2">
        <f t="shared" si="49"/>
        <v>72</v>
      </c>
      <c r="L189" s="1">
        <f t="shared" si="50"/>
        <v>2</v>
      </c>
      <c r="M189" s="1">
        <f t="shared" si="61"/>
        <v>6</v>
      </c>
      <c r="N189" s="1">
        <f t="shared" si="62"/>
        <v>2</v>
      </c>
      <c r="O189" s="3">
        <f t="shared" si="63"/>
        <v>18</v>
      </c>
      <c r="P189" s="1">
        <f t="shared" si="51"/>
        <v>2</v>
      </c>
      <c r="Q189">
        <f t="shared" si="52"/>
        <v>6</v>
      </c>
      <c r="R189">
        <f>_xlfn.XLOOKUP(HFrame_List[[#This Row],[Cross piece style]],$AH$2:$AH$4,$AI$2:$AI$4,0,0)*(HFrame_List[[#This Row],[Width between brackets]]/12)</f>
        <v>168.89400000000001</v>
      </c>
      <c r="S189">
        <f>5.46*(HFrame_List[[#This Row],[cross piece quantity]]-1)*(HFrame_List[[#This Row],[Width between brackets]]/12)</f>
        <v>0</v>
      </c>
      <c r="T189" s="5">
        <f>HFrame_List[[#This Row],[Bottom cross piece cost]]+HFrame_List[[#This Row],[Top cross piece cost]]+HFrame_List[[#This Row],[Component costs]]+HFrame_List[[#This Row],[Vertical strut cost]]</f>
        <v>262.47199999999998</v>
      </c>
      <c r="U189" s="7">
        <f>_xlfn.XLOOKUP(HFrame_List[[#This Row],[Fabrication type]],Fabrication_costs[Fabrication type],Fabrication_costs[unit pricing],"no result",0)</f>
        <v>19.8</v>
      </c>
      <c r="V189" s="5">
        <f>SUM(T189:U189)/(1-HFrame_List[[#This Row],[Margin]])</f>
        <v>806.49142857142863</v>
      </c>
      <c r="W189" s="36">
        <f t="shared" si="53"/>
        <v>0.65</v>
      </c>
      <c r="X189" t="s">
        <v>177</v>
      </c>
      <c r="Y189">
        <f>_xlfn.XLOOKUP("A12",Strut_costs[size],Strut_costs[Strut cost])/12*HFrame_List[[#This Row],[Strut height (in)]]*(2+HFrame_List[[#This Row],[Extra supports]])</f>
        <v>65.52</v>
      </c>
      <c r="Z189">
        <f>(_xlfn.XLOOKUP("PHB",CADDY_costs[Component],CADDY_costs[Current cost])*HFrame_List[[#This Row],[Number of feet]])+(_xlfn.XLOOKUP("HFRMHDW",CADDY_costs[Component],CADDY_costs[Current cost])*(HFrame_List[[#This Row],[number of L-brackets]]/2))</f>
        <v>28.058</v>
      </c>
      <c r="AA189">
        <v>7272</v>
      </c>
      <c r="AB189" t="str">
        <f>VLOOKUP(HFrame_List[[#This Row],[lookup]],'Pallet and shipping info'!$A$5:$H$33,6,FALSE)</f>
        <v>x</v>
      </c>
      <c r="AC189">
        <f>VLOOKUP(HFrame_List[[#This Row],[lookup]],'Pallet and shipping info'!$A$5:$H$33,8,FALSE)</f>
        <v>7</v>
      </c>
      <c r="AD189"/>
      <c r="AE189"/>
      <c r="AF189"/>
    </row>
    <row r="190" spans="1:32" x14ac:dyDescent="0.25">
      <c r="A190" s="1" t="s">
        <v>560</v>
      </c>
      <c r="B190" s="1" t="s">
        <v>561</v>
      </c>
      <c r="C190" s="1">
        <f t="shared" si="47"/>
        <v>25.675000000000001</v>
      </c>
      <c r="D190" s="1">
        <f t="shared" si="48"/>
        <v>98.051000000000002</v>
      </c>
      <c r="E190" s="1">
        <v>24</v>
      </c>
      <c r="F190" s="1">
        <v>84</v>
      </c>
      <c r="G190" s="1">
        <f t="shared" si="60"/>
        <v>80.239999999999995</v>
      </c>
      <c r="H190" s="1">
        <v>0</v>
      </c>
      <c r="I190" s="1" t="s">
        <v>186</v>
      </c>
      <c r="J190" s="1">
        <v>1</v>
      </c>
      <c r="K190" s="2">
        <f t="shared" si="49"/>
        <v>84</v>
      </c>
      <c r="L190" s="1">
        <f t="shared" si="50"/>
        <v>2</v>
      </c>
      <c r="M190" s="1">
        <f t="shared" si="61"/>
        <v>6</v>
      </c>
      <c r="N190" s="1">
        <f t="shared" si="62"/>
        <v>2</v>
      </c>
      <c r="O190" s="3">
        <f t="shared" si="63"/>
        <v>11</v>
      </c>
      <c r="P190" s="1">
        <f t="shared" si="51"/>
        <v>2</v>
      </c>
      <c r="Q190">
        <f t="shared" si="52"/>
        <v>6</v>
      </c>
      <c r="R190">
        <f>_xlfn.XLOOKUP(HFrame_List[[#This Row],[Cross piece style]],$AH$2:$AH$4,$AI$2:$AI$4,0,0)*(HFrame_List[[#This Row],[Width between brackets]]/12)</f>
        <v>198.59399999999999</v>
      </c>
      <c r="S190">
        <f>5.46*(HFrame_List[[#This Row],[cross piece quantity]]-1)*(HFrame_List[[#This Row],[Width between brackets]]/12)</f>
        <v>0</v>
      </c>
      <c r="T190" s="5">
        <f>HFrame_List[[#This Row],[Bottom cross piece cost]]+HFrame_List[[#This Row],[Top cross piece cost]]+HFrame_List[[#This Row],[Component costs]]+HFrame_List[[#This Row],[Vertical strut cost]]</f>
        <v>248.49199999999999</v>
      </c>
      <c r="U190" s="7">
        <f>_xlfn.XLOOKUP(HFrame_List[[#This Row],[Fabrication type]],Fabrication_costs[Fabrication type],Fabrication_costs[unit pricing],"no result",0)</f>
        <v>19.8</v>
      </c>
      <c r="V190" s="5">
        <f>SUM(T190:U190)/(1-HFrame_List[[#This Row],[Margin]])</f>
        <v>766.54857142857145</v>
      </c>
      <c r="W190" s="36">
        <f t="shared" si="53"/>
        <v>0.65</v>
      </c>
      <c r="X190" t="s">
        <v>177</v>
      </c>
      <c r="Y190">
        <f>_xlfn.XLOOKUP("A12",Strut_costs[size],Strut_costs[Strut cost])/12*HFrame_List[[#This Row],[Strut height (in)]]*(2+HFrame_List[[#This Row],[Extra supports]])</f>
        <v>21.84</v>
      </c>
      <c r="Z190">
        <f>(_xlfn.XLOOKUP("PHB",CADDY_costs[Component],CADDY_costs[Current cost])*HFrame_List[[#This Row],[Number of feet]])+(_xlfn.XLOOKUP("HFRMHDW",CADDY_costs[Component],CADDY_costs[Current cost])*(HFrame_List[[#This Row],[number of L-brackets]]/2))</f>
        <v>28.058</v>
      </c>
      <c r="AA190">
        <v>2484</v>
      </c>
      <c r="AB190" t="str">
        <f>VLOOKUP(HFrame_List[[#This Row],[lookup]],'Pallet and shipping info'!$A$5:$H$33,6,FALSE)</f>
        <v>x</v>
      </c>
      <c r="AC190">
        <f>VLOOKUP(HFrame_List[[#This Row],[lookup]],'Pallet and shipping info'!$A$5:$H$33,8,FALSE)</f>
        <v>7</v>
      </c>
      <c r="AD190"/>
      <c r="AE190"/>
      <c r="AF190"/>
    </row>
    <row r="191" spans="1:32" x14ac:dyDescent="0.25">
      <c r="A191" s="1" t="s">
        <v>562</v>
      </c>
      <c r="B191" s="1" t="s">
        <v>563</v>
      </c>
      <c r="C191" s="1">
        <f t="shared" si="47"/>
        <v>37.674999999999997</v>
      </c>
      <c r="D191" s="1">
        <f t="shared" si="48"/>
        <v>98.051000000000002</v>
      </c>
      <c r="E191" s="1">
        <v>36</v>
      </c>
      <c r="F191" s="1">
        <v>84</v>
      </c>
      <c r="G191" s="1">
        <f t="shared" si="60"/>
        <v>80.239999999999995</v>
      </c>
      <c r="H191" s="1">
        <v>0</v>
      </c>
      <c r="I191" s="1" t="s">
        <v>186</v>
      </c>
      <c r="J191" s="1">
        <v>1</v>
      </c>
      <c r="K191" s="2">
        <f t="shared" si="49"/>
        <v>84</v>
      </c>
      <c r="L191" s="1">
        <f t="shared" si="50"/>
        <v>2</v>
      </c>
      <c r="M191" s="1">
        <f t="shared" si="61"/>
        <v>6</v>
      </c>
      <c r="N191" s="1">
        <f t="shared" si="62"/>
        <v>2</v>
      </c>
      <c r="O191" s="3">
        <f t="shared" si="63"/>
        <v>13</v>
      </c>
      <c r="P191" s="1">
        <f t="shared" si="51"/>
        <v>2</v>
      </c>
      <c r="Q191">
        <f t="shared" si="52"/>
        <v>6</v>
      </c>
      <c r="R191">
        <f>_xlfn.XLOOKUP(HFrame_List[[#This Row],[Cross piece style]],$AH$2:$AH$4,$AI$2:$AI$4,0,0)*(HFrame_List[[#This Row],[Width between brackets]]/12)</f>
        <v>198.59399999999999</v>
      </c>
      <c r="S191">
        <f>5.46*(HFrame_List[[#This Row],[cross piece quantity]]-1)*(HFrame_List[[#This Row],[Width between brackets]]/12)</f>
        <v>0</v>
      </c>
      <c r="T191" s="5">
        <f>HFrame_List[[#This Row],[Bottom cross piece cost]]+HFrame_List[[#This Row],[Top cross piece cost]]+HFrame_List[[#This Row],[Component costs]]+HFrame_List[[#This Row],[Vertical strut cost]]</f>
        <v>259.41199999999998</v>
      </c>
      <c r="U191" s="7">
        <f>_xlfn.XLOOKUP(HFrame_List[[#This Row],[Fabrication type]],Fabrication_costs[Fabrication type],Fabrication_costs[unit pricing],"no result",0)</f>
        <v>19.8</v>
      </c>
      <c r="V191" s="5">
        <f>SUM(T191:U191)/(1-HFrame_List[[#This Row],[Margin]])</f>
        <v>797.74857142857149</v>
      </c>
      <c r="W191" s="36">
        <f t="shared" si="53"/>
        <v>0.65</v>
      </c>
      <c r="X191" t="s">
        <v>177</v>
      </c>
      <c r="Y191">
        <f>_xlfn.XLOOKUP("A12",Strut_costs[size],Strut_costs[Strut cost])/12*HFrame_List[[#This Row],[Strut height (in)]]*(2+HFrame_List[[#This Row],[Extra supports]])</f>
        <v>32.76</v>
      </c>
      <c r="Z191">
        <f>(_xlfn.XLOOKUP("PHB",CADDY_costs[Component],CADDY_costs[Current cost])*HFrame_List[[#This Row],[Number of feet]])+(_xlfn.XLOOKUP("HFRMHDW",CADDY_costs[Component],CADDY_costs[Current cost])*(HFrame_List[[#This Row],[number of L-brackets]]/2))</f>
        <v>28.058</v>
      </c>
      <c r="AA191">
        <v>3684</v>
      </c>
      <c r="AB191" t="str">
        <f>VLOOKUP(HFrame_List[[#This Row],[lookup]],'Pallet and shipping info'!$A$5:$H$33,6,FALSE)</f>
        <v>x</v>
      </c>
      <c r="AC191">
        <f>VLOOKUP(HFrame_List[[#This Row],[lookup]],'Pallet and shipping info'!$A$5:$H$33,8,FALSE)</f>
        <v>7</v>
      </c>
      <c r="AD191"/>
      <c r="AE191"/>
      <c r="AF191"/>
    </row>
    <row r="192" spans="1:32" x14ac:dyDescent="0.25">
      <c r="A192" s="1" t="s">
        <v>564</v>
      </c>
      <c r="B192" s="1" t="s">
        <v>565</v>
      </c>
      <c r="C192" s="1">
        <f t="shared" si="47"/>
        <v>49.674999999999997</v>
      </c>
      <c r="D192" s="1">
        <f t="shared" si="48"/>
        <v>98.051000000000002</v>
      </c>
      <c r="E192" s="1">
        <v>48</v>
      </c>
      <c r="F192" s="1">
        <v>84</v>
      </c>
      <c r="G192" s="1">
        <f t="shared" si="60"/>
        <v>80.239999999999995</v>
      </c>
      <c r="H192" s="1">
        <v>0</v>
      </c>
      <c r="I192" s="1" t="s">
        <v>186</v>
      </c>
      <c r="J192" s="1">
        <v>1</v>
      </c>
      <c r="K192" s="2">
        <f t="shared" si="49"/>
        <v>84</v>
      </c>
      <c r="L192" s="1">
        <f t="shared" si="50"/>
        <v>2</v>
      </c>
      <c r="M192" s="1">
        <f t="shared" si="61"/>
        <v>6</v>
      </c>
      <c r="N192" s="1">
        <f t="shared" si="62"/>
        <v>2</v>
      </c>
      <c r="O192" s="3">
        <f t="shared" si="63"/>
        <v>15</v>
      </c>
      <c r="P192" s="1">
        <f t="shared" si="51"/>
        <v>2</v>
      </c>
      <c r="Q192">
        <f t="shared" si="52"/>
        <v>6</v>
      </c>
      <c r="R192">
        <f>_xlfn.XLOOKUP(HFrame_List[[#This Row],[Cross piece style]],$AH$2:$AH$4,$AI$2:$AI$4,0,0)*(HFrame_List[[#This Row],[Width between brackets]]/12)</f>
        <v>198.59399999999999</v>
      </c>
      <c r="S192">
        <f>5.46*(HFrame_List[[#This Row],[cross piece quantity]]-1)*(HFrame_List[[#This Row],[Width between brackets]]/12)</f>
        <v>0</v>
      </c>
      <c r="T192" s="5">
        <f>HFrame_List[[#This Row],[Bottom cross piece cost]]+HFrame_List[[#This Row],[Top cross piece cost]]+HFrame_List[[#This Row],[Component costs]]+HFrame_List[[#This Row],[Vertical strut cost]]</f>
        <v>270.33199999999999</v>
      </c>
      <c r="U192" s="7">
        <f>_xlfn.XLOOKUP(HFrame_List[[#This Row],[Fabrication type]],Fabrication_costs[Fabrication type],Fabrication_costs[unit pricing],"no result",0)</f>
        <v>19.8</v>
      </c>
      <c r="V192" s="5">
        <f>SUM(T192:U192)/(1-HFrame_List[[#This Row],[Margin]])</f>
        <v>828.94857142857154</v>
      </c>
      <c r="W192" s="36">
        <f t="shared" si="53"/>
        <v>0.65</v>
      </c>
      <c r="X192" t="s">
        <v>177</v>
      </c>
      <c r="Y192">
        <f>_xlfn.XLOOKUP("A12",Strut_costs[size],Strut_costs[Strut cost])/12*HFrame_List[[#This Row],[Strut height (in)]]*(2+HFrame_List[[#This Row],[Extra supports]])</f>
        <v>43.68</v>
      </c>
      <c r="Z192">
        <f>(_xlfn.XLOOKUP("PHB",CADDY_costs[Component],CADDY_costs[Current cost])*HFrame_List[[#This Row],[Number of feet]])+(_xlfn.XLOOKUP("HFRMHDW",CADDY_costs[Component],CADDY_costs[Current cost])*(HFrame_List[[#This Row],[number of L-brackets]]/2))</f>
        <v>28.058</v>
      </c>
      <c r="AA192">
        <v>4884</v>
      </c>
      <c r="AB192" t="str">
        <f>VLOOKUP(HFrame_List[[#This Row],[lookup]],'Pallet and shipping info'!$A$5:$H$33,6,FALSE)</f>
        <v>x</v>
      </c>
      <c r="AC192">
        <f>VLOOKUP(HFrame_List[[#This Row],[lookup]],'Pallet and shipping info'!$A$5:$H$33,8,FALSE)</f>
        <v>7</v>
      </c>
      <c r="AD192"/>
      <c r="AE192"/>
      <c r="AF192"/>
    </row>
    <row r="193" spans="1:32" x14ac:dyDescent="0.25">
      <c r="A193" s="1" t="s">
        <v>566</v>
      </c>
      <c r="B193" s="1" t="s">
        <v>567</v>
      </c>
      <c r="C193" s="1">
        <f t="shared" si="47"/>
        <v>73.674999999999997</v>
      </c>
      <c r="D193" s="1">
        <f t="shared" si="48"/>
        <v>98.051000000000002</v>
      </c>
      <c r="E193" s="1">
        <v>72</v>
      </c>
      <c r="F193" s="1">
        <v>84</v>
      </c>
      <c r="G193" s="1">
        <f t="shared" si="60"/>
        <v>80.239999999999995</v>
      </c>
      <c r="H193" s="1">
        <v>0</v>
      </c>
      <c r="I193" s="1" t="s">
        <v>186</v>
      </c>
      <c r="J193" s="1">
        <v>1</v>
      </c>
      <c r="K193" s="2">
        <f t="shared" si="49"/>
        <v>84</v>
      </c>
      <c r="L193" s="1">
        <f t="shared" si="50"/>
        <v>2</v>
      </c>
      <c r="M193" s="1">
        <f t="shared" si="61"/>
        <v>6</v>
      </c>
      <c r="N193" s="1">
        <f t="shared" si="62"/>
        <v>2</v>
      </c>
      <c r="O193" s="3">
        <f t="shared" si="63"/>
        <v>19</v>
      </c>
      <c r="P193" s="1">
        <f t="shared" si="51"/>
        <v>2</v>
      </c>
      <c r="Q193">
        <f t="shared" si="52"/>
        <v>6</v>
      </c>
      <c r="R193">
        <f>_xlfn.XLOOKUP(HFrame_List[[#This Row],[Cross piece style]],$AH$2:$AH$4,$AI$2:$AI$4,0,0)*(HFrame_List[[#This Row],[Width between brackets]]/12)</f>
        <v>198.59399999999999</v>
      </c>
      <c r="S193">
        <f>5.46*(HFrame_List[[#This Row],[cross piece quantity]]-1)*(HFrame_List[[#This Row],[Width between brackets]]/12)</f>
        <v>0</v>
      </c>
      <c r="T193" s="5">
        <f>HFrame_List[[#This Row],[Bottom cross piece cost]]+HFrame_List[[#This Row],[Top cross piece cost]]+HFrame_List[[#This Row],[Component costs]]+HFrame_List[[#This Row],[Vertical strut cost]]</f>
        <v>292.17199999999997</v>
      </c>
      <c r="U193" s="7">
        <f>_xlfn.XLOOKUP(HFrame_List[[#This Row],[Fabrication type]],Fabrication_costs[Fabrication type],Fabrication_costs[unit pricing],"no result",0)</f>
        <v>30</v>
      </c>
      <c r="V193" s="5">
        <f>SUM(T193:U193)/(1-HFrame_List[[#This Row],[Margin]])</f>
        <v>920.49142857142851</v>
      </c>
      <c r="W193" s="36">
        <f t="shared" si="53"/>
        <v>0.65</v>
      </c>
      <c r="X193" t="s">
        <v>193</v>
      </c>
      <c r="Y193">
        <f>_xlfn.XLOOKUP("A12",Strut_costs[size],Strut_costs[Strut cost])/12*HFrame_List[[#This Row],[Strut height (in)]]*(2+HFrame_List[[#This Row],[Extra supports]])</f>
        <v>65.52</v>
      </c>
      <c r="Z193">
        <f>(_xlfn.XLOOKUP("PHB",CADDY_costs[Component],CADDY_costs[Current cost])*HFrame_List[[#This Row],[Number of feet]])+(_xlfn.XLOOKUP("HFRMHDW",CADDY_costs[Component],CADDY_costs[Current cost])*(HFrame_List[[#This Row],[number of L-brackets]]/2))</f>
        <v>28.058</v>
      </c>
      <c r="AA193">
        <v>7284</v>
      </c>
      <c r="AB193" t="str">
        <f>VLOOKUP(HFrame_List[[#This Row],[lookup]],'Pallet and shipping info'!$A$5:$H$33,6,FALSE)</f>
        <v>x</v>
      </c>
      <c r="AC193">
        <f>VLOOKUP(HFrame_List[[#This Row],[lookup]],'Pallet and shipping info'!$A$5:$H$33,8,FALSE)</f>
        <v>7</v>
      </c>
      <c r="AD193"/>
      <c r="AE193"/>
      <c r="AF193"/>
    </row>
    <row r="194" spans="1:32" x14ac:dyDescent="0.25">
      <c r="A194" s="1" t="s">
        <v>568</v>
      </c>
      <c r="B194" s="1" t="s">
        <v>569</v>
      </c>
      <c r="C194" s="1">
        <f t="shared" ref="C194:C241" si="66">E194+1.675</f>
        <v>25.675000000000001</v>
      </c>
      <c r="D194" s="1">
        <f t="shared" ref="D194:D241" si="67">F194+1.675+12.376</f>
        <v>34.051000000000002</v>
      </c>
      <c r="E194" s="1">
        <v>24</v>
      </c>
      <c r="F194" s="1">
        <v>20</v>
      </c>
      <c r="G194" s="1">
        <f>F194-(1.88*2)</f>
        <v>16.240000000000002</v>
      </c>
      <c r="H194" s="1">
        <v>1</v>
      </c>
      <c r="I194" s="1" t="s">
        <v>186</v>
      </c>
      <c r="J194" s="1">
        <v>1</v>
      </c>
      <c r="K194" s="2">
        <f t="shared" ref="K194:K241" si="68">((F194)/(L194-1))-(H194*0.8125)</f>
        <v>9.1875</v>
      </c>
      <c r="L194" s="1">
        <f t="shared" ref="L194:L241" si="69">2+(H194)</f>
        <v>3</v>
      </c>
      <c r="M194" s="1">
        <f>3*N194</f>
        <v>12</v>
      </c>
      <c r="N194" s="1">
        <f>(2+(2*H194))*J194</f>
        <v>4</v>
      </c>
      <c r="O194" s="3">
        <f t="shared" si="63"/>
        <v>9.6666666666666661</v>
      </c>
      <c r="P194" s="1">
        <f t="shared" si="51"/>
        <v>1</v>
      </c>
      <c r="Q194">
        <f t="shared" si="52"/>
        <v>8</v>
      </c>
      <c r="R194">
        <f>_xlfn.XLOOKUP(HFrame_List[[#This Row],[Cross piece style]],$AH$2:$AH$4,$AI$2:$AI$4,0,0)*(HFrame_List[[#This Row],[Width between brackets]]/12)</f>
        <v>40.194000000000003</v>
      </c>
      <c r="S194">
        <f>5.46*(HFrame_List[[#This Row],[cross piece quantity]]-1)*(HFrame_List[[#This Row],[Width between brackets]]/12)</f>
        <v>0</v>
      </c>
      <c r="T194" s="5">
        <f>HFrame_List[[#This Row],[Bottom cross piece cost]]+HFrame_List[[#This Row],[Top cross piece cost]]+HFrame_List[[#This Row],[Component costs]]+HFrame_List[[#This Row],[Vertical strut cost]]</f>
        <v>119.774</v>
      </c>
      <c r="U194" s="7">
        <f>_xlfn.XLOOKUP(HFrame_List[[#This Row],[Fabrication type]],Fabrication_costs[Fabrication type],Fabrication_costs[unit pricing],"no result",0)</f>
        <v>30</v>
      </c>
      <c r="V194" s="5">
        <f>SUM(T194:U194)/(1-HFrame_List[[#This Row],[Margin]])</f>
        <v>427.92571428571432</v>
      </c>
      <c r="W194" s="36">
        <f t="shared" si="53"/>
        <v>0.65</v>
      </c>
      <c r="X194" t="s">
        <v>193</v>
      </c>
      <c r="Y194">
        <f>_xlfn.XLOOKUP("A12",Strut_costs[size],Strut_costs[Strut cost])/12*HFrame_List[[#This Row],[Strut height (in)]]*(2+HFrame_List[[#This Row],[Extra supports]])</f>
        <v>32.76</v>
      </c>
      <c r="Z194">
        <f>(_xlfn.XLOOKUP("PHB",CADDY_costs[Component],CADDY_costs[Current cost])*HFrame_List[[#This Row],[Number of feet]])+(_xlfn.XLOOKUP("HFRMHDW",CADDY_costs[Component],CADDY_costs[Current cost])*(HFrame_List[[#This Row],[number of L-brackets]]/2))</f>
        <v>46.819999999999993</v>
      </c>
      <c r="AA194">
        <v>2420</v>
      </c>
      <c r="AB194">
        <f>VLOOKUP(HFrame_List[[#This Row],[lookup]],'Pallet and shipping info'!$A$5:$H$33,6,FALSE)</f>
        <v>11</v>
      </c>
      <c r="AC194">
        <f>VLOOKUP(HFrame_List[[#This Row],[lookup]],'Pallet and shipping info'!$A$5:$H$33,8,FALSE)</f>
        <v>15</v>
      </c>
      <c r="AD194"/>
      <c r="AE194"/>
      <c r="AF194"/>
    </row>
    <row r="195" spans="1:32" x14ac:dyDescent="0.25">
      <c r="A195" s="1" t="s">
        <v>570</v>
      </c>
      <c r="B195" s="1" t="s">
        <v>571</v>
      </c>
      <c r="C195" s="1">
        <f t="shared" si="66"/>
        <v>37.674999999999997</v>
      </c>
      <c r="D195" s="1">
        <f t="shared" si="67"/>
        <v>34.051000000000002</v>
      </c>
      <c r="E195" s="1">
        <v>36</v>
      </c>
      <c r="F195" s="1">
        <f>F194</f>
        <v>20</v>
      </c>
      <c r="G195" s="1">
        <f t="shared" ref="G195:G217" si="70">F195-(1.88*2)</f>
        <v>16.240000000000002</v>
      </c>
      <c r="H195" s="1">
        <v>1</v>
      </c>
      <c r="I195" s="1" t="s">
        <v>186</v>
      </c>
      <c r="J195" s="1">
        <v>1</v>
      </c>
      <c r="K195" s="2">
        <f t="shared" si="68"/>
        <v>9.1875</v>
      </c>
      <c r="L195" s="1">
        <f t="shared" si="69"/>
        <v>3</v>
      </c>
      <c r="M195" s="1">
        <f t="shared" ref="M195:M217" si="71">3*N195</f>
        <v>12</v>
      </c>
      <c r="N195" s="1">
        <f t="shared" ref="N195:N217" si="72">(2+(2*H195))*J195</f>
        <v>4</v>
      </c>
      <c r="O195" s="3">
        <f t="shared" si="63"/>
        <v>13.666666666666666</v>
      </c>
      <c r="P195" s="1">
        <f t="shared" ref="P195:P241" si="73">ROUNDUP(O195/10,0)</f>
        <v>2</v>
      </c>
      <c r="Q195">
        <f t="shared" ref="Q195:Q241" si="74">2*(L195+J195)</f>
        <v>8</v>
      </c>
      <c r="R195">
        <f>_xlfn.XLOOKUP(HFrame_List[[#This Row],[Cross piece style]],$AH$2:$AH$4,$AI$2:$AI$4,0,0)*(HFrame_List[[#This Row],[Width between brackets]]/12)</f>
        <v>40.194000000000003</v>
      </c>
      <c r="S195">
        <f>5.46*(HFrame_List[[#This Row],[cross piece quantity]]-1)*(HFrame_List[[#This Row],[Width between brackets]]/12)</f>
        <v>0</v>
      </c>
      <c r="T195" s="5">
        <f>HFrame_List[[#This Row],[Bottom cross piece cost]]+HFrame_List[[#This Row],[Top cross piece cost]]+HFrame_List[[#This Row],[Component costs]]+HFrame_List[[#This Row],[Vertical strut cost]]</f>
        <v>136.154</v>
      </c>
      <c r="U195" s="7">
        <f>_xlfn.XLOOKUP(HFrame_List[[#This Row],[Fabrication type]],Fabrication_costs[Fabrication type],Fabrication_costs[unit pricing],"no result",0)</f>
        <v>30</v>
      </c>
      <c r="V195" s="5">
        <f>SUM(T195:U195)/(1-HFrame_List[[#This Row],[Margin]])</f>
        <v>474.72571428571433</v>
      </c>
      <c r="W195" s="36">
        <f t="shared" si="53"/>
        <v>0.65</v>
      </c>
      <c r="X195" t="s">
        <v>193</v>
      </c>
      <c r="Y195">
        <f>_xlfn.XLOOKUP("A12",Strut_costs[size],Strut_costs[Strut cost])/12*HFrame_List[[#This Row],[Strut height (in)]]*(2+HFrame_List[[#This Row],[Extra supports]])</f>
        <v>49.14</v>
      </c>
      <c r="Z195">
        <f>(_xlfn.XLOOKUP("PHB",CADDY_costs[Component],CADDY_costs[Current cost])*HFrame_List[[#This Row],[Number of feet]])+(_xlfn.XLOOKUP("HFRMHDW",CADDY_costs[Component],CADDY_costs[Current cost])*(HFrame_List[[#This Row],[number of L-brackets]]/2))</f>
        <v>46.819999999999993</v>
      </c>
      <c r="AA195">
        <v>3620</v>
      </c>
      <c r="AB195">
        <f>VLOOKUP(HFrame_List[[#This Row],[lookup]],'Pallet and shipping info'!$A$5:$H$33,6,FALSE)</f>
        <v>11</v>
      </c>
      <c r="AC195">
        <f>VLOOKUP(HFrame_List[[#This Row],[lookup]],'Pallet and shipping info'!$A$5:$H$33,8,FALSE)</f>
        <v>15</v>
      </c>
      <c r="AD195"/>
      <c r="AE195"/>
      <c r="AF195"/>
    </row>
    <row r="196" spans="1:32" x14ac:dyDescent="0.25">
      <c r="A196" s="1" t="s">
        <v>572</v>
      </c>
      <c r="B196" s="1" t="s">
        <v>573</v>
      </c>
      <c r="C196" s="1">
        <f t="shared" si="66"/>
        <v>49.674999999999997</v>
      </c>
      <c r="D196" s="1">
        <f t="shared" si="67"/>
        <v>34.051000000000002</v>
      </c>
      <c r="E196" s="1">
        <v>48</v>
      </c>
      <c r="F196" s="1">
        <f t="shared" ref="F196:F197" si="75">F195</f>
        <v>20</v>
      </c>
      <c r="G196" s="1">
        <f t="shared" si="70"/>
        <v>16.240000000000002</v>
      </c>
      <c r="H196" s="1">
        <v>1</v>
      </c>
      <c r="I196" s="1" t="s">
        <v>186</v>
      </c>
      <c r="J196" s="1">
        <v>1</v>
      </c>
      <c r="K196" s="2">
        <f t="shared" si="68"/>
        <v>9.1875</v>
      </c>
      <c r="L196" s="1">
        <f t="shared" si="69"/>
        <v>3</v>
      </c>
      <c r="M196" s="1">
        <f t="shared" si="71"/>
        <v>12</v>
      </c>
      <c r="N196" s="1">
        <f t="shared" si="72"/>
        <v>4</v>
      </c>
      <c r="O196" s="3">
        <f t="shared" si="63"/>
        <v>17.666666666666668</v>
      </c>
      <c r="P196" s="1">
        <f t="shared" si="73"/>
        <v>2</v>
      </c>
      <c r="Q196">
        <f t="shared" si="74"/>
        <v>8</v>
      </c>
      <c r="R196">
        <f>_xlfn.XLOOKUP(HFrame_List[[#This Row],[Cross piece style]],$AH$2:$AH$4,$AI$2:$AI$4,0,0)*(HFrame_List[[#This Row],[Width between brackets]]/12)</f>
        <v>40.194000000000003</v>
      </c>
      <c r="S196">
        <f>5.46*(HFrame_List[[#This Row],[cross piece quantity]]-1)*(HFrame_List[[#This Row],[Width between brackets]]/12)</f>
        <v>0</v>
      </c>
      <c r="T196" s="5">
        <f>HFrame_List[[#This Row],[Bottom cross piece cost]]+HFrame_List[[#This Row],[Top cross piece cost]]+HFrame_List[[#This Row],[Component costs]]+HFrame_List[[#This Row],[Vertical strut cost]]</f>
        <v>152.53399999999999</v>
      </c>
      <c r="U196" s="7">
        <f>_xlfn.XLOOKUP(HFrame_List[[#This Row],[Fabrication type]],Fabrication_costs[Fabrication type],Fabrication_costs[unit pricing],"no result",0)</f>
        <v>30</v>
      </c>
      <c r="V196" s="5">
        <f>SUM(T196:U196)/(1-HFrame_List[[#This Row],[Margin]])</f>
        <v>521.52571428571434</v>
      </c>
      <c r="W196" s="36">
        <f t="shared" ref="W196:W241" si="76">W195</f>
        <v>0.65</v>
      </c>
      <c r="X196" t="s">
        <v>193</v>
      </c>
      <c r="Y196">
        <f>_xlfn.XLOOKUP("A12",Strut_costs[size],Strut_costs[Strut cost])/12*HFrame_List[[#This Row],[Strut height (in)]]*(2+HFrame_List[[#This Row],[Extra supports]])</f>
        <v>65.52</v>
      </c>
      <c r="Z196">
        <f>(_xlfn.XLOOKUP("PHB",CADDY_costs[Component],CADDY_costs[Current cost])*HFrame_List[[#This Row],[Number of feet]])+(_xlfn.XLOOKUP("HFRMHDW",CADDY_costs[Component],CADDY_costs[Current cost])*(HFrame_List[[#This Row],[number of L-brackets]]/2))</f>
        <v>46.819999999999993</v>
      </c>
      <c r="AA196">
        <v>4820</v>
      </c>
      <c r="AB196">
        <f>VLOOKUP(HFrame_List[[#This Row],[lookup]],'Pallet and shipping info'!$A$5:$H$33,6,FALSE)</f>
        <v>11</v>
      </c>
      <c r="AC196">
        <f>VLOOKUP(HFrame_List[[#This Row],[lookup]],'Pallet and shipping info'!$A$5:$H$33,8,FALSE)</f>
        <v>15</v>
      </c>
      <c r="AD196"/>
      <c r="AE196"/>
      <c r="AF196"/>
    </row>
    <row r="197" spans="1:32" x14ac:dyDescent="0.25">
      <c r="A197" s="1" t="s">
        <v>574</v>
      </c>
      <c r="B197" s="1" t="s">
        <v>575</v>
      </c>
      <c r="C197" s="1">
        <f t="shared" si="66"/>
        <v>73.674999999999997</v>
      </c>
      <c r="D197" s="1">
        <f t="shared" si="67"/>
        <v>34.051000000000002</v>
      </c>
      <c r="E197" s="1">
        <v>72</v>
      </c>
      <c r="F197" s="1">
        <f t="shared" si="75"/>
        <v>20</v>
      </c>
      <c r="G197" s="1">
        <f t="shared" si="70"/>
        <v>16.240000000000002</v>
      </c>
      <c r="H197" s="1">
        <v>1</v>
      </c>
      <c r="I197" s="1" t="s">
        <v>186</v>
      </c>
      <c r="J197" s="1">
        <v>1</v>
      </c>
      <c r="K197" s="2">
        <f t="shared" si="68"/>
        <v>9.1875</v>
      </c>
      <c r="L197" s="1">
        <f t="shared" si="69"/>
        <v>3</v>
      </c>
      <c r="M197" s="1">
        <f t="shared" si="71"/>
        <v>12</v>
      </c>
      <c r="N197" s="1">
        <f t="shared" si="72"/>
        <v>4</v>
      </c>
      <c r="O197" s="3">
        <f t="shared" si="63"/>
        <v>25.666666666666668</v>
      </c>
      <c r="P197" s="1">
        <f t="shared" si="73"/>
        <v>3</v>
      </c>
      <c r="Q197">
        <f t="shared" si="74"/>
        <v>8</v>
      </c>
      <c r="R197">
        <f>_xlfn.XLOOKUP(HFrame_List[[#This Row],[Cross piece style]],$AH$2:$AH$4,$AI$2:$AI$4,0,0)*(HFrame_List[[#This Row],[Width between brackets]]/12)</f>
        <v>40.194000000000003</v>
      </c>
      <c r="S197">
        <f>5.46*(HFrame_List[[#This Row],[cross piece quantity]]-1)*(HFrame_List[[#This Row],[Width between brackets]]/12)</f>
        <v>0</v>
      </c>
      <c r="T197" s="5">
        <f>HFrame_List[[#This Row],[Bottom cross piece cost]]+HFrame_List[[#This Row],[Top cross piece cost]]+HFrame_List[[#This Row],[Component costs]]+HFrame_List[[#This Row],[Vertical strut cost]]</f>
        <v>185.29399999999998</v>
      </c>
      <c r="U197" s="7">
        <f>_xlfn.XLOOKUP(HFrame_List[[#This Row],[Fabrication type]],Fabrication_costs[Fabrication type],Fabrication_costs[unit pricing],"no result",0)</f>
        <v>30</v>
      </c>
      <c r="V197" s="5">
        <f>SUM(T197:U197)/(1-HFrame_List[[#This Row],[Margin]])</f>
        <v>615.12571428571425</v>
      </c>
      <c r="W197" s="36">
        <f t="shared" si="76"/>
        <v>0.65</v>
      </c>
      <c r="X197" t="s">
        <v>193</v>
      </c>
      <c r="Y197">
        <f>_xlfn.XLOOKUP("A12",Strut_costs[size],Strut_costs[Strut cost])/12*HFrame_List[[#This Row],[Strut height (in)]]*(2+HFrame_List[[#This Row],[Extra supports]])</f>
        <v>98.28</v>
      </c>
      <c r="Z197">
        <f>(_xlfn.XLOOKUP("PHB",CADDY_costs[Component],CADDY_costs[Current cost])*HFrame_List[[#This Row],[Number of feet]])+(_xlfn.XLOOKUP("HFRMHDW",CADDY_costs[Component],CADDY_costs[Current cost])*(HFrame_List[[#This Row],[number of L-brackets]]/2))</f>
        <v>46.819999999999993</v>
      </c>
      <c r="AA197">
        <v>7220</v>
      </c>
      <c r="AB197">
        <f>VLOOKUP(HFrame_List[[#This Row],[lookup]],'Pallet and shipping info'!$A$5:$H$33,6,FALSE)</f>
        <v>11</v>
      </c>
      <c r="AC197">
        <f>VLOOKUP(HFrame_List[[#This Row],[lookup]],'Pallet and shipping info'!$A$5:$H$33,8,FALSE)</f>
        <v>15</v>
      </c>
      <c r="AD197"/>
      <c r="AE197"/>
      <c r="AF197"/>
    </row>
    <row r="198" spans="1:32" x14ac:dyDescent="0.25">
      <c r="A198" s="1" t="s">
        <v>576</v>
      </c>
      <c r="B198" s="1" t="s">
        <v>577</v>
      </c>
      <c r="C198" s="1">
        <f t="shared" si="66"/>
        <v>25.675000000000001</v>
      </c>
      <c r="D198" s="1">
        <f t="shared" si="67"/>
        <v>50.050999999999995</v>
      </c>
      <c r="E198" s="1">
        <v>24</v>
      </c>
      <c r="F198" s="1">
        <v>36</v>
      </c>
      <c r="G198" s="1">
        <f t="shared" si="70"/>
        <v>32.24</v>
      </c>
      <c r="H198" s="1">
        <v>1</v>
      </c>
      <c r="I198" s="1" t="s">
        <v>186</v>
      </c>
      <c r="J198" s="1">
        <v>1</v>
      </c>
      <c r="K198" s="2">
        <f t="shared" si="68"/>
        <v>17.1875</v>
      </c>
      <c r="L198" s="1">
        <f t="shared" si="69"/>
        <v>3</v>
      </c>
      <c r="M198" s="1">
        <f t="shared" si="71"/>
        <v>12</v>
      </c>
      <c r="N198" s="1">
        <f t="shared" si="72"/>
        <v>4</v>
      </c>
      <c r="O198" s="3">
        <f t="shared" si="63"/>
        <v>11</v>
      </c>
      <c r="P198" s="1">
        <f t="shared" si="73"/>
        <v>2</v>
      </c>
      <c r="Q198">
        <f t="shared" si="74"/>
        <v>8</v>
      </c>
      <c r="R198">
        <f>_xlfn.XLOOKUP(HFrame_List[[#This Row],[Cross piece style]],$AH$2:$AH$4,$AI$2:$AI$4,0,0)*(HFrame_List[[#This Row],[Width between brackets]]/12)</f>
        <v>79.794000000000011</v>
      </c>
      <c r="S198">
        <f>5.46*(HFrame_List[[#This Row],[cross piece quantity]]-1)*(HFrame_List[[#This Row],[Width between brackets]]/12)</f>
        <v>0</v>
      </c>
      <c r="T198" s="5">
        <f>HFrame_List[[#This Row],[Bottom cross piece cost]]+HFrame_List[[#This Row],[Top cross piece cost]]+HFrame_List[[#This Row],[Component costs]]+HFrame_List[[#This Row],[Vertical strut cost]]</f>
        <v>159.374</v>
      </c>
      <c r="U198" s="7">
        <f>_xlfn.XLOOKUP(HFrame_List[[#This Row],[Fabrication type]],Fabrication_costs[Fabrication type],Fabrication_costs[unit pricing],"no result",0)</f>
        <v>30</v>
      </c>
      <c r="V198" s="5">
        <f>SUM(T198:U198)/(1-HFrame_List[[#This Row],[Margin]])</f>
        <v>541.06857142857143</v>
      </c>
      <c r="W198" s="36">
        <f t="shared" si="76"/>
        <v>0.65</v>
      </c>
      <c r="X198" t="s">
        <v>193</v>
      </c>
      <c r="Y198">
        <f>_xlfn.XLOOKUP("A12",Strut_costs[size],Strut_costs[Strut cost])/12*HFrame_List[[#This Row],[Strut height (in)]]*(2+HFrame_List[[#This Row],[Extra supports]])</f>
        <v>32.76</v>
      </c>
      <c r="Z198">
        <f>(_xlfn.XLOOKUP("PHB",CADDY_costs[Component],CADDY_costs[Current cost])*HFrame_List[[#This Row],[Number of feet]])+(_xlfn.XLOOKUP("HFRMHDW",CADDY_costs[Component],CADDY_costs[Current cost])*(HFrame_List[[#This Row],[number of L-brackets]]/2))</f>
        <v>46.819999999999993</v>
      </c>
      <c r="AA198">
        <v>2436</v>
      </c>
      <c r="AB198">
        <f>VLOOKUP(HFrame_List[[#This Row],[lookup]],'Pallet and shipping info'!$A$5:$H$33,6,FALSE)</f>
        <v>9</v>
      </c>
      <c r="AC198">
        <f>VLOOKUP(HFrame_List[[#This Row],[lookup]],'Pallet and shipping info'!$A$5:$H$33,8,FALSE)</f>
        <v>14</v>
      </c>
      <c r="AD198"/>
      <c r="AE198"/>
      <c r="AF198"/>
    </row>
    <row r="199" spans="1:32" x14ac:dyDescent="0.25">
      <c r="A199" s="1" t="s">
        <v>578</v>
      </c>
      <c r="B199" s="1" t="s">
        <v>579</v>
      </c>
      <c r="C199" s="1">
        <f t="shared" si="66"/>
        <v>37.674999999999997</v>
      </c>
      <c r="D199" s="1">
        <f t="shared" si="67"/>
        <v>50.050999999999995</v>
      </c>
      <c r="E199" s="1">
        <v>36</v>
      </c>
      <c r="F199" s="1">
        <f>F198</f>
        <v>36</v>
      </c>
      <c r="G199" s="1">
        <f t="shared" si="70"/>
        <v>32.24</v>
      </c>
      <c r="H199" s="1">
        <v>1</v>
      </c>
      <c r="I199" s="1" t="s">
        <v>186</v>
      </c>
      <c r="J199" s="1">
        <v>1</v>
      </c>
      <c r="K199" s="2">
        <f t="shared" si="68"/>
        <v>17.1875</v>
      </c>
      <c r="L199" s="1">
        <f t="shared" si="69"/>
        <v>3</v>
      </c>
      <c r="M199" s="1">
        <f t="shared" si="71"/>
        <v>12</v>
      </c>
      <c r="N199" s="1">
        <f t="shared" si="72"/>
        <v>4</v>
      </c>
      <c r="O199" s="3">
        <f t="shared" si="63"/>
        <v>15</v>
      </c>
      <c r="P199" s="1">
        <f t="shared" si="73"/>
        <v>2</v>
      </c>
      <c r="Q199">
        <f t="shared" si="74"/>
        <v>8</v>
      </c>
      <c r="R199">
        <f>_xlfn.XLOOKUP(HFrame_List[[#This Row],[Cross piece style]],$AH$2:$AH$4,$AI$2:$AI$4,0,0)*(HFrame_List[[#This Row],[Width between brackets]]/12)</f>
        <v>79.794000000000011</v>
      </c>
      <c r="S199">
        <f>5.46*(HFrame_List[[#This Row],[cross piece quantity]]-1)*(HFrame_List[[#This Row],[Width between brackets]]/12)</f>
        <v>0</v>
      </c>
      <c r="T199" s="5">
        <f>HFrame_List[[#This Row],[Bottom cross piece cost]]+HFrame_List[[#This Row],[Top cross piece cost]]+HFrame_List[[#This Row],[Component costs]]+HFrame_List[[#This Row],[Vertical strut cost]]</f>
        <v>175.75400000000002</v>
      </c>
      <c r="U199" s="7">
        <f>_xlfn.XLOOKUP(HFrame_List[[#This Row],[Fabrication type]],Fabrication_costs[Fabrication type],Fabrication_costs[unit pricing],"no result",0)</f>
        <v>30</v>
      </c>
      <c r="V199" s="5">
        <f>SUM(T199:U199)/(1-HFrame_List[[#This Row],[Margin]])</f>
        <v>587.8685714285715</v>
      </c>
      <c r="W199" s="36">
        <f t="shared" si="76"/>
        <v>0.65</v>
      </c>
      <c r="X199" t="s">
        <v>193</v>
      </c>
      <c r="Y199">
        <f>_xlfn.XLOOKUP("A12",Strut_costs[size],Strut_costs[Strut cost])/12*HFrame_List[[#This Row],[Strut height (in)]]*(2+HFrame_List[[#This Row],[Extra supports]])</f>
        <v>49.14</v>
      </c>
      <c r="Z199">
        <f>(_xlfn.XLOOKUP("PHB",CADDY_costs[Component],CADDY_costs[Current cost])*HFrame_List[[#This Row],[Number of feet]])+(_xlfn.XLOOKUP("HFRMHDW",CADDY_costs[Component],CADDY_costs[Current cost])*(HFrame_List[[#This Row],[number of L-brackets]]/2))</f>
        <v>46.819999999999993</v>
      </c>
      <c r="AA199">
        <v>3636</v>
      </c>
      <c r="AB199">
        <f>VLOOKUP(HFrame_List[[#This Row],[lookup]],'Pallet and shipping info'!$A$5:$H$33,6,FALSE)</f>
        <v>9</v>
      </c>
      <c r="AC199">
        <f>VLOOKUP(HFrame_List[[#This Row],[lookup]],'Pallet and shipping info'!$A$5:$H$33,8,FALSE)</f>
        <v>14</v>
      </c>
      <c r="AD199"/>
      <c r="AE199"/>
      <c r="AF199"/>
    </row>
    <row r="200" spans="1:32" x14ac:dyDescent="0.25">
      <c r="A200" s="1" t="s">
        <v>580</v>
      </c>
      <c r="B200" s="1" t="s">
        <v>581</v>
      </c>
      <c r="C200" s="1">
        <f t="shared" si="66"/>
        <v>49.674999999999997</v>
      </c>
      <c r="D200" s="1">
        <f t="shared" si="67"/>
        <v>50.050999999999995</v>
      </c>
      <c r="E200" s="1">
        <v>48</v>
      </c>
      <c r="F200" s="1">
        <f t="shared" ref="F200:F205" si="77">F199</f>
        <v>36</v>
      </c>
      <c r="G200" s="1">
        <f t="shared" si="70"/>
        <v>32.24</v>
      </c>
      <c r="H200" s="1">
        <v>1</v>
      </c>
      <c r="I200" s="1" t="s">
        <v>186</v>
      </c>
      <c r="J200" s="1">
        <v>1</v>
      </c>
      <c r="K200" s="2">
        <f t="shared" si="68"/>
        <v>17.1875</v>
      </c>
      <c r="L200" s="1">
        <f t="shared" si="69"/>
        <v>3</v>
      </c>
      <c r="M200" s="1">
        <f t="shared" si="71"/>
        <v>12</v>
      </c>
      <c r="N200" s="1">
        <f t="shared" si="72"/>
        <v>4</v>
      </c>
      <c r="O200" s="3">
        <f t="shared" si="63"/>
        <v>19</v>
      </c>
      <c r="P200" s="1">
        <f t="shared" si="73"/>
        <v>2</v>
      </c>
      <c r="Q200">
        <f t="shared" si="74"/>
        <v>8</v>
      </c>
      <c r="R200">
        <f>_xlfn.XLOOKUP(HFrame_List[[#This Row],[Cross piece style]],$AH$2:$AH$4,$AI$2:$AI$4,0,0)*(HFrame_List[[#This Row],[Width between brackets]]/12)</f>
        <v>79.794000000000011</v>
      </c>
      <c r="S200">
        <f>5.46*(HFrame_List[[#This Row],[cross piece quantity]]-1)*(HFrame_List[[#This Row],[Width between brackets]]/12)</f>
        <v>0</v>
      </c>
      <c r="T200" s="5">
        <f>HFrame_List[[#This Row],[Bottom cross piece cost]]+HFrame_List[[#This Row],[Top cross piece cost]]+HFrame_List[[#This Row],[Component costs]]+HFrame_List[[#This Row],[Vertical strut cost]]</f>
        <v>192.13400000000001</v>
      </c>
      <c r="U200" s="7">
        <f>_xlfn.XLOOKUP(HFrame_List[[#This Row],[Fabrication type]],Fabrication_costs[Fabrication type],Fabrication_costs[unit pricing],"no result",0)</f>
        <v>30</v>
      </c>
      <c r="V200" s="5">
        <f>SUM(T200:U200)/(1-HFrame_List[[#This Row],[Margin]])</f>
        <v>634.66857142857145</v>
      </c>
      <c r="W200" s="36">
        <f t="shared" si="76"/>
        <v>0.65</v>
      </c>
      <c r="X200" t="s">
        <v>193</v>
      </c>
      <c r="Y200">
        <f>_xlfn.XLOOKUP("A12",Strut_costs[size],Strut_costs[Strut cost])/12*HFrame_List[[#This Row],[Strut height (in)]]*(2+HFrame_List[[#This Row],[Extra supports]])</f>
        <v>65.52</v>
      </c>
      <c r="Z200">
        <f>(_xlfn.XLOOKUP("PHB",CADDY_costs[Component],CADDY_costs[Current cost])*HFrame_List[[#This Row],[Number of feet]])+(_xlfn.XLOOKUP("HFRMHDW",CADDY_costs[Component],CADDY_costs[Current cost])*(HFrame_List[[#This Row],[number of L-brackets]]/2))</f>
        <v>46.819999999999993</v>
      </c>
      <c r="AA200">
        <v>4836</v>
      </c>
      <c r="AB200">
        <f>VLOOKUP(HFrame_List[[#This Row],[lookup]],'Pallet and shipping info'!$A$5:$H$33,6,FALSE)</f>
        <v>9</v>
      </c>
      <c r="AC200">
        <f>VLOOKUP(HFrame_List[[#This Row],[lookup]],'Pallet and shipping info'!$A$5:$H$33,8,FALSE)</f>
        <v>14</v>
      </c>
      <c r="AD200"/>
      <c r="AE200"/>
      <c r="AF200"/>
    </row>
    <row r="201" spans="1:32" x14ac:dyDescent="0.25">
      <c r="A201" s="1" t="s">
        <v>582</v>
      </c>
      <c r="B201" s="1" t="s">
        <v>583</v>
      </c>
      <c r="C201" s="1">
        <f t="shared" si="66"/>
        <v>73.674999999999997</v>
      </c>
      <c r="D201" s="1">
        <f t="shared" si="67"/>
        <v>50.050999999999995</v>
      </c>
      <c r="E201" s="1">
        <v>72</v>
      </c>
      <c r="F201" s="1">
        <f t="shared" si="77"/>
        <v>36</v>
      </c>
      <c r="G201" s="1">
        <f t="shared" si="70"/>
        <v>32.24</v>
      </c>
      <c r="H201" s="1">
        <v>1</v>
      </c>
      <c r="I201" s="1" t="s">
        <v>186</v>
      </c>
      <c r="J201" s="1">
        <v>1</v>
      </c>
      <c r="K201" s="2">
        <f t="shared" si="68"/>
        <v>17.1875</v>
      </c>
      <c r="L201" s="1">
        <f t="shared" si="69"/>
        <v>3</v>
      </c>
      <c r="M201" s="1">
        <f t="shared" si="71"/>
        <v>12</v>
      </c>
      <c r="N201" s="1">
        <f t="shared" si="72"/>
        <v>4</v>
      </c>
      <c r="O201" s="3">
        <f t="shared" si="63"/>
        <v>27</v>
      </c>
      <c r="P201" s="1">
        <f t="shared" si="73"/>
        <v>3</v>
      </c>
      <c r="Q201">
        <f t="shared" si="74"/>
        <v>8</v>
      </c>
      <c r="R201">
        <f>_xlfn.XLOOKUP(HFrame_List[[#This Row],[Cross piece style]],$AH$2:$AH$4,$AI$2:$AI$4,0,0)*(HFrame_List[[#This Row],[Width between brackets]]/12)</f>
        <v>79.794000000000011</v>
      </c>
      <c r="S201">
        <f>5.46*(HFrame_List[[#This Row],[cross piece quantity]]-1)*(HFrame_List[[#This Row],[Width between brackets]]/12)</f>
        <v>0</v>
      </c>
      <c r="T201" s="5">
        <f>HFrame_List[[#This Row],[Bottom cross piece cost]]+HFrame_List[[#This Row],[Top cross piece cost]]+HFrame_List[[#This Row],[Component costs]]+HFrame_List[[#This Row],[Vertical strut cost]]</f>
        <v>224.89400000000001</v>
      </c>
      <c r="U201" s="7">
        <f>_xlfn.XLOOKUP(HFrame_List[[#This Row],[Fabrication type]],Fabrication_costs[Fabrication type],Fabrication_costs[unit pricing],"no result",0)</f>
        <v>30</v>
      </c>
      <c r="V201" s="5">
        <f>SUM(T201:U201)/(1-HFrame_List[[#This Row],[Margin]])</f>
        <v>728.26857142857148</v>
      </c>
      <c r="W201" s="36">
        <f t="shared" si="76"/>
        <v>0.65</v>
      </c>
      <c r="X201" t="s">
        <v>193</v>
      </c>
      <c r="Y201">
        <f>_xlfn.XLOOKUP("A12",Strut_costs[size],Strut_costs[Strut cost])/12*HFrame_List[[#This Row],[Strut height (in)]]*(2+HFrame_List[[#This Row],[Extra supports]])</f>
        <v>98.28</v>
      </c>
      <c r="Z201">
        <f>(_xlfn.XLOOKUP("PHB",CADDY_costs[Component],CADDY_costs[Current cost])*HFrame_List[[#This Row],[Number of feet]])+(_xlfn.XLOOKUP("HFRMHDW",CADDY_costs[Component],CADDY_costs[Current cost])*(HFrame_List[[#This Row],[number of L-brackets]]/2))</f>
        <v>46.819999999999993</v>
      </c>
      <c r="AA201">
        <v>7236</v>
      </c>
      <c r="AB201">
        <f>VLOOKUP(HFrame_List[[#This Row],[lookup]],'Pallet and shipping info'!$A$5:$H$33,6,FALSE)</f>
        <v>9</v>
      </c>
      <c r="AC201">
        <f>VLOOKUP(HFrame_List[[#This Row],[lookup]],'Pallet and shipping info'!$A$5:$H$33,8,FALSE)</f>
        <v>14</v>
      </c>
      <c r="AD201"/>
      <c r="AE201"/>
      <c r="AF201"/>
    </row>
    <row r="202" spans="1:32" x14ac:dyDescent="0.25">
      <c r="A202" s="1" t="s">
        <v>584</v>
      </c>
      <c r="B202" s="1" t="s">
        <v>585</v>
      </c>
      <c r="C202" s="1">
        <f t="shared" si="66"/>
        <v>25.675000000000001</v>
      </c>
      <c r="D202" s="1">
        <f t="shared" si="67"/>
        <v>62.050999999999995</v>
      </c>
      <c r="E202" s="1">
        <v>24</v>
      </c>
      <c r="F202" s="1">
        <v>48</v>
      </c>
      <c r="G202" s="1">
        <f t="shared" si="70"/>
        <v>44.24</v>
      </c>
      <c r="H202" s="1">
        <v>1</v>
      </c>
      <c r="I202" s="1" t="s">
        <v>186</v>
      </c>
      <c r="J202" s="1">
        <v>1</v>
      </c>
      <c r="K202" s="2">
        <f t="shared" si="68"/>
        <v>23.1875</v>
      </c>
      <c r="L202" s="1">
        <f t="shared" si="69"/>
        <v>3</v>
      </c>
      <c r="M202" s="1">
        <f t="shared" si="71"/>
        <v>12</v>
      </c>
      <c r="N202" s="1">
        <f t="shared" si="72"/>
        <v>4</v>
      </c>
      <c r="O202" s="3">
        <f t="shared" si="63"/>
        <v>12</v>
      </c>
      <c r="P202" s="1">
        <f t="shared" si="73"/>
        <v>2</v>
      </c>
      <c r="Q202">
        <f t="shared" si="74"/>
        <v>8</v>
      </c>
      <c r="R202">
        <f>_xlfn.XLOOKUP(HFrame_List[[#This Row],[Cross piece style]],$AH$2:$AH$4,$AI$2:$AI$4,0,0)*(HFrame_List[[#This Row],[Width between brackets]]/12)</f>
        <v>109.494</v>
      </c>
      <c r="S202">
        <f>5.46*(HFrame_List[[#This Row],[cross piece quantity]]-1)*(HFrame_List[[#This Row],[Width between brackets]]/12)</f>
        <v>0</v>
      </c>
      <c r="T202" s="5">
        <f>HFrame_List[[#This Row],[Bottom cross piece cost]]+HFrame_List[[#This Row],[Top cross piece cost]]+HFrame_List[[#This Row],[Component costs]]+HFrame_List[[#This Row],[Vertical strut cost]]</f>
        <v>189.07399999999998</v>
      </c>
      <c r="U202" s="7">
        <f>_xlfn.XLOOKUP(HFrame_List[[#This Row],[Fabrication type]],Fabrication_costs[Fabrication type],Fabrication_costs[unit pricing],"no result",0)</f>
        <v>30</v>
      </c>
      <c r="V202" s="5">
        <f>SUM(T202:U202)/(1-HFrame_List[[#This Row],[Margin]])</f>
        <v>625.92571428571432</v>
      </c>
      <c r="W202" s="36">
        <f t="shared" si="76"/>
        <v>0.65</v>
      </c>
      <c r="X202" t="s">
        <v>193</v>
      </c>
      <c r="Y202">
        <f>_xlfn.XLOOKUP("A12",Strut_costs[size],Strut_costs[Strut cost])/12*HFrame_List[[#This Row],[Strut height (in)]]*(2+HFrame_List[[#This Row],[Extra supports]])</f>
        <v>32.76</v>
      </c>
      <c r="Z202">
        <f>(_xlfn.XLOOKUP("PHB",CADDY_costs[Component],CADDY_costs[Current cost])*HFrame_List[[#This Row],[Number of feet]])+(_xlfn.XLOOKUP("HFRMHDW",CADDY_costs[Component],CADDY_costs[Current cost])*(HFrame_List[[#This Row],[number of L-brackets]]/2))</f>
        <v>46.819999999999993</v>
      </c>
      <c r="AA202">
        <v>2448</v>
      </c>
      <c r="AB202">
        <f>VLOOKUP(HFrame_List[[#This Row],[lookup]],'Pallet and shipping info'!$A$5:$H$33,6,FALSE)</f>
        <v>7</v>
      </c>
      <c r="AC202">
        <f>VLOOKUP(HFrame_List[[#This Row],[lookup]],'Pallet and shipping info'!$A$5:$H$33,8,FALSE)</f>
        <v>10</v>
      </c>
      <c r="AD202"/>
      <c r="AE202"/>
      <c r="AF202"/>
    </row>
    <row r="203" spans="1:32" x14ac:dyDescent="0.25">
      <c r="A203" s="1" t="s">
        <v>586</v>
      </c>
      <c r="B203" s="1" t="s">
        <v>587</v>
      </c>
      <c r="C203" s="1">
        <f t="shared" si="66"/>
        <v>37.674999999999997</v>
      </c>
      <c r="D203" s="1">
        <f t="shared" si="67"/>
        <v>62.050999999999995</v>
      </c>
      <c r="E203" s="1">
        <v>36</v>
      </c>
      <c r="F203" s="1">
        <f t="shared" si="77"/>
        <v>48</v>
      </c>
      <c r="G203" s="1">
        <f t="shared" si="70"/>
        <v>44.24</v>
      </c>
      <c r="H203" s="1">
        <v>1</v>
      </c>
      <c r="I203" s="1" t="s">
        <v>186</v>
      </c>
      <c r="J203" s="1">
        <v>1</v>
      </c>
      <c r="K203" s="2">
        <f t="shared" si="68"/>
        <v>23.1875</v>
      </c>
      <c r="L203" s="1">
        <f t="shared" si="69"/>
        <v>3</v>
      </c>
      <c r="M203" s="1">
        <f t="shared" si="71"/>
        <v>12</v>
      </c>
      <c r="N203" s="1">
        <f t="shared" si="72"/>
        <v>4</v>
      </c>
      <c r="O203" s="3">
        <f t="shared" si="63"/>
        <v>16</v>
      </c>
      <c r="P203" s="1">
        <f t="shared" si="73"/>
        <v>2</v>
      </c>
      <c r="Q203">
        <f t="shared" si="74"/>
        <v>8</v>
      </c>
      <c r="R203">
        <f>_xlfn.XLOOKUP(HFrame_List[[#This Row],[Cross piece style]],$AH$2:$AH$4,$AI$2:$AI$4,0,0)*(HFrame_List[[#This Row],[Width between brackets]]/12)</f>
        <v>109.494</v>
      </c>
      <c r="S203">
        <f>5.46*(HFrame_List[[#This Row],[cross piece quantity]]-1)*(HFrame_List[[#This Row],[Width between brackets]]/12)</f>
        <v>0</v>
      </c>
      <c r="T203" s="5">
        <f>HFrame_List[[#This Row],[Bottom cross piece cost]]+HFrame_List[[#This Row],[Top cross piece cost]]+HFrame_List[[#This Row],[Component costs]]+HFrame_List[[#This Row],[Vertical strut cost]]</f>
        <v>205.45400000000001</v>
      </c>
      <c r="U203" s="7">
        <f>_xlfn.XLOOKUP(HFrame_List[[#This Row],[Fabrication type]],Fabrication_costs[Fabrication type],Fabrication_costs[unit pricing],"no result",0)</f>
        <v>30</v>
      </c>
      <c r="V203" s="5">
        <f>SUM(T203:U203)/(1-HFrame_List[[#This Row],[Margin]])</f>
        <v>672.72571428571439</v>
      </c>
      <c r="W203" s="36">
        <f t="shared" si="76"/>
        <v>0.65</v>
      </c>
      <c r="X203" t="s">
        <v>193</v>
      </c>
      <c r="Y203">
        <f>_xlfn.XLOOKUP("A12",Strut_costs[size],Strut_costs[Strut cost])/12*HFrame_List[[#This Row],[Strut height (in)]]*(2+HFrame_List[[#This Row],[Extra supports]])</f>
        <v>49.14</v>
      </c>
      <c r="Z203">
        <f>(_xlfn.XLOOKUP("PHB",CADDY_costs[Component],CADDY_costs[Current cost])*HFrame_List[[#This Row],[Number of feet]])+(_xlfn.XLOOKUP("HFRMHDW",CADDY_costs[Component],CADDY_costs[Current cost])*(HFrame_List[[#This Row],[number of L-brackets]]/2))</f>
        <v>46.819999999999993</v>
      </c>
      <c r="AA203">
        <v>3648</v>
      </c>
      <c r="AB203">
        <f>VLOOKUP(HFrame_List[[#This Row],[lookup]],'Pallet and shipping info'!$A$5:$H$33,6,FALSE)</f>
        <v>7</v>
      </c>
      <c r="AC203">
        <f>VLOOKUP(HFrame_List[[#This Row],[lookup]],'Pallet and shipping info'!$A$5:$H$33,8,FALSE)</f>
        <v>10</v>
      </c>
      <c r="AD203"/>
      <c r="AE203"/>
      <c r="AF203"/>
    </row>
    <row r="204" spans="1:32" x14ac:dyDescent="0.25">
      <c r="A204" s="1" t="s">
        <v>588</v>
      </c>
      <c r="B204" s="1" t="s">
        <v>589</v>
      </c>
      <c r="C204" s="1">
        <f t="shared" si="66"/>
        <v>49.674999999999997</v>
      </c>
      <c r="D204" s="1">
        <f t="shared" si="67"/>
        <v>62.050999999999995</v>
      </c>
      <c r="E204" s="1">
        <v>48</v>
      </c>
      <c r="F204" s="1">
        <f t="shared" si="77"/>
        <v>48</v>
      </c>
      <c r="G204" s="1">
        <f t="shared" si="70"/>
        <v>44.24</v>
      </c>
      <c r="H204" s="1">
        <v>1</v>
      </c>
      <c r="I204" s="1" t="s">
        <v>186</v>
      </c>
      <c r="J204" s="1">
        <v>1</v>
      </c>
      <c r="K204" s="2">
        <f t="shared" si="68"/>
        <v>23.1875</v>
      </c>
      <c r="L204" s="1">
        <f t="shared" si="69"/>
        <v>3</v>
      </c>
      <c r="M204" s="1">
        <f t="shared" si="71"/>
        <v>12</v>
      </c>
      <c r="N204" s="1">
        <f t="shared" si="72"/>
        <v>4</v>
      </c>
      <c r="O204" s="3">
        <f t="shared" si="63"/>
        <v>20</v>
      </c>
      <c r="P204" s="1">
        <f t="shared" si="73"/>
        <v>2</v>
      </c>
      <c r="Q204">
        <f t="shared" si="74"/>
        <v>8</v>
      </c>
      <c r="R204">
        <f>_xlfn.XLOOKUP(HFrame_List[[#This Row],[Cross piece style]],$AH$2:$AH$4,$AI$2:$AI$4,0,0)*(HFrame_List[[#This Row],[Width between brackets]]/12)</f>
        <v>109.494</v>
      </c>
      <c r="S204">
        <f>5.46*(HFrame_List[[#This Row],[cross piece quantity]]-1)*(HFrame_List[[#This Row],[Width between brackets]]/12)</f>
        <v>0</v>
      </c>
      <c r="T204" s="5">
        <f>HFrame_List[[#This Row],[Bottom cross piece cost]]+HFrame_List[[#This Row],[Top cross piece cost]]+HFrame_List[[#This Row],[Component costs]]+HFrame_List[[#This Row],[Vertical strut cost]]</f>
        <v>221.834</v>
      </c>
      <c r="U204" s="7">
        <f>_xlfn.XLOOKUP(HFrame_List[[#This Row],[Fabrication type]],Fabrication_costs[Fabrication type],Fabrication_costs[unit pricing],"no result",0)</f>
        <v>30</v>
      </c>
      <c r="V204" s="5">
        <f>SUM(T204:U204)/(1-HFrame_List[[#This Row],[Margin]])</f>
        <v>719.52571428571434</v>
      </c>
      <c r="W204" s="36">
        <f t="shared" si="76"/>
        <v>0.65</v>
      </c>
      <c r="X204" t="s">
        <v>193</v>
      </c>
      <c r="Y204">
        <f>_xlfn.XLOOKUP("A12",Strut_costs[size],Strut_costs[Strut cost])/12*HFrame_List[[#This Row],[Strut height (in)]]*(2+HFrame_List[[#This Row],[Extra supports]])</f>
        <v>65.52</v>
      </c>
      <c r="Z204">
        <f>(_xlfn.XLOOKUP("PHB",CADDY_costs[Component],CADDY_costs[Current cost])*HFrame_List[[#This Row],[Number of feet]])+(_xlfn.XLOOKUP("HFRMHDW",CADDY_costs[Component],CADDY_costs[Current cost])*(HFrame_List[[#This Row],[number of L-brackets]]/2))</f>
        <v>46.819999999999993</v>
      </c>
      <c r="AA204">
        <v>4848</v>
      </c>
      <c r="AB204">
        <f>VLOOKUP(HFrame_List[[#This Row],[lookup]],'Pallet and shipping info'!$A$5:$H$33,6,FALSE)</f>
        <v>7</v>
      </c>
      <c r="AC204">
        <f>VLOOKUP(HFrame_List[[#This Row],[lookup]],'Pallet and shipping info'!$A$5:$H$33,8,FALSE)</f>
        <v>10</v>
      </c>
      <c r="AD204"/>
      <c r="AE204"/>
      <c r="AF204"/>
    </row>
    <row r="205" spans="1:32" x14ac:dyDescent="0.25">
      <c r="A205" s="1" t="s">
        <v>590</v>
      </c>
      <c r="B205" s="1" t="s">
        <v>591</v>
      </c>
      <c r="C205" s="1">
        <f t="shared" si="66"/>
        <v>73.674999999999997</v>
      </c>
      <c r="D205" s="1">
        <f t="shared" si="67"/>
        <v>62.050999999999995</v>
      </c>
      <c r="E205" s="1">
        <v>72</v>
      </c>
      <c r="F205" s="1">
        <f t="shared" si="77"/>
        <v>48</v>
      </c>
      <c r="G205" s="1">
        <f t="shared" si="70"/>
        <v>44.24</v>
      </c>
      <c r="H205" s="1">
        <v>1</v>
      </c>
      <c r="I205" s="1" t="s">
        <v>186</v>
      </c>
      <c r="J205" s="1">
        <v>1</v>
      </c>
      <c r="K205" s="2">
        <f t="shared" si="68"/>
        <v>23.1875</v>
      </c>
      <c r="L205" s="1">
        <f t="shared" si="69"/>
        <v>3</v>
      </c>
      <c r="M205" s="1">
        <f t="shared" si="71"/>
        <v>12</v>
      </c>
      <c r="N205" s="1">
        <f t="shared" si="72"/>
        <v>4</v>
      </c>
      <c r="O205" s="3">
        <f t="shared" si="63"/>
        <v>28</v>
      </c>
      <c r="P205" s="1">
        <f t="shared" si="73"/>
        <v>3</v>
      </c>
      <c r="Q205">
        <f t="shared" si="74"/>
        <v>8</v>
      </c>
      <c r="R205">
        <f>_xlfn.XLOOKUP(HFrame_List[[#This Row],[Cross piece style]],$AH$2:$AH$4,$AI$2:$AI$4,0,0)*(HFrame_List[[#This Row],[Width between brackets]]/12)</f>
        <v>109.494</v>
      </c>
      <c r="S205">
        <f>5.46*(HFrame_List[[#This Row],[cross piece quantity]]-1)*(HFrame_List[[#This Row],[Width between brackets]]/12)</f>
        <v>0</v>
      </c>
      <c r="T205" s="5">
        <f>HFrame_List[[#This Row],[Bottom cross piece cost]]+HFrame_List[[#This Row],[Top cross piece cost]]+HFrame_List[[#This Row],[Component costs]]+HFrame_List[[#This Row],[Vertical strut cost]]</f>
        <v>254.59399999999999</v>
      </c>
      <c r="U205" s="7">
        <f>_xlfn.XLOOKUP(HFrame_List[[#This Row],[Fabrication type]],Fabrication_costs[Fabrication type],Fabrication_costs[unit pricing],"no result",0)</f>
        <v>30</v>
      </c>
      <c r="V205" s="5">
        <f>SUM(T205:U205)/(1-HFrame_List[[#This Row],[Margin]])</f>
        <v>813.12571428571437</v>
      </c>
      <c r="W205" s="36">
        <f t="shared" si="76"/>
        <v>0.65</v>
      </c>
      <c r="X205" t="s">
        <v>193</v>
      </c>
      <c r="Y205">
        <f>_xlfn.XLOOKUP("A12",Strut_costs[size],Strut_costs[Strut cost])/12*HFrame_List[[#This Row],[Strut height (in)]]*(2+HFrame_List[[#This Row],[Extra supports]])</f>
        <v>98.28</v>
      </c>
      <c r="Z205">
        <f>(_xlfn.XLOOKUP("PHB",CADDY_costs[Component],CADDY_costs[Current cost])*HFrame_List[[#This Row],[Number of feet]])+(_xlfn.XLOOKUP("HFRMHDW",CADDY_costs[Component],CADDY_costs[Current cost])*(HFrame_List[[#This Row],[number of L-brackets]]/2))</f>
        <v>46.819999999999993</v>
      </c>
      <c r="AA205">
        <v>7248</v>
      </c>
      <c r="AB205">
        <f>VLOOKUP(HFrame_List[[#This Row],[lookup]],'Pallet and shipping info'!$A$5:$H$33,6,FALSE)</f>
        <v>7</v>
      </c>
      <c r="AC205">
        <f>VLOOKUP(HFrame_List[[#This Row],[lookup]],'Pallet and shipping info'!$A$5:$H$33,8,FALSE)</f>
        <v>10</v>
      </c>
      <c r="AD205"/>
      <c r="AE205"/>
      <c r="AF205"/>
    </row>
    <row r="206" spans="1:32" x14ac:dyDescent="0.25">
      <c r="A206" s="1" t="s">
        <v>592</v>
      </c>
      <c r="B206" s="1" t="s">
        <v>593</v>
      </c>
      <c r="C206" s="1">
        <f t="shared" si="66"/>
        <v>25.675000000000001</v>
      </c>
      <c r="D206" s="1">
        <f t="shared" si="67"/>
        <v>74.051000000000002</v>
      </c>
      <c r="E206" s="1">
        <v>24</v>
      </c>
      <c r="F206" s="1">
        <v>60</v>
      </c>
      <c r="G206" s="1">
        <f t="shared" si="70"/>
        <v>56.24</v>
      </c>
      <c r="H206" s="1">
        <v>1</v>
      </c>
      <c r="I206" s="1" t="s">
        <v>186</v>
      </c>
      <c r="J206" s="1">
        <v>1</v>
      </c>
      <c r="K206" s="2">
        <f t="shared" si="68"/>
        <v>29.1875</v>
      </c>
      <c r="L206" s="1">
        <f t="shared" si="69"/>
        <v>3</v>
      </c>
      <c r="M206" s="1">
        <f t="shared" si="71"/>
        <v>12</v>
      </c>
      <c r="N206" s="1">
        <f t="shared" si="72"/>
        <v>4</v>
      </c>
      <c r="O206" s="3">
        <f t="shared" si="63"/>
        <v>13</v>
      </c>
      <c r="P206" s="1">
        <f t="shared" si="73"/>
        <v>2</v>
      </c>
      <c r="Q206">
        <f t="shared" si="74"/>
        <v>8</v>
      </c>
      <c r="R206">
        <f>_xlfn.XLOOKUP(HFrame_List[[#This Row],[Cross piece style]],$AH$2:$AH$4,$AI$2:$AI$4,0,0)*(HFrame_List[[#This Row],[Width between brackets]]/12)</f>
        <v>139.19399999999999</v>
      </c>
      <c r="S206">
        <f>5.46*(HFrame_List[[#This Row],[cross piece quantity]]-1)*(HFrame_List[[#This Row],[Width between brackets]]/12)</f>
        <v>0</v>
      </c>
      <c r="T206" s="5">
        <f>HFrame_List[[#This Row],[Bottom cross piece cost]]+HFrame_List[[#This Row],[Top cross piece cost]]+HFrame_List[[#This Row],[Component costs]]+HFrame_List[[#This Row],[Vertical strut cost]]</f>
        <v>218.77399999999997</v>
      </c>
      <c r="U206" s="7">
        <f>_xlfn.XLOOKUP(HFrame_List[[#This Row],[Fabrication type]],Fabrication_costs[Fabrication type],Fabrication_costs[unit pricing],"no result",0)</f>
        <v>30</v>
      </c>
      <c r="V206" s="5">
        <f>SUM(T206:U206)/(1-HFrame_List[[#This Row],[Margin]])</f>
        <v>710.7828571428571</v>
      </c>
      <c r="W206" s="36">
        <f t="shared" si="76"/>
        <v>0.65</v>
      </c>
      <c r="X206" t="s">
        <v>193</v>
      </c>
      <c r="Y206">
        <f>_xlfn.XLOOKUP("A12",Strut_costs[size],Strut_costs[Strut cost])/12*HFrame_List[[#This Row],[Strut height (in)]]*(2+HFrame_List[[#This Row],[Extra supports]])</f>
        <v>32.76</v>
      </c>
      <c r="Z206">
        <f>(_xlfn.XLOOKUP("PHB",CADDY_costs[Component],CADDY_costs[Current cost])*HFrame_List[[#This Row],[Number of feet]])+(_xlfn.XLOOKUP("HFRMHDW",CADDY_costs[Component],CADDY_costs[Current cost])*(HFrame_List[[#This Row],[number of L-brackets]]/2))</f>
        <v>46.819999999999993</v>
      </c>
      <c r="AA206">
        <v>2460</v>
      </c>
      <c r="AB206" t="str">
        <f>VLOOKUP(HFrame_List[[#This Row],[lookup]],'Pallet and shipping info'!$A$5:$H$33,6,FALSE)</f>
        <v>x</v>
      </c>
      <c r="AC206">
        <f>VLOOKUP(HFrame_List[[#This Row],[lookup]],'Pallet and shipping info'!$A$5:$H$33,8,FALSE)</f>
        <v>7</v>
      </c>
      <c r="AD206"/>
      <c r="AE206"/>
      <c r="AF206"/>
    </row>
    <row r="207" spans="1:32" x14ac:dyDescent="0.25">
      <c r="A207" s="1" t="s">
        <v>594</v>
      </c>
      <c r="B207" s="1" t="s">
        <v>595</v>
      </c>
      <c r="C207" s="1">
        <f t="shared" si="66"/>
        <v>37.674999999999997</v>
      </c>
      <c r="D207" s="1">
        <f t="shared" si="67"/>
        <v>74.051000000000002</v>
      </c>
      <c r="E207" s="1">
        <v>36</v>
      </c>
      <c r="F207" s="1">
        <v>60</v>
      </c>
      <c r="G207" s="1">
        <f t="shared" si="70"/>
        <v>56.24</v>
      </c>
      <c r="H207" s="1">
        <v>1</v>
      </c>
      <c r="I207" s="1" t="s">
        <v>186</v>
      </c>
      <c r="J207" s="1">
        <v>1</v>
      </c>
      <c r="K207" s="2">
        <f t="shared" si="68"/>
        <v>29.1875</v>
      </c>
      <c r="L207" s="1">
        <f t="shared" si="69"/>
        <v>3</v>
      </c>
      <c r="M207" s="1">
        <f t="shared" si="71"/>
        <v>12</v>
      </c>
      <c r="N207" s="1">
        <f t="shared" si="72"/>
        <v>4</v>
      </c>
      <c r="O207" s="3">
        <f t="shared" si="63"/>
        <v>17</v>
      </c>
      <c r="P207" s="1">
        <f t="shared" si="73"/>
        <v>2</v>
      </c>
      <c r="Q207">
        <f t="shared" si="74"/>
        <v>8</v>
      </c>
      <c r="R207">
        <f>_xlfn.XLOOKUP(HFrame_List[[#This Row],[Cross piece style]],$AH$2:$AH$4,$AI$2:$AI$4,0,0)*(HFrame_List[[#This Row],[Width between brackets]]/12)</f>
        <v>139.19399999999999</v>
      </c>
      <c r="S207">
        <f>5.46*(HFrame_List[[#This Row],[cross piece quantity]]-1)*(HFrame_List[[#This Row],[Width between brackets]]/12)</f>
        <v>0</v>
      </c>
      <c r="T207" s="5">
        <f>HFrame_List[[#This Row],[Bottom cross piece cost]]+HFrame_List[[#This Row],[Top cross piece cost]]+HFrame_List[[#This Row],[Component costs]]+HFrame_List[[#This Row],[Vertical strut cost]]</f>
        <v>235.154</v>
      </c>
      <c r="U207" s="7">
        <f>_xlfn.XLOOKUP(HFrame_List[[#This Row],[Fabrication type]],Fabrication_costs[Fabrication type],Fabrication_costs[unit pricing],"no result",0)</f>
        <v>30</v>
      </c>
      <c r="V207" s="5">
        <f>SUM(T207:U207)/(1-HFrame_List[[#This Row],[Margin]])</f>
        <v>757.58285714285716</v>
      </c>
      <c r="W207" s="36">
        <f t="shared" si="76"/>
        <v>0.65</v>
      </c>
      <c r="X207" t="s">
        <v>193</v>
      </c>
      <c r="Y207">
        <f>_xlfn.XLOOKUP("A12",Strut_costs[size],Strut_costs[Strut cost])/12*HFrame_List[[#This Row],[Strut height (in)]]*(2+HFrame_List[[#This Row],[Extra supports]])</f>
        <v>49.14</v>
      </c>
      <c r="Z207">
        <f>(_xlfn.XLOOKUP("PHB",CADDY_costs[Component],CADDY_costs[Current cost])*HFrame_List[[#This Row],[Number of feet]])+(_xlfn.XLOOKUP("HFRMHDW",CADDY_costs[Component],CADDY_costs[Current cost])*(HFrame_List[[#This Row],[number of L-brackets]]/2))</f>
        <v>46.819999999999993</v>
      </c>
      <c r="AA207">
        <v>3660</v>
      </c>
      <c r="AB207" t="str">
        <f>VLOOKUP(HFrame_List[[#This Row],[lookup]],'Pallet and shipping info'!$A$5:$H$33,6,FALSE)</f>
        <v>x</v>
      </c>
      <c r="AC207">
        <f>VLOOKUP(HFrame_List[[#This Row],[lookup]],'Pallet and shipping info'!$A$5:$H$33,8,FALSE)</f>
        <v>7</v>
      </c>
      <c r="AD207"/>
      <c r="AE207"/>
      <c r="AF207"/>
    </row>
    <row r="208" spans="1:32" x14ac:dyDescent="0.25">
      <c r="A208" s="1" t="s">
        <v>596</v>
      </c>
      <c r="B208" s="1" t="s">
        <v>597</v>
      </c>
      <c r="C208" s="1">
        <f t="shared" si="66"/>
        <v>49.674999999999997</v>
      </c>
      <c r="D208" s="1">
        <f t="shared" si="67"/>
        <v>74.051000000000002</v>
      </c>
      <c r="E208" s="1">
        <v>48</v>
      </c>
      <c r="F208" s="1">
        <v>60</v>
      </c>
      <c r="G208" s="1">
        <f t="shared" si="70"/>
        <v>56.24</v>
      </c>
      <c r="H208" s="1">
        <v>1</v>
      </c>
      <c r="I208" s="1" t="s">
        <v>186</v>
      </c>
      <c r="J208" s="1">
        <v>1</v>
      </c>
      <c r="K208" s="2">
        <f t="shared" si="68"/>
        <v>29.1875</v>
      </c>
      <c r="L208" s="1">
        <f t="shared" si="69"/>
        <v>3</v>
      </c>
      <c r="M208" s="1">
        <f t="shared" si="71"/>
        <v>12</v>
      </c>
      <c r="N208" s="1">
        <f t="shared" si="72"/>
        <v>4</v>
      </c>
      <c r="O208" s="3">
        <f t="shared" si="63"/>
        <v>21</v>
      </c>
      <c r="P208" s="1">
        <f t="shared" si="73"/>
        <v>3</v>
      </c>
      <c r="Q208">
        <f t="shared" si="74"/>
        <v>8</v>
      </c>
      <c r="R208">
        <f>_xlfn.XLOOKUP(HFrame_List[[#This Row],[Cross piece style]],$AH$2:$AH$4,$AI$2:$AI$4,0,0)*(HFrame_List[[#This Row],[Width between brackets]]/12)</f>
        <v>139.19399999999999</v>
      </c>
      <c r="S208">
        <f>5.46*(HFrame_List[[#This Row],[cross piece quantity]]-1)*(HFrame_List[[#This Row],[Width between brackets]]/12)</f>
        <v>0</v>
      </c>
      <c r="T208" s="5">
        <f>HFrame_List[[#This Row],[Bottom cross piece cost]]+HFrame_List[[#This Row],[Top cross piece cost]]+HFrame_List[[#This Row],[Component costs]]+HFrame_List[[#This Row],[Vertical strut cost]]</f>
        <v>251.53399999999999</v>
      </c>
      <c r="U208" s="7">
        <f>_xlfn.XLOOKUP(HFrame_List[[#This Row],[Fabrication type]],Fabrication_costs[Fabrication type],Fabrication_costs[unit pricing],"no result",0)</f>
        <v>30</v>
      </c>
      <c r="V208" s="5">
        <f>SUM(T208:U208)/(1-HFrame_List[[#This Row],[Margin]])</f>
        <v>804.38285714285712</v>
      </c>
      <c r="W208" s="36">
        <f t="shared" si="76"/>
        <v>0.65</v>
      </c>
      <c r="X208" t="s">
        <v>193</v>
      </c>
      <c r="Y208">
        <f>_xlfn.XLOOKUP("A12",Strut_costs[size],Strut_costs[Strut cost])/12*HFrame_List[[#This Row],[Strut height (in)]]*(2+HFrame_List[[#This Row],[Extra supports]])</f>
        <v>65.52</v>
      </c>
      <c r="Z208">
        <f>(_xlfn.XLOOKUP("PHB",CADDY_costs[Component],CADDY_costs[Current cost])*HFrame_List[[#This Row],[Number of feet]])+(_xlfn.XLOOKUP("HFRMHDW",CADDY_costs[Component],CADDY_costs[Current cost])*(HFrame_List[[#This Row],[number of L-brackets]]/2))</f>
        <v>46.819999999999993</v>
      </c>
      <c r="AA208">
        <v>4860</v>
      </c>
      <c r="AB208" t="str">
        <f>VLOOKUP(HFrame_List[[#This Row],[lookup]],'Pallet and shipping info'!$A$5:$H$33,6,FALSE)</f>
        <v>x</v>
      </c>
      <c r="AC208">
        <f>VLOOKUP(HFrame_List[[#This Row],[lookup]],'Pallet and shipping info'!$A$5:$H$33,8,FALSE)</f>
        <v>7</v>
      </c>
      <c r="AD208"/>
      <c r="AE208"/>
      <c r="AF208"/>
    </row>
    <row r="209" spans="1:32" x14ac:dyDescent="0.25">
      <c r="A209" s="1" t="s">
        <v>598</v>
      </c>
      <c r="B209" s="1" t="s">
        <v>599</v>
      </c>
      <c r="C209" s="1">
        <f t="shared" si="66"/>
        <v>73.674999999999997</v>
      </c>
      <c r="D209" s="1">
        <f t="shared" si="67"/>
        <v>74.051000000000002</v>
      </c>
      <c r="E209" s="1">
        <v>72</v>
      </c>
      <c r="F209" s="1">
        <v>60</v>
      </c>
      <c r="G209" s="1">
        <f t="shared" si="70"/>
        <v>56.24</v>
      </c>
      <c r="H209" s="1">
        <v>1</v>
      </c>
      <c r="I209" s="1" t="s">
        <v>186</v>
      </c>
      <c r="J209" s="1">
        <v>1</v>
      </c>
      <c r="K209" s="2">
        <f t="shared" si="68"/>
        <v>29.1875</v>
      </c>
      <c r="L209" s="1">
        <f t="shared" si="69"/>
        <v>3</v>
      </c>
      <c r="M209" s="1">
        <f t="shared" si="71"/>
        <v>12</v>
      </c>
      <c r="N209" s="1">
        <f t="shared" si="72"/>
        <v>4</v>
      </c>
      <c r="O209" s="3">
        <f t="shared" si="63"/>
        <v>29</v>
      </c>
      <c r="P209" s="1">
        <f t="shared" si="73"/>
        <v>3</v>
      </c>
      <c r="Q209">
        <f t="shared" si="74"/>
        <v>8</v>
      </c>
      <c r="R209">
        <f>_xlfn.XLOOKUP(HFrame_List[[#This Row],[Cross piece style]],$AH$2:$AH$4,$AI$2:$AI$4,0,0)*(HFrame_List[[#This Row],[Width between brackets]]/12)</f>
        <v>139.19399999999999</v>
      </c>
      <c r="S209">
        <f>5.46*(HFrame_List[[#This Row],[cross piece quantity]]-1)*(HFrame_List[[#This Row],[Width between brackets]]/12)</f>
        <v>0</v>
      </c>
      <c r="T209" s="5">
        <f>HFrame_List[[#This Row],[Bottom cross piece cost]]+HFrame_List[[#This Row],[Top cross piece cost]]+HFrame_List[[#This Row],[Component costs]]+HFrame_List[[#This Row],[Vertical strut cost]]</f>
        <v>284.29399999999998</v>
      </c>
      <c r="U209" s="7">
        <f>_xlfn.XLOOKUP(HFrame_List[[#This Row],[Fabrication type]],Fabrication_costs[Fabrication type],Fabrication_costs[unit pricing],"no result",0)</f>
        <v>30</v>
      </c>
      <c r="V209" s="5">
        <f>SUM(T209:U209)/(1-HFrame_List[[#This Row],[Margin]])</f>
        <v>897.98285714285714</v>
      </c>
      <c r="W209" s="36">
        <f t="shared" si="76"/>
        <v>0.65</v>
      </c>
      <c r="X209" t="s">
        <v>193</v>
      </c>
      <c r="Y209">
        <f>_xlfn.XLOOKUP("A12",Strut_costs[size],Strut_costs[Strut cost])/12*HFrame_List[[#This Row],[Strut height (in)]]*(2+HFrame_List[[#This Row],[Extra supports]])</f>
        <v>98.28</v>
      </c>
      <c r="Z209">
        <f>(_xlfn.XLOOKUP("PHB",CADDY_costs[Component],CADDY_costs[Current cost])*HFrame_List[[#This Row],[Number of feet]])+(_xlfn.XLOOKUP("HFRMHDW",CADDY_costs[Component],CADDY_costs[Current cost])*(HFrame_List[[#This Row],[number of L-brackets]]/2))</f>
        <v>46.819999999999993</v>
      </c>
      <c r="AA209">
        <v>7260</v>
      </c>
      <c r="AB209" t="str">
        <f>VLOOKUP(HFrame_List[[#This Row],[lookup]],'Pallet and shipping info'!$A$5:$H$33,6,FALSE)</f>
        <v>x</v>
      </c>
      <c r="AC209">
        <f>VLOOKUP(HFrame_List[[#This Row],[lookup]],'Pallet and shipping info'!$A$5:$H$33,8,FALSE)</f>
        <v>7</v>
      </c>
      <c r="AD209"/>
      <c r="AE209"/>
      <c r="AF209"/>
    </row>
    <row r="210" spans="1:32" x14ac:dyDescent="0.25">
      <c r="A210" s="1" t="s">
        <v>600</v>
      </c>
      <c r="B210" s="1" t="s">
        <v>601</v>
      </c>
      <c r="C210" s="1">
        <f t="shared" si="66"/>
        <v>25.675000000000001</v>
      </c>
      <c r="D210" s="1">
        <f t="shared" si="67"/>
        <v>86.051000000000002</v>
      </c>
      <c r="E210" s="1">
        <v>24</v>
      </c>
      <c r="F210" s="1">
        <v>72</v>
      </c>
      <c r="G210" s="1">
        <f t="shared" si="70"/>
        <v>68.239999999999995</v>
      </c>
      <c r="H210" s="1">
        <v>1</v>
      </c>
      <c r="I210" s="1" t="s">
        <v>186</v>
      </c>
      <c r="J210" s="1">
        <v>1</v>
      </c>
      <c r="K210" s="2">
        <f t="shared" si="68"/>
        <v>35.1875</v>
      </c>
      <c r="L210" s="1">
        <f t="shared" si="69"/>
        <v>3</v>
      </c>
      <c r="M210" s="1">
        <f t="shared" si="71"/>
        <v>12</v>
      </c>
      <c r="N210" s="1">
        <f t="shared" si="72"/>
        <v>4</v>
      </c>
      <c r="O210" s="3">
        <f t="shared" si="63"/>
        <v>14</v>
      </c>
      <c r="P210" s="1">
        <f t="shared" si="73"/>
        <v>2</v>
      </c>
      <c r="Q210">
        <f t="shared" si="74"/>
        <v>8</v>
      </c>
      <c r="R210">
        <f>_xlfn.XLOOKUP(HFrame_List[[#This Row],[Cross piece style]],$AH$2:$AH$4,$AI$2:$AI$4,0,0)*(HFrame_List[[#This Row],[Width between brackets]]/12)</f>
        <v>168.89400000000001</v>
      </c>
      <c r="S210">
        <f>5.46*(HFrame_List[[#This Row],[cross piece quantity]]-1)*(HFrame_List[[#This Row],[Width between brackets]]/12)</f>
        <v>0</v>
      </c>
      <c r="T210" s="5">
        <f>HFrame_List[[#This Row],[Bottom cross piece cost]]+HFrame_List[[#This Row],[Top cross piece cost]]+HFrame_List[[#This Row],[Component costs]]+HFrame_List[[#This Row],[Vertical strut cost]]</f>
        <v>248.47399999999999</v>
      </c>
      <c r="U210" s="7">
        <f>_xlfn.XLOOKUP(HFrame_List[[#This Row],[Fabrication type]],Fabrication_costs[Fabrication type],Fabrication_costs[unit pricing],"no result",0)</f>
        <v>30</v>
      </c>
      <c r="V210" s="5">
        <f>SUM(T210:U210)/(1-HFrame_List[[#This Row],[Margin]])</f>
        <v>795.64</v>
      </c>
      <c r="W210" s="36">
        <f t="shared" si="76"/>
        <v>0.65</v>
      </c>
      <c r="X210" t="s">
        <v>193</v>
      </c>
      <c r="Y210">
        <f>_xlfn.XLOOKUP("A12",Strut_costs[size],Strut_costs[Strut cost])/12*HFrame_List[[#This Row],[Strut height (in)]]*(2+HFrame_List[[#This Row],[Extra supports]])</f>
        <v>32.76</v>
      </c>
      <c r="Z210">
        <f>(_xlfn.XLOOKUP("PHB",CADDY_costs[Component],CADDY_costs[Current cost])*HFrame_List[[#This Row],[Number of feet]])+(_xlfn.XLOOKUP("HFRMHDW",CADDY_costs[Component],CADDY_costs[Current cost])*(HFrame_List[[#This Row],[number of L-brackets]]/2))</f>
        <v>46.819999999999993</v>
      </c>
      <c r="AA210">
        <v>2472</v>
      </c>
      <c r="AB210" t="str">
        <f>VLOOKUP(HFrame_List[[#This Row],[lookup]],'Pallet and shipping info'!$A$5:$H$33,6,FALSE)</f>
        <v>x</v>
      </c>
      <c r="AC210">
        <f>VLOOKUP(HFrame_List[[#This Row],[lookup]],'Pallet and shipping info'!$A$5:$H$33,8,FALSE)</f>
        <v>7</v>
      </c>
      <c r="AD210"/>
      <c r="AE210"/>
      <c r="AF210"/>
    </row>
    <row r="211" spans="1:32" x14ac:dyDescent="0.25">
      <c r="A211" s="1" t="s">
        <v>602</v>
      </c>
      <c r="B211" s="1" t="s">
        <v>603</v>
      </c>
      <c r="C211" s="1">
        <f t="shared" si="66"/>
        <v>37.674999999999997</v>
      </c>
      <c r="D211" s="1">
        <f t="shared" si="67"/>
        <v>86.051000000000002</v>
      </c>
      <c r="E211" s="1">
        <v>36</v>
      </c>
      <c r="F211" s="1">
        <v>72</v>
      </c>
      <c r="G211" s="1">
        <f t="shared" si="70"/>
        <v>68.239999999999995</v>
      </c>
      <c r="H211" s="1">
        <v>1</v>
      </c>
      <c r="I211" s="1" t="s">
        <v>186</v>
      </c>
      <c r="J211" s="1">
        <v>1</v>
      </c>
      <c r="K211" s="2">
        <f t="shared" si="68"/>
        <v>35.1875</v>
      </c>
      <c r="L211" s="1">
        <f t="shared" si="69"/>
        <v>3</v>
      </c>
      <c r="M211" s="1">
        <f t="shared" si="71"/>
        <v>12</v>
      </c>
      <c r="N211" s="1">
        <f t="shared" si="72"/>
        <v>4</v>
      </c>
      <c r="O211" s="3">
        <f t="shared" si="63"/>
        <v>18</v>
      </c>
      <c r="P211" s="1">
        <f t="shared" si="73"/>
        <v>2</v>
      </c>
      <c r="Q211">
        <f t="shared" si="74"/>
        <v>8</v>
      </c>
      <c r="R211">
        <f>_xlfn.XLOOKUP(HFrame_List[[#This Row],[Cross piece style]],$AH$2:$AH$4,$AI$2:$AI$4,0,0)*(HFrame_List[[#This Row],[Width between brackets]]/12)</f>
        <v>168.89400000000001</v>
      </c>
      <c r="S211">
        <f>5.46*(HFrame_List[[#This Row],[cross piece quantity]]-1)*(HFrame_List[[#This Row],[Width between brackets]]/12)</f>
        <v>0</v>
      </c>
      <c r="T211" s="5">
        <f>HFrame_List[[#This Row],[Bottom cross piece cost]]+HFrame_List[[#This Row],[Top cross piece cost]]+HFrame_List[[#This Row],[Component costs]]+HFrame_List[[#This Row],[Vertical strut cost]]</f>
        <v>264.85399999999998</v>
      </c>
      <c r="U211" s="7">
        <f>_xlfn.XLOOKUP(HFrame_List[[#This Row],[Fabrication type]],Fabrication_costs[Fabrication type],Fabrication_costs[unit pricing],"no result",0)</f>
        <v>30</v>
      </c>
      <c r="V211" s="5">
        <f>SUM(T211:U211)/(1-HFrame_List[[#This Row],[Margin]])</f>
        <v>842.44</v>
      </c>
      <c r="W211" s="36">
        <f t="shared" si="76"/>
        <v>0.65</v>
      </c>
      <c r="X211" t="s">
        <v>193</v>
      </c>
      <c r="Y211">
        <f>_xlfn.XLOOKUP("A12",Strut_costs[size],Strut_costs[Strut cost])/12*HFrame_List[[#This Row],[Strut height (in)]]*(2+HFrame_List[[#This Row],[Extra supports]])</f>
        <v>49.14</v>
      </c>
      <c r="Z211">
        <f>(_xlfn.XLOOKUP("PHB",CADDY_costs[Component],CADDY_costs[Current cost])*HFrame_List[[#This Row],[Number of feet]])+(_xlfn.XLOOKUP("HFRMHDW",CADDY_costs[Component],CADDY_costs[Current cost])*(HFrame_List[[#This Row],[number of L-brackets]]/2))</f>
        <v>46.819999999999993</v>
      </c>
      <c r="AA211">
        <v>3672</v>
      </c>
      <c r="AB211" t="str">
        <f>VLOOKUP(HFrame_List[[#This Row],[lookup]],'Pallet and shipping info'!$A$5:$H$33,6,FALSE)</f>
        <v>x</v>
      </c>
      <c r="AC211">
        <f>VLOOKUP(HFrame_List[[#This Row],[lookup]],'Pallet and shipping info'!$A$5:$H$33,8,FALSE)</f>
        <v>7</v>
      </c>
      <c r="AD211"/>
      <c r="AE211"/>
      <c r="AF211"/>
    </row>
    <row r="212" spans="1:32" x14ac:dyDescent="0.25">
      <c r="A212" s="1" t="s">
        <v>604</v>
      </c>
      <c r="B212" s="1" t="s">
        <v>605</v>
      </c>
      <c r="C212" s="1">
        <f t="shared" si="66"/>
        <v>49.674999999999997</v>
      </c>
      <c r="D212" s="1">
        <f t="shared" si="67"/>
        <v>86.051000000000002</v>
      </c>
      <c r="E212" s="1">
        <v>48</v>
      </c>
      <c r="F212" s="1">
        <v>72</v>
      </c>
      <c r="G212" s="1">
        <f t="shared" si="70"/>
        <v>68.239999999999995</v>
      </c>
      <c r="H212" s="1">
        <v>1</v>
      </c>
      <c r="I212" s="1" t="s">
        <v>186</v>
      </c>
      <c r="J212" s="1">
        <v>1</v>
      </c>
      <c r="K212" s="2">
        <f t="shared" si="68"/>
        <v>35.1875</v>
      </c>
      <c r="L212" s="1">
        <f t="shared" si="69"/>
        <v>3</v>
      </c>
      <c r="M212" s="1">
        <f t="shared" si="71"/>
        <v>12</v>
      </c>
      <c r="N212" s="1">
        <f t="shared" si="72"/>
        <v>4</v>
      </c>
      <c r="O212" s="3">
        <f t="shared" si="63"/>
        <v>22</v>
      </c>
      <c r="P212" s="1">
        <f t="shared" si="73"/>
        <v>3</v>
      </c>
      <c r="Q212">
        <f t="shared" si="74"/>
        <v>8</v>
      </c>
      <c r="R212">
        <f>_xlfn.XLOOKUP(HFrame_List[[#This Row],[Cross piece style]],$AH$2:$AH$4,$AI$2:$AI$4,0,0)*(HFrame_List[[#This Row],[Width between brackets]]/12)</f>
        <v>168.89400000000001</v>
      </c>
      <c r="S212">
        <f>5.46*(HFrame_List[[#This Row],[cross piece quantity]]-1)*(HFrame_List[[#This Row],[Width between brackets]]/12)</f>
        <v>0</v>
      </c>
      <c r="T212" s="5">
        <f>HFrame_List[[#This Row],[Bottom cross piece cost]]+HFrame_List[[#This Row],[Top cross piece cost]]+HFrame_List[[#This Row],[Component costs]]+HFrame_List[[#This Row],[Vertical strut cost]]</f>
        <v>281.23399999999998</v>
      </c>
      <c r="U212" s="7">
        <f>_xlfn.XLOOKUP(HFrame_List[[#This Row],[Fabrication type]],Fabrication_costs[Fabrication type],Fabrication_costs[unit pricing],"no result",0)</f>
        <v>30</v>
      </c>
      <c r="V212" s="5">
        <f>SUM(T212:U212)/(1-HFrame_List[[#This Row],[Margin]])</f>
        <v>889.24</v>
      </c>
      <c r="W212" s="36">
        <f t="shared" si="76"/>
        <v>0.65</v>
      </c>
      <c r="X212" t="s">
        <v>193</v>
      </c>
      <c r="Y212">
        <f>_xlfn.XLOOKUP("A12",Strut_costs[size],Strut_costs[Strut cost])/12*HFrame_List[[#This Row],[Strut height (in)]]*(2+HFrame_List[[#This Row],[Extra supports]])</f>
        <v>65.52</v>
      </c>
      <c r="Z212">
        <f>(_xlfn.XLOOKUP("PHB",CADDY_costs[Component],CADDY_costs[Current cost])*HFrame_List[[#This Row],[Number of feet]])+(_xlfn.XLOOKUP("HFRMHDW",CADDY_costs[Component],CADDY_costs[Current cost])*(HFrame_List[[#This Row],[number of L-brackets]]/2))</f>
        <v>46.819999999999993</v>
      </c>
      <c r="AA212">
        <v>4872</v>
      </c>
      <c r="AB212" t="str">
        <f>VLOOKUP(HFrame_List[[#This Row],[lookup]],'Pallet and shipping info'!$A$5:$H$33,6,FALSE)</f>
        <v>x</v>
      </c>
      <c r="AC212">
        <f>VLOOKUP(HFrame_List[[#This Row],[lookup]],'Pallet and shipping info'!$A$5:$H$33,8,FALSE)</f>
        <v>7</v>
      </c>
      <c r="AD212"/>
      <c r="AE212"/>
      <c r="AF212"/>
    </row>
    <row r="213" spans="1:32" x14ac:dyDescent="0.25">
      <c r="A213" s="1" t="s">
        <v>606</v>
      </c>
      <c r="B213" s="1" t="s">
        <v>607</v>
      </c>
      <c r="C213" s="1">
        <f t="shared" si="66"/>
        <v>73.674999999999997</v>
      </c>
      <c r="D213" s="1">
        <f t="shared" si="67"/>
        <v>86.051000000000002</v>
      </c>
      <c r="E213" s="1">
        <v>72</v>
      </c>
      <c r="F213" s="1">
        <v>72</v>
      </c>
      <c r="G213" s="1">
        <f t="shared" si="70"/>
        <v>68.239999999999995</v>
      </c>
      <c r="H213" s="1">
        <v>1</v>
      </c>
      <c r="I213" s="1" t="s">
        <v>186</v>
      </c>
      <c r="J213" s="1">
        <v>1</v>
      </c>
      <c r="K213" s="2">
        <f t="shared" si="68"/>
        <v>35.1875</v>
      </c>
      <c r="L213" s="1">
        <f t="shared" si="69"/>
        <v>3</v>
      </c>
      <c r="M213" s="1">
        <f t="shared" si="71"/>
        <v>12</v>
      </c>
      <c r="N213" s="1">
        <f t="shared" si="72"/>
        <v>4</v>
      </c>
      <c r="O213" s="3">
        <f t="shared" si="63"/>
        <v>30</v>
      </c>
      <c r="P213" s="1">
        <f t="shared" si="73"/>
        <v>3</v>
      </c>
      <c r="Q213">
        <f t="shared" si="74"/>
        <v>8</v>
      </c>
      <c r="R213">
        <f>_xlfn.XLOOKUP(HFrame_List[[#This Row],[Cross piece style]],$AH$2:$AH$4,$AI$2:$AI$4,0,0)*(HFrame_List[[#This Row],[Width between brackets]]/12)</f>
        <v>168.89400000000001</v>
      </c>
      <c r="S213">
        <f>5.46*(HFrame_List[[#This Row],[cross piece quantity]]-1)*(HFrame_List[[#This Row],[Width between brackets]]/12)</f>
        <v>0</v>
      </c>
      <c r="T213" s="5">
        <f>HFrame_List[[#This Row],[Bottom cross piece cost]]+HFrame_List[[#This Row],[Top cross piece cost]]+HFrame_List[[#This Row],[Component costs]]+HFrame_List[[#This Row],[Vertical strut cost]]</f>
        <v>313.99400000000003</v>
      </c>
      <c r="U213" s="7">
        <f>_xlfn.XLOOKUP(HFrame_List[[#This Row],[Fabrication type]],Fabrication_costs[Fabrication type],Fabrication_costs[unit pricing],"no result",0)</f>
        <v>30</v>
      </c>
      <c r="V213" s="5">
        <f>SUM(T213:U213)/(1-HFrame_List[[#This Row],[Margin]])</f>
        <v>982.84000000000015</v>
      </c>
      <c r="W213" s="36">
        <f t="shared" si="76"/>
        <v>0.65</v>
      </c>
      <c r="X213" t="s">
        <v>193</v>
      </c>
      <c r="Y213">
        <f>_xlfn.XLOOKUP("A12",Strut_costs[size],Strut_costs[Strut cost])/12*HFrame_List[[#This Row],[Strut height (in)]]*(2+HFrame_List[[#This Row],[Extra supports]])</f>
        <v>98.28</v>
      </c>
      <c r="Z213">
        <f>(_xlfn.XLOOKUP("PHB",CADDY_costs[Component],CADDY_costs[Current cost])*HFrame_List[[#This Row],[Number of feet]])+(_xlfn.XLOOKUP("HFRMHDW",CADDY_costs[Component],CADDY_costs[Current cost])*(HFrame_List[[#This Row],[number of L-brackets]]/2))</f>
        <v>46.819999999999993</v>
      </c>
      <c r="AA213">
        <v>7272</v>
      </c>
      <c r="AB213" t="str">
        <f>VLOOKUP(HFrame_List[[#This Row],[lookup]],'Pallet and shipping info'!$A$5:$H$33,6,FALSE)</f>
        <v>x</v>
      </c>
      <c r="AC213">
        <f>VLOOKUP(HFrame_List[[#This Row],[lookup]],'Pallet and shipping info'!$A$5:$H$33,8,FALSE)</f>
        <v>7</v>
      </c>
      <c r="AD213"/>
      <c r="AE213"/>
      <c r="AF213"/>
    </row>
    <row r="214" spans="1:32" x14ac:dyDescent="0.25">
      <c r="A214" s="1" t="s">
        <v>608</v>
      </c>
      <c r="B214" s="1" t="s">
        <v>609</v>
      </c>
      <c r="C214" s="1">
        <f t="shared" si="66"/>
        <v>25.675000000000001</v>
      </c>
      <c r="D214" s="1">
        <f t="shared" si="67"/>
        <v>98.051000000000002</v>
      </c>
      <c r="E214" s="1">
        <v>24</v>
      </c>
      <c r="F214" s="1">
        <v>84</v>
      </c>
      <c r="G214" s="1">
        <f t="shared" si="70"/>
        <v>80.239999999999995</v>
      </c>
      <c r="H214" s="1">
        <v>1</v>
      </c>
      <c r="I214" s="1" t="s">
        <v>186</v>
      </c>
      <c r="J214" s="1">
        <v>1</v>
      </c>
      <c r="K214" s="2">
        <f t="shared" si="68"/>
        <v>41.1875</v>
      </c>
      <c r="L214" s="1">
        <f t="shared" si="69"/>
        <v>3</v>
      </c>
      <c r="M214" s="1">
        <f t="shared" si="71"/>
        <v>12</v>
      </c>
      <c r="N214" s="1">
        <f t="shared" si="72"/>
        <v>4</v>
      </c>
      <c r="O214" s="3">
        <f t="shared" si="63"/>
        <v>15</v>
      </c>
      <c r="P214" s="1">
        <f t="shared" si="73"/>
        <v>2</v>
      </c>
      <c r="Q214">
        <f t="shared" si="74"/>
        <v>8</v>
      </c>
      <c r="R214">
        <f>_xlfn.XLOOKUP(HFrame_List[[#This Row],[Cross piece style]],$AH$2:$AH$4,$AI$2:$AI$4,0,0)*(HFrame_List[[#This Row],[Width between brackets]]/12)</f>
        <v>198.59399999999999</v>
      </c>
      <c r="S214">
        <f>5.46*(HFrame_List[[#This Row],[cross piece quantity]]-1)*(HFrame_List[[#This Row],[Width between brackets]]/12)</f>
        <v>0</v>
      </c>
      <c r="T214" s="5">
        <f>HFrame_List[[#This Row],[Bottom cross piece cost]]+HFrame_List[[#This Row],[Top cross piece cost]]+HFrame_List[[#This Row],[Component costs]]+HFrame_List[[#This Row],[Vertical strut cost]]</f>
        <v>278.17399999999998</v>
      </c>
      <c r="U214" s="7">
        <f>_xlfn.XLOOKUP(HFrame_List[[#This Row],[Fabrication type]],Fabrication_costs[Fabrication type],Fabrication_costs[unit pricing],"no result",0)</f>
        <v>30</v>
      </c>
      <c r="V214" s="5">
        <f>SUM(T214:U214)/(1-HFrame_List[[#This Row],[Margin]])</f>
        <v>880.49714285714288</v>
      </c>
      <c r="W214" s="36">
        <f t="shared" si="76"/>
        <v>0.65</v>
      </c>
      <c r="X214" t="s">
        <v>193</v>
      </c>
      <c r="Y214">
        <f>_xlfn.XLOOKUP("A12",Strut_costs[size],Strut_costs[Strut cost])/12*HFrame_List[[#This Row],[Strut height (in)]]*(2+HFrame_List[[#This Row],[Extra supports]])</f>
        <v>32.76</v>
      </c>
      <c r="Z214">
        <f>(_xlfn.XLOOKUP("PHB",CADDY_costs[Component],CADDY_costs[Current cost])*HFrame_List[[#This Row],[Number of feet]])+(_xlfn.XLOOKUP("HFRMHDW",CADDY_costs[Component],CADDY_costs[Current cost])*(HFrame_List[[#This Row],[number of L-brackets]]/2))</f>
        <v>46.819999999999993</v>
      </c>
      <c r="AA214">
        <v>2484</v>
      </c>
      <c r="AB214" t="str">
        <f>VLOOKUP(HFrame_List[[#This Row],[lookup]],'Pallet and shipping info'!$A$5:$H$33,6,FALSE)</f>
        <v>x</v>
      </c>
      <c r="AC214">
        <f>VLOOKUP(HFrame_List[[#This Row],[lookup]],'Pallet and shipping info'!$A$5:$H$33,8,FALSE)</f>
        <v>7</v>
      </c>
      <c r="AD214"/>
      <c r="AE214"/>
      <c r="AF214"/>
    </row>
    <row r="215" spans="1:32" x14ac:dyDescent="0.25">
      <c r="A215" s="1" t="s">
        <v>610</v>
      </c>
      <c r="B215" s="1" t="s">
        <v>611</v>
      </c>
      <c r="C215" s="1">
        <f t="shared" si="66"/>
        <v>37.674999999999997</v>
      </c>
      <c r="D215" s="1">
        <f t="shared" si="67"/>
        <v>98.051000000000002</v>
      </c>
      <c r="E215" s="1">
        <v>36</v>
      </c>
      <c r="F215" s="1">
        <v>84</v>
      </c>
      <c r="G215" s="1">
        <f t="shared" si="70"/>
        <v>80.239999999999995</v>
      </c>
      <c r="H215" s="1">
        <v>1</v>
      </c>
      <c r="I215" s="1" t="s">
        <v>186</v>
      </c>
      <c r="J215" s="1">
        <v>1</v>
      </c>
      <c r="K215" s="2">
        <f t="shared" si="68"/>
        <v>41.1875</v>
      </c>
      <c r="L215" s="1">
        <f t="shared" si="69"/>
        <v>3</v>
      </c>
      <c r="M215" s="1">
        <f t="shared" si="71"/>
        <v>12</v>
      </c>
      <c r="N215" s="1">
        <f t="shared" si="72"/>
        <v>4</v>
      </c>
      <c r="O215" s="3">
        <f t="shared" si="63"/>
        <v>19</v>
      </c>
      <c r="P215" s="1">
        <f t="shared" si="73"/>
        <v>2</v>
      </c>
      <c r="Q215">
        <f t="shared" si="74"/>
        <v>8</v>
      </c>
      <c r="R215">
        <f>_xlfn.XLOOKUP(HFrame_List[[#This Row],[Cross piece style]],$AH$2:$AH$4,$AI$2:$AI$4,0,0)*(HFrame_List[[#This Row],[Width between brackets]]/12)</f>
        <v>198.59399999999999</v>
      </c>
      <c r="S215">
        <f>5.46*(HFrame_List[[#This Row],[cross piece quantity]]-1)*(HFrame_List[[#This Row],[Width between brackets]]/12)</f>
        <v>0</v>
      </c>
      <c r="T215" s="5">
        <f>HFrame_List[[#This Row],[Bottom cross piece cost]]+HFrame_List[[#This Row],[Top cross piece cost]]+HFrame_List[[#This Row],[Component costs]]+HFrame_List[[#This Row],[Vertical strut cost]]</f>
        <v>294.55399999999997</v>
      </c>
      <c r="U215" s="7">
        <f>_xlfn.XLOOKUP(HFrame_List[[#This Row],[Fabrication type]],Fabrication_costs[Fabrication type],Fabrication_costs[unit pricing],"no result",0)</f>
        <v>30</v>
      </c>
      <c r="V215" s="5">
        <f>SUM(T215:U215)/(1-HFrame_List[[#This Row],[Margin]])</f>
        <v>927.29714285714283</v>
      </c>
      <c r="W215" s="36">
        <f t="shared" si="76"/>
        <v>0.65</v>
      </c>
      <c r="X215" t="s">
        <v>193</v>
      </c>
      <c r="Y215">
        <f>_xlfn.XLOOKUP("A12",Strut_costs[size],Strut_costs[Strut cost])/12*HFrame_List[[#This Row],[Strut height (in)]]*(2+HFrame_List[[#This Row],[Extra supports]])</f>
        <v>49.14</v>
      </c>
      <c r="Z215">
        <f>(_xlfn.XLOOKUP("PHB",CADDY_costs[Component],CADDY_costs[Current cost])*HFrame_List[[#This Row],[Number of feet]])+(_xlfn.XLOOKUP("HFRMHDW",CADDY_costs[Component],CADDY_costs[Current cost])*(HFrame_List[[#This Row],[number of L-brackets]]/2))</f>
        <v>46.819999999999993</v>
      </c>
      <c r="AA215">
        <v>3684</v>
      </c>
      <c r="AB215" t="str">
        <f>VLOOKUP(HFrame_List[[#This Row],[lookup]],'Pallet and shipping info'!$A$5:$H$33,6,FALSE)</f>
        <v>x</v>
      </c>
      <c r="AC215">
        <f>VLOOKUP(HFrame_List[[#This Row],[lookup]],'Pallet and shipping info'!$A$5:$H$33,8,FALSE)</f>
        <v>7</v>
      </c>
      <c r="AD215"/>
      <c r="AE215"/>
      <c r="AF215"/>
    </row>
    <row r="216" spans="1:32" x14ac:dyDescent="0.25">
      <c r="A216" s="1" t="s">
        <v>612</v>
      </c>
      <c r="B216" s="1" t="s">
        <v>613</v>
      </c>
      <c r="C216" s="1">
        <f t="shared" si="66"/>
        <v>49.674999999999997</v>
      </c>
      <c r="D216" s="1">
        <f t="shared" si="67"/>
        <v>98.051000000000002</v>
      </c>
      <c r="E216" s="1">
        <v>48</v>
      </c>
      <c r="F216" s="1">
        <v>84</v>
      </c>
      <c r="G216" s="1">
        <f t="shared" si="70"/>
        <v>80.239999999999995</v>
      </c>
      <c r="H216" s="1">
        <v>1</v>
      </c>
      <c r="I216" s="1" t="s">
        <v>186</v>
      </c>
      <c r="J216" s="1">
        <v>1</v>
      </c>
      <c r="K216" s="2">
        <f t="shared" si="68"/>
        <v>41.1875</v>
      </c>
      <c r="L216" s="1">
        <f t="shared" si="69"/>
        <v>3</v>
      </c>
      <c r="M216" s="1">
        <f t="shared" si="71"/>
        <v>12</v>
      </c>
      <c r="N216" s="1">
        <f t="shared" si="72"/>
        <v>4</v>
      </c>
      <c r="O216" s="3">
        <f t="shared" si="63"/>
        <v>23</v>
      </c>
      <c r="P216" s="1">
        <f t="shared" si="73"/>
        <v>3</v>
      </c>
      <c r="Q216">
        <f t="shared" si="74"/>
        <v>8</v>
      </c>
      <c r="R216">
        <f>_xlfn.XLOOKUP(HFrame_List[[#This Row],[Cross piece style]],$AH$2:$AH$4,$AI$2:$AI$4,0,0)*(HFrame_List[[#This Row],[Width between brackets]]/12)</f>
        <v>198.59399999999999</v>
      </c>
      <c r="S216">
        <f>5.46*(HFrame_List[[#This Row],[cross piece quantity]]-1)*(HFrame_List[[#This Row],[Width between brackets]]/12)</f>
        <v>0</v>
      </c>
      <c r="T216" s="5">
        <f>HFrame_List[[#This Row],[Bottom cross piece cost]]+HFrame_List[[#This Row],[Top cross piece cost]]+HFrame_List[[#This Row],[Component costs]]+HFrame_List[[#This Row],[Vertical strut cost]]</f>
        <v>310.93399999999997</v>
      </c>
      <c r="U216" s="7">
        <f>_xlfn.XLOOKUP(HFrame_List[[#This Row],[Fabrication type]],Fabrication_costs[Fabrication type],Fabrication_costs[unit pricing],"no result",0)</f>
        <v>30</v>
      </c>
      <c r="V216" s="5">
        <f>SUM(T216:U216)/(1-HFrame_List[[#This Row],[Margin]])</f>
        <v>974.09714285714279</v>
      </c>
      <c r="W216" s="36">
        <f t="shared" si="76"/>
        <v>0.65</v>
      </c>
      <c r="X216" t="s">
        <v>193</v>
      </c>
      <c r="Y216">
        <f>_xlfn.XLOOKUP("A12",Strut_costs[size],Strut_costs[Strut cost])/12*HFrame_List[[#This Row],[Strut height (in)]]*(2+HFrame_List[[#This Row],[Extra supports]])</f>
        <v>65.52</v>
      </c>
      <c r="Z216">
        <f>(_xlfn.XLOOKUP("PHB",CADDY_costs[Component],CADDY_costs[Current cost])*HFrame_List[[#This Row],[Number of feet]])+(_xlfn.XLOOKUP("HFRMHDW",CADDY_costs[Component],CADDY_costs[Current cost])*(HFrame_List[[#This Row],[number of L-brackets]]/2))</f>
        <v>46.819999999999993</v>
      </c>
      <c r="AA216">
        <v>4884</v>
      </c>
      <c r="AB216" t="str">
        <f>VLOOKUP(HFrame_List[[#This Row],[lookup]],'Pallet and shipping info'!$A$5:$H$33,6,FALSE)</f>
        <v>x</v>
      </c>
      <c r="AC216">
        <f>VLOOKUP(HFrame_List[[#This Row],[lookup]],'Pallet and shipping info'!$A$5:$H$33,8,FALSE)</f>
        <v>7</v>
      </c>
      <c r="AD216"/>
      <c r="AE216"/>
      <c r="AF216"/>
    </row>
    <row r="217" spans="1:32" x14ac:dyDescent="0.25">
      <c r="A217" s="1" t="s">
        <v>614</v>
      </c>
      <c r="B217" s="1" t="s">
        <v>615</v>
      </c>
      <c r="C217" s="1">
        <f t="shared" si="66"/>
        <v>73.674999999999997</v>
      </c>
      <c r="D217" s="1">
        <f t="shared" si="67"/>
        <v>98.051000000000002</v>
      </c>
      <c r="E217" s="1">
        <v>72</v>
      </c>
      <c r="F217" s="1">
        <v>84</v>
      </c>
      <c r="G217" s="1">
        <f t="shared" si="70"/>
        <v>80.239999999999995</v>
      </c>
      <c r="H217" s="1">
        <v>1</v>
      </c>
      <c r="I217" s="1" t="s">
        <v>186</v>
      </c>
      <c r="J217" s="1">
        <v>1</v>
      </c>
      <c r="K217" s="2">
        <f t="shared" si="68"/>
        <v>41.1875</v>
      </c>
      <c r="L217" s="1">
        <f t="shared" si="69"/>
        <v>3</v>
      </c>
      <c r="M217" s="1">
        <f t="shared" si="71"/>
        <v>12</v>
      </c>
      <c r="N217" s="1">
        <f t="shared" si="72"/>
        <v>4</v>
      </c>
      <c r="O217" s="3">
        <f t="shared" si="63"/>
        <v>31</v>
      </c>
      <c r="P217" s="1">
        <f t="shared" si="73"/>
        <v>4</v>
      </c>
      <c r="Q217">
        <f t="shared" si="74"/>
        <v>8</v>
      </c>
      <c r="R217">
        <f>_xlfn.XLOOKUP(HFrame_List[[#This Row],[Cross piece style]],$AH$2:$AH$4,$AI$2:$AI$4,0,0)*(HFrame_List[[#This Row],[Width between brackets]]/12)</f>
        <v>198.59399999999999</v>
      </c>
      <c r="S217">
        <f>5.46*(HFrame_List[[#This Row],[cross piece quantity]]-1)*(HFrame_List[[#This Row],[Width between brackets]]/12)</f>
        <v>0</v>
      </c>
      <c r="T217" s="5">
        <f>HFrame_List[[#This Row],[Bottom cross piece cost]]+HFrame_List[[#This Row],[Top cross piece cost]]+HFrame_List[[#This Row],[Component costs]]+HFrame_List[[#This Row],[Vertical strut cost]]</f>
        <v>343.69399999999996</v>
      </c>
      <c r="U217" s="7">
        <f>_xlfn.XLOOKUP(HFrame_List[[#This Row],[Fabrication type]],Fabrication_costs[Fabrication type],Fabrication_costs[unit pricing],"no result",0)</f>
        <v>30</v>
      </c>
      <c r="V217" s="5">
        <f>SUM(T217:U217)/(1-HFrame_List[[#This Row],[Margin]])</f>
        <v>1067.6971428571428</v>
      </c>
      <c r="W217" s="36">
        <f t="shared" si="76"/>
        <v>0.65</v>
      </c>
      <c r="X217" t="s">
        <v>193</v>
      </c>
      <c r="Y217">
        <f>_xlfn.XLOOKUP("A12",Strut_costs[size],Strut_costs[Strut cost])/12*HFrame_List[[#This Row],[Strut height (in)]]*(2+HFrame_List[[#This Row],[Extra supports]])</f>
        <v>98.28</v>
      </c>
      <c r="Z217">
        <f>(_xlfn.XLOOKUP("PHB",CADDY_costs[Component],CADDY_costs[Current cost])*HFrame_List[[#This Row],[Number of feet]])+(_xlfn.XLOOKUP("HFRMHDW",CADDY_costs[Component],CADDY_costs[Current cost])*(HFrame_List[[#This Row],[number of L-brackets]]/2))</f>
        <v>46.819999999999993</v>
      </c>
      <c r="AA217">
        <v>7284</v>
      </c>
      <c r="AB217" t="str">
        <f>VLOOKUP(HFrame_List[[#This Row],[lookup]],'Pallet and shipping info'!$A$5:$H$33,6,FALSE)</f>
        <v>x</v>
      </c>
      <c r="AC217">
        <f>VLOOKUP(HFrame_List[[#This Row],[lookup]],'Pallet and shipping info'!$A$5:$H$33,8,FALSE)</f>
        <v>7</v>
      </c>
      <c r="AD217"/>
      <c r="AE217"/>
      <c r="AF217"/>
    </row>
    <row r="218" spans="1:32" x14ac:dyDescent="0.25">
      <c r="A218" s="1" t="s">
        <v>616</v>
      </c>
      <c r="B218" s="1" t="s">
        <v>617</v>
      </c>
      <c r="C218" s="1">
        <f t="shared" si="66"/>
        <v>25.675000000000001</v>
      </c>
      <c r="D218" s="1">
        <f t="shared" si="67"/>
        <v>34.051000000000002</v>
      </c>
      <c r="E218" s="1">
        <v>24</v>
      </c>
      <c r="F218" s="1">
        <v>20</v>
      </c>
      <c r="G218" s="1">
        <f>F218-(1.88*2)</f>
        <v>16.240000000000002</v>
      </c>
      <c r="H218" s="1">
        <v>2</v>
      </c>
      <c r="I218" s="1" t="s">
        <v>186</v>
      </c>
      <c r="J218" s="1">
        <v>1</v>
      </c>
      <c r="K218" s="2">
        <f t="shared" si="68"/>
        <v>5.041666666666667</v>
      </c>
      <c r="L218" s="1">
        <f t="shared" si="69"/>
        <v>4</v>
      </c>
      <c r="M218" s="1">
        <f>3*N218</f>
        <v>18</v>
      </c>
      <c r="N218" s="1">
        <f>(2+(2*H218))*J218</f>
        <v>6</v>
      </c>
      <c r="O218" s="3">
        <f t="shared" si="63"/>
        <v>13.666666666666666</v>
      </c>
      <c r="P218" s="1">
        <f t="shared" si="73"/>
        <v>2</v>
      </c>
      <c r="Q218">
        <f t="shared" si="74"/>
        <v>10</v>
      </c>
      <c r="R218">
        <f>_xlfn.XLOOKUP(HFrame_List[[#This Row],[Cross piece style]],$AH$2:$AH$4,$AI$2:$AI$4,0,0)*(HFrame_List[[#This Row],[Width between brackets]]/12)</f>
        <v>40.194000000000003</v>
      </c>
      <c r="S218">
        <f>5.46*(HFrame_List[[#This Row],[cross piece quantity]]-1)*(HFrame_List[[#This Row],[Width between brackets]]/12)</f>
        <v>0</v>
      </c>
      <c r="T218" s="5">
        <f>HFrame_List[[#This Row],[Bottom cross piece cost]]+HFrame_List[[#This Row],[Top cross piece cost]]+HFrame_List[[#This Row],[Component costs]]+HFrame_List[[#This Row],[Vertical strut cost]]</f>
        <v>149.45599999999999</v>
      </c>
      <c r="U218" s="7">
        <f>_xlfn.XLOOKUP(HFrame_List[[#This Row],[Fabrication type]],Fabrication_costs[Fabrication type],Fabrication_costs[unit pricing],"no result",0)</f>
        <v>40.200000000000003</v>
      </c>
      <c r="V218" s="5">
        <f>SUM(T218:U218)/(1-HFrame_List[[#This Row],[Margin]])</f>
        <v>541.87428571428575</v>
      </c>
      <c r="W218" s="36">
        <f t="shared" si="76"/>
        <v>0.65</v>
      </c>
      <c r="X218" t="s">
        <v>196</v>
      </c>
      <c r="Y218">
        <f>_xlfn.XLOOKUP("A12",Strut_costs[size],Strut_costs[Strut cost])/12*HFrame_List[[#This Row],[Strut height (in)]]*(2+HFrame_List[[#This Row],[Extra supports]])</f>
        <v>43.68</v>
      </c>
      <c r="Z218">
        <f>(_xlfn.XLOOKUP("PHB",CADDY_costs[Component],CADDY_costs[Current cost])*HFrame_List[[#This Row],[Number of feet]])+(_xlfn.XLOOKUP("HFRMHDW",CADDY_costs[Component],CADDY_costs[Current cost])*(HFrame_List[[#This Row],[number of L-brackets]]/2))</f>
        <v>65.581999999999994</v>
      </c>
      <c r="AA218">
        <v>2420</v>
      </c>
      <c r="AB218">
        <f>VLOOKUP(HFrame_List[[#This Row],[lookup]],'Pallet and shipping info'!$A$5:$H$33,6,FALSE)</f>
        <v>11</v>
      </c>
      <c r="AC218">
        <f>VLOOKUP(HFrame_List[[#This Row],[lookup]],'Pallet and shipping info'!$A$5:$H$33,8,FALSE)</f>
        <v>15</v>
      </c>
      <c r="AD218"/>
      <c r="AE218"/>
      <c r="AF218"/>
    </row>
    <row r="219" spans="1:32" x14ac:dyDescent="0.25">
      <c r="A219" s="1" t="s">
        <v>618</v>
      </c>
      <c r="B219" s="1" t="s">
        <v>619</v>
      </c>
      <c r="C219" s="1">
        <f t="shared" si="66"/>
        <v>37.674999999999997</v>
      </c>
      <c r="D219" s="1">
        <f t="shared" si="67"/>
        <v>34.051000000000002</v>
      </c>
      <c r="E219" s="1">
        <v>36</v>
      </c>
      <c r="F219" s="1">
        <f>F218</f>
        <v>20</v>
      </c>
      <c r="G219" s="1">
        <f t="shared" ref="G219:G241" si="78">F219-(1.88*2)</f>
        <v>16.240000000000002</v>
      </c>
      <c r="H219" s="1">
        <v>2</v>
      </c>
      <c r="I219" s="1" t="s">
        <v>186</v>
      </c>
      <c r="J219" s="1">
        <v>1</v>
      </c>
      <c r="K219" s="2">
        <f t="shared" si="68"/>
        <v>5.041666666666667</v>
      </c>
      <c r="L219" s="1">
        <f t="shared" si="69"/>
        <v>4</v>
      </c>
      <c r="M219" s="1">
        <f t="shared" ref="M219:M241" si="79">3*N219</f>
        <v>18</v>
      </c>
      <c r="N219" s="1">
        <f t="shared" ref="N219:N241" si="80">(2+(2*H219))*J219</f>
        <v>6</v>
      </c>
      <c r="O219" s="3">
        <f t="shared" si="63"/>
        <v>19.666666666666668</v>
      </c>
      <c r="P219" s="1">
        <f t="shared" si="73"/>
        <v>2</v>
      </c>
      <c r="Q219">
        <f t="shared" si="74"/>
        <v>10</v>
      </c>
      <c r="R219">
        <f>_xlfn.XLOOKUP(HFrame_List[[#This Row],[Cross piece style]],$AH$2:$AH$4,$AI$2:$AI$4,0,0)*(HFrame_List[[#This Row],[Width between brackets]]/12)</f>
        <v>40.194000000000003</v>
      </c>
      <c r="S219">
        <f>5.46*(HFrame_List[[#This Row],[cross piece quantity]]-1)*(HFrame_List[[#This Row],[Width between brackets]]/12)</f>
        <v>0</v>
      </c>
      <c r="T219" s="5">
        <f>HFrame_List[[#This Row],[Bottom cross piece cost]]+HFrame_List[[#This Row],[Top cross piece cost]]+HFrame_List[[#This Row],[Component costs]]+HFrame_List[[#This Row],[Vertical strut cost]]</f>
        <v>171.29599999999999</v>
      </c>
      <c r="U219" s="7">
        <f>_xlfn.XLOOKUP(HFrame_List[[#This Row],[Fabrication type]],Fabrication_costs[Fabrication type],Fabrication_costs[unit pricing],"no result",0)</f>
        <v>40.200000000000003</v>
      </c>
      <c r="V219" s="5">
        <f>SUM(T219:U219)/(1-HFrame_List[[#This Row],[Margin]])</f>
        <v>604.27428571428572</v>
      </c>
      <c r="W219" s="36">
        <f t="shared" si="76"/>
        <v>0.65</v>
      </c>
      <c r="X219" t="s">
        <v>196</v>
      </c>
      <c r="Y219">
        <f>_xlfn.XLOOKUP("A12",Strut_costs[size],Strut_costs[Strut cost])/12*HFrame_List[[#This Row],[Strut height (in)]]*(2+HFrame_List[[#This Row],[Extra supports]])</f>
        <v>65.52</v>
      </c>
      <c r="Z219">
        <f>(_xlfn.XLOOKUP("PHB",CADDY_costs[Component],CADDY_costs[Current cost])*HFrame_List[[#This Row],[Number of feet]])+(_xlfn.XLOOKUP("HFRMHDW",CADDY_costs[Component],CADDY_costs[Current cost])*(HFrame_List[[#This Row],[number of L-brackets]]/2))</f>
        <v>65.581999999999994</v>
      </c>
      <c r="AA219">
        <v>3620</v>
      </c>
      <c r="AB219">
        <f>VLOOKUP(HFrame_List[[#This Row],[lookup]],'Pallet and shipping info'!$A$5:$H$33,6,FALSE)</f>
        <v>11</v>
      </c>
      <c r="AC219">
        <f>VLOOKUP(HFrame_List[[#This Row],[lookup]],'Pallet and shipping info'!$A$5:$H$33,8,FALSE)</f>
        <v>15</v>
      </c>
      <c r="AD219"/>
      <c r="AE219"/>
      <c r="AF219"/>
    </row>
    <row r="220" spans="1:32" x14ac:dyDescent="0.25">
      <c r="A220" s="1" t="s">
        <v>620</v>
      </c>
      <c r="B220" s="1" t="s">
        <v>621</v>
      </c>
      <c r="C220" s="1">
        <f t="shared" si="66"/>
        <v>49.674999999999997</v>
      </c>
      <c r="D220" s="1">
        <f t="shared" si="67"/>
        <v>34.051000000000002</v>
      </c>
      <c r="E220" s="1">
        <v>48</v>
      </c>
      <c r="F220" s="1">
        <f t="shared" ref="F220:F221" si="81">F219</f>
        <v>20</v>
      </c>
      <c r="G220" s="1">
        <f t="shared" si="78"/>
        <v>16.240000000000002</v>
      </c>
      <c r="H220" s="1">
        <v>2</v>
      </c>
      <c r="I220" s="1" t="s">
        <v>186</v>
      </c>
      <c r="J220" s="1">
        <v>1</v>
      </c>
      <c r="K220" s="2">
        <f t="shared" si="68"/>
        <v>5.041666666666667</v>
      </c>
      <c r="L220" s="1">
        <f t="shared" si="69"/>
        <v>4</v>
      </c>
      <c r="M220" s="1">
        <f t="shared" si="79"/>
        <v>18</v>
      </c>
      <c r="N220" s="1">
        <f t="shared" si="80"/>
        <v>6</v>
      </c>
      <c r="O220" s="3">
        <f t="shared" si="63"/>
        <v>25.666666666666668</v>
      </c>
      <c r="P220" s="1">
        <f t="shared" si="73"/>
        <v>3</v>
      </c>
      <c r="Q220">
        <f t="shared" si="74"/>
        <v>10</v>
      </c>
      <c r="R220">
        <f>_xlfn.XLOOKUP(HFrame_List[[#This Row],[Cross piece style]],$AH$2:$AH$4,$AI$2:$AI$4,0,0)*(HFrame_List[[#This Row],[Width between brackets]]/12)</f>
        <v>40.194000000000003</v>
      </c>
      <c r="S220">
        <f>5.46*(HFrame_List[[#This Row],[cross piece quantity]]-1)*(HFrame_List[[#This Row],[Width between brackets]]/12)</f>
        <v>0</v>
      </c>
      <c r="T220" s="5">
        <f>HFrame_List[[#This Row],[Bottom cross piece cost]]+HFrame_List[[#This Row],[Top cross piece cost]]+HFrame_List[[#This Row],[Component costs]]+HFrame_List[[#This Row],[Vertical strut cost]]</f>
        <v>193.136</v>
      </c>
      <c r="U220" s="7">
        <f>_xlfn.XLOOKUP(HFrame_List[[#This Row],[Fabrication type]],Fabrication_costs[Fabrication type],Fabrication_costs[unit pricing],"no result",0)</f>
        <v>40.200000000000003</v>
      </c>
      <c r="V220" s="5">
        <f>SUM(T220:U220)/(1-HFrame_List[[#This Row],[Margin]])</f>
        <v>666.67428571428582</v>
      </c>
      <c r="W220" s="36">
        <f t="shared" si="76"/>
        <v>0.65</v>
      </c>
      <c r="X220" t="s">
        <v>196</v>
      </c>
      <c r="Y220">
        <f>_xlfn.XLOOKUP("A12",Strut_costs[size],Strut_costs[Strut cost])/12*HFrame_List[[#This Row],[Strut height (in)]]*(2+HFrame_List[[#This Row],[Extra supports]])</f>
        <v>87.36</v>
      </c>
      <c r="Z220">
        <f>(_xlfn.XLOOKUP("PHB",CADDY_costs[Component],CADDY_costs[Current cost])*HFrame_List[[#This Row],[Number of feet]])+(_xlfn.XLOOKUP("HFRMHDW",CADDY_costs[Component],CADDY_costs[Current cost])*(HFrame_List[[#This Row],[number of L-brackets]]/2))</f>
        <v>65.581999999999994</v>
      </c>
      <c r="AA220">
        <v>4820</v>
      </c>
      <c r="AB220">
        <f>VLOOKUP(HFrame_List[[#This Row],[lookup]],'Pallet and shipping info'!$A$5:$H$33,6,FALSE)</f>
        <v>11</v>
      </c>
      <c r="AC220">
        <f>VLOOKUP(HFrame_List[[#This Row],[lookup]],'Pallet and shipping info'!$A$5:$H$33,8,FALSE)</f>
        <v>15</v>
      </c>
      <c r="AD220"/>
      <c r="AE220"/>
      <c r="AF220"/>
    </row>
    <row r="221" spans="1:32" x14ac:dyDescent="0.25">
      <c r="A221" s="1" t="s">
        <v>622</v>
      </c>
      <c r="B221" s="1" t="s">
        <v>623</v>
      </c>
      <c r="C221" s="1">
        <f t="shared" si="66"/>
        <v>73.674999999999997</v>
      </c>
      <c r="D221" s="1">
        <f t="shared" si="67"/>
        <v>34.051000000000002</v>
      </c>
      <c r="E221" s="1">
        <v>72</v>
      </c>
      <c r="F221" s="1">
        <f t="shared" si="81"/>
        <v>20</v>
      </c>
      <c r="G221" s="1">
        <f t="shared" si="78"/>
        <v>16.240000000000002</v>
      </c>
      <c r="H221" s="1">
        <v>2</v>
      </c>
      <c r="I221" s="1" t="s">
        <v>186</v>
      </c>
      <c r="J221" s="1">
        <v>1</v>
      </c>
      <c r="K221" s="2">
        <f t="shared" si="68"/>
        <v>5.041666666666667</v>
      </c>
      <c r="L221" s="1">
        <f t="shared" si="69"/>
        <v>4</v>
      </c>
      <c r="M221" s="1">
        <f t="shared" si="79"/>
        <v>18</v>
      </c>
      <c r="N221" s="1">
        <f t="shared" si="80"/>
        <v>6</v>
      </c>
      <c r="O221" s="3">
        <f t="shared" si="63"/>
        <v>37.666666666666664</v>
      </c>
      <c r="P221" s="1">
        <f t="shared" si="73"/>
        <v>4</v>
      </c>
      <c r="Q221">
        <f t="shared" si="74"/>
        <v>10</v>
      </c>
      <c r="R221">
        <f>_xlfn.XLOOKUP(HFrame_List[[#This Row],[Cross piece style]],$AH$2:$AH$4,$AI$2:$AI$4,0,0)*(HFrame_List[[#This Row],[Width between brackets]]/12)</f>
        <v>40.194000000000003</v>
      </c>
      <c r="S221">
        <f>5.46*(HFrame_List[[#This Row],[cross piece quantity]]-1)*(HFrame_List[[#This Row],[Width between brackets]]/12)</f>
        <v>0</v>
      </c>
      <c r="T221" s="5">
        <f>HFrame_List[[#This Row],[Bottom cross piece cost]]+HFrame_List[[#This Row],[Top cross piece cost]]+HFrame_List[[#This Row],[Component costs]]+HFrame_List[[#This Row],[Vertical strut cost]]</f>
        <v>236.81599999999997</v>
      </c>
      <c r="U221" s="7">
        <f>_xlfn.XLOOKUP(HFrame_List[[#This Row],[Fabrication type]],Fabrication_costs[Fabrication type],Fabrication_costs[unit pricing],"no result",0)</f>
        <v>40.200000000000003</v>
      </c>
      <c r="V221" s="5">
        <f>SUM(T221:U221)/(1-HFrame_List[[#This Row],[Margin]])</f>
        <v>791.47428571428566</v>
      </c>
      <c r="W221" s="36">
        <f t="shared" si="76"/>
        <v>0.65</v>
      </c>
      <c r="X221" t="s">
        <v>196</v>
      </c>
      <c r="Y221">
        <f>_xlfn.XLOOKUP("A12",Strut_costs[size],Strut_costs[Strut cost])/12*HFrame_List[[#This Row],[Strut height (in)]]*(2+HFrame_List[[#This Row],[Extra supports]])</f>
        <v>131.04</v>
      </c>
      <c r="Z221">
        <f>(_xlfn.XLOOKUP("PHB",CADDY_costs[Component],CADDY_costs[Current cost])*HFrame_List[[#This Row],[Number of feet]])+(_xlfn.XLOOKUP("HFRMHDW",CADDY_costs[Component],CADDY_costs[Current cost])*(HFrame_List[[#This Row],[number of L-brackets]]/2))</f>
        <v>65.581999999999994</v>
      </c>
      <c r="AA221">
        <v>7220</v>
      </c>
      <c r="AB221">
        <f>VLOOKUP(HFrame_List[[#This Row],[lookup]],'Pallet and shipping info'!$A$5:$H$33,6,FALSE)</f>
        <v>11</v>
      </c>
      <c r="AC221">
        <f>VLOOKUP(HFrame_List[[#This Row],[lookup]],'Pallet and shipping info'!$A$5:$H$33,8,FALSE)</f>
        <v>15</v>
      </c>
      <c r="AD221"/>
      <c r="AE221"/>
      <c r="AF221"/>
    </row>
    <row r="222" spans="1:32" x14ac:dyDescent="0.25">
      <c r="A222" s="1" t="s">
        <v>624</v>
      </c>
      <c r="B222" s="1" t="s">
        <v>625</v>
      </c>
      <c r="C222" s="1">
        <f t="shared" si="66"/>
        <v>25.675000000000001</v>
      </c>
      <c r="D222" s="1">
        <f t="shared" si="67"/>
        <v>50.050999999999995</v>
      </c>
      <c r="E222" s="1">
        <v>24</v>
      </c>
      <c r="F222" s="1">
        <v>36</v>
      </c>
      <c r="G222" s="1">
        <f t="shared" si="78"/>
        <v>32.24</v>
      </c>
      <c r="H222" s="1">
        <v>2</v>
      </c>
      <c r="I222" s="1" t="s">
        <v>186</v>
      </c>
      <c r="J222" s="1">
        <v>1</v>
      </c>
      <c r="K222" s="2">
        <f t="shared" si="68"/>
        <v>10.375</v>
      </c>
      <c r="L222" s="1">
        <f t="shared" si="69"/>
        <v>4</v>
      </c>
      <c r="M222" s="1">
        <f t="shared" si="79"/>
        <v>18</v>
      </c>
      <c r="N222" s="1">
        <f t="shared" si="80"/>
        <v>6</v>
      </c>
      <c r="O222" s="3">
        <f t="shared" si="63"/>
        <v>15</v>
      </c>
      <c r="P222" s="1">
        <f t="shared" si="73"/>
        <v>2</v>
      </c>
      <c r="Q222">
        <f t="shared" si="74"/>
        <v>10</v>
      </c>
      <c r="R222">
        <f>_xlfn.XLOOKUP(HFrame_List[[#This Row],[Cross piece style]],$AH$2:$AH$4,$AI$2:$AI$4,0,0)*(HFrame_List[[#This Row],[Width between brackets]]/12)</f>
        <v>79.794000000000011</v>
      </c>
      <c r="S222">
        <f>5.46*(HFrame_List[[#This Row],[cross piece quantity]]-1)*(HFrame_List[[#This Row],[Width between brackets]]/12)</f>
        <v>0</v>
      </c>
      <c r="T222" s="5">
        <f>HFrame_List[[#This Row],[Bottom cross piece cost]]+HFrame_List[[#This Row],[Top cross piece cost]]+HFrame_List[[#This Row],[Component costs]]+HFrame_List[[#This Row],[Vertical strut cost]]</f>
        <v>189.05600000000001</v>
      </c>
      <c r="U222" s="7">
        <f>_xlfn.XLOOKUP(HFrame_List[[#This Row],[Fabrication type]],Fabrication_costs[Fabrication type],Fabrication_costs[unit pricing],"no result",0)</f>
        <v>40.200000000000003</v>
      </c>
      <c r="V222" s="5">
        <f>SUM(T222:U222)/(1-HFrame_List[[#This Row],[Margin]])</f>
        <v>655.01714285714297</v>
      </c>
      <c r="W222" s="36">
        <f t="shared" si="76"/>
        <v>0.65</v>
      </c>
      <c r="X222" t="s">
        <v>196</v>
      </c>
      <c r="Y222">
        <f>_xlfn.XLOOKUP("A12",Strut_costs[size],Strut_costs[Strut cost])/12*HFrame_List[[#This Row],[Strut height (in)]]*(2+HFrame_List[[#This Row],[Extra supports]])</f>
        <v>43.68</v>
      </c>
      <c r="Z222">
        <f>(_xlfn.XLOOKUP("PHB",CADDY_costs[Component],CADDY_costs[Current cost])*HFrame_List[[#This Row],[Number of feet]])+(_xlfn.XLOOKUP("HFRMHDW",CADDY_costs[Component],CADDY_costs[Current cost])*(HFrame_List[[#This Row],[number of L-brackets]]/2))</f>
        <v>65.581999999999994</v>
      </c>
      <c r="AA222">
        <v>2436</v>
      </c>
      <c r="AB222">
        <f>VLOOKUP(HFrame_List[[#This Row],[lookup]],'Pallet and shipping info'!$A$5:$H$33,6,FALSE)</f>
        <v>9</v>
      </c>
      <c r="AC222">
        <f>VLOOKUP(HFrame_List[[#This Row],[lookup]],'Pallet and shipping info'!$A$5:$H$33,8,FALSE)</f>
        <v>14</v>
      </c>
      <c r="AD222"/>
      <c r="AE222"/>
      <c r="AF222"/>
    </row>
    <row r="223" spans="1:32" x14ac:dyDescent="0.25">
      <c r="A223" s="1" t="s">
        <v>626</v>
      </c>
      <c r="B223" s="1" t="s">
        <v>627</v>
      </c>
      <c r="C223" s="1">
        <f t="shared" si="66"/>
        <v>37.674999999999997</v>
      </c>
      <c r="D223" s="1">
        <f t="shared" si="67"/>
        <v>50.050999999999995</v>
      </c>
      <c r="E223" s="1">
        <v>36</v>
      </c>
      <c r="F223" s="1">
        <f>F222</f>
        <v>36</v>
      </c>
      <c r="G223" s="1">
        <f t="shared" si="78"/>
        <v>32.24</v>
      </c>
      <c r="H223" s="1">
        <v>2</v>
      </c>
      <c r="I223" s="1" t="s">
        <v>186</v>
      </c>
      <c r="J223" s="1">
        <v>1</v>
      </c>
      <c r="K223" s="2">
        <f t="shared" si="68"/>
        <v>10.375</v>
      </c>
      <c r="L223" s="1">
        <f t="shared" si="69"/>
        <v>4</v>
      </c>
      <c r="M223" s="1">
        <f t="shared" si="79"/>
        <v>18</v>
      </c>
      <c r="N223" s="1">
        <f t="shared" si="80"/>
        <v>6</v>
      </c>
      <c r="O223" s="3">
        <f t="shared" si="63"/>
        <v>21</v>
      </c>
      <c r="P223" s="1">
        <f t="shared" si="73"/>
        <v>3</v>
      </c>
      <c r="Q223">
        <f t="shared" si="74"/>
        <v>10</v>
      </c>
      <c r="R223">
        <f>_xlfn.XLOOKUP(HFrame_List[[#This Row],[Cross piece style]],$AH$2:$AH$4,$AI$2:$AI$4,0,0)*(HFrame_List[[#This Row],[Width between brackets]]/12)</f>
        <v>79.794000000000011</v>
      </c>
      <c r="S223">
        <f>5.46*(HFrame_List[[#This Row],[cross piece quantity]]-1)*(HFrame_List[[#This Row],[Width between brackets]]/12)</f>
        <v>0</v>
      </c>
      <c r="T223" s="5">
        <f>HFrame_List[[#This Row],[Bottom cross piece cost]]+HFrame_List[[#This Row],[Top cross piece cost]]+HFrame_List[[#This Row],[Component costs]]+HFrame_List[[#This Row],[Vertical strut cost]]</f>
        <v>210.89600000000002</v>
      </c>
      <c r="U223" s="7">
        <f>_xlfn.XLOOKUP(HFrame_List[[#This Row],[Fabrication type]],Fabrication_costs[Fabrication type],Fabrication_costs[unit pricing],"no result",0)</f>
        <v>40.200000000000003</v>
      </c>
      <c r="V223" s="5">
        <f>SUM(T223:U223)/(1-HFrame_List[[#This Row],[Margin]])</f>
        <v>717.41714285714295</v>
      </c>
      <c r="W223" s="36">
        <f t="shared" si="76"/>
        <v>0.65</v>
      </c>
      <c r="X223" t="s">
        <v>196</v>
      </c>
      <c r="Y223">
        <f>_xlfn.XLOOKUP("A12",Strut_costs[size],Strut_costs[Strut cost])/12*HFrame_List[[#This Row],[Strut height (in)]]*(2+HFrame_List[[#This Row],[Extra supports]])</f>
        <v>65.52</v>
      </c>
      <c r="Z223">
        <f>(_xlfn.XLOOKUP("PHB",CADDY_costs[Component],CADDY_costs[Current cost])*HFrame_List[[#This Row],[Number of feet]])+(_xlfn.XLOOKUP("HFRMHDW",CADDY_costs[Component],CADDY_costs[Current cost])*(HFrame_List[[#This Row],[number of L-brackets]]/2))</f>
        <v>65.581999999999994</v>
      </c>
      <c r="AA223">
        <v>3636</v>
      </c>
      <c r="AB223">
        <f>VLOOKUP(HFrame_List[[#This Row],[lookup]],'Pallet and shipping info'!$A$5:$H$33,6,FALSE)</f>
        <v>9</v>
      </c>
      <c r="AC223">
        <f>VLOOKUP(HFrame_List[[#This Row],[lookup]],'Pallet and shipping info'!$A$5:$H$33,8,FALSE)</f>
        <v>14</v>
      </c>
      <c r="AD223"/>
      <c r="AE223"/>
      <c r="AF223"/>
    </row>
    <row r="224" spans="1:32" x14ac:dyDescent="0.25">
      <c r="A224" s="1" t="s">
        <v>628</v>
      </c>
      <c r="B224" s="1" t="s">
        <v>629</v>
      </c>
      <c r="C224" s="1">
        <f t="shared" si="66"/>
        <v>49.674999999999997</v>
      </c>
      <c r="D224" s="1">
        <f t="shared" si="67"/>
        <v>50.050999999999995</v>
      </c>
      <c r="E224" s="1">
        <v>48</v>
      </c>
      <c r="F224" s="1">
        <f t="shared" ref="F224:F229" si="82">F223</f>
        <v>36</v>
      </c>
      <c r="G224" s="1">
        <f t="shared" si="78"/>
        <v>32.24</v>
      </c>
      <c r="H224" s="1">
        <v>2</v>
      </c>
      <c r="I224" s="1" t="s">
        <v>186</v>
      </c>
      <c r="J224" s="1">
        <v>1</v>
      </c>
      <c r="K224" s="2">
        <f t="shared" si="68"/>
        <v>10.375</v>
      </c>
      <c r="L224" s="1">
        <f t="shared" si="69"/>
        <v>4</v>
      </c>
      <c r="M224" s="1">
        <f t="shared" si="79"/>
        <v>18</v>
      </c>
      <c r="N224" s="1">
        <f t="shared" si="80"/>
        <v>6</v>
      </c>
      <c r="O224" s="3">
        <f t="shared" si="63"/>
        <v>27</v>
      </c>
      <c r="P224" s="1">
        <f t="shared" si="73"/>
        <v>3</v>
      </c>
      <c r="Q224">
        <f t="shared" si="74"/>
        <v>10</v>
      </c>
      <c r="R224">
        <f>_xlfn.XLOOKUP(HFrame_List[[#This Row],[Cross piece style]],$AH$2:$AH$4,$AI$2:$AI$4,0,0)*(HFrame_List[[#This Row],[Width between brackets]]/12)</f>
        <v>79.794000000000011</v>
      </c>
      <c r="S224">
        <f>5.46*(HFrame_List[[#This Row],[cross piece quantity]]-1)*(HFrame_List[[#This Row],[Width between brackets]]/12)</f>
        <v>0</v>
      </c>
      <c r="T224" s="5">
        <f>HFrame_List[[#This Row],[Bottom cross piece cost]]+HFrame_List[[#This Row],[Top cross piece cost]]+HFrame_List[[#This Row],[Component costs]]+HFrame_List[[#This Row],[Vertical strut cost]]</f>
        <v>232.73599999999999</v>
      </c>
      <c r="U224" s="7">
        <f>_xlfn.XLOOKUP(HFrame_List[[#This Row],[Fabrication type]],Fabrication_costs[Fabrication type],Fabrication_costs[unit pricing],"no result",0)</f>
        <v>40.200000000000003</v>
      </c>
      <c r="V224" s="5">
        <f>SUM(T224:U224)/(1-HFrame_List[[#This Row],[Margin]])</f>
        <v>779.81714285714281</v>
      </c>
      <c r="W224" s="36">
        <f t="shared" si="76"/>
        <v>0.65</v>
      </c>
      <c r="X224" t="s">
        <v>196</v>
      </c>
      <c r="Y224">
        <f>_xlfn.XLOOKUP("A12",Strut_costs[size],Strut_costs[Strut cost])/12*HFrame_List[[#This Row],[Strut height (in)]]*(2+HFrame_List[[#This Row],[Extra supports]])</f>
        <v>87.36</v>
      </c>
      <c r="Z224">
        <f>(_xlfn.XLOOKUP("PHB",CADDY_costs[Component],CADDY_costs[Current cost])*HFrame_List[[#This Row],[Number of feet]])+(_xlfn.XLOOKUP("HFRMHDW",CADDY_costs[Component],CADDY_costs[Current cost])*(HFrame_List[[#This Row],[number of L-brackets]]/2))</f>
        <v>65.581999999999994</v>
      </c>
      <c r="AA224">
        <v>4836</v>
      </c>
      <c r="AB224">
        <f>VLOOKUP(HFrame_List[[#This Row],[lookup]],'Pallet and shipping info'!$A$5:$H$33,6,FALSE)</f>
        <v>9</v>
      </c>
      <c r="AC224">
        <f>VLOOKUP(HFrame_List[[#This Row],[lookup]],'Pallet and shipping info'!$A$5:$H$33,8,FALSE)</f>
        <v>14</v>
      </c>
      <c r="AD224"/>
      <c r="AE224"/>
      <c r="AF224"/>
    </row>
    <row r="225" spans="1:32" x14ac:dyDescent="0.25">
      <c r="A225" s="1" t="s">
        <v>630</v>
      </c>
      <c r="B225" s="1" t="s">
        <v>631</v>
      </c>
      <c r="C225" s="1">
        <f t="shared" si="66"/>
        <v>73.674999999999997</v>
      </c>
      <c r="D225" s="1">
        <f t="shared" si="67"/>
        <v>50.050999999999995</v>
      </c>
      <c r="E225" s="1">
        <v>72</v>
      </c>
      <c r="F225" s="1">
        <f t="shared" si="82"/>
        <v>36</v>
      </c>
      <c r="G225" s="1">
        <f t="shared" si="78"/>
        <v>32.24</v>
      </c>
      <c r="H225" s="1">
        <v>2</v>
      </c>
      <c r="I225" s="1" t="s">
        <v>186</v>
      </c>
      <c r="J225" s="1">
        <v>1</v>
      </c>
      <c r="K225" s="2">
        <f t="shared" si="68"/>
        <v>10.375</v>
      </c>
      <c r="L225" s="1">
        <f t="shared" si="69"/>
        <v>4</v>
      </c>
      <c r="M225" s="1">
        <f t="shared" si="79"/>
        <v>18</v>
      </c>
      <c r="N225" s="1">
        <f t="shared" si="80"/>
        <v>6</v>
      </c>
      <c r="O225" s="3">
        <f t="shared" si="63"/>
        <v>39</v>
      </c>
      <c r="P225" s="1">
        <f t="shared" si="73"/>
        <v>4</v>
      </c>
      <c r="Q225">
        <f t="shared" si="74"/>
        <v>10</v>
      </c>
      <c r="R225">
        <f>_xlfn.XLOOKUP(HFrame_List[[#This Row],[Cross piece style]],$AH$2:$AH$4,$AI$2:$AI$4,0,0)*(HFrame_List[[#This Row],[Width between brackets]]/12)</f>
        <v>79.794000000000011</v>
      </c>
      <c r="S225">
        <f>5.46*(HFrame_List[[#This Row],[cross piece quantity]]-1)*(HFrame_List[[#This Row],[Width between brackets]]/12)</f>
        <v>0</v>
      </c>
      <c r="T225" s="5">
        <f>HFrame_List[[#This Row],[Bottom cross piece cost]]+HFrame_List[[#This Row],[Top cross piece cost]]+HFrame_List[[#This Row],[Component costs]]+HFrame_List[[#This Row],[Vertical strut cost]]</f>
        <v>276.416</v>
      </c>
      <c r="U225" s="7">
        <f>_xlfn.XLOOKUP(HFrame_List[[#This Row],[Fabrication type]],Fabrication_costs[Fabrication type],Fabrication_costs[unit pricing],"no result",0)</f>
        <v>40.200000000000003</v>
      </c>
      <c r="V225" s="5">
        <f>SUM(T225:U225)/(1-HFrame_List[[#This Row],[Margin]])</f>
        <v>904.61714285714288</v>
      </c>
      <c r="W225" s="36">
        <f t="shared" si="76"/>
        <v>0.65</v>
      </c>
      <c r="X225" t="s">
        <v>196</v>
      </c>
      <c r="Y225">
        <f>_xlfn.XLOOKUP("A12",Strut_costs[size],Strut_costs[Strut cost])/12*HFrame_List[[#This Row],[Strut height (in)]]*(2+HFrame_List[[#This Row],[Extra supports]])</f>
        <v>131.04</v>
      </c>
      <c r="Z225">
        <f>(_xlfn.XLOOKUP("PHB",CADDY_costs[Component],CADDY_costs[Current cost])*HFrame_List[[#This Row],[Number of feet]])+(_xlfn.XLOOKUP("HFRMHDW",CADDY_costs[Component],CADDY_costs[Current cost])*(HFrame_List[[#This Row],[number of L-brackets]]/2))</f>
        <v>65.581999999999994</v>
      </c>
      <c r="AA225">
        <v>7236</v>
      </c>
      <c r="AB225">
        <f>VLOOKUP(HFrame_List[[#This Row],[lookup]],'Pallet and shipping info'!$A$5:$H$33,6,FALSE)</f>
        <v>9</v>
      </c>
      <c r="AC225">
        <f>VLOOKUP(HFrame_List[[#This Row],[lookup]],'Pallet and shipping info'!$A$5:$H$33,8,FALSE)</f>
        <v>14</v>
      </c>
      <c r="AD225"/>
      <c r="AE225"/>
      <c r="AF225"/>
    </row>
    <row r="226" spans="1:32" x14ac:dyDescent="0.25">
      <c r="A226" s="1" t="s">
        <v>632</v>
      </c>
      <c r="B226" s="1" t="s">
        <v>633</v>
      </c>
      <c r="C226" s="1">
        <f t="shared" si="66"/>
        <v>25.675000000000001</v>
      </c>
      <c r="D226" s="1">
        <f t="shared" si="67"/>
        <v>62.050999999999995</v>
      </c>
      <c r="E226" s="1">
        <v>24</v>
      </c>
      <c r="F226" s="1">
        <v>48</v>
      </c>
      <c r="G226" s="1">
        <f t="shared" si="78"/>
        <v>44.24</v>
      </c>
      <c r="H226" s="1">
        <v>2</v>
      </c>
      <c r="I226" s="1" t="s">
        <v>186</v>
      </c>
      <c r="J226" s="1">
        <v>1</v>
      </c>
      <c r="K226" s="2">
        <f t="shared" si="68"/>
        <v>14.375</v>
      </c>
      <c r="L226" s="1">
        <f t="shared" si="69"/>
        <v>4</v>
      </c>
      <c r="M226" s="1">
        <f t="shared" si="79"/>
        <v>18</v>
      </c>
      <c r="N226" s="1">
        <f t="shared" si="80"/>
        <v>6</v>
      </c>
      <c r="O226" s="3">
        <f t="shared" si="63"/>
        <v>16</v>
      </c>
      <c r="P226" s="1">
        <f t="shared" si="73"/>
        <v>2</v>
      </c>
      <c r="Q226">
        <f t="shared" si="74"/>
        <v>10</v>
      </c>
      <c r="R226">
        <f>_xlfn.XLOOKUP(HFrame_List[[#This Row],[Cross piece style]],$AH$2:$AH$4,$AI$2:$AI$4,0,0)*(HFrame_List[[#This Row],[Width between brackets]]/12)</f>
        <v>109.494</v>
      </c>
      <c r="S226">
        <f>5.46*(HFrame_List[[#This Row],[cross piece quantity]]-1)*(HFrame_List[[#This Row],[Width between brackets]]/12)</f>
        <v>0</v>
      </c>
      <c r="T226" s="5">
        <f>HFrame_List[[#This Row],[Bottom cross piece cost]]+HFrame_List[[#This Row],[Top cross piece cost]]+HFrame_List[[#This Row],[Component costs]]+HFrame_List[[#This Row],[Vertical strut cost]]</f>
        <v>218.756</v>
      </c>
      <c r="U226" s="7">
        <f>_xlfn.XLOOKUP(HFrame_List[[#This Row],[Fabrication type]],Fabrication_costs[Fabrication type],Fabrication_costs[unit pricing],"no result",0)</f>
        <v>40.200000000000003</v>
      </c>
      <c r="V226" s="5">
        <f>SUM(T226:U226)/(1-HFrame_List[[#This Row],[Margin]])</f>
        <v>739.87428571428586</v>
      </c>
      <c r="W226" s="36">
        <f t="shared" si="76"/>
        <v>0.65</v>
      </c>
      <c r="X226" t="s">
        <v>196</v>
      </c>
      <c r="Y226">
        <f>_xlfn.XLOOKUP("A12",Strut_costs[size],Strut_costs[Strut cost])/12*HFrame_List[[#This Row],[Strut height (in)]]*(2+HFrame_List[[#This Row],[Extra supports]])</f>
        <v>43.68</v>
      </c>
      <c r="Z226">
        <f>(_xlfn.XLOOKUP("PHB",CADDY_costs[Component],CADDY_costs[Current cost])*HFrame_List[[#This Row],[Number of feet]])+(_xlfn.XLOOKUP("HFRMHDW",CADDY_costs[Component],CADDY_costs[Current cost])*(HFrame_List[[#This Row],[number of L-brackets]]/2))</f>
        <v>65.581999999999994</v>
      </c>
      <c r="AA226">
        <v>2448</v>
      </c>
      <c r="AB226">
        <f>VLOOKUP(HFrame_List[[#This Row],[lookup]],'Pallet and shipping info'!$A$5:$H$33,6,FALSE)</f>
        <v>7</v>
      </c>
      <c r="AC226">
        <f>VLOOKUP(HFrame_List[[#This Row],[lookup]],'Pallet and shipping info'!$A$5:$H$33,8,FALSE)</f>
        <v>10</v>
      </c>
      <c r="AD226"/>
      <c r="AE226"/>
      <c r="AF226"/>
    </row>
    <row r="227" spans="1:32" x14ac:dyDescent="0.25">
      <c r="A227" s="1" t="s">
        <v>634</v>
      </c>
      <c r="B227" s="1" t="s">
        <v>635</v>
      </c>
      <c r="C227" s="1">
        <f t="shared" si="66"/>
        <v>37.674999999999997</v>
      </c>
      <c r="D227" s="1">
        <f t="shared" si="67"/>
        <v>62.050999999999995</v>
      </c>
      <c r="E227" s="1">
        <v>36</v>
      </c>
      <c r="F227" s="1">
        <f t="shared" si="82"/>
        <v>48</v>
      </c>
      <c r="G227" s="1">
        <f t="shared" si="78"/>
        <v>44.24</v>
      </c>
      <c r="H227" s="1">
        <v>2</v>
      </c>
      <c r="I227" s="1" t="s">
        <v>186</v>
      </c>
      <c r="J227" s="1">
        <v>1</v>
      </c>
      <c r="K227" s="2">
        <f t="shared" si="68"/>
        <v>14.375</v>
      </c>
      <c r="L227" s="1">
        <f t="shared" si="69"/>
        <v>4</v>
      </c>
      <c r="M227" s="1">
        <f t="shared" si="79"/>
        <v>18</v>
      </c>
      <c r="N227" s="1">
        <f t="shared" si="80"/>
        <v>6</v>
      </c>
      <c r="O227" s="3">
        <f t="shared" si="63"/>
        <v>22</v>
      </c>
      <c r="P227" s="1">
        <f t="shared" si="73"/>
        <v>3</v>
      </c>
      <c r="Q227">
        <f t="shared" si="74"/>
        <v>10</v>
      </c>
      <c r="R227">
        <f>_xlfn.XLOOKUP(HFrame_List[[#This Row],[Cross piece style]],$AH$2:$AH$4,$AI$2:$AI$4,0,0)*(HFrame_List[[#This Row],[Width between brackets]]/12)</f>
        <v>109.494</v>
      </c>
      <c r="S227">
        <f>5.46*(HFrame_List[[#This Row],[cross piece quantity]]-1)*(HFrame_List[[#This Row],[Width between brackets]]/12)</f>
        <v>0</v>
      </c>
      <c r="T227" s="5">
        <f>HFrame_List[[#This Row],[Bottom cross piece cost]]+HFrame_List[[#This Row],[Top cross piece cost]]+HFrame_List[[#This Row],[Component costs]]+HFrame_List[[#This Row],[Vertical strut cost]]</f>
        <v>240.596</v>
      </c>
      <c r="U227" s="7">
        <f>_xlfn.XLOOKUP(HFrame_List[[#This Row],[Fabrication type]],Fabrication_costs[Fabrication type],Fabrication_costs[unit pricing],"no result",0)</f>
        <v>40.200000000000003</v>
      </c>
      <c r="V227" s="5">
        <f>SUM(T227:U227)/(1-HFrame_List[[#This Row],[Margin]])</f>
        <v>802.27428571428572</v>
      </c>
      <c r="W227" s="36">
        <f t="shared" si="76"/>
        <v>0.65</v>
      </c>
      <c r="X227" t="s">
        <v>196</v>
      </c>
      <c r="Y227">
        <f>_xlfn.XLOOKUP("A12",Strut_costs[size],Strut_costs[Strut cost])/12*HFrame_List[[#This Row],[Strut height (in)]]*(2+HFrame_List[[#This Row],[Extra supports]])</f>
        <v>65.52</v>
      </c>
      <c r="Z227">
        <f>(_xlfn.XLOOKUP("PHB",CADDY_costs[Component],CADDY_costs[Current cost])*HFrame_List[[#This Row],[Number of feet]])+(_xlfn.XLOOKUP("HFRMHDW",CADDY_costs[Component],CADDY_costs[Current cost])*(HFrame_List[[#This Row],[number of L-brackets]]/2))</f>
        <v>65.581999999999994</v>
      </c>
      <c r="AA227">
        <v>3648</v>
      </c>
      <c r="AB227">
        <f>VLOOKUP(HFrame_List[[#This Row],[lookup]],'Pallet and shipping info'!$A$5:$H$33,6,FALSE)</f>
        <v>7</v>
      </c>
      <c r="AC227">
        <f>VLOOKUP(HFrame_List[[#This Row],[lookup]],'Pallet and shipping info'!$A$5:$H$33,8,FALSE)</f>
        <v>10</v>
      </c>
      <c r="AD227"/>
      <c r="AE227"/>
      <c r="AF227"/>
    </row>
    <row r="228" spans="1:32" x14ac:dyDescent="0.25">
      <c r="A228" s="1" t="s">
        <v>636</v>
      </c>
      <c r="B228" s="1" t="s">
        <v>637</v>
      </c>
      <c r="C228" s="1">
        <f t="shared" si="66"/>
        <v>49.674999999999997</v>
      </c>
      <c r="D228" s="1">
        <f t="shared" si="67"/>
        <v>62.050999999999995</v>
      </c>
      <c r="E228" s="1">
        <v>48</v>
      </c>
      <c r="F228" s="1">
        <f t="shared" si="82"/>
        <v>48</v>
      </c>
      <c r="G228" s="1">
        <f t="shared" si="78"/>
        <v>44.24</v>
      </c>
      <c r="H228" s="1">
        <v>2</v>
      </c>
      <c r="I228" s="1" t="s">
        <v>186</v>
      </c>
      <c r="J228" s="1">
        <v>1</v>
      </c>
      <c r="K228" s="2">
        <f t="shared" si="68"/>
        <v>14.375</v>
      </c>
      <c r="L228" s="1">
        <f t="shared" si="69"/>
        <v>4</v>
      </c>
      <c r="M228" s="1">
        <f t="shared" si="79"/>
        <v>18</v>
      </c>
      <c r="N228" s="1">
        <f t="shared" si="80"/>
        <v>6</v>
      </c>
      <c r="O228" s="3">
        <f t="shared" si="63"/>
        <v>28</v>
      </c>
      <c r="P228" s="1">
        <f t="shared" si="73"/>
        <v>3</v>
      </c>
      <c r="Q228">
        <f t="shared" si="74"/>
        <v>10</v>
      </c>
      <c r="R228">
        <f>_xlfn.XLOOKUP(HFrame_List[[#This Row],[Cross piece style]],$AH$2:$AH$4,$AI$2:$AI$4,0,0)*(HFrame_List[[#This Row],[Width between brackets]]/12)</f>
        <v>109.494</v>
      </c>
      <c r="S228">
        <f>5.46*(HFrame_List[[#This Row],[cross piece quantity]]-1)*(HFrame_List[[#This Row],[Width between brackets]]/12)</f>
        <v>0</v>
      </c>
      <c r="T228" s="5">
        <f>HFrame_List[[#This Row],[Bottom cross piece cost]]+HFrame_List[[#This Row],[Top cross piece cost]]+HFrame_List[[#This Row],[Component costs]]+HFrame_List[[#This Row],[Vertical strut cost]]</f>
        <v>262.43599999999998</v>
      </c>
      <c r="U228" s="7">
        <f>_xlfn.XLOOKUP(HFrame_List[[#This Row],[Fabrication type]],Fabrication_costs[Fabrication type],Fabrication_costs[unit pricing],"no result",0)</f>
        <v>40.200000000000003</v>
      </c>
      <c r="V228" s="5">
        <f>SUM(T228:U228)/(1-HFrame_List[[#This Row],[Margin]])</f>
        <v>864.6742857142857</v>
      </c>
      <c r="W228" s="36">
        <f t="shared" si="76"/>
        <v>0.65</v>
      </c>
      <c r="X228" t="s">
        <v>196</v>
      </c>
      <c r="Y228">
        <f>_xlfn.XLOOKUP("A12",Strut_costs[size],Strut_costs[Strut cost])/12*HFrame_List[[#This Row],[Strut height (in)]]*(2+HFrame_List[[#This Row],[Extra supports]])</f>
        <v>87.36</v>
      </c>
      <c r="Z228">
        <f>(_xlfn.XLOOKUP("PHB",CADDY_costs[Component],CADDY_costs[Current cost])*HFrame_List[[#This Row],[Number of feet]])+(_xlfn.XLOOKUP("HFRMHDW",CADDY_costs[Component],CADDY_costs[Current cost])*(HFrame_List[[#This Row],[number of L-brackets]]/2))</f>
        <v>65.581999999999994</v>
      </c>
      <c r="AA228">
        <v>4848</v>
      </c>
      <c r="AB228">
        <f>VLOOKUP(HFrame_List[[#This Row],[lookup]],'Pallet and shipping info'!$A$5:$H$33,6,FALSE)</f>
        <v>7</v>
      </c>
      <c r="AC228">
        <f>VLOOKUP(HFrame_List[[#This Row],[lookup]],'Pallet and shipping info'!$A$5:$H$33,8,FALSE)</f>
        <v>10</v>
      </c>
      <c r="AD228"/>
      <c r="AE228"/>
      <c r="AF228"/>
    </row>
    <row r="229" spans="1:32" x14ac:dyDescent="0.25">
      <c r="A229" s="1" t="s">
        <v>638</v>
      </c>
      <c r="B229" s="1" t="s">
        <v>639</v>
      </c>
      <c r="C229" s="1">
        <f t="shared" si="66"/>
        <v>73.674999999999997</v>
      </c>
      <c r="D229" s="1">
        <f t="shared" si="67"/>
        <v>62.050999999999995</v>
      </c>
      <c r="E229" s="1">
        <v>72</v>
      </c>
      <c r="F229" s="1">
        <f t="shared" si="82"/>
        <v>48</v>
      </c>
      <c r="G229" s="1">
        <f t="shared" si="78"/>
        <v>44.24</v>
      </c>
      <c r="H229" s="1">
        <v>2</v>
      </c>
      <c r="I229" s="1" t="s">
        <v>186</v>
      </c>
      <c r="J229" s="1">
        <v>1</v>
      </c>
      <c r="K229" s="2">
        <f t="shared" si="68"/>
        <v>14.375</v>
      </c>
      <c r="L229" s="1">
        <f t="shared" si="69"/>
        <v>4</v>
      </c>
      <c r="M229" s="1">
        <f t="shared" si="79"/>
        <v>18</v>
      </c>
      <c r="N229" s="1">
        <f t="shared" si="80"/>
        <v>6</v>
      </c>
      <c r="O229" s="3">
        <f t="shared" si="63"/>
        <v>40</v>
      </c>
      <c r="P229" s="1">
        <f t="shared" si="73"/>
        <v>4</v>
      </c>
      <c r="Q229">
        <f t="shared" si="74"/>
        <v>10</v>
      </c>
      <c r="R229">
        <f>_xlfn.XLOOKUP(HFrame_List[[#This Row],[Cross piece style]],$AH$2:$AH$4,$AI$2:$AI$4,0,0)*(HFrame_List[[#This Row],[Width between brackets]]/12)</f>
        <v>109.494</v>
      </c>
      <c r="S229">
        <f>5.46*(HFrame_List[[#This Row],[cross piece quantity]]-1)*(HFrame_List[[#This Row],[Width between brackets]]/12)</f>
        <v>0</v>
      </c>
      <c r="T229" s="5">
        <f>HFrame_List[[#This Row],[Bottom cross piece cost]]+HFrame_List[[#This Row],[Top cross piece cost]]+HFrame_List[[#This Row],[Component costs]]+HFrame_List[[#This Row],[Vertical strut cost]]</f>
        <v>306.11599999999999</v>
      </c>
      <c r="U229" s="7">
        <f>_xlfn.XLOOKUP(HFrame_List[[#This Row],[Fabrication type]],Fabrication_costs[Fabrication type],Fabrication_costs[unit pricing],"no result",0)</f>
        <v>40.200000000000003</v>
      </c>
      <c r="V229" s="5">
        <f>SUM(T229:U229)/(1-HFrame_List[[#This Row],[Margin]])</f>
        <v>989.47428571428566</v>
      </c>
      <c r="W229" s="36">
        <f t="shared" si="76"/>
        <v>0.65</v>
      </c>
      <c r="X229" t="s">
        <v>196</v>
      </c>
      <c r="Y229">
        <f>_xlfn.XLOOKUP("A12",Strut_costs[size],Strut_costs[Strut cost])/12*HFrame_List[[#This Row],[Strut height (in)]]*(2+HFrame_List[[#This Row],[Extra supports]])</f>
        <v>131.04</v>
      </c>
      <c r="Z229">
        <f>(_xlfn.XLOOKUP("PHB",CADDY_costs[Component],CADDY_costs[Current cost])*HFrame_List[[#This Row],[Number of feet]])+(_xlfn.XLOOKUP("HFRMHDW",CADDY_costs[Component],CADDY_costs[Current cost])*(HFrame_List[[#This Row],[number of L-brackets]]/2))</f>
        <v>65.581999999999994</v>
      </c>
      <c r="AA229">
        <v>7248</v>
      </c>
      <c r="AB229">
        <f>VLOOKUP(HFrame_List[[#This Row],[lookup]],'Pallet and shipping info'!$A$5:$H$33,6,FALSE)</f>
        <v>7</v>
      </c>
      <c r="AC229">
        <f>VLOOKUP(HFrame_List[[#This Row],[lookup]],'Pallet and shipping info'!$A$5:$H$33,8,FALSE)</f>
        <v>10</v>
      </c>
      <c r="AD229"/>
      <c r="AE229"/>
      <c r="AF229"/>
    </row>
    <row r="230" spans="1:32" x14ac:dyDescent="0.25">
      <c r="A230" s="1" t="s">
        <v>640</v>
      </c>
      <c r="B230" s="1" t="s">
        <v>641</v>
      </c>
      <c r="C230" s="1">
        <f t="shared" si="66"/>
        <v>25.675000000000001</v>
      </c>
      <c r="D230" s="1">
        <f t="shared" si="67"/>
        <v>74.051000000000002</v>
      </c>
      <c r="E230" s="1">
        <v>24</v>
      </c>
      <c r="F230" s="1">
        <v>60</v>
      </c>
      <c r="G230" s="1">
        <f t="shared" si="78"/>
        <v>56.24</v>
      </c>
      <c r="H230" s="1">
        <v>2</v>
      </c>
      <c r="I230" s="1" t="s">
        <v>186</v>
      </c>
      <c r="J230" s="1">
        <v>1</v>
      </c>
      <c r="K230" s="2">
        <f t="shared" si="68"/>
        <v>18.375</v>
      </c>
      <c r="L230" s="1">
        <f t="shared" si="69"/>
        <v>4</v>
      </c>
      <c r="M230" s="1">
        <f t="shared" si="79"/>
        <v>18</v>
      </c>
      <c r="N230" s="1">
        <f t="shared" si="80"/>
        <v>6</v>
      </c>
      <c r="O230" s="3">
        <f t="shared" si="63"/>
        <v>17</v>
      </c>
      <c r="P230" s="1">
        <f t="shared" si="73"/>
        <v>2</v>
      </c>
      <c r="Q230">
        <f t="shared" si="74"/>
        <v>10</v>
      </c>
      <c r="R230">
        <f>_xlfn.XLOOKUP(HFrame_List[[#This Row],[Cross piece style]],$AH$2:$AH$4,$AI$2:$AI$4,0,0)*(HFrame_List[[#This Row],[Width between brackets]]/12)</f>
        <v>139.19399999999999</v>
      </c>
      <c r="S230">
        <f>5.46*(HFrame_List[[#This Row],[cross piece quantity]]-1)*(HFrame_List[[#This Row],[Width between brackets]]/12)</f>
        <v>0</v>
      </c>
      <c r="T230" s="5">
        <f>HFrame_List[[#This Row],[Bottom cross piece cost]]+HFrame_List[[#This Row],[Top cross piece cost]]+HFrame_List[[#This Row],[Component costs]]+HFrame_List[[#This Row],[Vertical strut cost]]</f>
        <v>248.45599999999999</v>
      </c>
      <c r="U230" s="7">
        <f>_xlfn.XLOOKUP(HFrame_List[[#This Row],[Fabrication type]],Fabrication_costs[Fabrication type],Fabrication_costs[unit pricing],"no result",0)</f>
        <v>40.200000000000003</v>
      </c>
      <c r="V230" s="5">
        <f>SUM(T230:U230)/(1-HFrame_List[[#This Row],[Margin]])</f>
        <v>824.73142857142864</v>
      </c>
      <c r="W230" s="36">
        <f t="shared" si="76"/>
        <v>0.65</v>
      </c>
      <c r="X230" t="s">
        <v>196</v>
      </c>
      <c r="Y230">
        <f>_xlfn.XLOOKUP("A12",Strut_costs[size],Strut_costs[Strut cost])/12*HFrame_List[[#This Row],[Strut height (in)]]*(2+HFrame_List[[#This Row],[Extra supports]])</f>
        <v>43.68</v>
      </c>
      <c r="Z230">
        <f>(_xlfn.XLOOKUP("PHB",CADDY_costs[Component],CADDY_costs[Current cost])*HFrame_List[[#This Row],[Number of feet]])+(_xlfn.XLOOKUP("HFRMHDW",CADDY_costs[Component],CADDY_costs[Current cost])*(HFrame_List[[#This Row],[number of L-brackets]]/2))</f>
        <v>65.581999999999994</v>
      </c>
      <c r="AA230">
        <v>2460</v>
      </c>
      <c r="AB230" t="str">
        <f>VLOOKUP(HFrame_List[[#This Row],[lookup]],'Pallet and shipping info'!$A$5:$H$33,6,FALSE)</f>
        <v>x</v>
      </c>
      <c r="AC230">
        <f>VLOOKUP(HFrame_List[[#This Row],[lookup]],'Pallet and shipping info'!$A$5:$H$33,8,FALSE)</f>
        <v>7</v>
      </c>
      <c r="AD230"/>
      <c r="AE230"/>
      <c r="AF230"/>
    </row>
    <row r="231" spans="1:32" x14ac:dyDescent="0.25">
      <c r="A231" s="1" t="s">
        <v>642</v>
      </c>
      <c r="B231" s="1" t="s">
        <v>643</v>
      </c>
      <c r="C231" s="1">
        <f t="shared" si="66"/>
        <v>37.674999999999997</v>
      </c>
      <c r="D231" s="1">
        <f t="shared" si="67"/>
        <v>74.051000000000002</v>
      </c>
      <c r="E231" s="1">
        <v>36</v>
      </c>
      <c r="F231" s="1">
        <v>60</v>
      </c>
      <c r="G231" s="1">
        <f t="shared" si="78"/>
        <v>56.24</v>
      </c>
      <c r="H231" s="1">
        <v>2</v>
      </c>
      <c r="I231" s="1" t="s">
        <v>186</v>
      </c>
      <c r="J231" s="1">
        <v>1</v>
      </c>
      <c r="K231" s="2">
        <f t="shared" si="68"/>
        <v>18.375</v>
      </c>
      <c r="L231" s="1">
        <f t="shared" si="69"/>
        <v>4</v>
      </c>
      <c r="M231" s="1">
        <f t="shared" si="79"/>
        <v>18</v>
      </c>
      <c r="N231" s="1">
        <f t="shared" si="80"/>
        <v>6</v>
      </c>
      <c r="O231" s="3">
        <f t="shared" si="63"/>
        <v>23</v>
      </c>
      <c r="P231" s="1">
        <f t="shared" si="73"/>
        <v>3</v>
      </c>
      <c r="Q231">
        <f t="shared" si="74"/>
        <v>10</v>
      </c>
      <c r="R231">
        <f>_xlfn.XLOOKUP(HFrame_List[[#This Row],[Cross piece style]],$AH$2:$AH$4,$AI$2:$AI$4,0,0)*(HFrame_List[[#This Row],[Width between brackets]]/12)</f>
        <v>139.19399999999999</v>
      </c>
      <c r="S231">
        <f>5.46*(HFrame_List[[#This Row],[cross piece quantity]]-1)*(HFrame_List[[#This Row],[Width between brackets]]/12)</f>
        <v>0</v>
      </c>
      <c r="T231" s="5">
        <f>HFrame_List[[#This Row],[Bottom cross piece cost]]+HFrame_List[[#This Row],[Top cross piece cost]]+HFrame_List[[#This Row],[Component costs]]+HFrame_List[[#This Row],[Vertical strut cost]]</f>
        <v>270.29599999999999</v>
      </c>
      <c r="U231" s="7">
        <f>_xlfn.XLOOKUP(HFrame_List[[#This Row],[Fabrication type]],Fabrication_costs[Fabrication type],Fabrication_costs[unit pricing],"no result",0)</f>
        <v>40.200000000000003</v>
      </c>
      <c r="V231" s="5">
        <f>SUM(T231:U231)/(1-HFrame_List[[#This Row],[Margin]])</f>
        <v>887.13142857142861</v>
      </c>
      <c r="W231" s="36">
        <f t="shared" si="76"/>
        <v>0.65</v>
      </c>
      <c r="X231" t="s">
        <v>196</v>
      </c>
      <c r="Y231">
        <f>_xlfn.XLOOKUP("A12",Strut_costs[size],Strut_costs[Strut cost])/12*HFrame_List[[#This Row],[Strut height (in)]]*(2+HFrame_List[[#This Row],[Extra supports]])</f>
        <v>65.52</v>
      </c>
      <c r="Z231">
        <f>(_xlfn.XLOOKUP("PHB",CADDY_costs[Component],CADDY_costs[Current cost])*HFrame_List[[#This Row],[Number of feet]])+(_xlfn.XLOOKUP("HFRMHDW",CADDY_costs[Component],CADDY_costs[Current cost])*(HFrame_List[[#This Row],[number of L-brackets]]/2))</f>
        <v>65.581999999999994</v>
      </c>
      <c r="AA231">
        <v>3660</v>
      </c>
      <c r="AB231" t="str">
        <f>VLOOKUP(HFrame_List[[#This Row],[lookup]],'Pallet and shipping info'!$A$5:$H$33,6,FALSE)</f>
        <v>x</v>
      </c>
      <c r="AC231">
        <f>VLOOKUP(HFrame_List[[#This Row],[lookup]],'Pallet and shipping info'!$A$5:$H$33,8,FALSE)</f>
        <v>7</v>
      </c>
      <c r="AD231"/>
      <c r="AE231"/>
      <c r="AF231"/>
    </row>
    <row r="232" spans="1:32" x14ac:dyDescent="0.25">
      <c r="A232" s="1" t="s">
        <v>644</v>
      </c>
      <c r="B232" s="1" t="s">
        <v>645</v>
      </c>
      <c r="C232" s="1">
        <f t="shared" si="66"/>
        <v>49.674999999999997</v>
      </c>
      <c r="D232" s="1">
        <f t="shared" si="67"/>
        <v>74.051000000000002</v>
      </c>
      <c r="E232" s="1">
        <v>48</v>
      </c>
      <c r="F232" s="1">
        <v>60</v>
      </c>
      <c r="G232" s="1">
        <f t="shared" si="78"/>
        <v>56.24</v>
      </c>
      <c r="H232" s="1">
        <v>2</v>
      </c>
      <c r="I232" s="1" t="s">
        <v>186</v>
      </c>
      <c r="J232" s="1">
        <v>1</v>
      </c>
      <c r="K232" s="2">
        <f t="shared" si="68"/>
        <v>18.375</v>
      </c>
      <c r="L232" s="1">
        <f t="shared" si="69"/>
        <v>4</v>
      </c>
      <c r="M232" s="1">
        <f t="shared" si="79"/>
        <v>18</v>
      </c>
      <c r="N232" s="1">
        <f t="shared" si="80"/>
        <v>6</v>
      </c>
      <c r="O232" s="3">
        <f t="shared" si="63"/>
        <v>29</v>
      </c>
      <c r="P232" s="1">
        <f t="shared" si="73"/>
        <v>3</v>
      </c>
      <c r="Q232">
        <f t="shared" si="74"/>
        <v>10</v>
      </c>
      <c r="R232">
        <f>_xlfn.XLOOKUP(HFrame_List[[#This Row],[Cross piece style]],$AH$2:$AH$4,$AI$2:$AI$4,0,0)*(HFrame_List[[#This Row],[Width between brackets]]/12)</f>
        <v>139.19399999999999</v>
      </c>
      <c r="S232">
        <f>5.46*(HFrame_List[[#This Row],[cross piece quantity]]-1)*(HFrame_List[[#This Row],[Width between brackets]]/12)</f>
        <v>0</v>
      </c>
      <c r="T232" s="5">
        <f>HFrame_List[[#This Row],[Bottom cross piece cost]]+HFrame_List[[#This Row],[Top cross piece cost]]+HFrame_List[[#This Row],[Component costs]]+HFrame_List[[#This Row],[Vertical strut cost]]</f>
        <v>292.13599999999997</v>
      </c>
      <c r="U232" s="7">
        <f>_xlfn.XLOOKUP(HFrame_List[[#This Row],[Fabrication type]],Fabrication_costs[Fabrication type],Fabrication_costs[unit pricing],"no result",0)</f>
        <v>40.200000000000003</v>
      </c>
      <c r="V232" s="5">
        <f>SUM(T232:U232)/(1-HFrame_List[[#This Row],[Margin]])</f>
        <v>949.53142857142848</v>
      </c>
      <c r="W232" s="36">
        <f t="shared" si="76"/>
        <v>0.65</v>
      </c>
      <c r="X232" t="s">
        <v>196</v>
      </c>
      <c r="Y232">
        <f>_xlfn.XLOOKUP("A12",Strut_costs[size],Strut_costs[Strut cost])/12*HFrame_List[[#This Row],[Strut height (in)]]*(2+HFrame_List[[#This Row],[Extra supports]])</f>
        <v>87.36</v>
      </c>
      <c r="Z232">
        <f>(_xlfn.XLOOKUP("PHB",CADDY_costs[Component],CADDY_costs[Current cost])*HFrame_List[[#This Row],[Number of feet]])+(_xlfn.XLOOKUP("HFRMHDW",CADDY_costs[Component],CADDY_costs[Current cost])*(HFrame_List[[#This Row],[number of L-brackets]]/2))</f>
        <v>65.581999999999994</v>
      </c>
      <c r="AA232">
        <v>4860</v>
      </c>
      <c r="AB232" t="str">
        <f>VLOOKUP(HFrame_List[[#This Row],[lookup]],'Pallet and shipping info'!$A$5:$H$33,6,FALSE)</f>
        <v>x</v>
      </c>
      <c r="AC232">
        <f>VLOOKUP(HFrame_List[[#This Row],[lookup]],'Pallet and shipping info'!$A$5:$H$33,8,FALSE)</f>
        <v>7</v>
      </c>
      <c r="AD232"/>
      <c r="AE232"/>
      <c r="AF232"/>
    </row>
    <row r="233" spans="1:32" x14ac:dyDescent="0.25">
      <c r="A233" s="1" t="s">
        <v>646</v>
      </c>
      <c r="B233" s="1" t="s">
        <v>647</v>
      </c>
      <c r="C233" s="1">
        <f t="shared" si="66"/>
        <v>73.674999999999997</v>
      </c>
      <c r="D233" s="1">
        <f t="shared" si="67"/>
        <v>74.051000000000002</v>
      </c>
      <c r="E233" s="1">
        <v>72</v>
      </c>
      <c r="F233" s="1">
        <v>60</v>
      </c>
      <c r="G233" s="1">
        <f t="shared" si="78"/>
        <v>56.24</v>
      </c>
      <c r="H233" s="1">
        <v>2</v>
      </c>
      <c r="I233" s="1" t="s">
        <v>186</v>
      </c>
      <c r="J233" s="1">
        <v>1</v>
      </c>
      <c r="K233" s="2">
        <f t="shared" si="68"/>
        <v>18.375</v>
      </c>
      <c r="L233" s="1">
        <f t="shared" si="69"/>
        <v>4</v>
      </c>
      <c r="M233" s="1">
        <f t="shared" si="79"/>
        <v>18</v>
      </c>
      <c r="N233" s="1">
        <f t="shared" si="80"/>
        <v>6</v>
      </c>
      <c r="O233" s="3">
        <f t="shared" si="63"/>
        <v>41</v>
      </c>
      <c r="P233" s="1">
        <f t="shared" si="73"/>
        <v>5</v>
      </c>
      <c r="Q233">
        <f t="shared" si="74"/>
        <v>10</v>
      </c>
      <c r="R233">
        <f>_xlfn.XLOOKUP(HFrame_List[[#This Row],[Cross piece style]],$AH$2:$AH$4,$AI$2:$AI$4,0,0)*(HFrame_List[[#This Row],[Width between brackets]]/12)</f>
        <v>139.19399999999999</v>
      </c>
      <c r="S233">
        <f>5.46*(HFrame_List[[#This Row],[cross piece quantity]]-1)*(HFrame_List[[#This Row],[Width between brackets]]/12)</f>
        <v>0</v>
      </c>
      <c r="T233" s="5">
        <f>HFrame_List[[#This Row],[Bottom cross piece cost]]+HFrame_List[[#This Row],[Top cross piece cost]]+HFrame_List[[#This Row],[Component costs]]+HFrame_List[[#This Row],[Vertical strut cost]]</f>
        <v>335.81599999999997</v>
      </c>
      <c r="U233" s="7">
        <f>_xlfn.XLOOKUP(HFrame_List[[#This Row],[Fabrication type]],Fabrication_costs[Fabrication type],Fabrication_costs[unit pricing],"no result",0)</f>
        <v>40.200000000000003</v>
      </c>
      <c r="V233" s="5">
        <f>SUM(T233:U233)/(1-HFrame_List[[#This Row],[Margin]])</f>
        <v>1074.3314285714284</v>
      </c>
      <c r="W233" s="36">
        <f t="shared" si="76"/>
        <v>0.65</v>
      </c>
      <c r="X233" t="s">
        <v>196</v>
      </c>
      <c r="Y233">
        <f>_xlfn.XLOOKUP("A12",Strut_costs[size],Strut_costs[Strut cost])/12*HFrame_List[[#This Row],[Strut height (in)]]*(2+HFrame_List[[#This Row],[Extra supports]])</f>
        <v>131.04</v>
      </c>
      <c r="Z233">
        <f>(_xlfn.XLOOKUP("PHB",CADDY_costs[Component],CADDY_costs[Current cost])*HFrame_List[[#This Row],[Number of feet]])+(_xlfn.XLOOKUP("HFRMHDW",CADDY_costs[Component],CADDY_costs[Current cost])*(HFrame_List[[#This Row],[number of L-brackets]]/2))</f>
        <v>65.581999999999994</v>
      </c>
      <c r="AA233">
        <v>7260</v>
      </c>
      <c r="AB233" t="str">
        <f>VLOOKUP(HFrame_List[[#This Row],[lookup]],'Pallet and shipping info'!$A$5:$H$33,6,FALSE)</f>
        <v>x</v>
      </c>
      <c r="AC233">
        <f>VLOOKUP(HFrame_List[[#This Row],[lookup]],'Pallet and shipping info'!$A$5:$H$33,8,FALSE)</f>
        <v>7</v>
      </c>
      <c r="AD233"/>
      <c r="AE233"/>
      <c r="AF233"/>
    </row>
    <row r="234" spans="1:32" x14ac:dyDescent="0.25">
      <c r="A234" s="1" t="s">
        <v>648</v>
      </c>
      <c r="B234" s="1" t="s">
        <v>649</v>
      </c>
      <c r="C234" s="1">
        <f t="shared" si="66"/>
        <v>25.675000000000001</v>
      </c>
      <c r="D234" s="1">
        <f t="shared" si="67"/>
        <v>86.051000000000002</v>
      </c>
      <c r="E234" s="1">
        <v>24</v>
      </c>
      <c r="F234" s="1">
        <v>72</v>
      </c>
      <c r="G234" s="1">
        <f t="shared" si="78"/>
        <v>68.239999999999995</v>
      </c>
      <c r="H234" s="1">
        <v>2</v>
      </c>
      <c r="I234" s="1" t="s">
        <v>186</v>
      </c>
      <c r="J234" s="1">
        <v>1</v>
      </c>
      <c r="K234" s="2">
        <f t="shared" si="68"/>
        <v>22.375</v>
      </c>
      <c r="L234" s="1">
        <f t="shared" si="69"/>
        <v>4</v>
      </c>
      <c r="M234" s="1">
        <f t="shared" si="79"/>
        <v>18</v>
      </c>
      <c r="N234" s="1">
        <f t="shared" si="80"/>
        <v>6</v>
      </c>
      <c r="O234" s="3">
        <f t="shared" si="63"/>
        <v>18</v>
      </c>
      <c r="P234" s="1">
        <f t="shared" si="73"/>
        <v>2</v>
      </c>
      <c r="Q234">
        <f t="shared" si="74"/>
        <v>10</v>
      </c>
      <c r="R234">
        <f>_xlfn.XLOOKUP(HFrame_List[[#This Row],[Cross piece style]],$AH$2:$AH$4,$AI$2:$AI$4,0,0)*(HFrame_List[[#This Row],[Width between brackets]]/12)</f>
        <v>168.89400000000001</v>
      </c>
      <c r="S234">
        <f>5.46*(HFrame_List[[#This Row],[cross piece quantity]]-1)*(HFrame_List[[#This Row],[Width between brackets]]/12)</f>
        <v>0</v>
      </c>
      <c r="T234" s="5">
        <f>HFrame_List[[#This Row],[Bottom cross piece cost]]+HFrame_List[[#This Row],[Top cross piece cost]]+HFrame_List[[#This Row],[Component costs]]+HFrame_List[[#This Row],[Vertical strut cost]]</f>
        <v>278.15600000000001</v>
      </c>
      <c r="U234" s="7">
        <f>_xlfn.XLOOKUP(HFrame_List[[#This Row],[Fabrication type]],Fabrication_costs[Fabrication type],Fabrication_costs[unit pricing],"no result",0)</f>
        <v>40.200000000000003</v>
      </c>
      <c r="V234" s="5">
        <f>SUM(T234:U234)/(1-HFrame_List[[#This Row],[Margin]])</f>
        <v>909.58857142857153</v>
      </c>
      <c r="W234" s="36">
        <f t="shared" si="76"/>
        <v>0.65</v>
      </c>
      <c r="X234" t="s">
        <v>196</v>
      </c>
      <c r="Y234">
        <f>_xlfn.XLOOKUP("A12",Strut_costs[size],Strut_costs[Strut cost])/12*HFrame_List[[#This Row],[Strut height (in)]]*(2+HFrame_List[[#This Row],[Extra supports]])</f>
        <v>43.68</v>
      </c>
      <c r="Z234">
        <f>(_xlfn.XLOOKUP("PHB",CADDY_costs[Component],CADDY_costs[Current cost])*HFrame_List[[#This Row],[Number of feet]])+(_xlfn.XLOOKUP("HFRMHDW",CADDY_costs[Component],CADDY_costs[Current cost])*(HFrame_List[[#This Row],[number of L-brackets]]/2))</f>
        <v>65.581999999999994</v>
      </c>
      <c r="AA234">
        <v>2472</v>
      </c>
      <c r="AB234" t="str">
        <f>VLOOKUP(HFrame_List[[#This Row],[lookup]],'Pallet and shipping info'!$A$5:$H$33,6,FALSE)</f>
        <v>x</v>
      </c>
      <c r="AC234">
        <f>VLOOKUP(HFrame_List[[#This Row],[lookup]],'Pallet and shipping info'!$A$5:$H$33,8,FALSE)</f>
        <v>7</v>
      </c>
      <c r="AD234"/>
      <c r="AE234"/>
      <c r="AF234"/>
    </row>
    <row r="235" spans="1:32" x14ac:dyDescent="0.25">
      <c r="A235" s="1" t="s">
        <v>650</v>
      </c>
      <c r="B235" s="1" t="s">
        <v>651</v>
      </c>
      <c r="C235" s="1">
        <f t="shared" si="66"/>
        <v>37.674999999999997</v>
      </c>
      <c r="D235" s="1">
        <f t="shared" si="67"/>
        <v>86.051000000000002</v>
      </c>
      <c r="E235" s="1">
        <v>36</v>
      </c>
      <c r="F235" s="1">
        <v>72</v>
      </c>
      <c r="G235" s="1">
        <f t="shared" si="78"/>
        <v>68.239999999999995</v>
      </c>
      <c r="H235" s="1">
        <v>2</v>
      </c>
      <c r="I235" s="1" t="s">
        <v>186</v>
      </c>
      <c r="J235" s="1">
        <v>1</v>
      </c>
      <c r="K235" s="2">
        <f t="shared" si="68"/>
        <v>22.375</v>
      </c>
      <c r="L235" s="1">
        <f t="shared" si="69"/>
        <v>4</v>
      </c>
      <c r="M235" s="1">
        <f t="shared" si="79"/>
        <v>18</v>
      </c>
      <c r="N235" s="1">
        <f t="shared" si="80"/>
        <v>6</v>
      </c>
      <c r="O235" s="3">
        <f t="shared" ref="O235:O241" si="83">((E235*(L235+H235))+(F235*J235))/12</f>
        <v>24</v>
      </c>
      <c r="P235" s="1">
        <f t="shared" si="73"/>
        <v>3</v>
      </c>
      <c r="Q235">
        <f t="shared" si="74"/>
        <v>10</v>
      </c>
      <c r="R235">
        <f>_xlfn.XLOOKUP(HFrame_List[[#This Row],[Cross piece style]],$AH$2:$AH$4,$AI$2:$AI$4,0,0)*(HFrame_List[[#This Row],[Width between brackets]]/12)</f>
        <v>168.89400000000001</v>
      </c>
      <c r="S235">
        <f>5.46*(HFrame_List[[#This Row],[cross piece quantity]]-1)*(HFrame_List[[#This Row],[Width between brackets]]/12)</f>
        <v>0</v>
      </c>
      <c r="T235" s="5">
        <f>HFrame_List[[#This Row],[Bottom cross piece cost]]+HFrame_List[[#This Row],[Top cross piece cost]]+HFrame_List[[#This Row],[Component costs]]+HFrame_List[[#This Row],[Vertical strut cost]]</f>
        <v>299.99599999999998</v>
      </c>
      <c r="U235" s="7">
        <f>_xlfn.XLOOKUP(HFrame_List[[#This Row],[Fabrication type]],Fabrication_costs[Fabrication type],Fabrication_costs[unit pricing],"no result",0)</f>
        <v>40.200000000000003</v>
      </c>
      <c r="V235" s="5">
        <f>SUM(T235:U235)/(1-HFrame_List[[#This Row],[Margin]])</f>
        <v>971.98857142857139</v>
      </c>
      <c r="W235" s="36">
        <f t="shared" si="76"/>
        <v>0.65</v>
      </c>
      <c r="X235" t="s">
        <v>196</v>
      </c>
      <c r="Y235">
        <f>_xlfn.XLOOKUP("A12",Strut_costs[size],Strut_costs[Strut cost])/12*HFrame_List[[#This Row],[Strut height (in)]]*(2+HFrame_List[[#This Row],[Extra supports]])</f>
        <v>65.52</v>
      </c>
      <c r="Z235">
        <f>(_xlfn.XLOOKUP("PHB",CADDY_costs[Component],CADDY_costs[Current cost])*HFrame_List[[#This Row],[Number of feet]])+(_xlfn.XLOOKUP("HFRMHDW",CADDY_costs[Component],CADDY_costs[Current cost])*(HFrame_List[[#This Row],[number of L-brackets]]/2))</f>
        <v>65.581999999999994</v>
      </c>
      <c r="AA235">
        <v>3672</v>
      </c>
      <c r="AB235" t="str">
        <f>VLOOKUP(HFrame_List[[#This Row],[lookup]],'Pallet and shipping info'!$A$5:$H$33,6,FALSE)</f>
        <v>x</v>
      </c>
      <c r="AC235">
        <f>VLOOKUP(HFrame_List[[#This Row],[lookup]],'Pallet and shipping info'!$A$5:$H$33,8,FALSE)</f>
        <v>7</v>
      </c>
      <c r="AD235"/>
      <c r="AE235"/>
      <c r="AF235"/>
    </row>
    <row r="236" spans="1:32" x14ac:dyDescent="0.25">
      <c r="A236" s="1" t="s">
        <v>652</v>
      </c>
      <c r="B236" s="1" t="s">
        <v>653</v>
      </c>
      <c r="C236" s="1">
        <f t="shared" si="66"/>
        <v>49.674999999999997</v>
      </c>
      <c r="D236" s="1">
        <f t="shared" si="67"/>
        <v>86.051000000000002</v>
      </c>
      <c r="E236" s="1">
        <v>48</v>
      </c>
      <c r="F236" s="1">
        <v>72</v>
      </c>
      <c r="G236" s="1">
        <f t="shared" si="78"/>
        <v>68.239999999999995</v>
      </c>
      <c r="H236" s="1">
        <v>2</v>
      </c>
      <c r="I236" s="1" t="s">
        <v>186</v>
      </c>
      <c r="J236" s="1">
        <v>1</v>
      </c>
      <c r="K236" s="2">
        <f t="shared" si="68"/>
        <v>22.375</v>
      </c>
      <c r="L236" s="1">
        <f t="shared" si="69"/>
        <v>4</v>
      </c>
      <c r="M236" s="1">
        <f t="shared" si="79"/>
        <v>18</v>
      </c>
      <c r="N236" s="1">
        <f t="shared" si="80"/>
        <v>6</v>
      </c>
      <c r="O236" s="3">
        <f t="shared" si="83"/>
        <v>30</v>
      </c>
      <c r="P236" s="1">
        <f t="shared" si="73"/>
        <v>3</v>
      </c>
      <c r="Q236">
        <f t="shared" si="74"/>
        <v>10</v>
      </c>
      <c r="R236">
        <f>_xlfn.XLOOKUP(HFrame_List[[#This Row],[Cross piece style]],$AH$2:$AH$4,$AI$2:$AI$4,0,0)*(HFrame_List[[#This Row],[Width between brackets]]/12)</f>
        <v>168.89400000000001</v>
      </c>
      <c r="S236">
        <f>5.46*(HFrame_List[[#This Row],[cross piece quantity]]-1)*(HFrame_List[[#This Row],[Width between brackets]]/12)</f>
        <v>0</v>
      </c>
      <c r="T236" s="5">
        <f>HFrame_List[[#This Row],[Bottom cross piece cost]]+HFrame_List[[#This Row],[Top cross piece cost]]+HFrame_List[[#This Row],[Component costs]]+HFrame_List[[#This Row],[Vertical strut cost]]</f>
        <v>321.83600000000001</v>
      </c>
      <c r="U236" s="7">
        <f>_xlfn.XLOOKUP(HFrame_List[[#This Row],[Fabrication type]],Fabrication_costs[Fabrication type],Fabrication_costs[unit pricing],"no result",0)</f>
        <v>40.200000000000003</v>
      </c>
      <c r="V236" s="5">
        <f>SUM(T236:U236)/(1-HFrame_List[[#This Row],[Margin]])</f>
        <v>1034.3885714285716</v>
      </c>
      <c r="W236" s="36">
        <f t="shared" si="76"/>
        <v>0.65</v>
      </c>
      <c r="X236" t="s">
        <v>196</v>
      </c>
      <c r="Y236">
        <f>_xlfn.XLOOKUP("A12",Strut_costs[size],Strut_costs[Strut cost])/12*HFrame_List[[#This Row],[Strut height (in)]]*(2+HFrame_List[[#This Row],[Extra supports]])</f>
        <v>87.36</v>
      </c>
      <c r="Z236">
        <f>(_xlfn.XLOOKUP("PHB",CADDY_costs[Component],CADDY_costs[Current cost])*HFrame_List[[#This Row],[Number of feet]])+(_xlfn.XLOOKUP("HFRMHDW",CADDY_costs[Component],CADDY_costs[Current cost])*(HFrame_List[[#This Row],[number of L-brackets]]/2))</f>
        <v>65.581999999999994</v>
      </c>
      <c r="AA236">
        <v>4872</v>
      </c>
      <c r="AB236" t="str">
        <f>VLOOKUP(HFrame_List[[#This Row],[lookup]],'Pallet and shipping info'!$A$5:$H$33,6,FALSE)</f>
        <v>x</v>
      </c>
      <c r="AC236">
        <f>VLOOKUP(HFrame_List[[#This Row],[lookup]],'Pallet and shipping info'!$A$5:$H$33,8,FALSE)</f>
        <v>7</v>
      </c>
      <c r="AD236"/>
      <c r="AE236"/>
      <c r="AF236"/>
    </row>
    <row r="237" spans="1:32" x14ac:dyDescent="0.25">
      <c r="A237" s="1" t="s">
        <v>654</v>
      </c>
      <c r="B237" s="1" t="s">
        <v>655</v>
      </c>
      <c r="C237" s="1">
        <f t="shared" si="66"/>
        <v>73.674999999999997</v>
      </c>
      <c r="D237" s="1">
        <f t="shared" si="67"/>
        <v>86.051000000000002</v>
      </c>
      <c r="E237" s="1">
        <v>72</v>
      </c>
      <c r="F237" s="1">
        <v>72</v>
      </c>
      <c r="G237" s="1">
        <f t="shared" si="78"/>
        <v>68.239999999999995</v>
      </c>
      <c r="H237" s="1">
        <v>2</v>
      </c>
      <c r="I237" s="1" t="s">
        <v>186</v>
      </c>
      <c r="J237" s="1">
        <v>1</v>
      </c>
      <c r="K237" s="2">
        <f t="shared" si="68"/>
        <v>22.375</v>
      </c>
      <c r="L237" s="1">
        <f t="shared" si="69"/>
        <v>4</v>
      </c>
      <c r="M237" s="1">
        <f t="shared" si="79"/>
        <v>18</v>
      </c>
      <c r="N237" s="1">
        <f t="shared" si="80"/>
        <v>6</v>
      </c>
      <c r="O237" s="3">
        <f t="shared" si="83"/>
        <v>42</v>
      </c>
      <c r="P237" s="1">
        <f t="shared" si="73"/>
        <v>5</v>
      </c>
      <c r="Q237">
        <f t="shared" si="74"/>
        <v>10</v>
      </c>
      <c r="R237">
        <f>_xlfn.XLOOKUP(HFrame_List[[#This Row],[Cross piece style]],$AH$2:$AH$4,$AI$2:$AI$4,0,0)*(HFrame_List[[#This Row],[Width between brackets]]/12)</f>
        <v>168.89400000000001</v>
      </c>
      <c r="S237">
        <f>5.46*(HFrame_List[[#This Row],[cross piece quantity]]-1)*(HFrame_List[[#This Row],[Width between brackets]]/12)</f>
        <v>0</v>
      </c>
      <c r="T237" s="5">
        <f>HFrame_List[[#This Row],[Bottom cross piece cost]]+HFrame_List[[#This Row],[Top cross piece cost]]+HFrame_List[[#This Row],[Component costs]]+HFrame_List[[#This Row],[Vertical strut cost]]</f>
        <v>365.51599999999996</v>
      </c>
      <c r="U237" s="7">
        <f>_xlfn.XLOOKUP(HFrame_List[[#This Row],[Fabrication type]],Fabrication_costs[Fabrication type],Fabrication_costs[unit pricing],"no result",0)</f>
        <v>40.200000000000003</v>
      </c>
      <c r="V237" s="5">
        <f>SUM(T237:U237)/(1-HFrame_List[[#This Row],[Margin]])</f>
        <v>1159.1885714285713</v>
      </c>
      <c r="W237" s="36">
        <f t="shared" si="76"/>
        <v>0.65</v>
      </c>
      <c r="X237" t="s">
        <v>196</v>
      </c>
      <c r="Y237">
        <f>_xlfn.XLOOKUP("A12",Strut_costs[size],Strut_costs[Strut cost])/12*HFrame_List[[#This Row],[Strut height (in)]]*(2+HFrame_List[[#This Row],[Extra supports]])</f>
        <v>131.04</v>
      </c>
      <c r="Z237">
        <f>(_xlfn.XLOOKUP("PHB",CADDY_costs[Component],CADDY_costs[Current cost])*HFrame_List[[#This Row],[Number of feet]])+(_xlfn.XLOOKUP("HFRMHDW",CADDY_costs[Component],CADDY_costs[Current cost])*(HFrame_List[[#This Row],[number of L-brackets]]/2))</f>
        <v>65.581999999999994</v>
      </c>
      <c r="AA237">
        <v>7272</v>
      </c>
      <c r="AB237" t="str">
        <f>VLOOKUP(HFrame_List[[#This Row],[lookup]],'Pallet and shipping info'!$A$5:$H$33,6,FALSE)</f>
        <v>x</v>
      </c>
      <c r="AC237">
        <f>VLOOKUP(HFrame_List[[#This Row],[lookup]],'Pallet and shipping info'!$A$5:$H$33,8,FALSE)</f>
        <v>7</v>
      </c>
      <c r="AD237"/>
      <c r="AE237"/>
      <c r="AF237"/>
    </row>
    <row r="238" spans="1:32" x14ac:dyDescent="0.25">
      <c r="A238" s="1" t="s">
        <v>656</v>
      </c>
      <c r="B238" s="1" t="s">
        <v>657</v>
      </c>
      <c r="C238" s="1">
        <f t="shared" si="66"/>
        <v>25.675000000000001</v>
      </c>
      <c r="D238" s="1">
        <f t="shared" si="67"/>
        <v>98.051000000000002</v>
      </c>
      <c r="E238" s="1">
        <v>24</v>
      </c>
      <c r="F238" s="1">
        <v>84</v>
      </c>
      <c r="G238" s="1">
        <f t="shared" si="78"/>
        <v>80.239999999999995</v>
      </c>
      <c r="H238" s="1">
        <v>2</v>
      </c>
      <c r="I238" s="1" t="s">
        <v>186</v>
      </c>
      <c r="J238" s="1">
        <v>1</v>
      </c>
      <c r="K238" s="2">
        <f t="shared" si="68"/>
        <v>26.375</v>
      </c>
      <c r="L238" s="1">
        <f t="shared" si="69"/>
        <v>4</v>
      </c>
      <c r="M238" s="1">
        <f t="shared" si="79"/>
        <v>18</v>
      </c>
      <c r="N238" s="1">
        <f t="shared" si="80"/>
        <v>6</v>
      </c>
      <c r="O238" s="3">
        <f t="shared" si="83"/>
        <v>19</v>
      </c>
      <c r="P238" s="1">
        <f t="shared" si="73"/>
        <v>2</v>
      </c>
      <c r="Q238">
        <f t="shared" si="74"/>
        <v>10</v>
      </c>
      <c r="R238">
        <f>_xlfn.XLOOKUP(HFrame_List[[#This Row],[Cross piece style]],$AH$2:$AH$4,$AI$2:$AI$4,0,0)*(HFrame_List[[#This Row],[Width between brackets]]/12)</f>
        <v>198.59399999999999</v>
      </c>
      <c r="S238">
        <f>5.46*(HFrame_List[[#This Row],[cross piece quantity]]-1)*(HFrame_List[[#This Row],[Width between brackets]]/12)</f>
        <v>0</v>
      </c>
      <c r="T238" s="5">
        <f>HFrame_List[[#This Row],[Bottom cross piece cost]]+HFrame_List[[#This Row],[Top cross piece cost]]+HFrame_List[[#This Row],[Component costs]]+HFrame_List[[#This Row],[Vertical strut cost]]</f>
        <v>307.85599999999999</v>
      </c>
      <c r="U238" s="7">
        <f>_xlfn.XLOOKUP(HFrame_List[[#This Row],[Fabrication type]],Fabrication_costs[Fabrication type],Fabrication_costs[unit pricing],"no result",0)</f>
        <v>40.200000000000003</v>
      </c>
      <c r="V238" s="5">
        <f>SUM(T238:U238)/(1-HFrame_List[[#This Row],[Margin]])</f>
        <v>994.4457142857143</v>
      </c>
      <c r="W238" s="36">
        <f t="shared" si="76"/>
        <v>0.65</v>
      </c>
      <c r="X238" t="s">
        <v>196</v>
      </c>
      <c r="Y238">
        <f>_xlfn.XLOOKUP("A12",Strut_costs[size],Strut_costs[Strut cost])/12*HFrame_List[[#This Row],[Strut height (in)]]*(2+HFrame_List[[#This Row],[Extra supports]])</f>
        <v>43.68</v>
      </c>
      <c r="Z238">
        <f>(_xlfn.XLOOKUP("PHB",CADDY_costs[Component],CADDY_costs[Current cost])*HFrame_List[[#This Row],[Number of feet]])+(_xlfn.XLOOKUP("HFRMHDW",CADDY_costs[Component],CADDY_costs[Current cost])*(HFrame_List[[#This Row],[number of L-brackets]]/2))</f>
        <v>65.581999999999994</v>
      </c>
      <c r="AA238">
        <v>2484</v>
      </c>
      <c r="AB238" t="str">
        <f>VLOOKUP(HFrame_List[[#This Row],[lookup]],'Pallet and shipping info'!$A$5:$H$33,6,FALSE)</f>
        <v>x</v>
      </c>
      <c r="AC238">
        <f>VLOOKUP(HFrame_List[[#This Row],[lookup]],'Pallet and shipping info'!$A$5:$H$33,8,FALSE)</f>
        <v>7</v>
      </c>
      <c r="AD238"/>
      <c r="AE238"/>
      <c r="AF238"/>
    </row>
    <row r="239" spans="1:32" x14ac:dyDescent="0.25">
      <c r="A239" s="1" t="s">
        <v>658</v>
      </c>
      <c r="B239" s="1" t="s">
        <v>659</v>
      </c>
      <c r="C239" s="1">
        <f t="shared" si="66"/>
        <v>37.674999999999997</v>
      </c>
      <c r="D239" s="1">
        <f t="shared" si="67"/>
        <v>98.051000000000002</v>
      </c>
      <c r="E239" s="1">
        <v>36</v>
      </c>
      <c r="F239" s="1">
        <v>84</v>
      </c>
      <c r="G239" s="1">
        <f t="shared" si="78"/>
        <v>80.239999999999995</v>
      </c>
      <c r="H239" s="1">
        <v>2</v>
      </c>
      <c r="I239" s="1" t="s">
        <v>186</v>
      </c>
      <c r="J239" s="1">
        <v>1</v>
      </c>
      <c r="K239" s="2">
        <f t="shared" si="68"/>
        <v>26.375</v>
      </c>
      <c r="L239" s="1">
        <f t="shared" si="69"/>
        <v>4</v>
      </c>
      <c r="M239" s="1">
        <f t="shared" si="79"/>
        <v>18</v>
      </c>
      <c r="N239" s="1">
        <f t="shared" si="80"/>
        <v>6</v>
      </c>
      <c r="O239" s="3">
        <f t="shared" si="83"/>
        <v>25</v>
      </c>
      <c r="P239" s="1">
        <f t="shared" si="73"/>
        <v>3</v>
      </c>
      <c r="Q239">
        <f t="shared" si="74"/>
        <v>10</v>
      </c>
      <c r="R239">
        <f>_xlfn.XLOOKUP(HFrame_List[[#This Row],[Cross piece style]],$AH$2:$AH$4,$AI$2:$AI$4,0,0)*(HFrame_List[[#This Row],[Width between brackets]]/12)</f>
        <v>198.59399999999999</v>
      </c>
      <c r="S239">
        <f>5.46*(HFrame_List[[#This Row],[cross piece quantity]]-1)*(HFrame_List[[#This Row],[Width between brackets]]/12)</f>
        <v>0</v>
      </c>
      <c r="T239" s="5">
        <f>HFrame_List[[#This Row],[Bottom cross piece cost]]+HFrame_List[[#This Row],[Top cross piece cost]]+HFrame_List[[#This Row],[Component costs]]+HFrame_List[[#This Row],[Vertical strut cost]]</f>
        <v>329.69599999999997</v>
      </c>
      <c r="U239" s="7">
        <f>_xlfn.XLOOKUP(HFrame_List[[#This Row],[Fabrication type]],Fabrication_costs[Fabrication type],Fabrication_costs[unit pricing],"no result",0)</f>
        <v>40.200000000000003</v>
      </c>
      <c r="V239" s="5">
        <f>SUM(T239:U239)/(1-HFrame_List[[#This Row],[Margin]])</f>
        <v>1056.8457142857142</v>
      </c>
      <c r="W239" s="36">
        <f t="shared" si="76"/>
        <v>0.65</v>
      </c>
      <c r="X239" t="s">
        <v>196</v>
      </c>
      <c r="Y239">
        <f>_xlfn.XLOOKUP("A12",Strut_costs[size],Strut_costs[Strut cost])/12*HFrame_List[[#This Row],[Strut height (in)]]*(2+HFrame_List[[#This Row],[Extra supports]])</f>
        <v>65.52</v>
      </c>
      <c r="Z239">
        <f>(_xlfn.XLOOKUP("PHB",CADDY_costs[Component],CADDY_costs[Current cost])*HFrame_List[[#This Row],[Number of feet]])+(_xlfn.XLOOKUP("HFRMHDW",CADDY_costs[Component],CADDY_costs[Current cost])*(HFrame_List[[#This Row],[number of L-brackets]]/2))</f>
        <v>65.581999999999994</v>
      </c>
      <c r="AA239">
        <v>3684</v>
      </c>
      <c r="AB239" t="str">
        <f>VLOOKUP(HFrame_List[[#This Row],[lookup]],'Pallet and shipping info'!$A$5:$H$33,6,FALSE)</f>
        <v>x</v>
      </c>
      <c r="AC239">
        <f>VLOOKUP(HFrame_List[[#This Row],[lookup]],'Pallet and shipping info'!$A$5:$H$33,8,FALSE)</f>
        <v>7</v>
      </c>
      <c r="AD239"/>
      <c r="AE239"/>
      <c r="AF239"/>
    </row>
    <row r="240" spans="1:32" x14ac:dyDescent="0.25">
      <c r="A240" s="1" t="s">
        <v>660</v>
      </c>
      <c r="B240" s="1" t="s">
        <v>661</v>
      </c>
      <c r="C240" s="1">
        <f t="shared" si="66"/>
        <v>49.674999999999997</v>
      </c>
      <c r="D240" s="1">
        <f t="shared" si="67"/>
        <v>98.051000000000002</v>
      </c>
      <c r="E240" s="1">
        <v>48</v>
      </c>
      <c r="F240" s="1">
        <v>84</v>
      </c>
      <c r="G240" s="1">
        <f t="shared" si="78"/>
        <v>80.239999999999995</v>
      </c>
      <c r="H240" s="1">
        <v>2</v>
      </c>
      <c r="I240" s="1" t="s">
        <v>186</v>
      </c>
      <c r="J240" s="1">
        <v>1</v>
      </c>
      <c r="K240" s="2">
        <f t="shared" si="68"/>
        <v>26.375</v>
      </c>
      <c r="L240" s="1">
        <f t="shared" si="69"/>
        <v>4</v>
      </c>
      <c r="M240" s="1">
        <f t="shared" si="79"/>
        <v>18</v>
      </c>
      <c r="N240" s="1">
        <f t="shared" si="80"/>
        <v>6</v>
      </c>
      <c r="O240" s="3">
        <f t="shared" si="83"/>
        <v>31</v>
      </c>
      <c r="P240" s="1">
        <f t="shared" si="73"/>
        <v>4</v>
      </c>
      <c r="Q240">
        <f t="shared" si="74"/>
        <v>10</v>
      </c>
      <c r="R240">
        <f>_xlfn.XLOOKUP(HFrame_List[[#This Row],[Cross piece style]],$AH$2:$AH$4,$AI$2:$AI$4,0,0)*(HFrame_List[[#This Row],[Width between brackets]]/12)</f>
        <v>198.59399999999999</v>
      </c>
      <c r="S240">
        <f>5.46*(HFrame_List[[#This Row],[cross piece quantity]]-1)*(HFrame_List[[#This Row],[Width between brackets]]/12)</f>
        <v>0</v>
      </c>
      <c r="T240" s="5">
        <f>HFrame_List[[#This Row],[Bottom cross piece cost]]+HFrame_List[[#This Row],[Top cross piece cost]]+HFrame_List[[#This Row],[Component costs]]+HFrame_List[[#This Row],[Vertical strut cost]]</f>
        <v>351.536</v>
      </c>
      <c r="U240" s="7">
        <f>_xlfn.XLOOKUP(HFrame_List[[#This Row],[Fabrication type]],Fabrication_costs[Fabrication type],Fabrication_costs[unit pricing],"no result",0)</f>
        <v>40.200000000000003</v>
      </c>
      <c r="V240" s="5">
        <f>SUM(T240:U240)/(1-HFrame_List[[#This Row],[Margin]])</f>
        <v>1119.2457142857143</v>
      </c>
      <c r="W240" s="36">
        <f t="shared" si="76"/>
        <v>0.65</v>
      </c>
      <c r="X240" t="s">
        <v>196</v>
      </c>
      <c r="Y240">
        <f>_xlfn.XLOOKUP("A12",Strut_costs[size],Strut_costs[Strut cost])/12*HFrame_List[[#This Row],[Strut height (in)]]*(2+HFrame_List[[#This Row],[Extra supports]])</f>
        <v>87.36</v>
      </c>
      <c r="Z240">
        <f>(_xlfn.XLOOKUP("PHB",CADDY_costs[Component],CADDY_costs[Current cost])*HFrame_List[[#This Row],[Number of feet]])+(_xlfn.XLOOKUP("HFRMHDW",CADDY_costs[Component],CADDY_costs[Current cost])*(HFrame_List[[#This Row],[number of L-brackets]]/2))</f>
        <v>65.581999999999994</v>
      </c>
      <c r="AA240">
        <v>4884</v>
      </c>
      <c r="AB240" t="str">
        <f>VLOOKUP(HFrame_List[[#This Row],[lookup]],'Pallet and shipping info'!$A$5:$H$33,6,FALSE)</f>
        <v>x</v>
      </c>
      <c r="AC240">
        <f>VLOOKUP(HFrame_List[[#This Row],[lookup]],'Pallet and shipping info'!$A$5:$H$33,8,FALSE)</f>
        <v>7</v>
      </c>
      <c r="AD240"/>
      <c r="AE240"/>
      <c r="AF240"/>
    </row>
    <row r="241" spans="1:32" x14ac:dyDescent="0.25">
      <c r="A241" s="1" t="s">
        <v>662</v>
      </c>
      <c r="B241" s="1" t="s">
        <v>663</v>
      </c>
      <c r="C241" s="1">
        <f t="shared" si="66"/>
        <v>73.674999999999997</v>
      </c>
      <c r="D241" s="1">
        <f t="shared" si="67"/>
        <v>98.051000000000002</v>
      </c>
      <c r="E241" s="1">
        <v>72</v>
      </c>
      <c r="F241" s="1">
        <v>84</v>
      </c>
      <c r="G241" s="1">
        <f t="shared" si="78"/>
        <v>80.239999999999995</v>
      </c>
      <c r="H241" s="1">
        <v>2</v>
      </c>
      <c r="I241" s="1" t="s">
        <v>186</v>
      </c>
      <c r="J241" s="1">
        <v>1</v>
      </c>
      <c r="K241" s="2">
        <f t="shared" si="68"/>
        <v>26.375</v>
      </c>
      <c r="L241" s="1">
        <f t="shared" si="69"/>
        <v>4</v>
      </c>
      <c r="M241" s="1">
        <f t="shared" si="79"/>
        <v>18</v>
      </c>
      <c r="N241" s="1">
        <f t="shared" si="80"/>
        <v>6</v>
      </c>
      <c r="O241" s="3">
        <f t="shared" si="83"/>
        <v>43</v>
      </c>
      <c r="P241" s="1">
        <f t="shared" si="73"/>
        <v>5</v>
      </c>
      <c r="Q241">
        <f t="shared" si="74"/>
        <v>10</v>
      </c>
      <c r="R241">
        <f>_xlfn.XLOOKUP(HFrame_List[[#This Row],[Cross piece style]],$AH$2:$AH$4,$AI$2:$AI$4,0,0)*(HFrame_List[[#This Row],[Width between brackets]]/12)</f>
        <v>198.59399999999999</v>
      </c>
      <c r="S241">
        <f>5.46*(HFrame_List[[#This Row],[cross piece quantity]]-1)*(HFrame_List[[#This Row],[Width between brackets]]/12)</f>
        <v>0</v>
      </c>
      <c r="T241" s="5">
        <f>HFrame_List[[#This Row],[Bottom cross piece cost]]+HFrame_List[[#This Row],[Top cross piece cost]]+HFrame_List[[#This Row],[Component costs]]+HFrame_List[[#This Row],[Vertical strut cost]]</f>
        <v>395.21600000000001</v>
      </c>
      <c r="U241" s="7">
        <f>_xlfn.XLOOKUP(HFrame_List[[#This Row],[Fabrication type]],Fabrication_costs[Fabrication type],Fabrication_costs[unit pricing],"no result",0)</f>
        <v>40.200000000000003</v>
      </c>
      <c r="V241" s="5">
        <f>SUM(T241:U241)/(1-HFrame_List[[#This Row],[Margin]])</f>
        <v>1244.0457142857144</v>
      </c>
      <c r="W241" s="36">
        <f t="shared" si="76"/>
        <v>0.65</v>
      </c>
      <c r="X241" t="s">
        <v>196</v>
      </c>
      <c r="Y241">
        <f>_xlfn.XLOOKUP("A12",Strut_costs[size],Strut_costs[Strut cost])/12*HFrame_List[[#This Row],[Strut height (in)]]*(2+HFrame_List[[#This Row],[Extra supports]])</f>
        <v>131.04</v>
      </c>
      <c r="Z241">
        <f>(_xlfn.XLOOKUP("PHB",CADDY_costs[Component],CADDY_costs[Current cost])*HFrame_List[[#This Row],[Number of feet]])+(_xlfn.XLOOKUP("HFRMHDW",CADDY_costs[Component],CADDY_costs[Current cost])*(HFrame_List[[#This Row],[number of L-brackets]]/2))</f>
        <v>65.581999999999994</v>
      </c>
      <c r="AA241">
        <v>7284</v>
      </c>
      <c r="AB241" t="str">
        <f>VLOOKUP(HFrame_List[[#This Row],[lookup]],'Pallet and shipping info'!$A$5:$H$33,6,FALSE)</f>
        <v>x</v>
      </c>
      <c r="AC241">
        <f>VLOOKUP(HFrame_List[[#This Row],[lookup]],'Pallet and shipping info'!$A$5:$H$33,8,FALSE)</f>
        <v>7</v>
      </c>
      <c r="AD241"/>
      <c r="AE241"/>
      <c r="AF241"/>
    </row>
    <row r="245" spans="1:32" x14ac:dyDescent="0.25">
      <c r="A245" t="e" cm="1">
        <f t="array" ref="A245">IF(Calculations!#REF!=0,"",_xlfn._xlws.FILTER(HFrame_List[],(HFrame_List[Height (in)]&gt;Calculations!#REF!)*(HFrame_List[Width between uprights (in)]&gt;Calculations!#REF!)*(HFrame_List[Extra supports]=Calculations!#REF!)*(HFrame_List[Cross piece style]=Calculations!#REF!)*(HFrame_List[cross piece quantity]=SUM(Calculations!#REF!,1)),"no results"))</f>
        <v>#REF!</v>
      </c>
      <c r="Y245" s="46"/>
      <c r="Z245" s="46"/>
      <c r="AA245" s="46"/>
      <c r="AB245" s="46"/>
      <c r="AC245" s="46"/>
      <c r="AD245" s="46"/>
      <c r="AE245" s="46"/>
      <c r="AF245" s="46"/>
    </row>
    <row r="246" spans="1:32" x14ac:dyDescent="0.25">
      <c r="Y246" s="46"/>
      <c r="Z246" s="46"/>
      <c r="AA246" s="46"/>
      <c r="AB246" s="46"/>
      <c r="AC246" s="46"/>
      <c r="AD246" s="46"/>
      <c r="AE246" s="46"/>
      <c r="AF246" s="46"/>
    </row>
    <row r="247" spans="1:32" x14ac:dyDescent="0.25">
      <c r="Y247" s="46"/>
      <c r="Z247" s="46"/>
      <c r="AA247" s="46"/>
      <c r="AB247" s="46"/>
      <c r="AC247" s="46"/>
      <c r="AD247" s="46"/>
      <c r="AE247" s="46"/>
      <c r="AF247" s="46"/>
    </row>
    <row r="248" spans="1:32" x14ac:dyDescent="0.25">
      <c r="Y248" s="46"/>
      <c r="Z248" s="46"/>
      <c r="AA248" s="46"/>
      <c r="AB248" s="46"/>
      <c r="AC248" s="46"/>
      <c r="AD248" s="46"/>
      <c r="AE248" s="46"/>
      <c r="AF248" s="46"/>
    </row>
    <row r="249" spans="1:32" x14ac:dyDescent="0.25">
      <c r="Y249" s="46"/>
      <c r="Z249" s="46"/>
      <c r="AA249" s="46"/>
      <c r="AB249" s="46"/>
      <c r="AC249" s="46"/>
      <c r="AD249" s="46"/>
      <c r="AE249" s="46"/>
      <c r="AF249" s="46"/>
    </row>
    <row r="250" spans="1:32" x14ac:dyDescent="0.25">
      <c r="Y250" s="46"/>
      <c r="Z250" s="46"/>
      <c r="AA250" s="46"/>
      <c r="AB250" s="46"/>
      <c r="AC250" s="46"/>
      <c r="AD250" s="46"/>
      <c r="AE250" s="46"/>
      <c r="AF250" s="46"/>
    </row>
  </sheetData>
  <phoneticPr fontId="2" type="noConversion"/>
  <pageMargins left="0.7" right="0.7" top="0.75" bottom="0.75" header="0.3" footer="0.3"/>
  <tableParts count="4">
    <tablePart r:id="rId1"/>
    <tablePart r:id="rId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cb3764de-d77e-46e9-b8ab-67618f655149" xsi:nil="true"/>
    <lcf76f155ced4ddcb4097134ff3c332f xmlns="21230d39-7673-4100-ac72-63fcb55cb7aa">
      <Terms xmlns="http://schemas.microsoft.com/office/infopath/2007/PartnerControls"/>
    </lcf76f155ced4ddcb4097134ff3c332f>
    <SharedWithUsers xmlns="cb3764de-d77e-46e9-b8ab-67618f655149">
      <UserInfo>
        <DisplayName>Terracina, Nicholas</DisplayName>
        <AccountId>47</AccountId>
        <AccountType/>
      </UserInfo>
      <UserInfo>
        <DisplayName>Flederbach, Calvin</DisplayName>
        <AccountId>155</AccountId>
        <AccountType/>
      </UserInfo>
      <UserInfo>
        <DisplayName>Taylor, Donna</DisplayName>
        <AccountId>50</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74E095F99A06AC48B658E610AADC5BA9" ma:contentTypeVersion="17" ma:contentTypeDescription="Create a new document." ma:contentTypeScope="" ma:versionID="c463aa7c80e9a5b8f976c2c7279c1c5a">
  <xsd:schema xmlns:xsd="http://www.w3.org/2001/XMLSchema" xmlns:xs="http://www.w3.org/2001/XMLSchema" xmlns:p="http://schemas.microsoft.com/office/2006/metadata/properties" xmlns:ns2="21230d39-7673-4100-ac72-63fcb55cb7aa" xmlns:ns3="cb3764de-d77e-46e9-b8ab-67618f655149" targetNamespace="http://schemas.microsoft.com/office/2006/metadata/properties" ma:root="true" ma:fieldsID="52019f7bc9ba3cb4ddc5dd3115b5b364" ns2:_="" ns3:_="">
    <xsd:import namespace="21230d39-7673-4100-ac72-63fcb55cb7aa"/>
    <xsd:import namespace="cb3764de-d77e-46e9-b8ab-67618f655149"/>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LengthInSeconds" minOccurs="0"/>
                <xsd:element ref="ns3:SharedWithUsers" minOccurs="0"/>
                <xsd:element ref="ns3:SharedWithDetails" minOccurs="0"/>
                <xsd:element ref="ns2:MediaServiceAutoTags" minOccurs="0"/>
                <xsd:element ref="ns2:MediaServiceGenerationTime" minOccurs="0"/>
                <xsd:element ref="ns2:MediaServiceEventHashCode" minOccurs="0"/>
                <xsd:element ref="ns2:MediaServiceOCR" minOccurs="0"/>
                <xsd:element ref="ns2:lcf76f155ced4ddcb4097134ff3c332f" minOccurs="0"/>
                <xsd:element ref="ns3:TaxCatchAll"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1230d39-7673-4100-ac72-63fcb55cb7a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LengthInSeconds" ma:index="13" nillable="true" ma:displayName="Length (seconds)" ma:internalName="MediaLengthInSeconds" ma:readOnly="true">
      <xsd:simpleType>
        <xsd:restriction base="dms:Unknown"/>
      </xsd:simpleType>
    </xsd:element>
    <xsd:element name="MediaServiceAutoTags" ma:index="16" nillable="true" ma:displayName="Tags" ma:internalName="MediaServiceAutoTags"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761afc70-17ef-48e8-9522-1fbc9f28ec54"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b3764de-d77e-46e9-b8ab-67618f655149"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deb54ec9-3ce9-4841-b437-458e1297d1e1}" ma:internalName="TaxCatchAll" ma:showField="CatchAllData" ma:web="cb3764de-d77e-46e9-b8ab-67618f65514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2E9666DA-2F63-415F-99F7-AD3B438B9FB2}">
  <ds:schemaRefs>
    <ds:schemaRef ds:uri="http://purl.org/dc/elements/1.1/"/>
    <ds:schemaRef ds:uri="21230d39-7673-4100-ac72-63fcb55cb7aa"/>
    <ds:schemaRef ds:uri="http://schemas.microsoft.com/office/2006/documentManagement/types"/>
    <ds:schemaRef ds:uri="cb3764de-d77e-46e9-b8ab-67618f655149"/>
    <ds:schemaRef ds:uri="http://schemas.microsoft.com/office/2006/metadata/properties"/>
    <ds:schemaRef ds:uri="http://www.w3.org/XML/1998/namespace"/>
    <ds:schemaRef ds:uri="http://schemas.microsoft.com/office/infopath/2007/PartnerControls"/>
    <ds:schemaRef ds:uri="http://schemas.openxmlformats.org/package/2006/metadata/core-properties"/>
    <ds:schemaRef ds:uri="http://purl.org/dc/dcmitype/"/>
    <ds:schemaRef ds:uri="http://purl.org/dc/terms/"/>
  </ds:schemaRefs>
</ds:datastoreItem>
</file>

<file path=customXml/itemProps2.xml><?xml version="1.0" encoding="utf-8"?>
<ds:datastoreItem xmlns:ds="http://schemas.openxmlformats.org/officeDocument/2006/customXml" ds:itemID="{196B6D97-2869-4D4A-939D-EFE6D8B97B62}">
  <ds:schemaRefs>
    <ds:schemaRef ds:uri="http://schemas.microsoft.com/sharepoint/v3/contenttype/forms"/>
  </ds:schemaRefs>
</ds:datastoreItem>
</file>

<file path=customXml/itemProps3.xml><?xml version="1.0" encoding="utf-8"?>
<ds:datastoreItem xmlns:ds="http://schemas.openxmlformats.org/officeDocument/2006/customXml" ds:itemID="{C5C201D9-9340-4EDA-8EC6-D558457F022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1230d39-7673-4100-ac72-63fcb55cb7aa"/>
    <ds:schemaRef ds:uri="cb3764de-d77e-46e9-b8ab-67618f65514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8BD2F508-54EC-44F1-B07A-2F463A62A57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6</vt:i4>
      </vt:variant>
    </vt:vector>
  </HeadingPairs>
  <TitlesOfParts>
    <vt:vector size="21" baseType="lpstr">
      <vt:lpstr>Inputs</vt:lpstr>
      <vt:lpstr>Testing</vt:lpstr>
      <vt:lpstr>Website Tests</vt:lpstr>
      <vt:lpstr>Excel Tests</vt:lpstr>
      <vt:lpstr>Calculations</vt:lpstr>
      <vt:lpstr>Pipe Calcs for Span</vt:lpstr>
      <vt:lpstr>Strut loads</vt:lpstr>
      <vt:lpstr>Pipe weight, hangers, spacing</vt:lpstr>
      <vt:lpstr>Pictures</vt:lpstr>
      <vt:lpstr>Strut loadsAltered</vt:lpstr>
      <vt:lpstr>Hanger_list</vt:lpstr>
      <vt:lpstr>Quoting tool</vt:lpstr>
      <vt:lpstr>Pallet and shipping info</vt:lpstr>
      <vt:lpstr>reference tables</vt:lpstr>
      <vt:lpstr>H-frame item list</vt:lpstr>
      <vt:lpstr>'Website Tests'!ExternalData_1</vt:lpstr>
      <vt:lpstr>'Website Tests'!ExternalData_2</vt:lpstr>
      <vt:lpstr>'Website Tests'!ExternalData_3</vt:lpstr>
      <vt:lpstr>'Website Tests'!ExternalData_4</vt:lpstr>
      <vt:lpstr>'Website Tests'!ExternalData_5</vt:lpstr>
      <vt:lpstr>'Website Tests'!ExternalData_6</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McLean, Daniel</dc:creator>
  <cp:keywords/>
  <dc:description/>
  <cp:lastModifiedBy>Skocic, David</cp:lastModifiedBy>
  <cp:revision/>
  <dcterms:created xsi:type="dcterms:W3CDTF">2022-02-09T14:46:59Z</dcterms:created>
  <dcterms:modified xsi:type="dcterms:W3CDTF">2024-06-06T19:26:31Z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0x01010074E095F99A06AC48B658E610AADC5BA9</vt:lpwstr>
  </property>
  <property fmtid="{D5CDD505-2E9C-101B-9397-08002B2CF9AE}" pid="3" name="MediaServiceImageTags">
    <vt:lpwstr/>
  </property>
</Properties>
</file>