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ventco-my.sharepoint.com/personal/e2023355_nventco_com/Documents/Documents/VSCode/Projects/CPQ/CPQ_Automation/worksheets/"/>
    </mc:Choice>
  </mc:AlternateContent>
  <xr:revisionPtr revIDLastSave="19576" documentId="8_{7BACF511-2B15-4528-85CB-4432EA94814B}" xr6:coauthVersionLast="47" xr6:coauthVersionMax="47" xr10:uidLastSave="{595E779F-8994-4E2A-8A82-737829F996EF}"/>
  <bookViews>
    <workbookView xWindow="-28920" yWindow="-120" windowWidth="29040" windowHeight="15720" activeTab="10" xr2:uid="{4B2B30BB-DF80-43D4-A3F5-FA3800319DF7}"/>
  </bookViews>
  <sheets>
    <sheet name="Pricing" sheetId="1" r:id="rId1"/>
    <sheet name="Increase" sheetId="2" r:id="rId2"/>
    <sheet name="Euro Web Results" sheetId="3" state="hidden" r:id="rId3"/>
    <sheet name="Euro Comparison" sheetId="5" r:id="rId4"/>
    <sheet name="Yuan Web Results" sheetId="4" state="hidden" r:id="rId5"/>
    <sheet name="Rupee Comparison" sheetId="6" r:id="rId6"/>
    <sheet name="Rupee Web Results" sheetId="7" state="hidden" r:id="rId7"/>
    <sheet name="Yuan Comparison" sheetId="8" r:id="rId8"/>
    <sheet name="USD Web Results" sheetId="9" state="hidden" r:id="rId9"/>
    <sheet name="USD Comparison" sheetId="11" r:id="rId10"/>
    <sheet name="Final Comparison" sheetId="10" r:id="rId11"/>
  </sheets>
  <functionGroups builtInGroupCount="19"/>
  <definedNames>
    <definedName name="_xlnm._FilterDatabase" localSheetId="0" hidden="1">Pricing!$A$4:$T$184</definedName>
    <definedName name="ExternalData_1" localSheetId="2">'Euro Web Results'!$A$1:$K$581</definedName>
    <definedName name="ExternalData_1" localSheetId="6">'Rupee Web Results'!$A$1:$K$581</definedName>
    <definedName name="ExternalData_1" localSheetId="8">'USD Web Results'!$A$1:$K$581</definedName>
    <definedName name="ExternalData_1" localSheetId="4">'Yuan Web Results'!$A$1:$K$581</definedName>
    <definedName name="ExternalData_10" localSheetId="2">'Euro Web Results'!$A$1:$K$581</definedName>
    <definedName name="ExternalData_11" localSheetId="2">'Euro Web Results'!$A$1:$K$581</definedName>
    <definedName name="ExternalData_12" localSheetId="2">'Euro Web Results'!$A$1:$K$581</definedName>
    <definedName name="ExternalData_13" localSheetId="2">'Euro Web Results'!$A$1:$K$581</definedName>
    <definedName name="ExternalData_14" localSheetId="2">'Euro Web Results'!$A$1:$K$581</definedName>
    <definedName name="ExternalData_15" localSheetId="2">'Euro Web Results'!$A$1:$K$581</definedName>
    <definedName name="ExternalData_16" localSheetId="2">'Euro Web Results'!$A$1:$K$581</definedName>
    <definedName name="ExternalData_17" localSheetId="2">'Euro Web Results'!$A$1:$K$581</definedName>
    <definedName name="ExternalData_18" localSheetId="2">'Euro Web Results'!$A$1:$K$581</definedName>
    <definedName name="ExternalData_19" localSheetId="2">'Euro Web Results'!$A$1:$K$581</definedName>
    <definedName name="ExternalData_2" localSheetId="2">'Euro Web Results'!$A$1:$K$581</definedName>
    <definedName name="ExternalData_2" localSheetId="6">'Rupee Web Results'!$A$1:$K$581</definedName>
    <definedName name="ExternalData_2" localSheetId="8">'USD Web Results'!$A$1:$H$16</definedName>
    <definedName name="ExternalData_2" localSheetId="4">'Yuan Web Results'!$A$1:$K$581</definedName>
    <definedName name="ExternalData_20" localSheetId="2">'Euro Web Results'!$A$1:$K$581</definedName>
    <definedName name="ExternalData_21" localSheetId="2">'Euro Web Results'!$A$1:$K$581</definedName>
    <definedName name="ExternalData_22" localSheetId="2">'Euro Web Results'!$A$1:$K$581</definedName>
    <definedName name="ExternalData_3" localSheetId="2">'Euro Web Results'!$A$1:$K$581</definedName>
    <definedName name="ExternalData_3" localSheetId="6">'Rupee Web Results'!$A$1:$K$581</definedName>
    <definedName name="ExternalData_3" localSheetId="8">'USD Web Results'!$A$1:$K$581</definedName>
    <definedName name="ExternalData_3" localSheetId="4">'Yuan Web Results'!$A$1:$K$581</definedName>
    <definedName name="ExternalData_4" localSheetId="2">'Euro Web Results'!$A$1:$K$581</definedName>
    <definedName name="ExternalData_4" localSheetId="8">'USD Web Results'!$A$1:$K$581</definedName>
    <definedName name="ExternalData_4" localSheetId="4">'Yuan Web Results'!$A$1:$K$581</definedName>
    <definedName name="ExternalData_5" localSheetId="2">'Euro Web Results'!$A$1:$K$581</definedName>
    <definedName name="ExternalData_5" localSheetId="8">'USD Web Results'!$A$1:$K$581</definedName>
    <definedName name="ExternalData_6" localSheetId="2">'Euro Web Results'!$A$1:$K$581</definedName>
    <definedName name="ExternalData_6" localSheetId="8">'USD Web Results'!$A$1:$K$581</definedName>
    <definedName name="ExternalData_7" localSheetId="2">'Euro Web Results'!$A$1:$K$581</definedName>
    <definedName name="ExternalData_7" localSheetId="8">'USD Web Results'!$A$1:$K$581</definedName>
    <definedName name="ExternalData_8" localSheetId="2">'Euro Web Results'!$A$1:$K$581</definedName>
    <definedName name="ExternalData_9" localSheetId="2">'Euro Web Results'!$A$1:$K$581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1" l="1"/>
  <c r="B4" i="11"/>
  <c r="B6" i="11"/>
  <c r="B8" i="11"/>
  <c r="B10" i="11"/>
  <c r="B12" i="11"/>
  <c r="B14" i="11"/>
  <c r="B16" i="11"/>
  <c r="B18" i="11"/>
  <c r="B20" i="11"/>
  <c r="B22" i="11"/>
  <c r="B24" i="11"/>
  <c r="B26" i="11"/>
  <c r="B28" i="11"/>
  <c r="B30" i="11"/>
  <c r="B32" i="11"/>
  <c r="B34" i="11"/>
  <c r="B36" i="11"/>
  <c r="B38" i="11"/>
  <c r="B40" i="11"/>
  <c r="B42" i="11"/>
  <c r="B44" i="11"/>
  <c r="B46" i="11"/>
  <c r="B48" i="11"/>
  <c r="B50" i="11"/>
  <c r="B52" i="11"/>
  <c r="B54" i="11"/>
  <c r="B56" i="11"/>
  <c r="B58" i="11"/>
  <c r="B60" i="11"/>
  <c r="B62" i="11"/>
  <c r="B64" i="11"/>
  <c r="B66" i="11"/>
  <c r="B68" i="11"/>
  <c r="B70" i="11"/>
  <c r="B72" i="11"/>
  <c r="B74" i="11"/>
  <c r="B76" i="11"/>
  <c r="B78" i="11"/>
  <c r="B80" i="11"/>
  <c r="B82" i="11"/>
  <c r="B84" i="11"/>
  <c r="B86" i="11"/>
  <c r="B88" i="11"/>
  <c r="B90" i="11"/>
  <c r="B92" i="11"/>
  <c r="B94" i="11"/>
  <c r="B96" i="11"/>
  <c r="B98" i="11"/>
  <c r="B100" i="11"/>
  <c r="B102" i="11"/>
  <c r="B104" i="11"/>
  <c r="B106" i="11"/>
  <c r="B108" i="11"/>
  <c r="B110" i="11"/>
  <c r="B112" i="11"/>
  <c r="B114" i="11"/>
  <c r="B116" i="11"/>
  <c r="B118" i="11"/>
  <c r="B120" i="11"/>
  <c r="B122" i="11"/>
  <c r="B124" i="11"/>
  <c r="B126" i="11"/>
  <c r="B128" i="11"/>
  <c r="B130" i="11"/>
  <c r="B132" i="11"/>
  <c r="B134" i="11"/>
  <c r="B136" i="11"/>
  <c r="B138" i="11"/>
  <c r="B140" i="11"/>
  <c r="B142" i="11"/>
  <c r="B144" i="11"/>
  <c r="B146" i="11"/>
  <c r="B148" i="11"/>
  <c r="B150" i="11"/>
  <c r="B152" i="11"/>
  <c r="B154" i="11"/>
  <c r="B156" i="11"/>
  <c r="B158" i="11"/>
  <c r="B160" i="11"/>
  <c r="B162" i="11"/>
  <c r="B164" i="11"/>
  <c r="B166" i="11"/>
  <c r="B168" i="11"/>
  <c r="B170" i="11"/>
  <c r="B172" i="11"/>
  <c r="B174" i="11"/>
  <c r="B176" i="11"/>
  <c r="B178" i="11"/>
  <c r="B180" i="11"/>
  <c r="B182" i="11"/>
  <c r="B184" i="11"/>
  <c r="B186" i="11"/>
  <c r="B188" i="11"/>
  <c r="B190" i="11"/>
  <c r="B192" i="11"/>
  <c r="B194" i="11"/>
  <c r="B196" i="11"/>
  <c r="B198" i="11"/>
  <c r="B200" i="11"/>
  <c r="B202" i="11"/>
  <c r="B204" i="11"/>
  <c r="B206" i="11"/>
  <c r="B208" i="11"/>
  <c r="B210" i="11"/>
  <c r="B212" i="11"/>
  <c r="B214" i="11"/>
  <c r="B216" i="11"/>
  <c r="B218" i="11"/>
  <c r="B220" i="11"/>
  <c r="B222" i="11"/>
  <c r="B224" i="11"/>
  <c r="B226" i="11"/>
  <c r="B228" i="11"/>
  <c r="B230" i="11"/>
  <c r="B232" i="11"/>
  <c r="B234" i="11"/>
  <c r="B236" i="11"/>
  <c r="B238" i="11"/>
  <c r="B240" i="11"/>
  <c r="B242" i="11"/>
  <c r="B244" i="11"/>
  <c r="B246" i="11"/>
  <c r="B248" i="11"/>
  <c r="B250" i="11"/>
  <c r="B252" i="11"/>
  <c r="B254" i="11"/>
  <c r="B256" i="11"/>
  <c r="B258" i="11"/>
  <c r="B260" i="11"/>
  <c r="B262" i="11"/>
  <c r="B264" i="11"/>
  <c r="B266" i="11"/>
  <c r="B268" i="11"/>
  <c r="B270" i="11"/>
  <c r="B272" i="11"/>
  <c r="B274" i="11"/>
  <c r="B276" i="11"/>
  <c r="B278" i="11"/>
  <c r="B280" i="11"/>
  <c r="B282" i="11"/>
  <c r="B284" i="11"/>
  <c r="B286" i="11"/>
  <c r="B288" i="11"/>
  <c r="B290" i="11"/>
  <c r="B292" i="11"/>
  <c r="B294" i="11"/>
  <c r="B296" i="11"/>
  <c r="B298" i="11"/>
  <c r="B300" i="11"/>
  <c r="B302" i="11"/>
  <c r="B304" i="11"/>
  <c r="B306" i="11"/>
  <c r="B308" i="11"/>
  <c r="B310" i="11"/>
  <c r="B312" i="11"/>
  <c r="B314" i="11"/>
  <c r="B316" i="11"/>
  <c r="B318" i="11"/>
  <c r="B320" i="11"/>
  <c r="B322" i="11"/>
  <c r="B324" i="11"/>
  <c r="B326" i="11"/>
  <c r="B328" i="11"/>
  <c r="B330" i="11"/>
  <c r="B332" i="11"/>
  <c r="B334" i="11"/>
  <c r="B336" i="11"/>
  <c r="B338" i="11"/>
  <c r="B340" i="11"/>
  <c r="B342" i="11"/>
  <c r="B344" i="11"/>
  <c r="B346" i="11"/>
  <c r="B348" i="11"/>
  <c r="B350" i="11"/>
  <c r="B352" i="11"/>
  <c r="B354" i="11"/>
  <c r="B356" i="11"/>
  <c r="B358" i="11"/>
  <c r="B360" i="11"/>
  <c r="B362" i="11"/>
  <c r="B364" i="11"/>
  <c r="B366" i="11"/>
  <c r="B368" i="11"/>
  <c r="B370" i="11"/>
  <c r="B372" i="11"/>
  <c r="B374" i="11"/>
  <c r="B376" i="11"/>
  <c r="B378" i="11"/>
  <c r="B380" i="11"/>
  <c r="B382" i="11"/>
  <c r="B384" i="11"/>
  <c r="B386" i="11"/>
  <c r="B388" i="11"/>
  <c r="B390" i="11"/>
  <c r="B392" i="11"/>
  <c r="B394" i="11"/>
  <c r="B396" i="11"/>
  <c r="B398" i="11"/>
  <c r="B400" i="11"/>
  <c r="B402" i="11"/>
  <c r="B404" i="11"/>
  <c r="B406" i="11"/>
  <c r="B408" i="11"/>
  <c r="B410" i="11"/>
  <c r="B412" i="11"/>
  <c r="B414" i="11"/>
  <c r="B416" i="11"/>
  <c r="B418" i="11"/>
  <c r="B420" i="11"/>
  <c r="B422" i="11"/>
  <c r="B424" i="11"/>
  <c r="B426" i="11"/>
  <c r="B428" i="11"/>
  <c r="B430" i="11"/>
  <c r="B432" i="11"/>
  <c r="B434" i="11"/>
  <c r="B436" i="11"/>
  <c r="B438" i="11"/>
  <c r="B440" i="11"/>
  <c r="B442" i="11"/>
  <c r="B444" i="11"/>
  <c r="B446" i="11"/>
  <c r="B448" i="11"/>
  <c r="B450" i="11"/>
  <c r="B452" i="11"/>
  <c r="B454" i="11"/>
  <c r="B456" i="11"/>
  <c r="B458" i="11"/>
  <c r="B460" i="11"/>
  <c r="B462" i="11"/>
  <c r="B464" i="11"/>
  <c r="B466" i="11"/>
  <c r="B468" i="11"/>
  <c r="B470" i="11"/>
  <c r="B472" i="11"/>
  <c r="B474" i="11"/>
  <c r="B476" i="11"/>
  <c r="B478" i="11"/>
  <c r="B480" i="11"/>
  <c r="B482" i="11"/>
  <c r="B484" i="11"/>
  <c r="B486" i="11"/>
  <c r="B488" i="11"/>
  <c r="B490" i="11"/>
  <c r="B492" i="11"/>
  <c r="B494" i="11"/>
  <c r="B496" i="11"/>
  <c r="B498" i="11"/>
  <c r="B500" i="11"/>
  <c r="B502" i="11"/>
  <c r="B504" i="11"/>
  <c r="B506" i="11"/>
  <c r="B508" i="11"/>
  <c r="B510" i="11"/>
  <c r="B512" i="11"/>
  <c r="B514" i="11"/>
  <c r="B516" i="11"/>
  <c r="B518" i="11"/>
  <c r="B520" i="11"/>
  <c r="B522" i="11"/>
  <c r="B524" i="11"/>
  <c r="B526" i="11"/>
  <c r="B528" i="11"/>
  <c r="B530" i="11"/>
  <c r="B532" i="11"/>
  <c r="B534" i="11"/>
  <c r="B536" i="11"/>
  <c r="B538" i="11"/>
  <c r="B540" i="11"/>
  <c r="B542" i="11"/>
  <c r="B544" i="11"/>
  <c r="B546" i="11"/>
  <c r="B548" i="11"/>
  <c r="B550" i="11"/>
  <c r="B552" i="11"/>
  <c r="B554" i="11"/>
  <c r="B556" i="11"/>
  <c r="B558" i="11"/>
  <c r="B560" i="11"/>
  <c r="B562" i="11"/>
  <c r="B564" i="11"/>
  <c r="B566" i="11"/>
  <c r="B568" i="11"/>
  <c r="B570" i="11"/>
  <c r="B572" i="11"/>
  <c r="B574" i="11"/>
  <c r="B576" i="11"/>
  <c r="B578" i="11"/>
  <c r="B580" i="11"/>
  <c r="B582" i="11"/>
  <c r="B584" i="11"/>
  <c r="B586" i="11"/>
  <c r="B588" i="11"/>
  <c r="B590" i="11"/>
  <c r="B592" i="11"/>
  <c r="B594" i="11"/>
  <c r="B596" i="11"/>
  <c r="B598" i="11"/>
  <c r="B600" i="11"/>
  <c r="B602" i="11"/>
  <c r="B604" i="11"/>
  <c r="B606" i="11"/>
  <c r="B608" i="11"/>
  <c r="B610" i="11"/>
  <c r="B612" i="11"/>
  <c r="B614" i="11"/>
  <c r="B616" i="11"/>
  <c r="B618" i="11"/>
  <c r="B620" i="11"/>
  <c r="B622" i="11"/>
  <c r="B624" i="11"/>
  <c r="B626" i="11"/>
  <c r="B628" i="11"/>
  <c r="B630" i="11"/>
  <c r="B632" i="11"/>
  <c r="B634" i="11"/>
  <c r="B636" i="11"/>
  <c r="B638" i="11"/>
  <c r="B640" i="11"/>
  <c r="B642" i="11"/>
  <c r="B644" i="11"/>
  <c r="B646" i="11"/>
  <c r="B648" i="11"/>
  <c r="B650" i="11"/>
  <c r="B652" i="11"/>
  <c r="B654" i="11"/>
  <c r="B656" i="11"/>
  <c r="B658" i="11"/>
  <c r="B660" i="11"/>
  <c r="B662" i="11"/>
  <c r="B664" i="11"/>
  <c r="B666" i="11"/>
  <c r="B668" i="11"/>
  <c r="B670" i="11"/>
  <c r="B672" i="11"/>
  <c r="B674" i="11"/>
  <c r="B676" i="11"/>
  <c r="B678" i="11"/>
  <c r="B680" i="11"/>
  <c r="B682" i="11"/>
  <c r="B684" i="11"/>
  <c r="B686" i="11"/>
  <c r="B688" i="11"/>
  <c r="B690" i="11"/>
  <c r="B692" i="11"/>
  <c r="B694" i="11"/>
  <c r="B696" i="11"/>
  <c r="B698" i="11"/>
  <c r="B700" i="11"/>
  <c r="B702" i="11"/>
  <c r="B704" i="11"/>
  <c r="B706" i="11"/>
  <c r="B708" i="11"/>
  <c r="B710" i="11"/>
  <c r="B712" i="11"/>
  <c r="B714" i="11"/>
  <c r="B716" i="11"/>
  <c r="B718" i="11"/>
  <c r="B720" i="11"/>
  <c r="B722" i="11"/>
  <c r="B724" i="11"/>
  <c r="B726" i="11"/>
  <c r="B728" i="11"/>
  <c r="B730" i="11"/>
  <c r="B732" i="11"/>
  <c r="B734" i="11"/>
  <c r="B736" i="11"/>
  <c r="B738" i="11"/>
  <c r="B740" i="11"/>
  <c r="B742" i="11"/>
  <c r="B744" i="11"/>
  <c r="B746" i="11"/>
  <c r="B748" i="11"/>
  <c r="B750" i="11"/>
  <c r="B752" i="11"/>
  <c r="B754" i="11"/>
  <c r="B756" i="11"/>
  <c r="B758" i="11"/>
  <c r="B760" i="11"/>
  <c r="B762" i="11"/>
  <c r="B764" i="11"/>
  <c r="B766" i="11"/>
  <c r="B768" i="11"/>
  <c r="B770" i="11"/>
  <c r="B772" i="11"/>
  <c r="B774" i="11"/>
  <c r="B776" i="11"/>
  <c r="B778" i="11"/>
  <c r="B780" i="11"/>
  <c r="B782" i="11"/>
  <c r="B784" i="11"/>
  <c r="B786" i="11"/>
  <c r="B788" i="11"/>
  <c r="B790" i="11"/>
  <c r="B792" i="11"/>
  <c r="B794" i="11"/>
  <c r="B796" i="11"/>
  <c r="B798" i="11"/>
  <c r="B800" i="11"/>
  <c r="B802" i="11"/>
  <c r="B804" i="11"/>
  <c r="B806" i="11"/>
  <c r="B808" i="11"/>
  <c r="B810" i="11"/>
  <c r="B812" i="11"/>
  <c r="B814" i="11"/>
  <c r="B816" i="11"/>
  <c r="B818" i="11"/>
  <c r="B820" i="11"/>
  <c r="B822" i="11"/>
  <c r="B824" i="11"/>
  <c r="B826" i="11"/>
  <c r="B828" i="11"/>
  <c r="B830" i="11"/>
  <c r="B832" i="11"/>
  <c r="B834" i="11"/>
  <c r="B836" i="11"/>
  <c r="B838" i="11"/>
  <c r="B840" i="11"/>
  <c r="B842" i="11"/>
  <c r="B844" i="11"/>
  <c r="B846" i="11"/>
  <c r="B848" i="11"/>
  <c r="B850" i="11"/>
  <c r="B852" i="11"/>
  <c r="B854" i="11"/>
  <c r="B856" i="11"/>
  <c r="B858" i="11"/>
  <c r="B860" i="11"/>
  <c r="B862" i="11"/>
  <c r="B864" i="11"/>
  <c r="B866" i="11"/>
  <c r="B868" i="11"/>
  <c r="B870" i="11"/>
  <c r="B872" i="11"/>
  <c r="B874" i="11"/>
  <c r="B876" i="11"/>
  <c r="B878" i="11"/>
  <c r="B880" i="11"/>
  <c r="B882" i="11"/>
  <c r="B884" i="11"/>
  <c r="B886" i="11"/>
  <c r="B888" i="11"/>
  <c r="B890" i="11"/>
  <c r="B892" i="11"/>
  <c r="B894" i="11"/>
  <c r="B896" i="11"/>
  <c r="B898" i="11"/>
  <c r="B900" i="11"/>
  <c r="B902" i="11"/>
  <c r="B904" i="11"/>
  <c r="B906" i="11"/>
  <c r="B908" i="11"/>
  <c r="B910" i="11"/>
  <c r="B912" i="11"/>
  <c r="B914" i="11"/>
  <c r="B916" i="11"/>
  <c r="B918" i="11"/>
  <c r="B920" i="11"/>
  <c r="B922" i="11"/>
  <c r="B924" i="11"/>
  <c r="B926" i="11"/>
  <c r="B928" i="11"/>
  <c r="B930" i="11"/>
  <c r="B932" i="11"/>
  <c r="B934" i="11"/>
  <c r="B936" i="11"/>
  <c r="B938" i="11"/>
  <c r="B940" i="11"/>
  <c r="B942" i="11"/>
  <c r="B944" i="11"/>
  <c r="B946" i="11"/>
  <c r="B948" i="11"/>
  <c r="B950" i="11"/>
  <c r="B952" i="11"/>
  <c r="B954" i="11"/>
  <c r="B956" i="11"/>
  <c r="B958" i="11"/>
  <c r="B960" i="11"/>
  <c r="B962" i="11"/>
  <c r="B964" i="11"/>
  <c r="B966" i="11"/>
  <c r="B968" i="11"/>
  <c r="B970" i="11"/>
  <c r="B972" i="11"/>
  <c r="B974" i="11"/>
  <c r="B976" i="11"/>
  <c r="B978" i="11"/>
  <c r="B980" i="11"/>
  <c r="B982" i="11"/>
  <c r="B984" i="11"/>
  <c r="B986" i="11"/>
  <c r="B988" i="11"/>
  <c r="B990" i="11"/>
  <c r="B992" i="11"/>
  <c r="B994" i="11"/>
  <c r="B996" i="11"/>
  <c r="B998" i="11"/>
  <c r="B1000" i="11"/>
  <c r="B1002" i="11"/>
  <c r="B1004" i="11"/>
  <c r="B1006" i="11"/>
  <c r="B1008" i="11"/>
  <c r="B1010" i="11"/>
  <c r="B1012" i="11"/>
  <c r="B1014" i="11"/>
  <c r="B1016" i="11"/>
  <c r="B1018" i="11"/>
  <c r="B1020" i="11"/>
  <c r="B1022" i="11"/>
  <c r="B1024" i="11"/>
  <c r="B1026" i="11"/>
  <c r="B1028" i="11"/>
  <c r="B1030" i="11"/>
  <c r="B1032" i="11"/>
  <c r="B1034" i="11"/>
  <c r="B1036" i="11"/>
  <c r="B1038" i="11"/>
  <c r="B1040" i="11"/>
  <c r="B1042" i="11"/>
  <c r="B1044" i="11"/>
  <c r="B1046" i="11"/>
  <c r="B1048" i="11"/>
  <c r="B1050" i="11"/>
  <c r="B1052" i="11"/>
  <c r="B1054" i="11"/>
  <c r="B1056" i="11"/>
  <c r="B1058" i="11"/>
  <c r="B1060" i="11"/>
  <c r="B1062" i="11"/>
  <c r="B1064" i="11"/>
  <c r="B1066" i="11"/>
  <c r="B1068" i="11"/>
  <c r="B1070" i="11"/>
  <c r="B1072" i="11"/>
  <c r="B1074" i="11"/>
  <c r="B1076" i="11"/>
  <c r="B1078" i="11"/>
  <c r="B1080" i="11"/>
  <c r="B1082" i="11"/>
  <c r="B1084" i="11"/>
  <c r="B1086" i="11"/>
  <c r="B1088" i="11"/>
  <c r="B1090" i="11"/>
  <c r="B1092" i="11"/>
  <c r="B1094" i="11"/>
  <c r="B1096" i="11"/>
  <c r="B1098" i="11"/>
  <c r="B1100" i="11"/>
  <c r="B1102" i="11"/>
  <c r="B1104" i="11"/>
  <c r="B1106" i="11"/>
  <c r="B1108" i="11"/>
  <c r="B1110" i="11"/>
  <c r="B1112" i="11"/>
  <c r="B1114" i="11"/>
  <c r="B1116" i="11"/>
  <c r="B1118" i="11"/>
  <c r="B1120" i="11"/>
  <c r="B1122" i="11"/>
  <c r="B1124" i="11"/>
  <c r="B1126" i="11"/>
  <c r="B1128" i="11"/>
  <c r="B1130" i="11"/>
  <c r="B1132" i="11"/>
  <c r="B1134" i="11"/>
  <c r="B1136" i="11"/>
  <c r="B1138" i="11"/>
  <c r="B1140" i="11"/>
  <c r="B1142" i="11"/>
  <c r="B1144" i="11"/>
  <c r="B1146" i="11"/>
  <c r="B1148" i="11"/>
  <c r="B1150" i="11"/>
  <c r="B1152" i="11"/>
  <c r="B1154" i="11"/>
  <c r="B1156" i="11"/>
  <c r="B1158" i="11"/>
  <c r="B1160" i="11"/>
  <c r="B1162" i="11"/>
  <c r="B2" i="6"/>
  <c r="B4" i="6"/>
  <c r="B6" i="6"/>
  <c r="B8" i="6"/>
  <c r="B10" i="6"/>
  <c r="B12" i="6"/>
  <c r="B14" i="6"/>
  <c r="B16" i="6"/>
  <c r="B18" i="6"/>
  <c r="B20" i="6"/>
  <c r="B22" i="6"/>
  <c r="B24" i="6"/>
  <c r="B26" i="6"/>
  <c r="B28" i="6"/>
  <c r="B30" i="6"/>
  <c r="B32" i="6"/>
  <c r="B34" i="6"/>
  <c r="B36" i="6"/>
  <c r="B38" i="6"/>
  <c r="B40" i="6"/>
  <c r="B42" i="6"/>
  <c r="B44" i="6"/>
  <c r="B46" i="6"/>
  <c r="B48" i="6"/>
  <c r="B50" i="6"/>
  <c r="B52" i="6"/>
  <c r="B54" i="6"/>
  <c r="B56" i="6"/>
  <c r="B58" i="6"/>
  <c r="B60" i="6"/>
  <c r="B62" i="6"/>
  <c r="B64" i="6"/>
  <c r="B66" i="6"/>
  <c r="B68" i="6"/>
  <c r="B70" i="6"/>
  <c r="B72" i="6"/>
  <c r="B74" i="6"/>
  <c r="B76" i="6"/>
  <c r="B78" i="6"/>
  <c r="B80" i="6"/>
  <c r="B82" i="6"/>
  <c r="B84" i="6"/>
  <c r="B86" i="6"/>
  <c r="B88" i="6"/>
  <c r="B90" i="6"/>
  <c r="B92" i="6"/>
  <c r="B94" i="6"/>
  <c r="B96" i="6"/>
  <c r="B98" i="6"/>
  <c r="B100" i="6"/>
  <c r="B102" i="6"/>
  <c r="B104" i="6"/>
  <c r="B106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B140" i="6"/>
  <c r="B142" i="6"/>
  <c r="B144" i="6"/>
  <c r="B146" i="6"/>
  <c r="B148" i="6"/>
  <c r="B150" i="6"/>
  <c r="B152" i="6"/>
  <c r="B154" i="6"/>
  <c r="B156" i="6"/>
  <c r="B158" i="6"/>
  <c r="B160" i="6"/>
  <c r="B162" i="6"/>
  <c r="B164" i="6"/>
  <c r="B166" i="6"/>
  <c r="B168" i="6"/>
  <c r="B170" i="6"/>
  <c r="B172" i="6"/>
  <c r="B174" i="6"/>
  <c r="B176" i="6"/>
  <c r="B178" i="6"/>
  <c r="B180" i="6"/>
  <c r="B182" i="6"/>
  <c r="B184" i="6"/>
  <c r="B186" i="6"/>
  <c r="B188" i="6"/>
  <c r="B190" i="6"/>
  <c r="B192" i="6"/>
  <c r="B194" i="6"/>
  <c r="B196" i="6"/>
  <c r="B198" i="6"/>
  <c r="B200" i="6"/>
  <c r="B202" i="6"/>
  <c r="B204" i="6"/>
  <c r="B206" i="6"/>
  <c r="B208" i="6"/>
  <c r="B210" i="6"/>
  <c r="B212" i="6"/>
  <c r="B214" i="6"/>
  <c r="B216" i="6"/>
  <c r="B218" i="6"/>
  <c r="B220" i="6"/>
  <c r="B222" i="6"/>
  <c r="B224" i="6"/>
  <c r="B226" i="6"/>
  <c r="B228" i="6"/>
  <c r="B230" i="6"/>
  <c r="B232" i="6"/>
  <c r="B234" i="6"/>
  <c r="B236" i="6"/>
  <c r="B238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B300" i="6"/>
  <c r="B302" i="6"/>
  <c r="B304" i="6"/>
  <c r="B306" i="6"/>
  <c r="B308" i="6"/>
  <c r="B310" i="6"/>
  <c r="B312" i="6"/>
  <c r="B314" i="6"/>
  <c r="B316" i="6"/>
  <c r="B318" i="6"/>
  <c r="B320" i="6"/>
  <c r="B322" i="6"/>
  <c r="B324" i="6"/>
  <c r="B326" i="6"/>
  <c r="B328" i="6"/>
  <c r="B330" i="6"/>
  <c r="B332" i="6"/>
  <c r="B334" i="6"/>
  <c r="B336" i="6"/>
  <c r="B338" i="6"/>
  <c r="B340" i="6"/>
  <c r="B342" i="6"/>
  <c r="B344" i="6"/>
  <c r="B346" i="6"/>
  <c r="B348" i="6"/>
  <c r="B350" i="6"/>
  <c r="B352" i="6"/>
  <c r="B354" i="6"/>
  <c r="B356" i="6"/>
  <c r="B358" i="6"/>
  <c r="B360" i="6"/>
  <c r="B362" i="6"/>
  <c r="B364" i="6"/>
  <c r="B366" i="6"/>
  <c r="B368" i="6"/>
  <c r="B370" i="6"/>
  <c r="B372" i="6"/>
  <c r="B374" i="6"/>
  <c r="B376" i="6"/>
  <c r="B378" i="6"/>
  <c r="B380" i="6"/>
  <c r="B382" i="6"/>
  <c r="B384" i="6"/>
  <c r="B386" i="6"/>
  <c r="B388" i="6"/>
  <c r="B390" i="6"/>
  <c r="B392" i="6"/>
  <c r="B394" i="6"/>
  <c r="B396" i="6"/>
  <c r="B398" i="6"/>
  <c r="B400" i="6"/>
  <c r="B402" i="6"/>
  <c r="B404" i="6"/>
  <c r="B406" i="6"/>
  <c r="B408" i="6"/>
  <c r="B410" i="6"/>
  <c r="B412" i="6"/>
  <c r="B414" i="6"/>
  <c r="B416" i="6"/>
  <c r="B418" i="6"/>
  <c r="B420" i="6"/>
  <c r="B422" i="6"/>
  <c r="B424" i="6"/>
  <c r="B426" i="6"/>
  <c r="B428" i="6"/>
  <c r="B430" i="6"/>
  <c r="B432" i="6"/>
  <c r="B434" i="6"/>
  <c r="B436" i="6"/>
  <c r="B438" i="6"/>
  <c r="B440" i="6"/>
  <c r="B442" i="6"/>
  <c r="B444" i="6"/>
  <c r="B446" i="6"/>
  <c r="B448" i="6"/>
  <c r="B450" i="6"/>
  <c r="B452" i="6"/>
  <c r="B454" i="6"/>
  <c r="B456" i="6"/>
  <c r="B458" i="6"/>
  <c r="B460" i="6"/>
  <c r="B462" i="6"/>
  <c r="B464" i="6"/>
  <c r="B466" i="6"/>
  <c r="B468" i="6"/>
  <c r="B470" i="6"/>
  <c r="B472" i="6"/>
  <c r="B474" i="6"/>
  <c r="B476" i="6"/>
  <c r="B478" i="6"/>
  <c r="B480" i="6"/>
  <c r="B482" i="6"/>
  <c r="B484" i="6"/>
  <c r="B486" i="6"/>
  <c r="B488" i="6"/>
  <c r="B490" i="6"/>
  <c r="B492" i="6"/>
  <c r="B494" i="6"/>
  <c r="B496" i="6"/>
  <c r="B498" i="6"/>
  <c r="B500" i="6"/>
  <c r="B502" i="6"/>
  <c r="B504" i="6"/>
  <c r="B506" i="6"/>
  <c r="B508" i="6"/>
  <c r="B510" i="6"/>
  <c r="B512" i="6"/>
  <c r="B514" i="6"/>
  <c r="B516" i="6"/>
  <c r="B518" i="6"/>
  <c r="B520" i="6"/>
  <c r="B522" i="6"/>
  <c r="B524" i="6"/>
  <c r="B526" i="6"/>
  <c r="B528" i="6"/>
  <c r="B530" i="6"/>
  <c r="B532" i="6"/>
  <c r="B534" i="6"/>
  <c r="B536" i="6"/>
  <c r="B538" i="6"/>
  <c r="B540" i="6"/>
  <c r="B542" i="6"/>
  <c r="B544" i="6"/>
  <c r="B546" i="6"/>
  <c r="B548" i="6"/>
  <c r="B550" i="6"/>
  <c r="B552" i="6"/>
  <c r="B554" i="6"/>
  <c r="B556" i="6"/>
  <c r="B558" i="6"/>
  <c r="B560" i="6"/>
  <c r="B562" i="6"/>
  <c r="B564" i="6"/>
  <c r="B566" i="6"/>
  <c r="B568" i="6"/>
  <c r="B570" i="6"/>
  <c r="B572" i="6"/>
  <c r="B574" i="6"/>
  <c r="B576" i="6"/>
  <c r="B578" i="6"/>
  <c r="B580" i="6"/>
  <c r="B582" i="6"/>
  <c r="B584" i="6"/>
  <c r="B586" i="6"/>
  <c r="B588" i="6"/>
  <c r="B590" i="6"/>
  <c r="B592" i="6"/>
  <c r="B594" i="6"/>
  <c r="B596" i="6"/>
  <c r="B598" i="6"/>
  <c r="B600" i="6"/>
  <c r="B602" i="6"/>
  <c r="B604" i="6"/>
  <c r="B606" i="6"/>
  <c r="B608" i="6"/>
  <c r="B610" i="6"/>
  <c r="B612" i="6"/>
  <c r="B614" i="6"/>
  <c r="B616" i="6"/>
  <c r="B618" i="6"/>
  <c r="B620" i="6"/>
  <c r="B622" i="6"/>
  <c r="B624" i="6"/>
  <c r="B626" i="6"/>
  <c r="B628" i="6"/>
  <c r="B630" i="6"/>
  <c r="B632" i="6"/>
  <c r="B634" i="6"/>
  <c r="B636" i="6"/>
  <c r="B638" i="6"/>
  <c r="B640" i="6"/>
  <c r="B642" i="6"/>
  <c r="B644" i="6"/>
  <c r="B646" i="6"/>
  <c r="B648" i="6"/>
  <c r="B650" i="6"/>
  <c r="B652" i="6"/>
  <c r="B654" i="6"/>
  <c r="B656" i="6"/>
  <c r="B658" i="6"/>
  <c r="B660" i="6"/>
  <c r="B662" i="6"/>
  <c r="B664" i="6"/>
  <c r="B666" i="6"/>
  <c r="B668" i="6"/>
  <c r="B670" i="6"/>
  <c r="B672" i="6"/>
  <c r="B674" i="6"/>
  <c r="B676" i="6"/>
  <c r="B678" i="6"/>
  <c r="B680" i="6"/>
  <c r="B682" i="6"/>
  <c r="B684" i="6"/>
  <c r="B686" i="6"/>
  <c r="B688" i="6"/>
  <c r="B690" i="6"/>
  <c r="B692" i="6"/>
  <c r="B694" i="6"/>
  <c r="B696" i="6"/>
  <c r="B698" i="6"/>
  <c r="B700" i="6"/>
  <c r="B702" i="6"/>
  <c r="B704" i="6"/>
  <c r="B706" i="6"/>
  <c r="B708" i="6"/>
  <c r="B710" i="6"/>
  <c r="B712" i="6"/>
  <c r="B714" i="6"/>
  <c r="B716" i="6"/>
  <c r="B718" i="6"/>
  <c r="B720" i="6"/>
  <c r="B722" i="6"/>
  <c r="B724" i="6"/>
  <c r="B726" i="6"/>
  <c r="B728" i="6"/>
  <c r="B730" i="6"/>
  <c r="B732" i="6"/>
  <c r="B734" i="6"/>
  <c r="B736" i="6"/>
  <c r="B738" i="6"/>
  <c r="B740" i="6"/>
  <c r="B742" i="6"/>
  <c r="B744" i="6"/>
  <c r="B746" i="6"/>
  <c r="B748" i="6"/>
  <c r="B750" i="6"/>
  <c r="B752" i="6"/>
  <c r="B754" i="6"/>
  <c r="B756" i="6"/>
  <c r="B758" i="6"/>
  <c r="B760" i="6"/>
  <c r="B762" i="6"/>
  <c r="B764" i="6"/>
  <c r="B766" i="6"/>
  <c r="B768" i="6"/>
  <c r="B770" i="6"/>
  <c r="B772" i="6"/>
  <c r="B774" i="6"/>
  <c r="B776" i="6"/>
  <c r="B778" i="6"/>
  <c r="B780" i="6"/>
  <c r="B782" i="6"/>
  <c r="B784" i="6"/>
  <c r="B786" i="6"/>
  <c r="B788" i="6"/>
  <c r="B790" i="6"/>
  <c r="B792" i="6"/>
  <c r="B794" i="6"/>
  <c r="B796" i="6"/>
  <c r="B798" i="6"/>
  <c r="B800" i="6"/>
  <c r="B802" i="6"/>
  <c r="B804" i="6"/>
  <c r="B806" i="6"/>
  <c r="B808" i="6"/>
  <c r="B810" i="6"/>
  <c r="B812" i="6"/>
  <c r="B814" i="6"/>
  <c r="B816" i="6"/>
  <c r="B818" i="6"/>
  <c r="B820" i="6"/>
  <c r="B822" i="6"/>
  <c r="B824" i="6"/>
  <c r="B826" i="6"/>
  <c r="B828" i="6"/>
  <c r="B830" i="6"/>
  <c r="B832" i="6"/>
  <c r="B834" i="6"/>
  <c r="B836" i="6"/>
  <c r="B838" i="6"/>
  <c r="B840" i="6"/>
  <c r="B842" i="6"/>
  <c r="B844" i="6"/>
  <c r="B846" i="6"/>
  <c r="B848" i="6"/>
  <c r="B850" i="6"/>
  <c r="B852" i="6"/>
  <c r="B854" i="6"/>
  <c r="B856" i="6"/>
  <c r="B858" i="6"/>
  <c r="B860" i="6"/>
  <c r="B862" i="6"/>
  <c r="B864" i="6"/>
  <c r="B866" i="6"/>
  <c r="B868" i="6"/>
  <c r="B870" i="6"/>
  <c r="B872" i="6"/>
  <c r="B874" i="6"/>
  <c r="B876" i="6"/>
  <c r="B878" i="6"/>
  <c r="B880" i="6"/>
  <c r="B882" i="6"/>
  <c r="B884" i="6"/>
  <c r="B886" i="6"/>
  <c r="B888" i="6"/>
  <c r="B890" i="6"/>
  <c r="B892" i="6"/>
  <c r="B894" i="6"/>
  <c r="B896" i="6"/>
  <c r="B898" i="6"/>
  <c r="B900" i="6"/>
  <c r="B902" i="6"/>
  <c r="B904" i="6"/>
  <c r="B906" i="6"/>
  <c r="B908" i="6"/>
  <c r="B910" i="6"/>
  <c r="B912" i="6"/>
  <c r="B914" i="6"/>
  <c r="B916" i="6"/>
  <c r="B918" i="6"/>
  <c r="B920" i="6"/>
  <c r="B922" i="6"/>
  <c r="B924" i="6"/>
  <c r="B926" i="6"/>
  <c r="B928" i="6"/>
  <c r="B930" i="6"/>
  <c r="B932" i="6"/>
  <c r="B934" i="6"/>
  <c r="B936" i="6"/>
  <c r="B938" i="6"/>
  <c r="B940" i="6"/>
  <c r="B942" i="6"/>
  <c r="B944" i="6"/>
  <c r="B946" i="6"/>
  <c r="B948" i="6"/>
  <c r="B950" i="6"/>
  <c r="B952" i="6"/>
  <c r="B954" i="6"/>
  <c r="B956" i="6"/>
  <c r="B958" i="6"/>
  <c r="B960" i="6"/>
  <c r="B962" i="6"/>
  <c r="B964" i="6"/>
  <c r="B966" i="6"/>
  <c r="B968" i="6"/>
  <c r="B970" i="6"/>
  <c r="B972" i="6"/>
  <c r="B974" i="6"/>
  <c r="B976" i="6"/>
  <c r="B978" i="6"/>
  <c r="B980" i="6"/>
  <c r="B982" i="6"/>
  <c r="B984" i="6"/>
  <c r="B986" i="6"/>
  <c r="B988" i="6"/>
  <c r="B990" i="6"/>
  <c r="B992" i="6"/>
  <c r="B994" i="6"/>
  <c r="B996" i="6"/>
  <c r="B998" i="6"/>
  <c r="B1000" i="6"/>
  <c r="B1002" i="6"/>
  <c r="B1004" i="6"/>
  <c r="B1006" i="6"/>
  <c r="B1008" i="6"/>
  <c r="B1010" i="6"/>
  <c r="B1012" i="6"/>
  <c r="B1014" i="6"/>
  <c r="B1016" i="6"/>
  <c r="B1018" i="6"/>
  <c r="B1020" i="6"/>
  <c r="B1022" i="6"/>
  <c r="B1024" i="6"/>
  <c r="B1026" i="6"/>
  <c r="B1028" i="6"/>
  <c r="B1030" i="6"/>
  <c r="B1032" i="6"/>
  <c r="B1034" i="6"/>
  <c r="B1036" i="6"/>
  <c r="B1038" i="6"/>
  <c r="B1040" i="6"/>
  <c r="B1042" i="6"/>
  <c r="B1044" i="6"/>
  <c r="B1046" i="6"/>
  <c r="B1048" i="6"/>
  <c r="B1050" i="6"/>
  <c r="B1052" i="6"/>
  <c r="B1054" i="6"/>
  <c r="B1056" i="6"/>
  <c r="B1058" i="6"/>
  <c r="B1060" i="6"/>
  <c r="B1062" i="6"/>
  <c r="B1064" i="6"/>
  <c r="B1066" i="6"/>
  <c r="B1068" i="6"/>
  <c r="B1070" i="6"/>
  <c r="B1072" i="6"/>
  <c r="B1074" i="6"/>
  <c r="B1076" i="6"/>
  <c r="B1078" i="6"/>
  <c r="B1080" i="6"/>
  <c r="B1082" i="6"/>
  <c r="B1084" i="6"/>
  <c r="B1086" i="6"/>
  <c r="B1088" i="6"/>
  <c r="B1090" i="6"/>
  <c r="B1092" i="6"/>
  <c r="B1094" i="6"/>
  <c r="B1096" i="6"/>
  <c r="B1098" i="6"/>
  <c r="B1100" i="6"/>
  <c r="B1102" i="6"/>
  <c r="B1104" i="6"/>
  <c r="B1106" i="6"/>
  <c r="B1108" i="6"/>
  <c r="B1110" i="6"/>
  <c r="B1112" i="6"/>
  <c r="B1114" i="6"/>
  <c r="B1116" i="6"/>
  <c r="B1118" i="6"/>
  <c r="B1120" i="6"/>
  <c r="B1122" i="6"/>
  <c r="B1124" i="6"/>
  <c r="B1126" i="6"/>
  <c r="B1128" i="6"/>
  <c r="B1130" i="6"/>
  <c r="B1132" i="6"/>
  <c r="B1134" i="6"/>
  <c r="B1136" i="6"/>
  <c r="B1138" i="6"/>
  <c r="B1140" i="6"/>
  <c r="B1142" i="6"/>
  <c r="B1144" i="6"/>
  <c r="B1146" i="6"/>
  <c r="B1148" i="6"/>
  <c r="B1150" i="6"/>
  <c r="B1152" i="6"/>
  <c r="B1154" i="6"/>
  <c r="B1156" i="6"/>
  <c r="B1158" i="6"/>
  <c r="B1160" i="6"/>
  <c r="B1162" i="6"/>
  <c r="B2" i="8"/>
  <c r="B4" i="8"/>
  <c r="B6" i="8"/>
  <c r="B8" i="8"/>
  <c r="B10" i="8"/>
  <c r="B12" i="8"/>
  <c r="B14" i="8"/>
  <c r="B16" i="8"/>
  <c r="B18" i="8"/>
  <c r="B20" i="8"/>
  <c r="B22" i="8"/>
  <c r="B24" i="8"/>
  <c r="B26" i="8"/>
  <c r="B28" i="8"/>
  <c r="B30" i="8"/>
  <c r="B32" i="8"/>
  <c r="B34" i="8"/>
  <c r="B36" i="8"/>
  <c r="B38" i="8"/>
  <c r="B40" i="8"/>
  <c r="B42" i="8"/>
  <c r="B44" i="8"/>
  <c r="B46" i="8"/>
  <c r="B48" i="8"/>
  <c r="B50" i="8"/>
  <c r="B52" i="8"/>
  <c r="B54" i="8"/>
  <c r="B56" i="8"/>
  <c r="B58" i="8"/>
  <c r="B60" i="8"/>
  <c r="B62" i="8"/>
  <c r="B64" i="8"/>
  <c r="B66" i="8"/>
  <c r="B68" i="8"/>
  <c r="B70" i="8"/>
  <c r="B72" i="8"/>
  <c r="B74" i="8"/>
  <c r="B76" i="8"/>
  <c r="B78" i="8"/>
  <c r="B80" i="8"/>
  <c r="B82" i="8"/>
  <c r="B84" i="8"/>
  <c r="B86" i="8"/>
  <c r="B88" i="8"/>
  <c r="B90" i="8"/>
  <c r="B92" i="8"/>
  <c r="B94" i="8"/>
  <c r="B96" i="8"/>
  <c r="B98" i="8"/>
  <c r="B100" i="8"/>
  <c r="B102" i="8"/>
  <c r="B104" i="8"/>
  <c r="B106" i="8"/>
  <c r="B108" i="8"/>
  <c r="B110" i="8"/>
  <c r="B112" i="8"/>
  <c r="B114" i="8"/>
  <c r="B116" i="8"/>
  <c r="B118" i="8"/>
  <c r="B120" i="8"/>
  <c r="B122" i="8"/>
  <c r="B124" i="8"/>
  <c r="B126" i="8"/>
  <c r="B128" i="8"/>
  <c r="B130" i="8"/>
  <c r="B132" i="8"/>
  <c r="B134" i="8"/>
  <c r="B136" i="8"/>
  <c r="B138" i="8"/>
  <c r="B140" i="8"/>
  <c r="B142" i="8"/>
  <c r="B144" i="8"/>
  <c r="B146" i="8"/>
  <c r="B148" i="8"/>
  <c r="B150" i="8"/>
  <c r="B152" i="8"/>
  <c r="B154" i="8"/>
  <c r="B156" i="8"/>
  <c r="B158" i="8"/>
  <c r="B160" i="8"/>
  <c r="B162" i="8"/>
  <c r="B164" i="8"/>
  <c r="B166" i="8"/>
  <c r="B168" i="8"/>
  <c r="B170" i="8"/>
  <c r="B172" i="8"/>
  <c r="B174" i="8"/>
  <c r="B176" i="8"/>
  <c r="B178" i="8"/>
  <c r="B180" i="8"/>
  <c r="B182" i="8"/>
  <c r="B184" i="8"/>
  <c r="B186" i="8"/>
  <c r="B188" i="8"/>
  <c r="B190" i="8"/>
  <c r="B192" i="8"/>
  <c r="B194" i="8"/>
  <c r="B196" i="8"/>
  <c r="B198" i="8"/>
  <c r="B200" i="8"/>
  <c r="B202" i="8"/>
  <c r="B204" i="8"/>
  <c r="B206" i="8"/>
  <c r="B208" i="8"/>
  <c r="B210" i="8"/>
  <c r="B212" i="8"/>
  <c r="B214" i="8"/>
  <c r="B216" i="8"/>
  <c r="B218" i="8"/>
  <c r="B220" i="8"/>
  <c r="B222" i="8"/>
  <c r="B224" i="8"/>
  <c r="B226" i="8"/>
  <c r="B228" i="8"/>
  <c r="B230" i="8"/>
  <c r="B232" i="8"/>
  <c r="B234" i="8"/>
  <c r="B236" i="8"/>
  <c r="B238" i="8"/>
  <c r="B240" i="8"/>
  <c r="B242" i="8"/>
  <c r="B244" i="8"/>
  <c r="B246" i="8"/>
  <c r="B248" i="8"/>
  <c r="B250" i="8"/>
  <c r="B252" i="8"/>
  <c r="B254" i="8"/>
  <c r="B256" i="8"/>
  <c r="B258" i="8"/>
  <c r="B260" i="8"/>
  <c r="B262" i="8"/>
  <c r="B264" i="8"/>
  <c r="B266" i="8"/>
  <c r="B268" i="8"/>
  <c r="B270" i="8"/>
  <c r="B272" i="8"/>
  <c r="B274" i="8"/>
  <c r="B276" i="8"/>
  <c r="B278" i="8"/>
  <c r="B280" i="8"/>
  <c r="B282" i="8"/>
  <c r="B284" i="8"/>
  <c r="B286" i="8"/>
  <c r="B288" i="8"/>
  <c r="B290" i="8"/>
  <c r="B292" i="8"/>
  <c r="B294" i="8"/>
  <c r="B296" i="8"/>
  <c r="B298" i="8"/>
  <c r="B300" i="8"/>
  <c r="B302" i="8"/>
  <c r="B304" i="8"/>
  <c r="B306" i="8"/>
  <c r="B308" i="8"/>
  <c r="B310" i="8"/>
  <c r="B312" i="8"/>
  <c r="B314" i="8"/>
  <c r="B316" i="8"/>
  <c r="B318" i="8"/>
  <c r="B320" i="8"/>
  <c r="B322" i="8"/>
  <c r="B324" i="8"/>
  <c r="B326" i="8"/>
  <c r="B328" i="8"/>
  <c r="B330" i="8"/>
  <c r="B332" i="8"/>
  <c r="B334" i="8"/>
  <c r="B336" i="8"/>
  <c r="B338" i="8"/>
  <c r="B340" i="8"/>
  <c r="B342" i="8"/>
  <c r="B344" i="8"/>
  <c r="B346" i="8"/>
  <c r="B348" i="8"/>
  <c r="B350" i="8"/>
  <c r="B352" i="8"/>
  <c r="B354" i="8"/>
  <c r="B356" i="8"/>
  <c r="B358" i="8"/>
  <c r="B360" i="8"/>
  <c r="B362" i="8"/>
  <c r="B364" i="8"/>
  <c r="B366" i="8"/>
  <c r="B368" i="8"/>
  <c r="B370" i="8"/>
  <c r="B372" i="8"/>
  <c r="B374" i="8"/>
  <c r="B376" i="8"/>
  <c r="B378" i="8"/>
  <c r="B380" i="8"/>
  <c r="B382" i="8"/>
  <c r="B384" i="8"/>
  <c r="B386" i="8"/>
  <c r="B388" i="8"/>
  <c r="B390" i="8"/>
  <c r="B392" i="8"/>
  <c r="B394" i="8"/>
  <c r="B396" i="8"/>
  <c r="B398" i="8"/>
  <c r="B400" i="8"/>
  <c r="B402" i="8"/>
  <c r="B404" i="8"/>
  <c r="B406" i="8"/>
  <c r="B408" i="8"/>
  <c r="B410" i="8"/>
  <c r="B412" i="8"/>
  <c r="B414" i="8"/>
  <c r="B416" i="8"/>
  <c r="B418" i="8"/>
  <c r="B420" i="8"/>
  <c r="B422" i="8"/>
  <c r="B424" i="8"/>
  <c r="B426" i="8"/>
  <c r="B428" i="8"/>
  <c r="B430" i="8"/>
  <c r="B432" i="8"/>
  <c r="B434" i="8"/>
  <c r="B436" i="8"/>
  <c r="B438" i="8"/>
  <c r="B440" i="8"/>
  <c r="B442" i="8"/>
  <c r="B444" i="8"/>
  <c r="B446" i="8"/>
  <c r="B448" i="8"/>
  <c r="B450" i="8"/>
  <c r="B452" i="8"/>
  <c r="B454" i="8"/>
  <c r="B456" i="8"/>
  <c r="B458" i="8"/>
  <c r="B460" i="8"/>
  <c r="B462" i="8"/>
  <c r="B464" i="8"/>
  <c r="B466" i="8"/>
  <c r="B468" i="8"/>
  <c r="B470" i="8"/>
  <c r="B472" i="8"/>
  <c r="B474" i="8"/>
  <c r="B476" i="8"/>
  <c r="B478" i="8"/>
  <c r="B480" i="8"/>
  <c r="B482" i="8"/>
  <c r="B484" i="8"/>
  <c r="B486" i="8"/>
  <c r="B488" i="8"/>
  <c r="B490" i="8"/>
  <c r="B492" i="8"/>
  <c r="B494" i="8"/>
  <c r="B496" i="8"/>
  <c r="B498" i="8"/>
  <c r="B500" i="8"/>
  <c r="B502" i="8"/>
  <c r="B504" i="8"/>
  <c r="B506" i="8"/>
  <c r="B508" i="8"/>
  <c r="B510" i="8"/>
  <c r="B512" i="8"/>
  <c r="B514" i="8"/>
  <c r="B516" i="8"/>
  <c r="B518" i="8"/>
  <c r="B520" i="8"/>
  <c r="B522" i="8"/>
  <c r="B524" i="8"/>
  <c r="B526" i="8"/>
  <c r="B528" i="8"/>
  <c r="B530" i="8"/>
  <c r="B532" i="8"/>
  <c r="B534" i="8"/>
  <c r="B536" i="8"/>
  <c r="B538" i="8"/>
  <c r="B540" i="8"/>
  <c r="B542" i="8"/>
  <c r="B544" i="8"/>
  <c r="B546" i="8"/>
  <c r="B548" i="8"/>
  <c r="B550" i="8"/>
  <c r="B552" i="8"/>
  <c r="B554" i="8"/>
  <c r="B556" i="8"/>
  <c r="B558" i="8"/>
  <c r="B560" i="8"/>
  <c r="B562" i="8"/>
  <c r="B564" i="8"/>
  <c r="B566" i="8"/>
  <c r="B568" i="8"/>
  <c r="B570" i="8"/>
  <c r="B572" i="8"/>
  <c r="B574" i="8"/>
  <c r="B576" i="8"/>
  <c r="B578" i="8"/>
  <c r="B580" i="8"/>
  <c r="B582" i="8"/>
  <c r="B584" i="8"/>
  <c r="B586" i="8"/>
  <c r="B588" i="8"/>
  <c r="B590" i="8"/>
  <c r="B592" i="8"/>
  <c r="B594" i="8"/>
  <c r="B596" i="8"/>
  <c r="B598" i="8"/>
  <c r="B600" i="8"/>
  <c r="B602" i="8"/>
  <c r="B604" i="8"/>
  <c r="B606" i="8"/>
  <c r="B608" i="8"/>
  <c r="B610" i="8"/>
  <c r="B612" i="8"/>
  <c r="B614" i="8"/>
  <c r="B616" i="8"/>
  <c r="B618" i="8"/>
  <c r="B620" i="8"/>
  <c r="B622" i="8"/>
  <c r="B624" i="8"/>
  <c r="B626" i="8"/>
  <c r="B628" i="8"/>
  <c r="B630" i="8"/>
  <c r="B632" i="8"/>
  <c r="B634" i="8"/>
  <c r="B636" i="8"/>
  <c r="B638" i="8"/>
  <c r="B640" i="8"/>
  <c r="B642" i="8"/>
  <c r="B644" i="8"/>
  <c r="B646" i="8"/>
  <c r="B648" i="8"/>
  <c r="B650" i="8"/>
  <c r="B652" i="8"/>
  <c r="B654" i="8"/>
  <c r="B656" i="8"/>
  <c r="B658" i="8"/>
  <c r="B660" i="8"/>
  <c r="B662" i="8"/>
  <c r="B664" i="8"/>
  <c r="B666" i="8"/>
  <c r="B668" i="8"/>
  <c r="B670" i="8"/>
  <c r="B672" i="8"/>
  <c r="B674" i="8"/>
  <c r="B676" i="8"/>
  <c r="B678" i="8"/>
  <c r="B680" i="8"/>
  <c r="B682" i="8"/>
  <c r="B684" i="8"/>
  <c r="B686" i="8"/>
  <c r="B688" i="8"/>
  <c r="B690" i="8"/>
  <c r="B692" i="8"/>
  <c r="B694" i="8"/>
  <c r="B696" i="8"/>
  <c r="B698" i="8"/>
  <c r="B700" i="8"/>
  <c r="B702" i="8"/>
  <c r="B704" i="8"/>
  <c r="B706" i="8"/>
  <c r="B708" i="8"/>
  <c r="B710" i="8"/>
  <c r="B712" i="8"/>
  <c r="B714" i="8"/>
  <c r="B716" i="8"/>
  <c r="B718" i="8"/>
  <c r="B720" i="8"/>
  <c r="B722" i="8"/>
  <c r="B724" i="8"/>
  <c r="B726" i="8"/>
  <c r="B728" i="8"/>
  <c r="B730" i="8"/>
  <c r="B732" i="8"/>
  <c r="B734" i="8"/>
  <c r="B736" i="8"/>
  <c r="B738" i="8"/>
  <c r="B740" i="8"/>
  <c r="B742" i="8"/>
  <c r="B744" i="8"/>
  <c r="B746" i="8"/>
  <c r="B748" i="8"/>
  <c r="B750" i="8"/>
  <c r="B752" i="8"/>
  <c r="B754" i="8"/>
  <c r="B756" i="8"/>
  <c r="B758" i="8"/>
  <c r="B760" i="8"/>
  <c r="B762" i="8"/>
  <c r="B764" i="8"/>
  <c r="B766" i="8"/>
  <c r="B768" i="8"/>
  <c r="B770" i="8"/>
  <c r="B772" i="8"/>
  <c r="B774" i="8"/>
  <c r="B776" i="8"/>
  <c r="B778" i="8"/>
  <c r="B780" i="8"/>
  <c r="B782" i="8"/>
  <c r="B784" i="8"/>
  <c r="B786" i="8"/>
  <c r="B788" i="8"/>
  <c r="B790" i="8"/>
  <c r="B792" i="8"/>
  <c r="B794" i="8"/>
  <c r="B796" i="8"/>
  <c r="B798" i="8"/>
  <c r="B800" i="8"/>
  <c r="B802" i="8"/>
  <c r="B804" i="8"/>
  <c r="B806" i="8"/>
  <c r="B808" i="8"/>
  <c r="B810" i="8"/>
  <c r="B812" i="8"/>
  <c r="B814" i="8"/>
  <c r="B816" i="8"/>
  <c r="B818" i="8"/>
  <c r="B820" i="8"/>
  <c r="B822" i="8"/>
  <c r="B824" i="8"/>
  <c r="B826" i="8"/>
  <c r="B828" i="8"/>
  <c r="B830" i="8"/>
  <c r="B832" i="8"/>
  <c r="B834" i="8"/>
  <c r="B836" i="8"/>
  <c r="B838" i="8"/>
  <c r="B840" i="8"/>
  <c r="B842" i="8"/>
  <c r="B844" i="8"/>
  <c r="B846" i="8"/>
  <c r="B848" i="8"/>
  <c r="B850" i="8"/>
  <c r="B852" i="8"/>
  <c r="B854" i="8"/>
  <c r="B856" i="8"/>
  <c r="B858" i="8"/>
  <c r="B860" i="8"/>
  <c r="B862" i="8"/>
  <c r="B864" i="8"/>
  <c r="B866" i="8"/>
  <c r="B868" i="8"/>
  <c r="B870" i="8"/>
  <c r="B872" i="8"/>
  <c r="B874" i="8"/>
  <c r="B876" i="8"/>
  <c r="B878" i="8"/>
  <c r="B880" i="8"/>
  <c r="B882" i="8"/>
  <c r="B884" i="8"/>
  <c r="B886" i="8"/>
  <c r="B888" i="8"/>
  <c r="B890" i="8"/>
  <c r="B892" i="8"/>
  <c r="B894" i="8"/>
  <c r="B896" i="8"/>
  <c r="B898" i="8"/>
  <c r="B900" i="8"/>
  <c r="B902" i="8"/>
  <c r="B904" i="8"/>
  <c r="B906" i="8"/>
  <c r="B908" i="8"/>
  <c r="B910" i="8"/>
  <c r="B912" i="8"/>
  <c r="B914" i="8"/>
  <c r="B916" i="8"/>
  <c r="B918" i="8"/>
  <c r="B920" i="8"/>
  <c r="B922" i="8"/>
  <c r="B924" i="8"/>
  <c r="B926" i="8"/>
  <c r="B928" i="8"/>
  <c r="B930" i="8"/>
  <c r="B932" i="8"/>
  <c r="B934" i="8"/>
  <c r="B936" i="8"/>
  <c r="B938" i="8"/>
  <c r="B940" i="8"/>
  <c r="B942" i="8"/>
  <c r="B944" i="8"/>
  <c r="B946" i="8"/>
  <c r="B948" i="8"/>
  <c r="B950" i="8"/>
  <c r="B952" i="8"/>
  <c r="B954" i="8"/>
  <c r="B956" i="8"/>
  <c r="B958" i="8"/>
  <c r="B960" i="8"/>
  <c r="B962" i="8"/>
  <c r="B964" i="8"/>
  <c r="B966" i="8"/>
  <c r="B968" i="8"/>
  <c r="B970" i="8"/>
  <c r="B972" i="8"/>
  <c r="B974" i="8"/>
  <c r="B976" i="8"/>
  <c r="B978" i="8"/>
  <c r="B980" i="8"/>
  <c r="B982" i="8"/>
  <c r="B984" i="8"/>
  <c r="B986" i="8"/>
  <c r="B988" i="8"/>
  <c r="B990" i="8"/>
  <c r="B992" i="8"/>
  <c r="B994" i="8"/>
  <c r="B996" i="8"/>
  <c r="B998" i="8"/>
  <c r="B1000" i="8"/>
  <c r="B1002" i="8"/>
  <c r="B1004" i="8"/>
  <c r="B1006" i="8"/>
  <c r="B1008" i="8"/>
  <c r="B1010" i="8"/>
  <c r="B1012" i="8"/>
  <c r="B1014" i="8"/>
  <c r="B1016" i="8"/>
  <c r="B1018" i="8"/>
  <c r="B1020" i="8"/>
  <c r="B1022" i="8"/>
  <c r="B1024" i="8"/>
  <c r="B1026" i="8"/>
  <c r="B1028" i="8"/>
  <c r="B1030" i="8"/>
  <c r="B1032" i="8"/>
  <c r="B1034" i="8"/>
  <c r="B1036" i="8"/>
  <c r="B1038" i="8"/>
  <c r="B1040" i="8"/>
  <c r="B1042" i="8"/>
  <c r="B1044" i="8"/>
  <c r="B1046" i="8"/>
  <c r="B1048" i="8"/>
  <c r="B1050" i="8"/>
  <c r="B1052" i="8"/>
  <c r="B1054" i="8"/>
  <c r="B1056" i="8"/>
  <c r="B1058" i="8"/>
  <c r="B1060" i="8"/>
  <c r="B1062" i="8"/>
  <c r="B1064" i="8"/>
  <c r="B1066" i="8"/>
  <c r="B1068" i="8"/>
  <c r="B1070" i="8"/>
  <c r="B1072" i="8"/>
  <c r="B1074" i="8"/>
  <c r="B1076" i="8"/>
  <c r="B1078" i="8"/>
  <c r="B1080" i="8"/>
  <c r="B1082" i="8"/>
  <c r="B1084" i="8"/>
  <c r="B1086" i="8"/>
  <c r="B1088" i="8"/>
  <c r="B1090" i="8"/>
  <c r="B1092" i="8"/>
  <c r="B1094" i="8"/>
  <c r="B1096" i="8"/>
  <c r="B1098" i="8"/>
  <c r="B1100" i="8"/>
  <c r="B1102" i="8"/>
  <c r="B1104" i="8"/>
  <c r="B1106" i="8"/>
  <c r="B1108" i="8"/>
  <c r="B1110" i="8"/>
  <c r="B1112" i="8"/>
  <c r="B1114" i="8"/>
  <c r="B1116" i="8"/>
  <c r="B1118" i="8"/>
  <c r="B1120" i="8"/>
  <c r="B1122" i="8"/>
  <c r="B1124" i="8"/>
  <c r="B1126" i="8"/>
  <c r="B1128" i="8"/>
  <c r="B1130" i="8"/>
  <c r="B1132" i="8"/>
  <c r="B1134" i="8"/>
  <c r="B1136" i="8"/>
  <c r="B1138" i="8"/>
  <c r="B1140" i="8"/>
  <c r="B1142" i="8"/>
  <c r="B1144" i="8"/>
  <c r="B1146" i="8"/>
  <c r="B1148" i="8"/>
  <c r="B1150" i="8"/>
  <c r="B1152" i="8"/>
  <c r="B1154" i="8"/>
  <c r="B1156" i="8"/>
  <c r="B1158" i="8"/>
  <c r="B1160" i="8"/>
  <c r="B1162" i="8"/>
  <c r="B2" i="5"/>
  <c r="B4" i="5"/>
  <c r="B6" i="5"/>
  <c r="B8" i="5"/>
  <c r="B10" i="5"/>
  <c r="B12" i="5"/>
  <c r="B14" i="5"/>
  <c r="B16" i="5"/>
  <c r="B18" i="5"/>
  <c r="B20" i="5"/>
  <c r="B22" i="5"/>
  <c r="B24" i="5"/>
  <c r="B26" i="5"/>
  <c r="B28" i="5"/>
  <c r="B30" i="5"/>
  <c r="B32" i="5"/>
  <c r="B34" i="5"/>
  <c r="B36" i="5"/>
  <c r="B38" i="5"/>
  <c r="B40" i="5"/>
  <c r="B42" i="5"/>
  <c r="B44" i="5"/>
  <c r="B46" i="5"/>
  <c r="B48" i="5"/>
  <c r="B50" i="5"/>
  <c r="B52" i="5"/>
  <c r="B54" i="5"/>
  <c r="B56" i="5"/>
  <c r="B58" i="5"/>
  <c r="B60" i="5"/>
  <c r="B62" i="5"/>
  <c r="B64" i="5"/>
  <c r="B66" i="5"/>
  <c r="B68" i="5"/>
  <c r="B70" i="5"/>
  <c r="B72" i="5"/>
  <c r="B74" i="5"/>
  <c r="B76" i="5"/>
  <c r="B78" i="5"/>
  <c r="B80" i="5"/>
  <c r="B82" i="5"/>
  <c r="B84" i="5"/>
  <c r="B86" i="5"/>
  <c r="B88" i="5"/>
  <c r="B90" i="5"/>
  <c r="B92" i="5"/>
  <c r="B94" i="5"/>
  <c r="B96" i="5"/>
  <c r="B98" i="5"/>
  <c r="B100" i="5"/>
  <c r="B102" i="5"/>
  <c r="B104" i="5"/>
  <c r="B106" i="5"/>
  <c r="B108" i="5"/>
  <c r="B110" i="5"/>
  <c r="B112" i="5"/>
  <c r="B114" i="5"/>
  <c r="B116" i="5"/>
  <c r="B118" i="5"/>
  <c r="B120" i="5"/>
  <c r="B122" i="5"/>
  <c r="B124" i="5"/>
  <c r="B126" i="5"/>
  <c r="B128" i="5"/>
  <c r="B130" i="5"/>
  <c r="B132" i="5"/>
  <c r="B134" i="5"/>
  <c r="B136" i="5"/>
  <c r="B138" i="5"/>
  <c r="B140" i="5"/>
  <c r="B142" i="5"/>
  <c r="B144" i="5"/>
  <c r="B146" i="5"/>
  <c r="B148" i="5"/>
  <c r="B150" i="5"/>
  <c r="B152" i="5"/>
  <c r="B154" i="5"/>
  <c r="B156" i="5"/>
  <c r="B158" i="5"/>
  <c r="B160" i="5"/>
  <c r="B162" i="5"/>
  <c r="B164" i="5"/>
  <c r="B166" i="5"/>
  <c r="B168" i="5"/>
  <c r="B170" i="5"/>
  <c r="B172" i="5"/>
  <c r="B174" i="5"/>
  <c r="B176" i="5"/>
  <c r="B178" i="5"/>
  <c r="B180" i="5"/>
  <c r="B182" i="5"/>
  <c r="B184" i="5"/>
  <c r="B186" i="5"/>
  <c r="B188" i="5"/>
  <c r="B190" i="5"/>
  <c r="B192" i="5"/>
  <c r="B194" i="5"/>
  <c r="B196" i="5"/>
  <c r="B198" i="5"/>
  <c r="B200" i="5"/>
  <c r="B202" i="5"/>
  <c r="B204" i="5"/>
  <c r="B206" i="5"/>
  <c r="B208" i="5"/>
  <c r="B210" i="5"/>
  <c r="B212" i="5"/>
  <c r="B214" i="5"/>
  <c r="B216" i="5"/>
  <c r="B218" i="5"/>
  <c r="B220" i="5"/>
  <c r="B222" i="5"/>
  <c r="B224" i="5"/>
  <c r="B226" i="5"/>
  <c r="B228" i="5"/>
  <c r="B230" i="5"/>
  <c r="B232" i="5"/>
  <c r="B234" i="5"/>
  <c r="B236" i="5"/>
  <c r="B238" i="5"/>
  <c r="B240" i="5"/>
  <c r="B242" i="5"/>
  <c r="B244" i="5"/>
  <c r="B246" i="5"/>
  <c r="B248" i="5"/>
  <c r="B250" i="5"/>
  <c r="B252" i="5"/>
  <c r="B254" i="5"/>
  <c r="B256" i="5"/>
  <c r="B258" i="5"/>
  <c r="B260" i="5"/>
  <c r="B262" i="5"/>
  <c r="B264" i="5"/>
  <c r="B266" i="5"/>
  <c r="B268" i="5"/>
  <c r="B270" i="5"/>
  <c r="B272" i="5"/>
  <c r="B274" i="5"/>
  <c r="B276" i="5"/>
  <c r="B278" i="5"/>
  <c r="B280" i="5"/>
  <c r="B282" i="5"/>
  <c r="B284" i="5"/>
  <c r="B286" i="5"/>
  <c r="B288" i="5"/>
  <c r="B290" i="5"/>
  <c r="B292" i="5"/>
  <c r="B294" i="5"/>
  <c r="B296" i="5"/>
  <c r="B298" i="5"/>
  <c r="B300" i="5"/>
  <c r="B302" i="5"/>
  <c r="B304" i="5"/>
  <c r="B306" i="5"/>
  <c r="B308" i="5"/>
  <c r="B310" i="5"/>
  <c r="B312" i="5"/>
  <c r="B314" i="5"/>
  <c r="B316" i="5"/>
  <c r="B318" i="5"/>
  <c r="B320" i="5"/>
  <c r="B322" i="5"/>
  <c r="B324" i="5"/>
  <c r="B326" i="5"/>
  <c r="B328" i="5"/>
  <c r="B330" i="5"/>
  <c r="B332" i="5"/>
  <c r="B334" i="5"/>
  <c r="B336" i="5"/>
  <c r="B338" i="5"/>
  <c r="B340" i="5"/>
  <c r="B342" i="5"/>
  <c r="B344" i="5"/>
  <c r="B346" i="5"/>
  <c r="B348" i="5"/>
  <c r="B350" i="5"/>
  <c r="B352" i="5"/>
  <c r="B354" i="5"/>
  <c r="B356" i="5"/>
  <c r="B358" i="5"/>
  <c r="B360" i="5"/>
  <c r="B362" i="5"/>
  <c r="B364" i="5"/>
  <c r="B366" i="5"/>
  <c r="B368" i="5"/>
  <c r="B370" i="5"/>
  <c r="B372" i="5"/>
  <c r="B374" i="5"/>
  <c r="B376" i="5"/>
  <c r="B378" i="5"/>
  <c r="B380" i="5"/>
  <c r="B382" i="5"/>
  <c r="B384" i="5"/>
  <c r="B386" i="5"/>
  <c r="B388" i="5"/>
  <c r="B390" i="5"/>
  <c r="B392" i="5"/>
  <c r="B394" i="5"/>
  <c r="B396" i="5"/>
  <c r="B398" i="5"/>
  <c r="B400" i="5"/>
  <c r="B402" i="5"/>
  <c r="B404" i="5"/>
  <c r="B406" i="5"/>
  <c r="B408" i="5"/>
  <c r="B410" i="5"/>
  <c r="B412" i="5"/>
  <c r="B414" i="5"/>
  <c r="B416" i="5"/>
  <c r="B418" i="5"/>
  <c r="B420" i="5"/>
  <c r="B422" i="5"/>
  <c r="B424" i="5"/>
  <c r="B426" i="5"/>
  <c r="B428" i="5"/>
  <c r="B430" i="5"/>
  <c r="B432" i="5"/>
  <c r="B434" i="5"/>
  <c r="B436" i="5"/>
  <c r="B438" i="5"/>
  <c r="B440" i="5"/>
  <c r="B442" i="5"/>
  <c r="B444" i="5"/>
  <c r="B446" i="5"/>
  <c r="B448" i="5"/>
  <c r="B450" i="5"/>
  <c r="B452" i="5"/>
  <c r="B454" i="5"/>
  <c r="B456" i="5"/>
  <c r="B458" i="5"/>
  <c r="B460" i="5"/>
  <c r="B462" i="5"/>
  <c r="B464" i="5"/>
  <c r="B466" i="5"/>
  <c r="B468" i="5"/>
  <c r="B470" i="5"/>
  <c r="B472" i="5"/>
  <c r="B474" i="5"/>
  <c r="B476" i="5"/>
  <c r="B478" i="5"/>
  <c r="B480" i="5"/>
  <c r="B482" i="5"/>
  <c r="B484" i="5"/>
  <c r="B486" i="5"/>
  <c r="B488" i="5"/>
  <c r="B490" i="5"/>
  <c r="B492" i="5"/>
  <c r="B494" i="5"/>
  <c r="B496" i="5"/>
  <c r="B498" i="5"/>
  <c r="B500" i="5"/>
  <c r="B502" i="5"/>
  <c r="B504" i="5"/>
  <c r="B506" i="5"/>
  <c r="B508" i="5"/>
  <c r="B510" i="5"/>
  <c r="B512" i="5"/>
  <c r="B514" i="5"/>
  <c r="B516" i="5"/>
  <c r="B518" i="5"/>
  <c r="B520" i="5"/>
  <c r="B522" i="5"/>
  <c r="B524" i="5"/>
  <c r="B526" i="5"/>
  <c r="B528" i="5"/>
  <c r="B530" i="5"/>
  <c r="B532" i="5"/>
  <c r="B534" i="5"/>
  <c r="B536" i="5"/>
  <c r="B538" i="5"/>
  <c r="B540" i="5"/>
  <c r="B542" i="5"/>
  <c r="B544" i="5"/>
  <c r="B546" i="5"/>
  <c r="B548" i="5"/>
  <c r="B550" i="5"/>
  <c r="B552" i="5"/>
  <c r="B554" i="5"/>
  <c r="B556" i="5"/>
  <c r="B558" i="5"/>
  <c r="B560" i="5"/>
  <c r="B562" i="5"/>
  <c r="B564" i="5"/>
  <c r="B566" i="5"/>
  <c r="B568" i="5"/>
  <c r="B570" i="5"/>
  <c r="B572" i="5"/>
  <c r="B574" i="5"/>
  <c r="B576" i="5"/>
  <c r="B578" i="5"/>
  <c r="B580" i="5"/>
  <c r="B582" i="5"/>
  <c r="B584" i="5"/>
  <c r="B586" i="5"/>
  <c r="B588" i="5"/>
  <c r="B590" i="5"/>
  <c r="B592" i="5"/>
  <c r="B594" i="5"/>
  <c r="B596" i="5"/>
  <c r="B598" i="5"/>
  <c r="B600" i="5"/>
  <c r="B602" i="5"/>
  <c r="B604" i="5"/>
  <c r="B606" i="5"/>
  <c r="B608" i="5"/>
  <c r="B610" i="5"/>
  <c r="B612" i="5"/>
  <c r="B614" i="5"/>
  <c r="B616" i="5"/>
  <c r="B618" i="5"/>
  <c r="B620" i="5"/>
  <c r="B622" i="5"/>
  <c r="B624" i="5"/>
  <c r="B626" i="5"/>
  <c r="B628" i="5"/>
  <c r="B630" i="5"/>
  <c r="B632" i="5"/>
  <c r="B634" i="5"/>
  <c r="B636" i="5"/>
  <c r="B638" i="5"/>
  <c r="B640" i="5"/>
  <c r="B642" i="5"/>
  <c r="B644" i="5"/>
  <c r="B646" i="5"/>
  <c r="B648" i="5"/>
  <c r="B650" i="5"/>
  <c r="B652" i="5"/>
  <c r="B654" i="5"/>
  <c r="B656" i="5"/>
  <c r="B658" i="5"/>
  <c r="B660" i="5"/>
  <c r="B662" i="5"/>
  <c r="B664" i="5"/>
  <c r="B666" i="5"/>
  <c r="B668" i="5"/>
  <c r="B670" i="5"/>
  <c r="B672" i="5"/>
  <c r="B674" i="5"/>
  <c r="B676" i="5"/>
  <c r="B678" i="5"/>
  <c r="B680" i="5"/>
  <c r="B682" i="5"/>
  <c r="B684" i="5"/>
  <c r="B686" i="5"/>
  <c r="B688" i="5"/>
  <c r="B690" i="5"/>
  <c r="B692" i="5"/>
  <c r="B694" i="5"/>
  <c r="B696" i="5"/>
  <c r="B698" i="5"/>
  <c r="B700" i="5"/>
  <c r="B702" i="5"/>
  <c r="B704" i="5"/>
  <c r="B706" i="5"/>
  <c r="B708" i="5"/>
  <c r="B710" i="5"/>
  <c r="B712" i="5"/>
  <c r="B714" i="5"/>
  <c r="B716" i="5"/>
  <c r="B718" i="5"/>
  <c r="B720" i="5"/>
  <c r="B722" i="5"/>
  <c r="B724" i="5"/>
  <c r="B726" i="5"/>
  <c r="B728" i="5"/>
  <c r="B730" i="5"/>
  <c r="B732" i="5"/>
  <c r="B734" i="5"/>
  <c r="B736" i="5"/>
  <c r="B738" i="5"/>
  <c r="B740" i="5"/>
  <c r="B742" i="5"/>
  <c r="B744" i="5"/>
  <c r="B746" i="5"/>
  <c r="B748" i="5"/>
  <c r="B750" i="5"/>
  <c r="B752" i="5"/>
  <c r="B754" i="5"/>
  <c r="B756" i="5"/>
  <c r="B758" i="5"/>
  <c r="B760" i="5"/>
  <c r="B762" i="5"/>
  <c r="B764" i="5"/>
  <c r="B766" i="5"/>
  <c r="B768" i="5"/>
  <c r="B770" i="5"/>
  <c r="B772" i="5"/>
  <c r="B774" i="5"/>
  <c r="B776" i="5"/>
  <c r="B778" i="5"/>
  <c r="B780" i="5"/>
  <c r="B782" i="5"/>
  <c r="B784" i="5"/>
  <c r="B786" i="5"/>
  <c r="B788" i="5"/>
  <c r="B790" i="5"/>
  <c r="B792" i="5"/>
  <c r="B794" i="5"/>
  <c r="B796" i="5"/>
  <c r="B798" i="5"/>
  <c r="B800" i="5"/>
  <c r="B802" i="5"/>
  <c r="B804" i="5"/>
  <c r="B806" i="5"/>
  <c r="B808" i="5"/>
  <c r="B810" i="5"/>
  <c r="B812" i="5"/>
  <c r="B814" i="5"/>
  <c r="B816" i="5"/>
  <c r="B818" i="5"/>
  <c r="B820" i="5"/>
  <c r="B822" i="5"/>
  <c r="B824" i="5"/>
  <c r="B826" i="5"/>
  <c r="B828" i="5"/>
  <c r="B830" i="5"/>
  <c r="B832" i="5"/>
  <c r="B834" i="5"/>
  <c r="B836" i="5"/>
  <c r="B838" i="5"/>
  <c r="B840" i="5"/>
  <c r="B842" i="5"/>
  <c r="B844" i="5"/>
  <c r="B846" i="5"/>
  <c r="B848" i="5"/>
  <c r="B850" i="5"/>
  <c r="B852" i="5"/>
  <c r="B854" i="5"/>
  <c r="B856" i="5"/>
  <c r="B858" i="5"/>
  <c r="B860" i="5"/>
  <c r="B862" i="5"/>
  <c r="B864" i="5"/>
  <c r="B866" i="5"/>
  <c r="B868" i="5"/>
  <c r="B870" i="5"/>
  <c r="B872" i="5"/>
  <c r="B874" i="5"/>
  <c r="B876" i="5"/>
  <c r="B878" i="5"/>
  <c r="B880" i="5"/>
  <c r="B882" i="5"/>
  <c r="B884" i="5"/>
  <c r="B886" i="5"/>
  <c r="B888" i="5"/>
  <c r="B890" i="5"/>
  <c r="B892" i="5"/>
  <c r="B894" i="5"/>
  <c r="B896" i="5"/>
  <c r="B898" i="5"/>
  <c r="B900" i="5"/>
  <c r="B902" i="5"/>
  <c r="B904" i="5"/>
  <c r="B906" i="5"/>
  <c r="B908" i="5"/>
  <c r="B910" i="5"/>
  <c r="B912" i="5"/>
  <c r="B914" i="5"/>
  <c r="B916" i="5"/>
  <c r="B918" i="5"/>
  <c r="B920" i="5"/>
  <c r="B922" i="5"/>
  <c r="B924" i="5"/>
  <c r="B926" i="5"/>
  <c r="B928" i="5"/>
  <c r="B930" i="5"/>
  <c r="B932" i="5"/>
  <c r="B934" i="5"/>
  <c r="B936" i="5"/>
  <c r="B938" i="5"/>
  <c r="B940" i="5"/>
  <c r="B942" i="5"/>
  <c r="B944" i="5"/>
  <c r="B946" i="5"/>
  <c r="B948" i="5"/>
  <c r="B950" i="5"/>
  <c r="B952" i="5"/>
  <c r="B954" i="5"/>
  <c r="B956" i="5"/>
  <c r="B958" i="5"/>
  <c r="B960" i="5"/>
  <c r="B962" i="5"/>
  <c r="B964" i="5"/>
  <c r="B966" i="5"/>
  <c r="B968" i="5"/>
  <c r="B970" i="5"/>
  <c r="B972" i="5"/>
  <c r="B974" i="5"/>
  <c r="B976" i="5"/>
  <c r="B978" i="5"/>
  <c r="B980" i="5"/>
  <c r="B982" i="5"/>
  <c r="B984" i="5"/>
  <c r="B986" i="5"/>
  <c r="B988" i="5"/>
  <c r="B990" i="5"/>
  <c r="B992" i="5"/>
  <c r="B994" i="5"/>
  <c r="B996" i="5"/>
  <c r="B998" i="5"/>
  <c r="B1000" i="5"/>
  <c r="B1002" i="5"/>
  <c r="B1004" i="5"/>
  <c r="B1006" i="5"/>
  <c r="B1008" i="5"/>
  <c r="B1010" i="5"/>
  <c r="B1012" i="5"/>
  <c r="B1014" i="5"/>
  <c r="B1016" i="5"/>
  <c r="B1018" i="5"/>
  <c r="B1020" i="5"/>
  <c r="B1022" i="5"/>
  <c r="B1024" i="5"/>
  <c r="B1026" i="5"/>
  <c r="B1028" i="5"/>
  <c r="B1030" i="5"/>
  <c r="B1032" i="5"/>
  <c r="B1034" i="5"/>
  <c r="B1036" i="5"/>
  <c r="B1038" i="5"/>
  <c r="B1040" i="5"/>
  <c r="B1042" i="5"/>
  <c r="B1044" i="5"/>
  <c r="B1046" i="5"/>
  <c r="B1048" i="5"/>
  <c r="B1050" i="5"/>
  <c r="B1052" i="5"/>
  <c r="B1054" i="5"/>
  <c r="B1056" i="5"/>
  <c r="B1058" i="5"/>
  <c r="B1060" i="5"/>
  <c r="B1062" i="5"/>
  <c r="B1064" i="5"/>
  <c r="B1066" i="5"/>
  <c r="B1068" i="5"/>
  <c r="B1070" i="5"/>
  <c r="B1072" i="5"/>
  <c r="B1074" i="5"/>
  <c r="B1076" i="5"/>
  <c r="B1078" i="5"/>
  <c r="B1080" i="5"/>
  <c r="B1082" i="5"/>
  <c r="B1084" i="5"/>
  <c r="B1086" i="5"/>
  <c r="B1088" i="5"/>
  <c r="B1090" i="5"/>
  <c r="B1092" i="5"/>
  <c r="B1094" i="5"/>
  <c r="B1096" i="5"/>
  <c r="B1098" i="5"/>
  <c r="B1100" i="5"/>
  <c r="B1102" i="5"/>
  <c r="B1104" i="5"/>
  <c r="B1106" i="5"/>
  <c r="B1108" i="5"/>
  <c r="B1110" i="5"/>
  <c r="B1112" i="5"/>
  <c r="B1114" i="5"/>
  <c r="B1116" i="5"/>
  <c r="B1118" i="5"/>
  <c r="B1120" i="5"/>
  <c r="B1122" i="5"/>
  <c r="B1124" i="5"/>
  <c r="B1126" i="5"/>
  <c r="B1128" i="5"/>
  <c r="B1130" i="5"/>
  <c r="B1132" i="5"/>
  <c r="B1134" i="5"/>
  <c r="B1136" i="5"/>
  <c r="B1138" i="5"/>
  <c r="B1140" i="5"/>
  <c r="B1142" i="5"/>
  <c r="B1144" i="5"/>
  <c r="B1146" i="5"/>
  <c r="B1148" i="5"/>
  <c r="B1150" i="5"/>
  <c r="B1152" i="5"/>
  <c r="B1154" i="5"/>
  <c r="B1156" i="5"/>
  <c r="B1158" i="5"/>
  <c r="B1160" i="5"/>
  <c r="B1162" i="5"/>
  <c r="G68" i="1"/>
  <c r="G69" i="1"/>
  <c r="G70" i="1"/>
  <c r="G71" i="1"/>
  <c r="G72" i="1"/>
  <c r="G73" i="1"/>
  <c r="G74" i="1"/>
  <c r="G75" i="1"/>
  <c r="G76" i="1"/>
  <c r="G77" i="1"/>
  <c r="G7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20" i="1"/>
  <c r="G18" i="1"/>
  <c r="G17" i="1"/>
  <c r="G11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2" i="2"/>
  <c r="H189" i="1"/>
  <c r="H184" i="1"/>
  <c r="G189" i="1"/>
  <c r="G184" i="1"/>
  <c r="I114" i="1"/>
  <c r="F2" i="1" l="1"/>
  <c r="S45" i="1"/>
  <c r="R45" i="1"/>
  <c r="Q45" i="1"/>
  <c r="P45" i="1"/>
  <c r="O45" i="1"/>
  <c r="N45" i="1"/>
  <c r="T45" i="1"/>
  <c r="M45" i="1"/>
  <c r="L45" i="1"/>
  <c r="K45" i="1"/>
  <c r="J45" i="1"/>
  <c r="I45" i="1"/>
  <c r="S44" i="1"/>
  <c r="R44" i="1"/>
  <c r="Q44" i="1"/>
  <c r="P44" i="1"/>
  <c r="O44" i="1"/>
  <c r="N44" i="1"/>
  <c r="T44" i="1"/>
  <c r="M44" i="1"/>
  <c r="L44" i="1"/>
  <c r="K44" i="1"/>
  <c r="J44" i="1"/>
  <c r="I44" i="1"/>
  <c r="S41" i="1"/>
  <c r="R41" i="1"/>
  <c r="Q41" i="1"/>
  <c r="P41" i="1"/>
  <c r="O41" i="1"/>
  <c r="N41" i="1"/>
  <c r="T41" i="1"/>
  <c r="M41" i="1"/>
  <c r="L41" i="1"/>
  <c r="K41" i="1"/>
  <c r="J41" i="1"/>
  <c r="I41" i="1"/>
  <c r="S40" i="1"/>
  <c r="R40" i="1"/>
  <c r="Q40" i="1"/>
  <c r="P40" i="1"/>
  <c r="O40" i="1"/>
  <c r="N40" i="1"/>
  <c r="T40" i="1"/>
  <c r="M40" i="1"/>
  <c r="L40" i="1"/>
  <c r="K40" i="1"/>
  <c r="J40" i="1"/>
  <c r="I40" i="1"/>
  <c r="S39" i="1"/>
  <c r="R39" i="1"/>
  <c r="Q39" i="1"/>
  <c r="P39" i="1"/>
  <c r="O39" i="1"/>
  <c r="N39" i="1"/>
  <c r="T39" i="1"/>
  <c r="M39" i="1"/>
  <c r="L39" i="1"/>
  <c r="K39" i="1"/>
  <c r="J39" i="1"/>
  <c r="I39" i="1"/>
  <c r="I27" i="1"/>
  <c r="S183" i="1"/>
  <c r="R183" i="1"/>
  <c r="Q183" i="1"/>
  <c r="P183" i="1"/>
  <c r="O183" i="1"/>
  <c r="N183" i="1"/>
  <c r="T183" i="1"/>
  <c r="M183" i="1"/>
  <c r="L183" i="1"/>
  <c r="K183" i="1"/>
  <c r="J183" i="1"/>
  <c r="I183" i="1"/>
  <c r="S182" i="1"/>
  <c r="R182" i="1"/>
  <c r="Q182" i="1"/>
  <c r="P182" i="1"/>
  <c r="O182" i="1"/>
  <c r="N182" i="1"/>
  <c r="T182" i="1"/>
  <c r="M182" i="1"/>
  <c r="L182" i="1"/>
  <c r="K182" i="1"/>
  <c r="J182" i="1"/>
  <c r="I182" i="1"/>
  <c r="S181" i="1"/>
  <c r="R181" i="1"/>
  <c r="Q181" i="1"/>
  <c r="P181" i="1"/>
  <c r="O181" i="1"/>
  <c r="N181" i="1"/>
  <c r="T181" i="1"/>
  <c r="M181" i="1"/>
  <c r="L181" i="1"/>
  <c r="K181" i="1"/>
  <c r="J181" i="1"/>
  <c r="I181" i="1"/>
  <c r="S180" i="1"/>
  <c r="R180" i="1"/>
  <c r="Q180" i="1"/>
  <c r="P180" i="1"/>
  <c r="O180" i="1"/>
  <c r="N180" i="1"/>
  <c r="T180" i="1"/>
  <c r="M180" i="1"/>
  <c r="L180" i="1"/>
  <c r="K180" i="1"/>
  <c r="J180" i="1"/>
  <c r="I180" i="1"/>
  <c r="S179" i="1"/>
  <c r="R179" i="1"/>
  <c r="Q179" i="1"/>
  <c r="P179" i="1"/>
  <c r="O179" i="1"/>
  <c r="N179" i="1"/>
  <c r="T179" i="1"/>
  <c r="M179" i="1"/>
  <c r="L179" i="1"/>
  <c r="K179" i="1"/>
  <c r="J179" i="1"/>
  <c r="I179" i="1"/>
  <c r="S178" i="1"/>
  <c r="R178" i="1"/>
  <c r="Q178" i="1"/>
  <c r="P178" i="1"/>
  <c r="O178" i="1"/>
  <c r="N178" i="1"/>
  <c r="T178" i="1"/>
  <c r="M178" i="1"/>
  <c r="L178" i="1"/>
  <c r="K178" i="1"/>
  <c r="J178" i="1"/>
  <c r="I178" i="1"/>
  <c r="S177" i="1"/>
  <c r="R177" i="1"/>
  <c r="Q177" i="1"/>
  <c r="P177" i="1"/>
  <c r="O177" i="1"/>
  <c r="N177" i="1"/>
  <c r="T177" i="1"/>
  <c r="M177" i="1"/>
  <c r="L177" i="1"/>
  <c r="K177" i="1"/>
  <c r="J177" i="1"/>
  <c r="I177" i="1"/>
  <c r="S176" i="1"/>
  <c r="R176" i="1"/>
  <c r="Q176" i="1"/>
  <c r="P176" i="1"/>
  <c r="O176" i="1"/>
  <c r="N176" i="1"/>
  <c r="T176" i="1"/>
  <c r="M176" i="1"/>
  <c r="L176" i="1"/>
  <c r="K176" i="1"/>
  <c r="J176" i="1"/>
  <c r="I176" i="1"/>
  <c r="S175" i="1"/>
  <c r="R175" i="1"/>
  <c r="Q175" i="1"/>
  <c r="P175" i="1"/>
  <c r="O175" i="1"/>
  <c r="N175" i="1"/>
  <c r="T175" i="1"/>
  <c r="M175" i="1"/>
  <c r="L175" i="1"/>
  <c r="K175" i="1"/>
  <c r="J175" i="1"/>
  <c r="I175" i="1"/>
  <c r="S174" i="1"/>
  <c r="R174" i="1"/>
  <c r="Q174" i="1"/>
  <c r="P174" i="1"/>
  <c r="O174" i="1"/>
  <c r="N174" i="1"/>
  <c r="T174" i="1"/>
  <c r="M174" i="1"/>
  <c r="L174" i="1"/>
  <c r="K174" i="1"/>
  <c r="J174" i="1"/>
  <c r="I174" i="1"/>
  <c r="S173" i="1"/>
  <c r="R173" i="1"/>
  <c r="Q173" i="1"/>
  <c r="P173" i="1"/>
  <c r="O173" i="1"/>
  <c r="N173" i="1"/>
  <c r="T173" i="1"/>
  <c r="M173" i="1"/>
  <c r="L173" i="1"/>
  <c r="K173" i="1"/>
  <c r="J173" i="1"/>
  <c r="I173" i="1"/>
  <c r="S172" i="1"/>
  <c r="R172" i="1"/>
  <c r="Q172" i="1"/>
  <c r="P172" i="1"/>
  <c r="O172" i="1"/>
  <c r="N172" i="1"/>
  <c r="T172" i="1"/>
  <c r="M172" i="1"/>
  <c r="L172" i="1"/>
  <c r="K172" i="1"/>
  <c r="J172" i="1"/>
  <c r="I172" i="1"/>
  <c r="S171" i="1"/>
  <c r="R171" i="1"/>
  <c r="Q171" i="1"/>
  <c r="P171" i="1"/>
  <c r="O171" i="1"/>
  <c r="N171" i="1"/>
  <c r="T171" i="1"/>
  <c r="M171" i="1"/>
  <c r="L171" i="1"/>
  <c r="K171" i="1"/>
  <c r="J171" i="1"/>
  <c r="I171" i="1"/>
  <c r="S170" i="1"/>
  <c r="R170" i="1"/>
  <c r="Q170" i="1"/>
  <c r="P170" i="1"/>
  <c r="O170" i="1"/>
  <c r="N170" i="1"/>
  <c r="T170" i="1"/>
  <c r="M170" i="1"/>
  <c r="L170" i="1"/>
  <c r="K170" i="1"/>
  <c r="J170" i="1"/>
  <c r="I170" i="1"/>
  <c r="S169" i="1"/>
  <c r="R169" i="1"/>
  <c r="Q169" i="1"/>
  <c r="P169" i="1"/>
  <c r="O169" i="1"/>
  <c r="N169" i="1"/>
  <c r="T169" i="1"/>
  <c r="M169" i="1"/>
  <c r="L169" i="1"/>
  <c r="K169" i="1"/>
  <c r="J169" i="1"/>
  <c r="I169" i="1"/>
  <c r="S168" i="1"/>
  <c r="R168" i="1"/>
  <c r="Q168" i="1"/>
  <c r="P168" i="1"/>
  <c r="O168" i="1"/>
  <c r="N168" i="1"/>
  <c r="T168" i="1"/>
  <c r="M168" i="1"/>
  <c r="L168" i="1"/>
  <c r="K168" i="1"/>
  <c r="J168" i="1"/>
  <c r="I168" i="1"/>
  <c r="S167" i="1"/>
  <c r="R167" i="1"/>
  <c r="Q167" i="1"/>
  <c r="P167" i="1"/>
  <c r="O167" i="1"/>
  <c r="N167" i="1"/>
  <c r="T167" i="1"/>
  <c r="M167" i="1"/>
  <c r="L167" i="1"/>
  <c r="K167" i="1"/>
  <c r="J167" i="1"/>
  <c r="I167" i="1"/>
  <c r="S166" i="1"/>
  <c r="R166" i="1"/>
  <c r="Q166" i="1"/>
  <c r="P166" i="1"/>
  <c r="O166" i="1"/>
  <c r="N166" i="1"/>
  <c r="T166" i="1"/>
  <c r="M166" i="1"/>
  <c r="L166" i="1"/>
  <c r="K166" i="1"/>
  <c r="J166" i="1"/>
  <c r="I166" i="1"/>
  <c r="S165" i="1"/>
  <c r="R165" i="1"/>
  <c r="Q165" i="1"/>
  <c r="P165" i="1"/>
  <c r="O165" i="1"/>
  <c r="N165" i="1"/>
  <c r="T165" i="1"/>
  <c r="M165" i="1"/>
  <c r="L165" i="1"/>
  <c r="K165" i="1"/>
  <c r="J165" i="1"/>
  <c r="I165" i="1"/>
  <c r="S164" i="1"/>
  <c r="R164" i="1"/>
  <c r="Q164" i="1"/>
  <c r="P164" i="1"/>
  <c r="O164" i="1"/>
  <c r="N164" i="1"/>
  <c r="T164" i="1"/>
  <c r="M164" i="1"/>
  <c r="L164" i="1"/>
  <c r="K164" i="1"/>
  <c r="J164" i="1"/>
  <c r="I164" i="1"/>
  <c r="S163" i="1"/>
  <c r="R163" i="1"/>
  <c r="Q163" i="1"/>
  <c r="P163" i="1"/>
  <c r="O163" i="1"/>
  <c r="N163" i="1"/>
  <c r="T163" i="1"/>
  <c r="M163" i="1"/>
  <c r="L163" i="1"/>
  <c r="K163" i="1"/>
  <c r="J163" i="1"/>
  <c r="I163" i="1"/>
  <c r="S162" i="1"/>
  <c r="R162" i="1"/>
  <c r="Q162" i="1"/>
  <c r="P162" i="1"/>
  <c r="O162" i="1"/>
  <c r="N162" i="1"/>
  <c r="T162" i="1"/>
  <c r="M162" i="1"/>
  <c r="L162" i="1"/>
  <c r="K162" i="1"/>
  <c r="J162" i="1"/>
  <c r="I162" i="1"/>
  <c r="S161" i="1"/>
  <c r="R161" i="1"/>
  <c r="Q161" i="1"/>
  <c r="P161" i="1"/>
  <c r="O161" i="1"/>
  <c r="N161" i="1"/>
  <c r="T161" i="1"/>
  <c r="M161" i="1"/>
  <c r="L161" i="1"/>
  <c r="K161" i="1"/>
  <c r="J161" i="1"/>
  <c r="I161" i="1"/>
  <c r="S160" i="1"/>
  <c r="R160" i="1"/>
  <c r="Q160" i="1"/>
  <c r="P160" i="1"/>
  <c r="O160" i="1"/>
  <c r="N160" i="1"/>
  <c r="T160" i="1"/>
  <c r="M160" i="1"/>
  <c r="L160" i="1"/>
  <c r="K160" i="1"/>
  <c r="J160" i="1"/>
  <c r="I160" i="1"/>
  <c r="S159" i="1"/>
  <c r="R159" i="1"/>
  <c r="Q159" i="1"/>
  <c r="P159" i="1"/>
  <c r="O159" i="1"/>
  <c r="N159" i="1"/>
  <c r="T159" i="1"/>
  <c r="M159" i="1"/>
  <c r="L159" i="1"/>
  <c r="K159" i="1"/>
  <c r="J159" i="1"/>
  <c r="I159" i="1"/>
  <c r="S158" i="1"/>
  <c r="R158" i="1"/>
  <c r="Q158" i="1"/>
  <c r="P158" i="1"/>
  <c r="O158" i="1"/>
  <c r="N158" i="1"/>
  <c r="T158" i="1"/>
  <c r="M158" i="1"/>
  <c r="L158" i="1"/>
  <c r="K158" i="1"/>
  <c r="J158" i="1"/>
  <c r="I158" i="1"/>
  <c r="S157" i="1"/>
  <c r="R157" i="1"/>
  <c r="Q157" i="1"/>
  <c r="P157" i="1"/>
  <c r="O157" i="1"/>
  <c r="N157" i="1"/>
  <c r="T157" i="1"/>
  <c r="M157" i="1"/>
  <c r="L157" i="1"/>
  <c r="K157" i="1"/>
  <c r="J157" i="1"/>
  <c r="I157" i="1"/>
  <c r="S156" i="1"/>
  <c r="R156" i="1"/>
  <c r="Q156" i="1"/>
  <c r="P156" i="1"/>
  <c r="O156" i="1"/>
  <c r="N156" i="1"/>
  <c r="T156" i="1"/>
  <c r="M156" i="1"/>
  <c r="L156" i="1"/>
  <c r="K156" i="1"/>
  <c r="J156" i="1"/>
  <c r="I156" i="1"/>
  <c r="S155" i="1"/>
  <c r="R155" i="1"/>
  <c r="Q155" i="1"/>
  <c r="P155" i="1"/>
  <c r="O155" i="1"/>
  <c r="N155" i="1"/>
  <c r="T155" i="1"/>
  <c r="M155" i="1"/>
  <c r="L155" i="1"/>
  <c r="K155" i="1"/>
  <c r="J155" i="1"/>
  <c r="I155" i="1"/>
  <c r="S154" i="1"/>
  <c r="R154" i="1"/>
  <c r="Q154" i="1"/>
  <c r="P154" i="1"/>
  <c r="O154" i="1"/>
  <c r="N154" i="1"/>
  <c r="T154" i="1"/>
  <c r="M154" i="1"/>
  <c r="L154" i="1"/>
  <c r="K154" i="1"/>
  <c r="J154" i="1"/>
  <c r="I154" i="1"/>
  <c r="S153" i="1"/>
  <c r="R153" i="1"/>
  <c r="Q153" i="1"/>
  <c r="P153" i="1"/>
  <c r="O153" i="1"/>
  <c r="N153" i="1"/>
  <c r="T153" i="1"/>
  <c r="M153" i="1"/>
  <c r="L153" i="1"/>
  <c r="K153" i="1"/>
  <c r="J153" i="1"/>
  <c r="I153" i="1"/>
  <c r="S152" i="1"/>
  <c r="R152" i="1"/>
  <c r="Q152" i="1"/>
  <c r="P152" i="1"/>
  <c r="O152" i="1"/>
  <c r="N152" i="1"/>
  <c r="T152" i="1"/>
  <c r="M152" i="1"/>
  <c r="L152" i="1"/>
  <c r="K152" i="1"/>
  <c r="J152" i="1"/>
  <c r="I152" i="1"/>
  <c r="S151" i="1"/>
  <c r="R151" i="1"/>
  <c r="Q151" i="1"/>
  <c r="P151" i="1"/>
  <c r="O151" i="1"/>
  <c r="N151" i="1"/>
  <c r="T151" i="1"/>
  <c r="M151" i="1"/>
  <c r="L151" i="1"/>
  <c r="K151" i="1"/>
  <c r="J151" i="1"/>
  <c r="I151" i="1"/>
  <c r="S150" i="1"/>
  <c r="R150" i="1"/>
  <c r="Q150" i="1"/>
  <c r="P150" i="1"/>
  <c r="O150" i="1"/>
  <c r="N150" i="1"/>
  <c r="T150" i="1"/>
  <c r="M150" i="1"/>
  <c r="L150" i="1"/>
  <c r="K150" i="1"/>
  <c r="J150" i="1"/>
  <c r="I150" i="1"/>
  <c r="S149" i="1"/>
  <c r="R149" i="1"/>
  <c r="Q149" i="1"/>
  <c r="P149" i="1"/>
  <c r="O149" i="1"/>
  <c r="N149" i="1"/>
  <c r="T149" i="1"/>
  <c r="M149" i="1"/>
  <c r="L149" i="1"/>
  <c r="K149" i="1"/>
  <c r="J149" i="1"/>
  <c r="I149" i="1"/>
  <c r="S148" i="1"/>
  <c r="R148" i="1"/>
  <c r="Q148" i="1"/>
  <c r="P148" i="1"/>
  <c r="O148" i="1"/>
  <c r="N148" i="1"/>
  <c r="T148" i="1"/>
  <c r="M148" i="1"/>
  <c r="L148" i="1"/>
  <c r="K148" i="1"/>
  <c r="J148" i="1"/>
  <c r="I148" i="1"/>
  <c r="S147" i="1"/>
  <c r="R147" i="1"/>
  <c r="Q147" i="1"/>
  <c r="P147" i="1"/>
  <c r="O147" i="1"/>
  <c r="N147" i="1"/>
  <c r="T147" i="1"/>
  <c r="M147" i="1"/>
  <c r="L147" i="1"/>
  <c r="K147" i="1"/>
  <c r="J147" i="1"/>
  <c r="I147" i="1"/>
  <c r="S146" i="1"/>
  <c r="R146" i="1"/>
  <c r="Q146" i="1"/>
  <c r="P146" i="1"/>
  <c r="O146" i="1"/>
  <c r="N146" i="1"/>
  <c r="T146" i="1"/>
  <c r="M146" i="1"/>
  <c r="L146" i="1"/>
  <c r="K146" i="1"/>
  <c r="J146" i="1"/>
  <c r="I146" i="1"/>
  <c r="S145" i="1"/>
  <c r="R145" i="1"/>
  <c r="Q145" i="1"/>
  <c r="P145" i="1"/>
  <c r="O145" i="1"/>
  <c r="N145" i="1"/>
  <c r="T145" i="1"/>
  <c r="M145" i="1"/>
  <c r="L145" i="1"/>
  <c r="K145" i="1"/>
  <c r="J145" i="1"/>
  <c r="I145" i="1"/>
  <c r="S144" i="1"/>
  <c r="R144" i="1"/>
  <c r="Q144" i="1"/>
  <c r="P144" i="1"/>
  <c r="O144" i="1"/>
  <c r="N144" i="1"/>
  <c r="T144" i="1"/>
  <c r="M144" i="1"/>
  <c r="L144" i="1"/>
  <c r="K144" i="1"/>
  <c r="J144" i="1"/>
  <c r="I144" i="1"/>
  <c r="S143" i="1"/>
  <c r="R143" i="1"/>
  <c r="Q143" i="1"/>
  <c r="P143" i="1"/>
  <c r="O143" i="1"/>
  <c r="N143" i="1"/>
  <c r="T143" i="1"/>
  <c r="M143" i="1"/>
  <c r="L143" i="1"/>
  <c r="K143" i="1"/>
  <c r="J143" i="1"/>
  <c r="I143" i="1"/>
  <c r="S142" i="1"/>
  <c r="R142" i="1"/>
  <c r="Q142" i="1"/>
  <c r="P142" i="1"/>
  <c r="O142" i="1"/>
  <c r="N142" i="1"/>
  <c r="T142" i="1"/>
  <c r="M142" i="1"/>
  <c r="L142" i="1"/>
  <c r="K142" i="1"/>
  <c r="J142" i="1"/>
  <c r="I142" i="1"/>
  <c r="S141" i="1"/>
  <c r="R141" i="1"/>
  <c r="Q141" i="1"/>
  <c r="P141" i="1"/>
  <c r="O141" i="1"/>
  <c r="N141" i="1"/>
  <c r="T141" i="1"/>
  <c r="M141" i="1"/>
  <c r="L141" i="1"/>
  <c r="K141" i="1"/>
  <c r="J141" i="1"/>
  <c r="I141" i="1"/>
  <c r="S140" i="1"/>
  <c r="R140" i="1"/>
  <c r="Q140" i="1"/>
  <c r="P140" i="1"/>
  <c r="O140" i="1"/>
  <c r="N140" i="1"/>
  <c r="T140" i="1"/>
  <c r="M140" i="1"/>
  <c r="L140" i="1"/>
  <c r="K140" i="1"/>
  <c r="J140" i="1"/>
  <c r="I140" i="1"/>
  <c r="S139" i="1"/>
  <c r="R139" i="1"/>
  <c r="Q139" i="1"/>
  <c r="P139" i="1"/>
  <c r="O139" i="1"/>
  <c r="N139" i="1"/>
  <c r="T139" i="1"/>
  <c r="M139" i="1"/>
  <c r="L139" i="1"/>
  <c r="K139" i="1"/>
  <c r="J139" i="1"/>
  <c r="I139" i="1"/>
  <c r="S138" i="1"/>
  <c r="R138" i="1"/>
  <c r="Q138" i="1"/>
  <c r="P138" i="1"/>
  <c r="O138" i="1"/>
  <c r="N138" i="1"/>
  <c r="T138" i="1"/>
  <c r="M138" i="1"/>
  <c r="L138" i="1"/>
  <c r="K138" i="1"/>
  <c r="J138" i="1"/>
  <c r="I138" i="1"/>
  <c r="S137" i="1"/>
  <c r="R137" i="1"/>
  <c r="Q137" i="1"/>
  <c r="P137" i="1"/>
  <c r="O137" i="1"/>
  <c r="N137" i="1"/>
  <c r="T137" i="1"/>
  <c r="M137" i="1"/>
  <c r="L137" i="1"/>
  <c r="K137" i="1"/>
  <c r="J137" i="1"/>
  <c r="I137" i="1"/>
  <c r="S136" i="1"/>
  <c r="R136" i="1"/>
  <c r="Q136" i="1"/>
  <c r="P136" i="1"/>
  <c r="O136" i="1"/>
  <c r="N136" i="1"/>
  <c r="T136" i="1"/>
  <c r="M136" i="1"/>
  <c r="L136" i="1"/>
  <c r="K136" i="1"/>
  <c r="J136" i="1"/>
  <c r="I136" i="1"/>
  <c r="S135" i="1"/>
  <c r="R135" i="1"/>
  <c r="Q135" i="1"/>
  <c r="P135" i="1"/>
  <c r="O135" i="1"/>
  <c r="N135" i="1"/>
  <c r="T135" i="1"/>
  <c r="M135" i="1"/>
  <c r="L135" i="1"/>
  <c r="K135" i="1"/>
  <c r="J135" i="1"/>
  <c r="I135" i="1"/>
  <c r="S134" i="1"/>
  <c r="R134" i="1"/>
  <c r="Q134" i="1"/>
  <c r="P134" i="1"/>
  <c r="O134" i="1"/>
  <c r="N134" i="1"/>
  <c r="T134" i="1"/>
  <c r="M134" i="1"/>
  <c r="L134" i="1"/>
  <c r="K134" i="1"/>
  <c r="J134" i="1"/>
  <c r="I134" i="1"/>
  <c r="S133" i="1"/>
  <c r="R133" i="1"/>
  <c r="Q133" i="1"/>
  <c r="P133" i="1"/>
  <c r="O133" i="1"/>
  <c r="N133" i="1"/>
  <c r="T133" i="1"/>
  <c r="M133" i="1"/>
  <c r="L133" i="1"/>
  <c r="K133" i="1"/>
  <c r="J133" i="1"/>
  <c r="I133" i="1"/>
  <c r="S132" i="1"/>
  <c r="R132" i="1"/>
  <c r="Q132" i="1"/>
  <c r="P132" i="1"/>
  <c r="O132" i="1"/>
  <c r="N132" i="1"/>
  <c r="T132" i="1"/>
  <c r="M132" i="1"/>
  <c r="L132" i="1"/>
  <c r="K132" i="1"/>
  <c r="J132" i="1"/>
  <c r="I132" i="1"/>
  <c r="S131" i="1"/>
  <c r="R131" i="1"/>
  <c r="Q131" i="1"/>
  <c r="P131" i="1"/>
  <c r="O131" i="1"/>
  <c r="N131" i="1"/>
  <c r="T131" i="1"/>
  <c r="M131" i="1"/>
  <c r="L131" i="1"/>
  <c r="K131" i="1"/>
  <c r="J131" i="1"/>
  <c r="I131" i="1"/>
  <c r="S130" i="1"/>
  <c r="R130" i="1"/>
  <c r="Q130" i="1"/>
  <c r="P130" i="1"/>
  <c r="O130" i="1"/>
  <c r="N130" i="1"/>
  <c r="T130" i="1"/>
  <c r="M130" i="1"/>
  <c r="L130" i="1"/>
  <c r="K130" i="1"/>
  <c r="J130" i="1"/>
  <c r="I130" i="1"/>
  <c r="S129" i="1"/>
  <c r="R129" i="1"/>
  <c r="Q129" i="1"/>
  <c r="P129" i="1"/>
  <c r="O129" i="1"/>
  <c r="N129" i="1"/>
  <c r="T129" i="1"/>
  <c r="M129" i="1"/>
  <c r="L129" i="1"/>
  <c r="K129" i="1"/>
  <c r="J129" i="1"/>
  <c r="I129" i="1"/>
  <c r="S128" i="1"/>
  <c r="R128" i="1"/>
  <c r="Q128" i="1"/>
  <c r="P128" i="1"/>
  <c r="O128" i="1"/>
  <c r="N128" i="1"/>
  <c r="T128" i="1"/>
  <c r="M128" i="1"/>
  <c r="L128" i="1"/>
  <c r="K128" i="1"/>
  <c r="J128" i="1"/>
  <c r="I128" i="1"/>
  <c r="S127" i="1"/>
  <c r="R127" i="1"/>
  <c r="Q127" i="1"/>
  <c r="P127" i="1"/>
  <c r="O127" i="1"/>
  <c r="N127" i="1"/>
  <c r="T127" i="1"/>
  <c r="M127" i="1"/>
  <c r="L127" i="1"/>
  <c r="K127" i="1"/>
  <c r="J127" i="1"/>
  <c r="I127" i="1"/>
  <c r="S126" i="1"/>
  <c r="R126" i="1"/>
  <c r="Q126" i="1"/>
  <c r="P126" i="1"/>
  <c r="O126" i="1"/>
  <c r="N126" i="1"/>
  <c r="T126" i="1"/>
  <c r="M126" i="1"/>
  <c r="L126" i="1"/>
  <c r="K126" i="1"/>
  <c r="J126" i="1"/>
  <c r="I126" i="1"/>
  <c r="S125" i="1"/>
  <c r="R125" i="1"/>
  <c r="Q125" i="1"/>
  <c r="P125" i="1"/>
  <c r="O125" i="1"/>
  <c r="N125" i="1"/>
  <c r="T125" i="1"/>
  <c r="M125" i="1"/>
  <c r="L125" i="1"/>
  <c r="K125" i="1"/>
  <c r="J125" i="1"/>
  <c r="I125" i="1"/>
  <c r="S124" i="1"/>
  <c r="R124" i="1"/>
  <c r="Q124" i="1"/>
  <c r="P124" i="1"/>
  <c r="O124" i="1"/>
  <c r="N124" i="1"/>
  <c r="T124" i="1"/>
  <c r="M124" i="1"/>
  <c r="L124" i="1"/>
  <c r="K124" i="1"/>
  <c r="J124" i="1"/>
  <c r="I124" i="1"/>
  <c r="S123" i="1"/>
  <c r="R123" i="1"/>
  <c r="Q123" i="1"/>
  <c r="P123" i="1"/>
  <c r="O123" i="1"/>
  <c r="N123" i="1"/>
  <c r="T123" i="1"/>
  <c r="M123" i="1"/>
  <c r="L123" i="1"/>
  <c r="K123" i="1"/>
  <c r="J123" i="1"/>
  <c r="I123" i="1"/>
  <c r="S122" i="1"/>
  <c r="R122" i="1"/>
  <c r="Q122" i="1"/>
  <c r="P122" i="1"/>
  <c r="O122" i="1"/>
  <c r="N122" i="1"/>
  <c r="T122" i="1"/>
  <c r="M122" i="1"/>
  <c r="L122" i="1"/>
  <c r="K122" i="1"/>
  <c r="J122" i="1"/>
  <c r="I122" i="1"/>
  <c r="S121" i="1"/>
  <c r="R121" i="1"/>
  <c r="Q121" i="1"/>
  <c r="P121" i="1"/>
  <c r="O121" i="1"/>
  <c r="N121" i="1"/>
  <c r="T121" i="1"/>
  <c r="M121" i="1"/>
  <c r="L121" i="1"/>
  <c r="K121" i="1"/>
  <c r="J121" i="1"/>
  <c r="I121" i="1"/>
  <c r="S120" i="1"/>
  <c r="R120" i="1"/>
  <c r="Q120" i="1"/>
  <c r="P120" i="1"/>
  <c r="O120" i="1"/>
  <c r="N120" i="1"/>
  <c r="T120" i="1"/>
  <c r="M120" i="1"/>
  <c r="L120" i="1"/>
  <c r="K120" i="1"/>
  <c r="J120" i="1"/>
  <c r="I120" i="1"/>
  <c r="S119" i="1"/>
  <c r="R119" i="1"/>
  <c r="Q119" i="1"/>
  <c r="P119" i="1"/>
  <c r="O119" i="1"/>
  <c r="N119" i="1"/>
  <c r="T119" i="1"/>
  <c r="M119" i="1"/>
  <c r="L119" i="1"/>
  <c r="K119" i="1"/>
  <c r="J119" i="1"/>
  <c r="I119" i="1"/>
  <c r="S118" i="1"/>
  <c r="R118" i="1"/>
  <c r="Q118" i="1"/>
  <c r="P118" i="1"/>
  <c r="O118" i="1"/>
  <c r="N118" i="1"/>
  <c r="T118" i="1"/>
  <c r="M118" i="1"/>
  <c r="L118" i="1"/>
  <c r="K118" i="1"/>
  <c r="J118" i="1"/>
  <c r="I118" i="1"/>
  <c r="S117" i="1"/>
  <c r="R117" i="1"/>
  <c r="Q117" i="1"/>
  <c r="P117" i="1"/>
  <c r="O117" i="1"/>
  <c r="N117" i="1"/>
  <c r="T117" i="1"/>
  <c r="M117" i="1"/>
  <c r="L117" i="1"/>
  <c r="K117" i="1"/>
  <c r="J117" i="1"/>
  <c r="I117" i="1"/>
  <c r="S116" i="1"/>
  <c r="R116" i="1"/>
  <c r="Q116" i="1"/>
  <c r="P116" i="1"/>
  <c r="O116" i="1"/>
  <c r="N116" i="1"/>
  <c r="T116" i="1"/>
  <c r="M116" i="1"/>
  <c r="L116" i="1"/>
  <c r="K116" i="1"/>
  <c r="J116" i="1"/>
  <c r="I116" i="1"/>
  <c r="S115" i="1"/>
  <c r="R115" i="1"/>
  <c r="Q115" i="1"/>
  <c r="P115" i="1"/>
  <c r="O115" i="1"/>
  <c r="N115" i="1"/>
  <c r="T115" i="1"/>
  <c r="M115" i="1"/>
  <c r="L115" i="1"/>
  <c r="K115" i="1"/>
  <c r="J115" i="1"/>
  <c r="I115" i="1"/>
  <c r="S114" i="1"/>
  <c r="R114" i="1"/>
  <c r="Q114" i="1"/>
  <c r="P114" i="1"/>
  <c r="O114" i="1"/>
  <c r="N114" i="1"/>
  <c r="T114" i="1"/>
  <c r="M114" i="1"/>
  <c r="L114" i="1"/>
  <c r="K114" i="1"/>
  <c r="J114" i="1"/>
  <c r="S113" i="1"/>
  <c r="R113" i="1"/>
  <c r="Q113" i="1"/>
  <c r="P113" i="1"/>
  <c r="O113" i="1"/>
  <c r="N113" i="1"/>
  <c r="T113" i="1"/>
  <c r="M113" i="1"/>
  <c r="L113" i="1"/>
  <c r="K113" i="1"/>
  <c r="J113" i="1"/>
  <c r="I113" i="1"/>
  <c r="S112" i="1"/>
  <c r="R112" i="1"/>
  <c r="Q112" i="1"/>
  <c r="P112" i="1"/>
  <c r="O112" i="1"/>
  <c r="N112" i="1"/>
  <c r="T112" i="1"/>
  <c r="M112" i="1"/>
  <c r="L112" i="1"/>
  <c r="K112" i="1"/>
  <c r="J112" i="1"/>
  <c r="I112" i="1"/>
  <c r="S111" i="1"/>
  <c r="R111" i="1"/>
  <c r="Q111" i="1"/>
  <c r="P111" i="1"/>
  <c r="O111" i="1"/>
  <c r="N111" i="1"/>
  <c r="T111" i="1"/>
  <c r="M111" i="1"/>
  <c r="L111" i="1"/>
  <c r="K111" i="1"/>
  <c r="J111" i="1"/>
  <c r="I111" i="1"/>
  <c r="S110" i="1"/>
  <c r="R110" i="1"/>
  <c r="Q110" i="1"/>
  <c r="P110" i="1"/>
  <c r="O110" i="1"/>
  <c r="N110" i="1"/>
  <c r="T110" i="1"/>
  <c r="M110" i="1"/>
  <c r="L110" i="1"/>
  <c r="K110" i="1"/>
  <c r="J110" i="1"/>
  <c r="I110" i="1"/>
  <c r="S109" i="1"/>
  <c r="R109" i="1"/>
  <c r="Q109" i="1"/>
  <c r="P109" i="1"/>
  <c r="O109" i="1"/>
  <c r="N109" i="1"/>
  <c r="T109" i="1"/>
  <c r="M109" i="1"/>
  <c r="L109" i="1"/>
  <c r="K109" i="1"/>
  <c r="J109" i="1"/>
  <c r="I109" i="1"/>
  <c r="S108" i="1"/>
  <c r="S189" i="1" s="1"/>
  <c r="R108" i="1"/>
  <c r="R189" i="1" s="1"/>
  <c r="Q108" i="1"/>
  <c r="Q189" i="1" s="1"/>
  <c r="P108" i="1"/>
  <c r="P189" i="1" s="1"/>
  <c r="O108" i="1"/>
  <c r="O189" i="1" s="1"/>
  <c r="N108" i="1"/>
  <c r="N189" i="1" s="1"/>
  <c r="T108" i="1"/>
  <c r="T189" i="1" s="1"/>
  <c r="M108" i="1"/>
  <c r="M189" i="1" s="1"/>
  <c r="L108" i="1"/>
  <c r="K108" i="1"/>
  <c r="J108" i="1"/>
  <c r="I108" i="1"/>
  <c r="S107" i="1"/>
  <c r="R107" i="1"/>
  <c r="Q107" i="1"/>
  <c r="P107" i="1"/>
  <c r="O107" i="1"/>
  <c r="N107" i="1"/>
  <c r="T107" i="1"/>
  <c r="M107" i="1"/>
  <c r="L107" i="1"/>
  <c r="K107" i="1"/>
  <c r="J107" i="1"/>
  <c r="I107" i="1"/>
  <c r="S106" i="1"/>
  <c r="R106" i="1"/>
  <c r="Q106" i="1"/>
  <c r="P106" i="1"/>
  <c r="O106" i="1"/>
  <c r="N106" i="1"/>
  <c r="T106" i="1"/>
  <c r="M106" i="1"/>
  <c r="L106" i="1"/>
  <c r="K106" i="1"/>
  <c r="J106" i="1"/>
  <c r="I106" i="1"/>
  <c r="S105" i="1"/>
  <c r="R105" i="1"/>
  <c r="Q105" i="1"/>
  <c r="P105" i="1"/>
  <c r="O105" i="1"/>
  <c r="N105" i="1"/>
  <c r="T105" i="1"/>
  <c r="M105" i="1"/>
  <c r="L105" i="1"/>
  <c r="K105" i="1"/>
  <c r="J105" i="1"/>
  <c r="I105" i="1"/>
  <c r="S104" i="1"/>
  <c r="R104" i="1"/>
  <c r="Q104" i="1"/>
  <c r="P104" i="1"/>
  <c r="O104" i="1"/>
  <c r="N104" i="1"/>
  <c r="T104" i="1"/>
  <c r="M104" i="1"/>
  <c r="L104" i="1"/>
  <c r="K104" i="1"/>
  <c r="J104" i="1"/>
  <c r="I104" i="1"/>
  <c r="S103" i="1"/>
  <c r="R103" i="1"/>
  <c r="Q103" i="1"/>
  <c r="P103" i="1"/>
  <c r="O103" i="1"/>
  <c r="N103" i="1"/>
  <c r="T103" i="1"/>
  <c r="M103" i="1"/>
  <c r="L103" i="1"/>
  <c r="K103" i="1"/>
  <c r="J103" i="1"/>
  <c r="I103" i="1"/>
  <c r="S102" i="1"/>
  <c r="R102" i="1"/>
  <c r="Q102" i="1"/>
  <c r="P102" i="1"/>
  <c r="O102" i="1"/>
  <c r="N102" i="1"/>
  <c r="T102" i="1"/>
  <c r="M102" i="1"/>
  <c r="L102" i="1"/>
  <c r="K102" i="1"/>
  <c r="J102" i="1"/>
  <c r="I102" i="1"/>
  <c r="S101" i="1"/>
  <c r="R101" i="1"/>
  <c r="Q101" i="1"/>
  <c r="P101" i="1"/>
  <c r="O101" i="1"/>
  <c r="N101" i="1"/>
  <c r="T101" i="1"/>
  <c r="M101" i="1"/>
  <c r="L101" i="1"/>
  <c r="K101" i="1"/>
  <c r="J101" i="1"/>
  <c r="I101" i="1"/>
  <c r="S100" i="1"/>
  <c r="R100" i="1"/>
  <c r="Q100" i="1"/>
  <c r="P100" i="1"/>
  <c r="O100" i="1"/>
  <c r="N100" i="1"/>
  <c r="T100" i="1"/>
  <c r="M100" i="1"/>
  <c r="L100" i="1"/>
  <c r="K100" i="1"/>
  <c r="J100" i="1"/>
  <c r="I100" i="1"/>
  <c r="S99" i="1"/>
  <c r="R99" i="1"/>
  <c r="Q99" i="1"/>
  <c r="P99" i="1"/>
  <c r="O99" i="1"/>
  <c r="N99" i="1"/>
  <c r="T99" i="1"/>
  <c r="M99" i="1"/>
  <c r="L99" i="1"/>
  <c r="K99" i="1"/>
  <c r="J99" i="1"/>
  <c r="I99" i="1"/>
  <c r="S98" i="1"/>
  <c r="R98" i="1"/>
  <c r="Q98" i="1"/>
  <c r="P98" i="1"/>
  <c r="O98" i="1"/>
  <c r="N98" i="1"/>
  <c r="T98" i="1"/>
  <c r="M98" i="1"/>
  <c r="L98" i="1"/>
  <c r="K98" i="1"/>
  <c r="J98" i="1"/>
  <c r="I98" i="1"/>
  <c r="S97" i="1"/>
  <c r="R97" i="1"/>
  <c r="Q97" i="1"/>
  <c r="P97" i="1"/>
  <c r="O97" i="1"/>
  <c r="N97" i="1"/>
  <c r="T97" i="1"/>
  <c r="M97" i="1"/>
  <c r="L97" i="1"/>
  <c r="K97" i="1"/>
  <c r="J97" i="1"/>
  <c r="I97" i="1"/>
  <c r="S96" i="1"/>
  <c r="R96" i="1"/>
  <c r="Q96" i="1"/>
  <c r="P96" i="1"/>
  <c r="O96" i="1"/>
  <c r="N96" i="1"/>
  <c r="T96" i="1"/>
  <c r="M96" i="1"/>
  <c r="L96" i="1"/>
  <c r="K96" i="1"/>
  <c r="J96" i="1"/>
  <c r="I96" i="1"/>
  <c r="S95" i="1"/>
  <c r="R95" i="1"/>
  <c r="Q95" i="1"/>
  <c r="P95" i="1"/>
  <c r="O95" i="1"/>
  <c r="N95" i="1"/>
  <c r="T95" i="1"/>
  <c r="M95" i="1"/>
  <c r="L95" i="1"/>
  <c r="K95" i="1"/>
  <c r="J95" i="1"/>
  <c r="I95" i="1"/>
  <c r="S94" i="1"/>
  <c r="R94" i="1"/>
  <c r="Q94" i="1"/>
  <c r="P94" i="1"/>
  <c r="O94" i="1"/>
  <c r="N94" i="1"/>
  <c r="T94" i="1"/>
  <c r="M94" i="1"/>
  <c r="L94" i="1"/>
  <c r="K94" i="1"/>
  <c r="J94" i="1"/>
  <c r="I94" i="1"/>
  <c r="S93" i="1"/>
  <c r="R93" i="1"/>
  <c r="Q93" i="1"/>
  <c r="P93" i="1"/>
  <c r="O93" i="1"/>
  <c r="N93" i="1"/>
  <c r="T93" i="1"/>
  <c r="M93" i="1"/>
  <c r="L93" i="1"/>
  <c r="K93" i="1"/>
  <c r="J93" i="1"/>
  <c r="I93" i="1"/>
  <c r="S92" i="1"/>
  <c r="R92" i="1"/>
  <c r="Q92" i="1"/>
  <c r="P92" i="1"/>
  <c r="O92" i="1"/>
  <c r="N92" i="1"/>
  <c r="T92" i="1"/>
  <c r="M92" i="1"/>
  <c r="L92" i="1"/>
  <c r="K92" i="1"/>
  <c r="J92" i="1"/>
  <c r="I92" i="1"/>
  <c r="S91" i="1"/>
  <c r="R91" i="1"/>
  <c r="Q91" i="1"/>
  <c r="P91" i="1"/>
  <c r="O91" i="1"/>
  <c r="N91" i="1"/>
  <c r="T91" i="1"/>
  <c r="M91" i="1"/>
  <c r="L91" i="1"/>
  <c r="K91" i="1"/>
  <c r="J91" i="1"/>
  <c r="I91" i="1"/>
  <c r="S90" i="1"/>
  <c r="R90" i="1"/>
  <c r="Q90" i="1"/>
  <c r="P90" i="1"/>
  <c r="O90" i="1"/>
  <c r="N90" i="1"/>
  <c r="T90" i="1"/>
  <c r="M90" i="1"/>
  <c r="L90" i="1"/>
  <c r="K90" i="1"/>
  <c r="J90" i="1"/>
  <c r="I90" i="1"/>
  <c r="S89" i="1"/>
  <c r="R89" i="1"/>
  <c r="Q89" i="1"/>
  <c r="P89" i="1"/>
  <c r="O89" i="1"/>
  <c r="N89" i="1"/>
  <c r="T89" i="1"/>
  <c r="M89" i="1"/>
  <c r="L89" i="1"/>
  <c r="K89" i="1"/>
  <c r="J89" i="1"/>
  <c r="I89" i="1"/>
  <c r="S88" i="1"/>
  <c r="R88" i="1"/>
  <c r="Q88" i="1"/>
  <c r="P88" i="1"/>
  <c r="O88" i="1"/>
  <c r="N88" i="1"/>
  <c r="T88" i="1"/>
  <c r="M88" i="1"/>
  <c r="L88" i="1"/>
  <c r="K88" i="1"/>
  <c r="J88" i="1"/>
  <c r="I88" i="1"/>
  <c r="S87" i="1"/>
  <c r="R87" i="1"/>
  <c r="Q87" i="1"/>
  <c r="P87" i="1"/>
  <c r="O87" i="1"/>
  <c r="N87" i="1"/>
  <c r="T87" i="1"/>
  <c r="M87" i="1"/>
  <c r="L87" i="1"/>
  <c r="K87" i="1"/>
  <c r="J87" i="1"/>
  <c r="I87" i="1"/>
  <c r="S86" i="1"/>
  <c r="R86" i="1"/>
  <c r="Q86" i="1"/>
  <c r="P86" i="1"/>
  <c r="O86" i="1"/>
  <c r="N86" i="1"/>
  <c r="T86" i="1"/>
  <c r="M86" i="1"/>
  <c r="L86" i="1"/>
  <c r="K86" i="1"/>
  <c r="J86" i="1"/>
  <c r="I86" i="1"/>
  <c r="S85" i="1"/>
  <c r="R85" i="1"/>
  <c r="Q85" i="1"/>
  <c r="P85" i="1"/>
  <c r="O85" i="1"/>
  <c r="N85" i="1"/>
  <c r="T85" i="1"/>
  <c r="M85" i="1"/>
  <c r="L85" i="1"/>
  <c r="K85" i="1"/>
  <c r="J85" i="1"/>
  <c r="I85" i="1"/>
  <c r="S84" i="1"/>
  <c r="R84" i="1"/>
  <c r="Q84" i="1"/>
  <c r="P84" i="1"/>
  <c r="O84" i="1"/>
  <c r="N84" i="1"/>
  <c r="T84" i="1"/>
  <c r="M84" i="1"/>
  <c r="L84" i="1"/>
  <c r="K84" i="1"/>
  <c r="J84" i="1"/>
  <c r="I84" i="1"/>
  <c r="S83" i="1"/>
  <c r="R83" i="1"/>
  <c r="Q83" i="1"/>
  <c r="P83" i="1"/>
  <c r="O83" i="1"/>
  <c r="N83" i="1"/>
  <c r="T83" i="1"/>
  <c r="M83" i="1"/>
  <c r="L83" i="1"/>
  <c r="K83" i="1"/>
  <c r="J83" i="1"/>
  <c r="I83" i="1"/>
  <c r="S82" i="1"/>
  <c r="R82" i="1"/>
  <c r="Q82" i="1"/>
  <c r="P82" i="1"/>
  <c r="O82" i="1"/>
  <c r="N82" i="1"/>
  <c r="T82" i="1"/>
  <c r="M82" i="1"/>
  <c r="L82" i="1"/>
  <c r="K82" i="1"/>
  <c r="J82" i="1"/>
  <c r="I82" i="1"/>
  <c r="S81" i="1"/>
  <c r="R81" i="1"/>
  <c r="Q81" i="1"/>
  <c r="P81" i="1"/>
  <c r="O81" i="1"/>
  <c r="N81" i="1"/>
  <c r="T81" i="1"/>
  <c r="M81" i="1"/>
  <c r="L81" i="1"/>
  <c r="K81" i="1"/>
  <c r="J81" i="1"/>
  <c r="I81" i="1"/>
  <c r="S80" i="1"/>
  <c r="R80" i="1"/>
  <c r="Q80" i="1"/>
  <c r="P80" i="1"/>
  <c r="O80" i="1"/>
  <c r="N80" i="1"/>
  <c r="T80" i="1"/>
  <c r="M80" i="1"/>
  <c r="L80" i="1"/>
  <c r="K80" i="1"/>
  <c r="J80" i="1"/>
  <c r="I80" i="1"/>
  <c r="S79" i="1"/>
  <c r="R79" i="1"/>
  <c r="Q79" i="1"/>
  <c r="P79" i="1"/>
  <c r="O79" i="1"/>
  <c r="N79" i="1"/>
  <c r="T79" i="1"/>
  <c r="M79" i="1"/>
  <c r="L79" i="1"/>
  <c r="K79" i="1"/>
  <c r="J79" i="1"/>
  <c r="I79" i="1"/>
  <c r="S78" i="1"/>
  <c r="R78" i="1"/>
  <c r="Q78" i="1"/>
  <c r="P78" i="1"/>
  <c r="O78" i="1"/>
  <c r="N78" i="1"/>
  <c r="T78" i="1"/>
  <c r="M78" i="1"/>
  <c r="L78" i="1"/>
  <c r="K78" i="1"/>
  <c r="J78" i="1"/>
  <c r="I78" i="1"/>
  <c r="S77" i="1"/>
  <c r="R77" i="1"/>
  <c r="Q77" i="1"/>
  <c r="P77" i="1"/>
  <c r="O77" i="1"/>
  <c r="N77" i="1"/>
  <c r="T77" i="1"/>
  <c r="M77" i="1"/>
  <c r="L77" i="1"/>
  <c r="K77" i="1"/>
  <c r="J77" i="1"/>
  <c r="I77" i="1"/>
  <c r="S76" i="1"/>
  <c r="R76" i="1"/>
  <c r="Q76" i="1"/>
  <c r="P76" i="1"/>
  <c r="O76" i="1"/>
  <c r="N76" i="1"/>
  <c r="T76" i="1"/>
  <c r="M76" i="1"/>
  <c r="L76" i="1"/>
  <c r="K76" i="1"/>
  <c r="J76" i="1"/>
  <c r="I76" i="1"/>
  <c r="S75" i="1"/>
  <c r="R75" i="1"/>
  <c r="Q75" i="1"/>
  <c r="P75" i="1"/>
  <c r="O75" i="1"/>
  <c r="N75" i="1"/>
  <c r="T75" i="1"/>
  <c r="M75" i="1"/>
  <c r="L75" i="1"/>
  <c r="K75" i="1"/>
  <c r="J75" i="1"/>
  <c r="I75" i="1"/>
  <c r="S74" i="1"/>
  <c r="R74" i="1"/>
  <c r="Q74" i="1"/>
  <c r="P74" i="1"/>
  <c r="O74" i="1"/>
  <c r="N74" i="1"/>
  <c r="T74" i="1"/>
  <c r="M74" i="1"/>
  <c r="L74" i="1"/>
  <c r="K74" i="1"/>
  <c r="J74" i="1"/>
  <c r="I74" i="1"/>
  <c r="S73" i="1"/>
  <c r="R73" i="1"/>
  <c r="Q73" i="1"/>
  <c r="P73" i="1"/>
  <c r="O73" i="1"/>
  <c r="N73" i="1"/>
  <c r="T73" i="1"/>
  <c r="M73" i="1"/>
  <c r="L73" i="1"/>
  <c r="K73" i="1"/>
  <c r="J73" i="1"/>
  <c r="I73" i="1"/>
  <c r="S72" i="1"/>
  <c r="R72" i="1"/>
  <c r="Q72" i="1"/>
  <c r="P72" i="1"/>
  <c r="O72" i="1"/>
  <c r="N72" i="1"/>
  <c r="T72" i="1"/>
  <c r="M72" i="1"/>
  <c r="L72" i="1"/>
  <c r="K72" i="1"/>
  <c r="J72" i="1"/>
  <c r="I72" i="1"/>
  <c r="S71" i="1"/>
  <c r="R71" i="1"/>
  <c r="Q71" i="1"/>
  <c r="P71" i="1"/>
  <c r="O71" i="1"/>
  <c r="N71" i="1"/>
  <c r="T71" i="1"/>
  <c r="M71" i="1"/>
  <c r="L71" i="1"/>
  <c r="K71" i="1"/>
  <c r="J71" i="1"/>
  <c r="I71" i="1"/>
  <c r="S70" i="1"/>
  <c r="R70" i="1"/>
  <c r="Q70" i="1"/>
  <c r="P70" i="1"/>
  <c r="O70" i="1"/>
  <c r="N70" i="1"/>
  <c r="T70" i="1"/>
  <c r="M70" i="1"/>
  <c r="L70" i="1"/>
  <c r="K70" i="1"/>
  <c r="J70" i="1"/>
  <c r="I70" i="1"/>
  <c r="S69" i="1"/>
  <c r="R69" i="1"/>
  <c r="Q69" i="1"/>
  <c r="P69" i="1"/>
  <c r="O69" i="1"/>
  <c r="N69" i="1"/>
  <c r="T69" i="1"/>
  <c r="M69" i="1"/>
  <c r="L69" i="1"/>
  <c r="K69" i="1"/>
  <c r="J69" i="1"/>
  <c r="I69" i="1"/>
  <c r="S68" i="1"/>
  <c r="R68" i="1"/>
  <c r="Q68" i="1"/>
  <c r="P68" i="1"/>
  <c r="O68" i="1"/>
  <c r="N68" i="1"/>
  <c r="T68" i="1"/>
  <c r="M68" i="1"/>
  <c r="L68" i="1"/>
  <c r="K68" i="1"/>
  <c r="J68" i="1"/>
  <c r="I68" i="1"/>
  <c r="S67" i="1"/>
  <c r="R67" i="1"/>
  <c r="Q67" i="1"/>
  <c r="P67" i="1"/>
  <c r="O67" i="1"/>
  <c r="N67" i="1"/>
  <c r="T67" i="1"/>
  <c r="M67" i="1"/>
  <c r="L67" i="1"/>
  <c r="K67" i="1"/>
  <c r="J67" i="1"/>
  <c r="I67" i="1"/>
  <c r="S66" i="1"/>
  <c r="R66" i="1"/>
  <c r="Q66" i="1"/>
  <c r="P66" i="1"/>
  <c r="O66" i="1"/>
  <c r="N66" i="1"/>
  <c r="T66" i="1"/>
  <c r="M66" i="1"/>
  <c r="L66" i="1"/>
  <c r="K66" i="1"/>
  <c r="J66" i="1"/>
  <c r="I66" i="1"/>
  <c r="S65" i="1"/>
  <c r="R65" i="1"/>
  <c r="Q65" i="1"/>
  <c r="P65" i="1"/>
  <c r="O65" i="1"/>
  <c r="N65" i="1"/>
  <c r="T65" i="1"/>
  <c r="M65" i="1"/>
  <c r="L65" i="1"/>
  <c r="K65" i="1"/>
  <c r="J65" i="1"/>
  <c r="I65" i="1"/>
  <c r="S64" i="1"/>
  <c r="R64" i="1"/>
  <c r="Q64" i="1"/>
  <c r="P64" i="1"/>
  <c r="O64" i="1"/>
  <c r="N64" i="1"/>
  <c r="T64" i="1"/>
  <c r="M64" i="1"/>
  <c r="L64" i="1"/>
  <c r="K64" i="1"/>
  <c r="J64" i="1"/>
  <c r="I64" i="1"/>
  <c r="S63" i="1"/>
  <c r="R63" i="1"/>
  <c r="Q63" i="1"/>
  <c r="P63" i="1"/>
  <c r="O63" i="1"/>
  <c r="N63" i="1"/>
  <c r="T63" i="1"/>
  <c r="M63" i="1"/>
  <c r="L63" i="1"/>
  <c r="K63" i="1"/>
  <c r="J63" i="1"/>
  <c r="I63" i="1"/>
  <c r="S62" i="1"/>
  <c r="R62" i="1"/>
  <c r="Q62" i="1"/>
  <c r="P62" i="1"/>
  <c r="O62" i="1"/>
  <c r="N62" i="1"/>
  <c r="T62" i="1"/>
  <c r="M62" i="1"/>
  <c r="L62" i="1"/>
  <c r="K62" i="1"/>
  <c r="J62" i="1"/>
  <c r="I62" i="1"/>
  <c r="S61" i="1"/>
  <c r="R61" i="1"/>
  <c r="Q61" i="1"/>
  <c r="P61" i="1"/>
  <c r="O61" i="1"/>
  <c r="N61" i="1"/>
  <c r="T61" i="1"/>
  <c r="M61" i="1"/>
  <c r="L61" i="1"/>
  <c r="K61" i="1"/>
  <c r="J61" i="1"/>
  <c r="I61" i="1"/>
  <c r="S60" i="1"/>
  <c r="R60" i="1"/>
  <c r="Q60" i="1"/>
  <c r="P60" i="1"/>
  <c r="O60" i="1"/>
  <c r="N60" i="1"/>
  <c r="T60" i="1"/>
  <c r="M60" i="1"/>
  <c r="L60" i="1"/>
  <c r="K60" i="1"/>
  <c r="J60" i="1"/>
  <c r="I60" i="1"/>
  <c r="S59" i="1"/>
  <c r="R59" i="1"/>
  <c r="Q59" i="1"/>
  <c r="P59" i="1"/>
  <c r="O59" i="1"/>
  <c r="N59" i="1"/>
  <c r="T59" i="1"/>
  <c r="M59" i="1"/>
  <c r="L59" i="1"/>
  <c r="K59" i="1"/>
  <c r="J59" i="1"/>
  <c r="I59" i="1"/>
  <c r="S58" i="1"/>
  <c r="R58" i="1"/>
  <c r="Q58" i="1"/>
  <c r="P58" i="1"/>
  <c r="O58" i="1"/>
  <c r="N58" i="1"/>
  <c r="T58" i="1"/>
  <c r="M58" i="1"/>
  <c r="L58" i="1"/>
  <c r="K58" i="1"/>
  <c r="J58" i="1"/>
  <c r="I58" i="1"/>
  <c r="S57" i="1"/>
  <c r="R57" i="1"/>
  <c r="Q57" i="1"/>
  <c r="P57" i="1"/>
  <c r="O57" i="1"/>
  <c r="N57" i="1"/>
  <c r="T57" i="1"/>
  <c r="M57" i="1"/>
  <c r="L57" i="1"/>
  <c r="K57" i="1"/>
  <c r="J57" i="1"/>
  <c r="I57" i="1"/>
  <c r="S56" i="1"/>
  <c r="R56" i="1"/>
  <c r="Q56" i="1"/>
  <c r="P56" i="1"/>
  <c r="O56" i="1"/>
  <c r="N56" i="1"/>
  <c r="T56" i="1"/>
  <c r="M56" i="1"/>
  <c r="L56" i="1"/>
  <c r="K56" i="1"/>
  <c r="J56" i="1"/>
  <c r="I56" i="1"/>
  <c r="S55" i="1"/>
  <c r="R55" i="1"/>
  <c r="Q55" i="1"/>
  <c r="P55" i="1"/>
  <c r="O55" i="1"/>
  <c r="N55" i="1"/>
  <c r="T55" i="1"/>
  <c r="M55" i="1"/>
  <c r="L55" i="1"/>
  <c r="K55" i="1"/>
  <c r="J55" i="1"/>
  <c r="I55" i="1"/>
  <c r="S54" i="1"/>
  <c r="R54" i="1"/>
  <c r="Q54" i="1"/>
  <c r="P54" i="1"/>
  <c r="O54" i="1"/>
  <c r="N54" i="1"/>
  <c r="T54" i="1"/>
  <c r="M54" i="1"/>
  <c r="L54" i="1"/>
  <c r="K54" i="1"/>
  <c r="J54" i="1"/>
  <c r="I54" i="1"/>
  <c r="S53" i="1"/>
  <c r="R53" i="1"/>
  <c r="Q53" i="1"/>
  <c r="P53" i="1"/>
  <c r="O53" i="1"/>
  <c r="N53" i="1"/>
  <c r="T53" i="1"/>
  <c r="M53" i="1"/>
  <c r="L53" i="1"/>
  <c r="K53" i="1"/>
  <c r="J53" i="1"/>
  <c r="I53" i="1"/>
  <c r="S52" i="1"/>
  <c r="R52" i="1"/>
  <c r="Q52" i="1"/>
  <c r="P52" i="1"/>
  <c r="O52" i="1"/>
  <c r="N52" i="1"/>
  <c r="T52" i="1"/>
  <c r="M52" i="1"/>
  <c r="L52" i="1"/>
  <c r="K52" i="1"/>
  <c r="J52" i="1"/>
  <c r="I52" i="1"/>
  <c r="S51" i="1"/>
  <c r="R51" i="1"/>
  <c r="Q51" i="1"/>
  <c r="P51" i="1"/>
  <c r="O51" i="1"/>
  <c r="N51" i="1"/>
  <c r="T51" i="1"/>
  <c r="M51" i="1"/>
  <c r="L51" i="1"/>
  <c r="K51" i="1"/>
  <c r="J51" i="1"/>
  <c r="I51" i="1"/>
  <c r="S50" i="1"/>
  <c r="R50" i="1"/>
  <c r="Q50" i="1"/>
  <c r="P50" i="1"/>
  <c r="O50" i="1"/>
  <c r="N50" i="1"/>
  <c r="T50" i="1"/>
  <c r="M50" i="1"/>
  <c r="L50" i="1"/>
  <c r="K50" i="1"/>
  <c r="J50" i="1"/>
  <c r="I50" i="1"/>
  <c r="S49" i="1"/>
  <c r="R49" i="1"/>
  <c r="Q49" i="1"/>
  <c r="P49" i="1"/>
  <c r="O49" i="1"/>
  <c r="N49" i="1"/>
  <c r="T49" i="1"/>
  <c r="M49" i="1"/>
  <c r="L49" i="1"/>
  <c r="K49" i="1"/>
  <c r="J49" i="1"/>
  <c r="I49" i="1"/>
  <c r="S48" i="1"/>
  <c r="R48" i="1"/>
  <c r="Q48" i="1"/>
  <c r="P48" i="1"/>
  <c r="O48" i="1"/>
  <c r="N48" i="1"/>
  <c r="T48" i="1"/>
  <c r="M48" i="1"/>
  <c r="L48" i="1"/>
  <c r="K48" i="1"/>
  <c r="J48" i="1"/>
  <c r="I48" i="1"/>
  <c r="S47" i="1"/>
  <c r="R47" i="1"/>
  <c r="Q47" i="1"/>
  <c r="P47" i="1"/>
  <c r="O47" i="1"/>
  <c r="N47" i="1"/>
  <c r="T47" i="1"/>
  <c r="M47" i="1"/>
  <c r="L47" i="1"/>
  <c r="K47" i="1"/>
  <c r="J47" i="1"/>
  <c r="I47" i="1"/>
  <c r="S46" i="1"/>
  <c r="R46" i="1"/>
  <c r="Q46" i="1"/>
  <c r="P46" i="1"/>
  <c r="O46" i="1"/>
  <c r="N46" i="1"/>
  <c r="T46" i="1"/>
  <c r="M46" i="1"/>
  <c r="L46" i="1"/>
  <c r="K46" i="1"/>
  <c r="J46" i="1"/>
  <c r="I46" i="1"/>
  <c r="S43" i="1"/>
  <c r="R43" i="1"/>
  <c r="Q43" i="1"/>
  <c r="P43" i="1"/>
  <c r="O43" i="1"/>
  <c r="N43" i="1"/>
  <c r="T43" i="1"/>
  <c r="M43" i="1"/>
  <c r="L43" i="1"/>
  <c r="K43" i="1"/>
  <c r="J43" i="1"/>
  <c r="I43" i="1"/>
  <c r="S42" i="1"/>
  <c r="R42" i="1"/>
  <c r="Q42" i="1"/>
  <c r="P42" i="1"/>
  <c r="O42" i="1"/>
  <c r="N42" i="1"/>
  <c r="T42" i="1"/>
  <c r="M42" i="1"/>
  <c r="L42" i="1"/>
  <c r="K42" i="1"/>
  <c r="J42" i="1"/>
  <c r="I42" i="1"/>
  <c r="S38" i="1"/>
  <c r="R38" i="1"/>
  <c r="Q38" i="1"/>
  <c r="P38" i="1"/>
  <c r="O38" i="1"/>
  <c r="N38" i="1"/>
  <c r="T38" i="1"/>
  <c r="M38" i="1"/>
  <c r="L38" i="1"/>
  <c r="K38" i="1"/>
  <c r="J38" i="1"/>
  <c r="I38" i="1"/>
  <c r="S37" i="1"/>
  <c r="R37" i="1"/>
  <c r="Q37" i="1"/>
  <c r="P37" i="1"/>
  <c r="O37" i="1"/>
  <c r="N37" i="1"/>
  <c r="T37" i="1"/>
  <c r="M37" i="1"/>
  <c r="L37" i="1"/>
  <c r="K37" i="1"/>
  <c r="J37" i="1"/>
  <c r="I37" i="1"/>
  <c r="S36" i="1"/>
  <c r="R36" i="1"/>
  <c r="Q36" i="1"/>
  <c r="P36" i="1"/>
  <c r="O36" i="1"/>
  <c r="N36" i="1"/>
  <c r="T36" i="1"/>
  <c r="M36" i="1"/>
  <c r="L36" i="1"/>
  <c r="K36" i="1"/>
  <c r="J36" i="1"/>
  <c r="I36" i="1"/>
  <c r="S35" i="1"/>
  <c r="R35" i="1"/>
  <c r="Q35" i="1"/>
  <c r="P35" i="1"/>
  <c r="O35" i="1"/>
  <c r="N35" i="1"/>
  <c r="T35" i="1"/>
  <c r="M35" i="1"/>
  <c r="L35" i="1"/>
  <c r="K35" i="1"/>
  <c r="J35" i="1"/>
  <c r="I35" i="1"/>
  <c r="S34" i="1"/>
  <c r="R34" i="1"/>
  <c r="Q34" i="1"/>
  <c r="P34" i="1"/>
  <c r="O34" i="1"/>
  <c r="N34" i="1"/>
  <c r="T34" i="1"/>
  <c r="M34" i="1"/>
  <c r="L34" i="1"/>
  <c r="K34" i="1"/>
  <c r="J34" i="1"/>
  <c r="I34" i="1"/>
  <c r="S33" i="1"/>
  <c r="R33" i="1"/>
  <c r="Q33" i="1"/>
  <c r="P33" i="1"/>
  <c r="O33" i="1"/>
  <c r="N33" i="1"/>
  <c r="T33" i="1"/>
  <c r="M33" i="1"/>
  <c r="L33" i="1"/>
  <c r="K33" i="1"/>
  <c r="J33" i="1"/>
  <c r="I33" i="1"/>
  <c r="S32" i="1"/>
  <c r="R32" i="1"/>
  <c r="Q32" i="1"/>
  <c r="P32" i="1"/>
  <c r="O32" i="1"/>
  <c r="N32" i="1"/>
  <c r="T32" i="1"/>
  <c r="M32" i="1"/>
  <c r="L32" i="1"/>
  <c r="K32" i="1"/>
  <c r="J32" i="1"/>
  <c r="I32" i="1"/>
  <c r="S31" i="1"/>
  <c r="R31" i="1"/>
  <c r="Q31" i="1"/>
  <c r="P31" i="1"/>
  <c r="O31" i="1"/>
  <c r="N31" i="1"/>
  <c r="T31" i="1"/>
  <c r="M31" i="1"/>
  <c r="L31" i="1"/>
  <c r="K31" i="1"/>
  <c r="J31" i="1"/>
  <c r="I31" i="1"/>
  <c r="S30" i="1"/>
  <c r="R30" i="1"/>
  <c r="Q30" i="1"/>
  <c r="P30" i="1"/>
  <c r="O30" i="1"/>
  <c r="N30" i="1"/>
  <c r="T30" i="1"/>
  <c r="M30" i="1"/>
  <c r="L30" i="1"/>
  <c r="K30" i="1"/>
  <c r="J30" i="1"/>
  <c r="I30" i="1"/>
  <c r="S29" i="1"/>
  <c r="R29" i="1"/>
  <c r="Q29" i="1"/>
  <c r="P29" i="1"/>
  <c r="O29" i="1"/>
  <c r="N29" i="1"/>
  <c r="T29" i="1"/>
  <c r="M29" i="1"/>
  <c r="L29" i="1"/>
  <c r="K29" i="1"/>
  <c r="J29" i="1"/>
  <c r="I29" i="1"/>
  <c r="S28" i="1"/>
  <c r="R28" i="1"/>
  <c r="Q28" i="1"/>
  <c r="P28" i="1"/>
  <c r="O28" i="1"/>
  <c r="N28" i="1"/>
  <c r="T28" i="1"/>
  <c r="M28" i="1"/>
  <c r="L28" i="1"/>
  <c r="K28" i="1"/>
  <c r="J28" i="1"/>
  <c r="I28" i="1"/>
  <c r="M27" i="1"/>
  <c r="S26" i="1"/>
  <c r="P25" i="1"/>
  <c r="N24" i="1"/>
  <c r="P23" i="1"/>
  <c r="N22" i="1"/>
  <c r="S21" i="1"/>
  <c r="R20" i="1"/>
  <c r="S19" i="1"/>
  <c r="P18" i="1"/>
  <c r="S17" i="1"/>
  <c r="R16" i="1"/>
  <c r="S15" i="1"/>
  <c r="P14" i="1"/>
  <c r="S13" i="1"/>
  <c r="R12" i="1"/>
  <c r="S11" i="1"/>
  <c r="P10" i="1"/>
  <c r="S9" i="1"/>
  <c r="R8" i="1"/>
  <c r="S7" i="1"/>
  <c r="P6" i="1"/>
  <c r="S5" i="1"/>
  <c r="I184" i="1" l="1"/>
  <c r="I189" i="1"/>
  <c r="J184" i="1"/>
  <c r="J189" i="1"/>
  <c r="K184" i="1"/>
  <c r="K189" i="1"/>
  <c r="L184" i="1"/>
  <c r="L189" i="1"/>
  <c r="P19" i="1"/>
  <c r="K11" i="1"/>
  <c r="K19" i="1"/>
  <c r="T18" i="1"/>
  <c r="R5" i="1"/>
  <c r="J5" i="1"/>
  <c r="T5" i="1"/>
  <c r="I11" i="1"/>
  <c r="T13" i="1"/>
  <c r="I5" i="1"/>
  <c r="J18" i="1"/>
  <c r="N21" i="1"/>
  <c r="J10" i="1"/>
  <c r="I21" i="1"/>
  <c r="R21" i="1"/>
  <c r="N5" i="1"/>
  <c r="T10" i="1"/>
  <c r="P11" i="1"/>
  <c r="I13" i="1"/>
  <c r="R13" i="1"/>
  <c r="R19" i="1"/>
  <c r="J21" i="1"/>
  <c r="N13" i="1"/>
  <c r="R11" i="1"/>
  <c r="J13" i="1"/>
  <c r="I19" i="1"/>
  <c r="T21" i="1"/>
  <c r="M26" i="1"/>
  <c r="M5" i="1"/>
  <c r="Q5" i="1"/>
  <c r="T6" i="1"/>
  <c r="K7" i="1"/>
  <c r="R7" i="1"/>
  <c r="J9" i="1"/>
  <c r="N9" i="1"/>
  <c r="N11" i="1"/>
  <c r="M13" i="1"/>
  <c r="Q13" i="1"/>
  <c r="T14" i="1"/>
  <c r="K15" i="1"/>
  <c r="R15" i="1"/>
  <c r="J17" i="1"/>
  <c r="N17" i="1"/>
  <c r="N19" i="1"/>
  <c r="M21" i="1"/>
  <c r="Q21" i="1"/>
  <c r="T22" i="1"/>
  <c r="R24" i="1"/>
  <c r="K25" i="1"/>
  <c r="Q25" i="1"/>
  <c r="J26" i="1"/>
  <c r="Q26" i="1"/>
  <c r="Q6" i="1"/>
  <c r="M7" i="1"/>
  <c r="K9" i="1"/>
  <c r="P9" i="1"/>
  <c r="Q14" i="1"/>
  <c r="M15" i="1"/>
  <c r="K17" i="1"/>
  <c r="P17" i="1"/>
  <c r="M25" i="1"/>
  <c r="R25" i="1"/>
  <c r="M17" i="1"/>
  <c r="Q17" i="1"/>
  <c r="I25" i="1"/>
  <c r="T25" i="1"/>
  <c r="T26" i="1"/>
  <c r="L27" i="1"/>
  <c r="N7" i="1"/>
  <c r="M9" i="1"/>
  <c r="Q9" i="1"/>
  <c r="N15" i="1"/>
  <c r="K5" i="1"/>
  <c r="P5" i="1"/>
  <c r="J6" i="1"/>
  <c r="I7" i="1"/>
  <c r="P7" i="1"/>
  <c r="I9" i="1"/>
  <c r="T9" i="1"/>
  <c r="R9" i="1"/>
  <c r="Q10" i="1"/>
  <c r="M11" i="1"/>
  <c r="K13" i="1"/>
  <c r="P13" i="1"/>
  <c r="J14" i="1"/>
  <c r="I15" i="1"/>
  <c r="P15" i="1"/>
  <c r="I17" i="1"/>
  <c r="T17" i="1"/>
  <c r="R17" i="1"/>
  <c r="Q18" i="1"/>
  <c r="M19" i="1"/>
  <c r="K21" i="1"/>
  <c r="P21" i="1"/>
  <c r="J22" i="1"/>
  <c r="K24" i="1"/>
  <c r="J25" i="1"/>
  <c r="N25" i="1"/>
  <c r="I26" i="1"/>
  <c r="P26" i="1"/>
  <c r="S27" i="1"/>
  <c r="O12" i="1"/>
  <c r="S12" i="1"/>
  <c r="O16" i="1"/>
  <c r="O20" i="1"/>
  <c r="S20" i="1"/>
  <c r="O23" i="1"/>
  <c r="L5" i="1"/>
  <c r="O5" i="1"/>
  <c r="K6" i="1"/>
  <c r="N6" i="1"/>
  <c r="R6" i="1"/>
  <c r="J7" i="1"/>
  <c r="T7" i="1"/>
  <c r="Q7" i="1"/>
  <c r="I8" i="1"/>
  <c r="M8" i="1"/>
  <c r="P8" i="1"/>
  <c r="L9" i="1"/>
  <c r="O9" i="1"/>
  <c r="K10" i="1"/>
  <c r="N10" i="1"/>
  <c r="R10" i="1"/>
  <c r="J11" i="1"/>
  <c r="T11" i="1"/>
  <c r="Q11" i="1"/>
  <c r="I12" i="1"/>
  <c r="M12" i="1"/>
  <c r="P12" i="1"/>
  <c r="L13" i="1"/>
  <c r="O13" i="1"/>
  <c r="K14" i="1"/>
  <c r="N14" i="1"/>
  <c r="R14" i="1"/>
  <c r="J15" i="1"/>
  <c r="T15" i="1"/>
  <c r="Q15" i="1"/>
  <c r="I16" i="1"/>
  <c r="M16" i="1"/>
  <c r="P16" i="1"/>
  <c r="L17" i="1"/>
  <c r="O17" i="1"/>
  <c r="K18" i="1"/>
  <c r="N18" i="1"/>
  <c r="R18" i="1"/>
  <c r="J19" i="1"/>
  <c r="T19" i="1"/>
  <c r="Q19" i="1"/>
  <c r="I20" i="1"/>
  <c r="M20" i="1"/>
  <c r="P20" i="1"/>
  <c r="L21" i="1"/>
  <c r="O21" i="1"/>
  <c r="K22" i="1"/>
  <c r="I23" i="1"/>
  <c r="L24" i="1"/>
  <c r="S24" i="1"/>
  <c r="O8" i="1"/>
  <c r="S16" i="1"/>
  <c r="R23" i="1"/>
  <c r="N23" i="1"/>
  <c r="K23" i="1"/>
  <c r="Q23" i="1"/>
  <c r="T23" i="1"/>
  <c r="J23" i="1"/>
  <c r="O10" i="1"/>
  <c r="S10" i="1"/>
  <c r="T12" i="1"/>
  <c r="Q12" i="1"/>
  <c r="L14" i="1"/>
  <c r="O14" i="1"/>
  <c r="S14" i="1"/>
  <c r="J16" i="1"/>
  <c r="T16" i="1"/>
  <c r="Q16" i="1"/>
  <c r="L18" i="1"/>
  <c r="O18" i="1"/>
  <c r="S18" i="1"/>
  <c r="J20" i="1"/>
  <c r="T20" i="1"/>
  <c r="Q20" i="1"/>
  <c r="S22" i="1"/>
  <c r="O22" i="1"/>
  <c r="R22" i="1"/>
  <c r="L22" i="1"/>
  <c r="P22" i="1"/>
  <c r="L23" i="1"/>
  <c r="S23" i="1"/>
  <c r="R27" i="1"/>
  <c r="N27" i="1"/>
  <c r="K27" i="1"/>
  <c r="Q27" i="1"/>
  <c r="T27" i="1"/>
  <c r="J27" i="1"/>
  <c r="O27" i="1"/>
  <c r="L8" i="1"/>
  <c r="S8" i="1"/>
  <c r="L12" i="1"/>
  <c r="L16" i="1"/>
  <c r="L20" i="1"/>
  <c r="L6" i="1"/>
  <c r="O6" i="1"/>
  <c r="S6" i="1"/>
  <c r="J8" i="1"/>
  <c r="T8" i="1"/>
  <c r="Q8" i="1"/>
  <c r="L10" i="1"/>
  <c r="J12" i="1"/>
  <c r="I6" i="1"/>
  <c r="M6" i="1"/>
  <c r="L7" i="1"/>
  <c r="O7" i="1"/>
  <c r="K8" i="1"/>
  <c r="N8" i="1"/>
  <c r="I10" i="1"/>
  <c r="M10" i="1"/>
  <c r="L11" i="1"/>
  <c r="O11" i="1"/>
  <c r="K12" i="1"/>
  <c r="N12" i="1"/>
  <c r="I14" i="1"/>
  <c r="M14" i="1"/>
  <c r="L15" i="1"/>
  <c r="O15" i="1"/>
  <c r="K16" i="1"/>
  <c r="N16" i="1"/>
  <c r="I18" i="1"/>
  <c r="M18" i="1"/>
  <c r="L19" i="1"/>
  <c r="O19" i="1"/>
  <c r="K20" i="1"/>
  <c r="N20" i="1"/>
  <c r="I22" i="1"/>
  <c r="M22" i="1"/>
  <c r="Q22" i="1"/>
  <c r="M23" i="1"/>
  <c r="Q24" i="1"/>
  <c r="T24" i="1"/>
  <c r="J24" i="1"/>
  <c r="P24" i="1"/>
  <c r="M24" i="1"/>
  <c r="I24" i="1"/>
  <c r="O24" i="1"/>
  <c r="P27" i="1"/>
  <c r="L25" i="1"/>
  <c r="O25" i="1"/>
  <c r="S25" i="1"/>
  <c r="K26" i="1"/>
  <c r="N26" i="1"/>
  <c r="R26" i="1"/>
  <c r="L26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37E81A-A38B-461B-B4F7-86E083DD35BA}" name="part_prices_ground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2" xr16:uid="{2FA6049C-986B-47E6-A354-053E41F1B6BF}" name="part_prices_ground1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3" xr16:uid="{892DE36F-1039-4958-9303-A932AA5BB6B5}" name="part_prices_ground10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4" xr16:uid="{121ED053-F9FF-43E7-AA5D-043986E58977}" name="part_prices_ground11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5" xr16:uid="{7EEFCF26-F667-46BC-A446-D7FB1BC4A37D}" name="part_prices_ground12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6" xr16:uid="{51B329ED-E32A-45C7-9A39-7D952B2A19F5}" name="part_prices_ground13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7" xr16:uid="{37908346-69F6-443E-ABD9-5872EF3BEC60}" name="part_prices_ground14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8" xr16:uid="{EA6B417D-B872-43B2-A673-B8E449F9FB61}" name="part_prices_ground15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9" xr16:uid="{6992DC9A-4A52-47D4-81DC-635CE286BA28}" name="part_prices_ground16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0" xr16:uid="{FBB23B96-DFE5-4987-A114-E79FC75DF319}" name="part_prices_ground17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1" xr16:uid="{07C7451B-24F2-47F3-82FE-90D88E3205D5}" name="part_prices_ground18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2" xr16:uid="{B66157FA-65BC-45EC-8B36-447555D99023}" name="part_prices_ground19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3" xr16:uid="{B73E88B3-8438-435A-80D5-326C0A3BA5E0}" name="part_prices_ground2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4" xr16:uid="{832C7075-4A68-4F8A-8006-F27FE04AE887}" name="part_prices_ground20" type="6" refreshedVersion="8" background="1" saveData="1">
    <textPr prompt="0" sourceFile="C:\Users\E2023355\OneDrive - nVent Management Company\Documents\VSCode\Projects\CPQ\CPQ_Automation\tester\busbar\data\Yuan\part_prices_ground.csv" tab="0" comma="1">
      <textFields>
        <textField/>
      </textFields>
    </textPr>
  </connection>
  <connection id="15" xr16:uid="{149D4B79-B504-4990-99CB-C92A41ECB2D0}" name="part_prices_ground21" type="6" refreshedVersion="8" background="1" saveData="1">
    <textPr prompt="0" sourceFile="C:\Users\E2023355\OneDrive - nVent Management Company\Documents\VSCode\Projects\CPQ\CPQ_Automation\tester\busbar\data\Yuan\part_prices_ground.csv" tab="0" comma="1">
      <textFields>
        <textField/>
      </textFields>
    </textPr>
  </connection>
  <connection id="16" xr16:uid="{C02200B9-02B3-4024-835B-13B85E15EBFE}" name="part_prices_ground22" type="6" refreshedVersion="8" background="1" saveData="1">
    <textPr prompt="0" sourceFile="C:\Users\E2023355\OneDrive - nVent Management Company\Documents\VSCode\Projects\CPQ\CPQ_Automation\tester\busbar\data\Rupee\part_prices_ground.csv" tab="0" comma="1">
      <textFields>
        <textField/>
      </textFields>
    </textPr>
  </connection>
  <connection id="17" xr16:uid="{8C9DC8BE-8C92-4FBE-9A31-87B884FC76D8}" name="part_prices_ground23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8" xr16:uid="{C2BCD37B-6303-4817-8FDF-BDCE347076EF}" name="part_prices_ground24" type="6" refreshedVersion="8" background="1" saveData="1">
    <textPr prompt="0" sourceFile="C:\Users\E2023355\OneDrive - nVent Management Company\Documents\VSCode\Projects\CPQ\CPQ_Automation\tester\busbar\data\Yuan\part_prices_ground.csv" tab="0" comma="1">
      <textFields>
        <textField/>
      </textFields>
    </textPr>
  </connection>
  <connection id="19" xr16:uid="{FCC5629D-ED70-4652-9A98-AEA60D2CF1FF}" name="part_prices_ground25" type="6" refreshedVersion="8" background="1" saveData="1">
    <textPr prompt="0" sourceFile="C:\Users\E2023355\OneDrive - nVent Management Company\Documents\VSCode\Projects\CPQ\CPQ_Automation\tester\busbar\data\Rupee\part_prices_ground.csv" tab="0" comma="1">
      <textFields>
        <textField/>
      </textFields>
    </textPr>
  </connection>
  <connection id="20" xr16:uid="{927D14A5-4F2E-4D4F-BE45-F63C1493CABB}" name="part_prices_ground26" type="6" refreshedVersion="8" background="1" saveData="1">
    <textPr prompt="0" sourceFile="C:\Users\E2023355\OneDrive - nVent Management Company\Documents\VSCode\Projects\CPQ\CPQ_Automation\tester\busbar\data\USD\part_prices_ground.csv" tab="0" comma="1">
      <textFields>
        <textField/>
      </textFields>
    </textPr>
  </connection>
  <connection id="21" xr16:uid="{23482513-121D-438B-93A5-1491194A547A}" name="part_prices_ground27" type="6" refreshedVersion="8" background="1" saveData="1">
    <textPr prompt="0" sourceFile="C:\Users\E2023355\OneDrive - nVent Management Company\Documents\VSCode\Projects\CPQ\CPQ_Automation\tester\busbar\data\USD\part_prices_ground.csv" tab="0" comma="1">
      <textFields>
        <textField/>
      </textFields>
    </textPr>
  </connection>
  <connection id="22" xr16:uid="{C9F6377E-F61E-4251-A7E5-BE3EF94D9323}" name="part_prices_ground28" type="6" refreshedVersion="8" background="1" saveData="1">
    <textPr prompt="0" sourceFile="C:\Users\E2023355\OneDrive - nVent Management Company\Documents\VSCode\Projects\CPQ\CPQ_Automation\tester\busbar\data\USD\part_prices_ground.csv" tab="0" comma="1">
      <textFields>
        <textField/>
      </textFields>
    </textPr>
  </connection>
  <connection id="23" xr16:uid="{D5E3E587-8721-4F62-B51C-BE9C5D261AED}" name="part_prices_ground29" type="6" refreshedVersion="8" background="1" saveData="1">
    <textPr prompt="0" sourceFile="C:\Users\E2023355\OneDrive - nVent Management Company\Documents\VSCode\Projects\CPQ\CPQ_Automation\tester\busbar\data\USD\part_prices_ground.csv" tab="0" comma="1">
      <textFields>
        <textField/>
      </textFields>
    </textPr>
  </connection>
  <connection id="24" xr16:uid="{54A50DB9-1FDF-4647-8A1D-F53E86038B6C}" name="part_prices_ground3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25" xr16:uid="{1AE02D0A-82DA-4D39-983F-1F93C1737347}" name="part_prices_ground30" type="6" refreshedVersion="8" background="1" saveData="1">
    <textPr prompt="0" sourceFile="C:\Users\E2023355\OneDrive - nVent Management Company\Documents\VSCode\Projects\CPQ\CPQ_Automation\tester\busbar\data\USD\part_prices_ground.csv" tab="0" comma="1">
      <textFields>
        <textField/>
      </textFields>
    </textPr>
  </connection>
  <connection id="26" xr16:uid="{25CB9000-327B-49B0-86F1-89FEF5C6383D}" name="part_prices_ground31" type="6" refreshedVersion="8" background="1" saveData="1">
    <textPr prompt="0" sourceFile="C:\Users\E2023355\OneDrive - nVent Management Company\Documents\VSCode\Projects\CPQ\CPQ_Automation\tester\busbar\data\USD\part_prices_ground.csv" tab="0" comma="1">
      <textFields>
        <textField/>
      </textFields>
    </textPr>
  </connection>
  <connection id="27" xr16:uid="{996D0BC9-742C-4F0E-A919-DA99DE7BCAB8}" name="part_prices_ground32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28" xr16:uid="{C835D064-9729-4A0B-B528-E1E45679BC4D}" name="part_prices_ground33" type="6" refreshedVersion="8" background="1" saveData="1">
    <textPr prompt="0" sourceFile="C:\Users\E2023355\OneDrive - nVent Management Company\Documents\VSCode\Projects\CPQ\CPQ_Automation\tester\busbar\data\Yuan\part_prices_ground.csv" tab="0" comma="1">
      <textFields>
        <textField/>
      </textFields>
    </textPr>
  </connection>
  <connection id="29" xr16:uid="{35478709-3AE2-4A5C-9836-EBE17E70F016}" name="part_prices_ground34" type="6" refreshedVersion="8" background="1" saveData="1">
    <textPr prompt="0" sourceFile="C:\Users\E2023355\OneDrive - nVent Management Company\Documents\VSCode\Projects\CPQ\CPQ_Automation\tester\busbar\data\Rupee\part_prices_ground.csv" tab="0" comma="1">
      <textFields>
        <textField/>
      </textFields>
    </textPr>
  </connection>
  <connection id="30" xr16:uid="{9C9AED1E-CC43-4806-BE2D-E4592A97BBE6}" name="part_prices_ground35" type="6" refreshedVersion="8" background="1" saveData="1">
    <textPr prompt="0" sourceFile="C:\Users\E2023355\OneDrive - nVent Management Company\Documents\VSCode\Projects\CPQ\CPQ_Automation\tester\busbar\data\USD\part_prices_ground.csv" tab="0" comma="1">
      <textFields>
        <textField/>
      </textFields>
    </textPr>
  </connection>
  <connection id="31" xr16:uid="{813363D0-7582-4C6F-B0CA-519E46CAAF90}" name="part_prices_ground4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32" xr16:uid="{2BBA259A-40A3-455F-8BF8-DA39CB5261EB}" name="part_prices_ground5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33" xr16:uid="{6A3F3EFE-AA21-4658-9B0D-86F124C83EB2}" name="part_prices_ground6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34" xr16:uid="{EFD87B70-4EE4-4F6A-B474-94F5C7496802}" name="part_prices_ground7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35" xr16:uid="{C2DBD89A-9648-4D6A-A5C0-78974AE53BAA}" name="part_prices_ground8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36" xr16:uid="{A1C13701-D344-4A73-93D2-D9686D01D889}" name="part_prices_ground9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<sst xmlns="http://schemas.openxmlformats.org/spreadsheetml/2006/main" count="18104" uniqueCount="984">
  <si>
    <t>Currency</t>
  </si>
  <si>
    <t>Regional Competitive Difference)</t>
  </si>
  <si>
    <t>Discount Difference</t>
  </si>
  <si>
    <t>Region</t>
  </si>
  <si>
    <t>Component</t>
  </si>
  <si>
    <t>Part Number</t>
  </si>
  <si>
    <t>Product Group</t>
  </si>
  <si>
    <t>Part N°</t>
  </si>
  <si>
    <t>Description</t>
  </si>
  <si>
    <t>US Dollars - USA &amp; Latin America</t>
  </si>
  <si>
    <t>Australian Dollars</t>
  </si>
  <si>
    <t>British Pound</t>
  </si>
  <si>
    <t>Canadian Dollars</t>
  </si>
  <si>
    <t>Chinese Yuan</t>
  </si>
  <si>
    <t>Danish Krone</t>
  </si>
  <si>
    <t>Euro</t>
  </si>
  <si>
    <t>Indian Rupee</t>
  </si>
  <si>
    <t>Norwegian Krone</t>
  </si>
  <si>
    <t>Polish zloty</t>
  </si>
  <si>
    <t>Swedish Krona</t>
  </si>
  <si>
    <t>Swiss Franc</t>
  </si>
  <si>
    <t>US Dollars - South East Asia &amp; Middle East</t>
  </si>
  <si>
    <t>NA</t>
  </si>
  <si>
    <t>Bar Stock</t>
  </si>
  <si>
    <t>BK.25X1</t>
  </si>
  <si>
    <t>J1</t>
  </si>
  <si>
    <t>Copper Bar Stock - 1/4'' x 1''</t>
  </si>
  <si>
    <t>BK.25X2</t>
  </si>
  <si>
    <t>Copper Bar Stock - 1/4'' x 2''</t>
  </si>
  <si>
    <t>BK.25X3</t>
  </si>
  <si>
    <t>Copper Bar Stock - 1/4'' x 3''</t>
  </si>
  <si>
    <t>BK.25X4</t>
  </si>
  <si>
    <t>Copper Bar Stock - 1/4'' x 4''</t>
  </si>
  <si>
    <t>BK.25X6</t>
  </si>
  <si>
    <t>Copper Bar Stock - 1/4'' x 6''</t>
  </si>
  <si>
    <t>BK.25X8</t>
  </si>
  <si>
    <t>Copper Bar Stock - 1/4'' x 8''</t>
  </si>
  <si>
    <t>BK.375X1</t>
  </si>
  <si>
    <t>Copper Bar Stock - 3/8'' x 1''</t>
  </si>
  <si>
    <t>BK.375X2</t>
  </si>
  <si>
    <t>Copper Bar Stock - 3/8'' x 2''</t>
  </si>
  <si>
    <t>BK.375X3</t>
  </si>
  <si>
    <t>Copper Bar Stock - 3/8'' x 3''</t>
  </si>
  <si>
    <t>BK.375X4</t>
  </si>
  <si>
    <t>Copper Bar Stock - 3/8'' x 4''</t>
  </si>
  <si>
    <t>BK.375X5</t>
  </si>
  <si>
    <t>Copper Bar Stock - 3/8'' x 5''</t>
  </si>
  <si>
    <t>BK.375X6</t>
  </si>
  <si>
    <t>Copper Bar Stock - 3/8'' x 6''</t>
  </si>
  <si>
    <t>BK.375X8</t>
  </si>
  <si>
    <t>Copper Bar Stock - 3/8'' x 8''</t>
  </si>
  <si>
    <t>BK.5X1</t>
  </si>
  <si>
    <t>Copper Bar Stock - 1/2'' x 1''</t>
  </si>
  <si>
    <t>BK.5X2</t>
  </si>
  <si>
    <t>Copper Bar Stock - 1/2'' x 2''</t>
  </si>
  <si>
    <t>BK.5X3</t>
  </si>
  <si>
    <t>Copper Bar Stock - 1/2'' x 3''</t>
  </si>
  <si>
    <t>BK.5X4</t>
  </si>
  <si>
    <t>Copper Bar Stock - 1/2'' x 4''</t>
  </si>
  <si>
    <t>BK.5X6</t>
  </si>
  <si>
    <t>Copper Bar Stock - 1/2'' x 6''</t>
  </si>
  <si>
    <t>BK.5X8</t>
  </si>
  <si>
    <t>Copper Bar Stock - 1/2'' x 8''</t>
  </si>
  <si>
    <t>BK.25X1T</t>
  </si>
  <si>
    <t>Tinned Copper Bar Stock - 1/4'' x 1''</t>
  </si>
  <si>
    <t>BK.25X2T</t>
  </si>
  <si>
    <t>Tinned Copper Bar Stock - 1/4'' x 2''</t>
  </si>
  <si>
    <t>BK.25X3T</t>
  </si>
  <si>
    <t>Tinned Copper Bar Stock - 1/4'' x 3''</t>
  </si>
  <si>
    <t>BK.25X4T</t>
  </si>
  <si>
    <t>Tinned Copper Bar Stock - 1/4'' x 4''</t>
  </si>
  <si>
    <t>Mounting Kit</t>
  </si>
  <si>
    <t>B548A41</t>
  </si>
  <si>
    <t xml:space="preserve">MOUNTING,KIT,1-2WIDE BARS SS 3/8-16HDWR,INSUL&amp;BRKT </t>
  </si>
  <si>
    <t>B548A42</t>
  </si>
  <si>
    <t xml:space="preserve">MOUNTING,KIT,3-4WIDE BARS SS 3/8-16HDWR,INSUL&amp;BRKT </t>
  </si>
  <si>
    <t>B548A45</t>
  </si>
  <si>
    <t>MOUNTING,KIT,HARDWARE,3/8-16,W/1500V,INSUL&amp;BRKT</t>
  </si>
  <si>
    <t>B548A46</t>
  </si>
  <si>
    <t>B548A52</t>
  </si>
  <si>
    <t>MOUNTING,KIT,1/4-3/8X5-9W BARS,3/8-16HDWR, A CONFIG</t>
  </si>
  <si>
    <t>B548A53</t>
  </si>
  <si>
    <t>MOUNTING,KIT,1/2-5/8X1-2W BARS,3/8-16HDWR, A CONFIG</t>
  </si>
  <si>
    <t>B548A54</t>
  </si>
  <si>
    <t>MOUNTING,KIT,1/2-5/8X3-4W BARS,3/8-16HDWR, A CONFIG</t>
  </si>
  <si>
    <t>B548A55</t>
  </si>
  <si>
    <t>MOUNTING,KIT,1/2-5/8X5-9W BARS,3/8-16HDWR, A CONFIG</t>
  </si>
  <si>
    <t>B548A62</t>
  </si>
  <si>
    <t>MOUNTING,KIT,1/4-3/8X1-2W BARS,3/8-16HDWR,B CONFIG</t>
  </si>
  <si>
    <t>B548A63</t>
  </si>
  <si>
    <t>MOUNTING,KIT,1/4-3/8X3-4W BARS,3/8-16HDWR,B CONFIG</t>
  </si>
  <si>
    <t>B548A64</t>
  </si>
  <si>
    <t>MOUNTING,KIT,1/4-3/8X5-9W BARS,3/8-16HDWR,B CONFIG</t>
  </si>
  <si>
    <t>B548A65</t>
  </si>
  <si>
    <t>MOUNTING,KIT,1/2-5/8X1-2W BARS,3/8-16HDWR,B CONFIG</t>
  </si>
  <si>
    <t>B548A66</t>
  </si>
  <si>
    <t>MOUNTING,KIT,1/2-5/8X3-4W BARS,3/8-16HDWR,B CONFIG</t>
  </si>
  <si>
    <t>B548A67</t>
  </si>
  <si>
    <t>MOUNTING,KIT,1/2-5/8X5-9W BARS,3/8-16HDWR,B CONFIG</t>
  </si>
  <si>
    <t>B548A74</t>
  </si>
  <si>
    <t>MOUNTING,KIT,1/4-3/8X1-2W BARS,3/8-16HDWR,D CONFIG</t>
  </si>
  <si>
    <t>B548A76</t>
  </si>
  <si>
    <t>MOUNTING,KIT,1/4-3/8X5-9W BARS,3/8-16HDWR,D CONFIG</t>
  </si>
  <si>
    <t>B548A77</t>
  </si>
  <si>
    <t>MOUNTING,KIT,1/2-5/8X1-2W BARS,3/8-16HDWR,D CONFIG</t>
  </si>
  <si>
    <t>B548A79</t>
  </si>
  <si>
    <t>MOUNTING,KIT,1/2-5/8X5-9W BARS,3/8-16HDWR,D CONFIG</t>
  </si>
  <si>
    <t>Plexiglass Cover</t>
  </si>
  <si>
    <t>B548A41COVER</t>
  </si>
  <si>
    <t>MOUNTING,KIT,1-2WIDE BARS SS 3/8-16HDWR,INSUL,BRKT&amp;STUD</t>
  </si>
  <si>
    <t>B548A42COVER</t>
  </si>
  <si>
    <t>MOUNTING,KIT,3-4WIDE BARS SS 3/8-16HDWR,INSUL,BRKT&amp;STUD</t>
  </si>
  <si>
    <t>B548A45COVER</t>
  </si>
  <si>
    <t>MOUNTING,KIT,HARDWARE,3/8-16,W/1500V,INSUL,BRKT&amp;STUD</t>
  </si>
  <si>
    <t>B548A46COVER</t>
  </si>
  <si>
    <t>B548A52COVER</t>
  </si>
  <si>
    <t>MOUNTING,KIT,5-9WIDE BARS SS 3/8-16HDWR,INSUL,BRKT&amp;STUD</t>
  </si>
  <si>
    <t>B548A53COVER</t>
  </si>
  <si>
    <t>MOUNTING,KIT,1/2-5/8X1-2W BARS,3/8-16HDWR, F CONFIG</t>
  </si>
  <si>
    <t>B548A54COVER</t>
  </si>
  <si>
    <t>MOUNTING,KIT,1/2-5/8X3-4W BARS,3/8-16HDWR, F CONFIG</t>
  </si>
  <si>
    <t>B548A55COVER</t>
  </si>
  <si>
    <t>MOUNTING,KIT,1/2-5/8X5-9W BARS,3/8-16HDWR, F CONFIG</t>
  </si>
  <si>
    <t>Insulator</t>
  </si>
  <si>
    <t>INS,1-1/4,3/8-16 X 3/8 FIBER, REINFORCED, BLACK</t>
  </si>
  <si>
    <t>INS,1-1/2,3/8-16 X 3/8 FIBER, REINFORCED, BLACK</t>
  </si>
  <si>
    <t>Threaded Rod</t>
  </si>
  <si>
    <t>A927T044</t>
  </si>
  <si>
    <t>ROD,THREADED,3/8-16UNC-2A X 1 LG TA.375-16</t>
  </si>
  <si>
    <t>A927T053</t>
  </si>
  <si>
    <t>ROD,THREADED,3/8-16 UNC-2 A,3/4 LG,C1018 STL</t>
  </si>
  <si>
    <t>PG.25x3</t>
  </si>
  <si>
    <t>Plexiglass Cover 1/4" x 3"</t>
  </si>
  <si>
    <t>PG.25x4</t>
  </si>
  <si>
    <t>Plexiglass Cover 1/4" x 4"</t>
  </si>
  <si>
    <t>PG.25x5</t>
  </si>
  <si>
    <t>Plexiglass Cover 1/4" x 5"</t>
  </si>
  <si>
    <t>PG.25x6</t>
  </si>
  <si>
    <t>Plexiglass Cover 1/4" x 6"</t>
  </si>
  <si>
    <t>PG.25x7</t>
  </si>
  <si>
    <t>Plexiglass Cover 1/4" x 7"</t>
  </si>
  <si>
    <t>PG.25x8</t>
  </si>
  <si>
    <t>Plexiglass Cover 1/4" x 8"</t>
  </si>
  <si>
    <t>PG.25x9</t>
  </si>
  <si>
    <t>Plexiglass Cover 1/4" x 9"</t>
  </si>
  <si>
    <t>PG.25x10</t>
  </si>
  <si>
    <t>Plexiglass Cover 1/4" x 10"</t>
  </si>
  <si>
    <t>Pigtail Conductors</t>
  </si>
  <si>
    <t>A809A06T</t>
  </si>
  <si>
    <t>WIRE,CU,SOL,BARE,#4,TINNED, SOFT ANNEALED</t>
  </si>
  <si>
    <t>A809A07T</t>
  </si>
  <si>
    <t>WIRE,CU,SOL,BARE,#2,TINNED, SOFT ANNEALED</t>
  </si>
  <si>
    <t>A800A02</t>
  </si>
  <si>
    <t>CABLE,CU,BARE,#2 CONC,7 STRANDED</t>
  </si>
  <si>
    <t>A809A04</t>
  </si>
  <si>
    <t>WIRE,CU,SOL,BARE,#6 HARD DRAWN</t>
  </si>
  <si>
    <t>A800A01</t>
  </si>
  <si>
    <t>CABLE,CU,BARE,#4 CONC,7 STRAND</t>
  </si>
  <si>
    <t>A800A05</t>
  </si>
  <si>
    <t>CABLE,CU,BARE,1/0 CONC,7 STRAND</t>
  </si>
  <si>
    <t>A800A08</t>
  </si>
  <si>
    <t>CABLE,CU,BARE,2/0 CONC,7 STRAND</t>
  </si>
  <si>
    <t>A800A12</t>
  </si>
  <si>
    <t>CABLE,CU,BARE,3/0 CONC,19 STRAND</t>
  </si>
  <si>
    <t>A800A23</t>
  </si>
  <si>
    <t>CABLE,CU,BARE,4/0 CONC,7 STRAND</t>
  </si>
  <si>
    <t>A800A14</t>
  </si>
  <si>
    <t>CABLE,CU,BARE,250 CONC,19 STRAND</t>
  </si>
  <si>
    <t>A800A20</t>
  </si>
  <si>
    <t>CABLE,BARE,350KCM CL C,CU STRAND</t>
  </si>
  <si>
    <t>A800A27</t>
  </si>
  <si>
    <t>CABLE,CU,BARE,500 CONC,37 STRAND</t>
  </si>
  <si>
    <t>A800A32</t>
  </si>
  <si>
    <t>CABLE,CU,BARE,750 CONC,61 STRAND</t>
  </si>
  <si>
    <t>EMEA/APAC</t>
  </si>
  <si>
    <t>Hardware</t>
  </si>
  <si>
    <t>A929A160</t>
  </si>
  <si>
    <t>Flat Washer, M6, A4</t>
  </si>
  <si>
    <t>A929A161</t>
  </si>
  <si>
    <t>Flat Washer, M8, A4</t>
  </si>
  <si>
    <t>A929A155</t>
  </si>
  <si>
    <t>Flat Washer, M10, A4</t>
  </si>
  <si>
    <t>A929A162</t>
  </si>
  <si>
    <t>Flat Washer, M12, A4</t>
  </si>
  <si>
    <t>A928B117</t>
  </si>
  <si>
    <t>Hex Nut, M6, A4, Din 934</t>
  </si>
  <si>
    <t>A928B118</t>
  </si>
  <si>
    <t>Hex Nut, M8, A4, Din 934</t>
  </si>
  <si>
    <t>A928B114</t>
  </si>
  <si>
    <t>Hex Nut, M10, A4, Din 934</t>
  </si>
  <si>
    <t>A928B119</t>
  </si>
  <si>
    <t>Hex Nut, M12, A4, Din 934</t>
  </si>
  <si>
    <t>A929E019</t>
  </si>
  <si>
    <t>Belleville Contact Washer, M6, A4</t>
  </si>
  <si>
    <t>A929E020</t>
  </si>
  <si>
    <t>Belleville Contact Washer, M8, A4</t>
  </si>
  <si>
    <t>A929E018</t>
  </si>
  <si>
    <t>Belleville Contact Washer, M10, A4</t>
  </si>
  <si>
    <t>A929E021</t>
  </si>
  <si>
    <t>Belleville Contact Washer, M12, A4</t>
  </si>
  <si>
    <t>A927F355</t>
  </si>
  <si>
    <t>Hex Bolt, M10, 16Mm, A4-70</t>
  </si>
  <si>
    <t>A927F361</t>
  </si>
  <si>
    <t>Hex Bolt, M6, 35Mm, A4-70</t>
  </si>
  <si>
    <t>A927F362</t>
  </si>
  <si>
    <t>Hex Bolt, M8, 35Mm, A4-70</t>
  </si>
  <si>
    <t>A927F356</t>
  </si>
  <si>
    <t>Hex Bolt, M10, 35Mm, A4-70</t>
  </si>
  <si>
    <t>A927F363</t>
  </si>
  <si>
    <t>Hex Bolt, M12, 35Mm, A4-70</t>
  </si>
  <si>
    <t>A927E104</t>
  </si>
  <si>
    <t>Set Screw, M10, 40mm, A4-70</t>
  </si>
  <si>
    <t>ISOTP35M10</t>
  </si>
  <si>
    <t>Insulator, M10, 35mm</t>
  </si>
  <si>
    <t>ISOTP40M10</t>
  </si>
  <si>
    <t>Insulator, M10, 40mm</t>
  </si>
  <si>
    <t>ISOTP45M10</t>
  </si>
  <si>
    <t>Insulator, M10, 45mm</t>
  </si>
  <si>
    <t>A929A156</t>
  </si>
  <si>
    <t xml:space="preserve">Shim Washer, M10, 1mm, A4 </t>
  </si>
  <si>
    <t>Bracke</t>
  </si>
  <si>
    <t>EEBBRACKET</t>
  </si>
  <si>
    <t>Bracket</t>
  </si>
  <si>
    <t>550620</t>
  </si>
  <si>
    <t>PCB-4M-30X5</t>
  </si>
  <si>
    <t>550630</t>
  </si>
  <si>
    <t>PCB-4M-40X5</t>
  </si>
  <si>
    <t>550640</t>
  </si>
  <si>
    <t>PCB-4M-50X5</t>
  </si>
  <si>
    <t>550650</t>
  </si>
  <si>
    <t>PCB-4M-60X5</t>
  </si>
  <si>
    <t>550660</t>
  </si>
  <si>
    <t>PCB-4M-80X5</t>
  </si>
  <si>
    <t>550670</t>
  </si>
  <si>
    <t>PCB-4M-100X5</t>
  </si>
  <si>
    <t>BKM6X50</t>
  </si>
  <si>
    <t>STOCK, STRIP, 6X50MM, CU1</t>
  </si>
  <si>
    <t>03484</t>
  </si>
  <si>
    <t>MEPLAT CUA1 125X5X1,75ML</t>
  </si>
  <si>
    <t>BKM6X100</t>
  </si>
  <si>
    <t>STOCK, STRIP, 6X100MM, CU1</t>
  </si>
  <si>
    <t>Disconnect Link</t>
  </si>
  <si>
    <t>C-EEBDLC5W3</t>
  </si>
  <si>
    <t>Disconnect Link, 30x5mm, Copper, No Holes</t>
  </si>
  <si>
    <t>C-EEBDLC5W4</t>
  </si>
  <si>
    <t>Disconnect Link, 40x5mm, Copper, No Holes</t>
  </si>
  <si>
    <t>C-EEBDLC5</t>
  </si>
  <si>
    <t>Disconnect Link, 50x5mm, Copper, No Holes</t>
  </si>
  <si>
    <t>C-EEBDLC</t>
  </si>
  <si>
    <t>Disconnect Link, 50x6mm, Copper, No Holes</t>
  </si>
  <si>
    <t>C-EEBDLT5W3</t>
  </si>
  <si>
    <t>Disconnect Link, 30x5mm, Tinned Copper, No Holes</t>
  </si>
  <si>
    <t>C-EEBDLT5W4</t>
  </si>
  <si>
    <t>Disconnect Link, 40x5mm, Tinned Copper, No Holes</t>
  </si>
  <si>
    <t>C-EEBDLT5</t>
  </si>
  <si>
    <t>Disconnect Link, 50x5mm, Tinned Copper, No Holes</t>
  </si>
  <si>
    <t>C-EEBDLT</t>
  </si>
  <si>
    <t>Disconnect Link, 50x6mm, Tinned Copper, No Holes</t>
  </si>
  <si>
    <t>C-EEBDLCN5M8W3</t>
  </si>
  <si>
    <t>Disconnect Link, 30x5mm, Copper, M8 Hole</t>
  </si>
  <si>
    <t>C-EEBDLCN5W3</t>
  </si>
  <si>
    <t>Disconnect Link, 30x5mm, Copper, M10 Hole</t>
  </si>
  <si>
    <t>C-EEBDLCN5M12W3</t>
  </si>
  <si>
    <t>Disconnect Link, 30x5mm, Copper, M12 Hole</t>
  </si>
  <si>
    <t>C-EEBDLCN5M8W4</t>
  </si>
  <si>
    <t>Disconnect Link, 40x5mm, Copper, M8 Hole</t>
  </si>
  <si>
    <t>C-EEBDLCN5W4</t>
  </si>
  <si>
    <t>Disconnect Link, 40x5mm, Copper, M10 Hole</t>
  </si>
  <si>
    <t>C-EEBDLCN5M12W4</t>
  </si>
  <si>
    <t>Disconnect Link, 40x5mm, Copper, M12 Hole</t>
  </si>
  <si>
    <t>C-EEBDLCN5M6</t>
  </si>
  <si>
    <t>Disconnect Link, 50x5mm, Copper, M6 Hole</t>
  </si>
  <si>
    <t>C-EEBDLCN5M8</t>
  </si>
  <si>
    <t>Disconnect Link, 50x5mm, Copper, M8 Hole</t>
  </si>
  <si>
    <t>C-EEBDLCN5</t>
  </si>
  <si>
    <t>Disconnect Link, 50x5mm, Copper, M10 Hole</t>
  </si>
  <si>
    <t>C-EEBDLCN5M12</t>
  </si>
  <si>
    <t>Disconnect Link, 50x5mm, Copper, M12 Hole</t>
  </si>
  <si>
    <t>C-EEBDLCN5M16</t>
  </si>
  <si>
    <t>Disconnect Link, 50x5mm, Copper, M16 Hole</t>
  </si>
  <si>
    <t>C-EEBDLCNM6</t>
  </si>
  <si>
    <t>Disconnect Link, 50x6mm, Copper, M6 Hole</t>
  </si>
  <si>
    <t>C-EEBDLCNM8</t>
  </si>
  <si>
    <t>Disconnect Link, 50x6mm, Copper, M8 Hole</t>
  </si>
  <si>
    <t>C-EEBDLCN</t>
  </si>
  <si>
    <t>Disconnect Link, 50x6mm, Copper, M10 Hole</t>
  </si>
  <si>
    <t>C-EEBDLCNM12</t>
  </si>
  <si>
    <t>Disconnect Link, 50x6mm, Copper, M12 Hole</t>
  </si>
  <si>
    <t>C-EEBDLCNM16</t>
  </si>
  <si>
    <t>Disconnect Link, 50x6mm, Copper, M16 Hole</t>
  </si>
  <si>
    <t>C-EEBDLTN5M8W3</t>
  </si>
  <si>
    <t>Disconnect Link, 30x5mm, Tinned Copper, M8 Hole</t>
  </si>
  <si>
    <t>C-EEBDLTN5W3</t>
  </si>
  <si>
    <t>Disconnect Link, 30x5mm, Tinned Copper, M10 Hole</t>
  </si>
  <si>
    <t>C-EEBDLTN5M12W3</t>
  </si>
  <si>
    <t>Disconnect Link, 30x5mm, Tinned Copper, M12 Hole</t>
  </si>
  <si>
    <t>C-EEBDLTN5M8W4</t>
  </si>
  <si>
    <t>Disconnect Link, 40x5mm, Tinned Copper, M8 Hole</t>
  </si>
  <si>
    <t>C-EEBDLTN5W4</t>
  </si>
  <si>
    <t>Disconnect Link, 40x5mm, Tinned Copper, M10 Hole</t>
  </si>
  <si>
    <t>C-EEBDLTN5M12W4</t>
  </si>
  <si>
    <t>Disconnect Link, 40x5mm, Tinned Copper, M12 Hole</t>
  </si>
  <si>
    <t>C-EEBDLTN5M6</t>
  </si>
  <si>
    <t>Disconnect Link, 50x5mm, Tinned Copper, M6 Hole</t>
  </si>
  <si>
    <t>C-EEBDLTN5M8</t>
  </si>
  <si>
    <t>Disconnect Link, 50x5mm, Tinned Copper, M8 Hole</t>
  </si>
  <si>
    <t>C-EEBDLTN5</t>
  </si>
  <si>
    <t>Disconnect Link, 50x5mm, Tinned Copper, M10 Hole</t>
  </si>
  <si>
    <t>C-EEBDLTN5M12</t>
  </si>
  <si>
    <t>Disconnect Link, 50x5mm, Tinned Copper, M12 Hole</t>
  </si>
  <si>
    <t>C-EEBDLTN5M16</t>
  </si>
  <si>
    <t>Disconnect Link, 50x5mm, Tinned Copper, M16 Hole</t>
  </si>
  <si>
    <t>C-EEBDLTNM6</t>
  </si>
  <si>
    <t>Disconnect Link, 50x6mm, Tinned Copper, M6 Hole</t>
  </si>
  <si>
    <t>C-EEBDLTNM8</t>
  </si>
  <si>
    <t>Disconnect Link, 50x6mm, Tinned Copper, M8 Hole</t>
  </si>
  <si>
    <t>C-EEBDLTN</t>
  </si>
  <si>
    <t>Disconnect Link, 50x6mm, Tinned Copper, M10 Hole</t>
  </si>
  <si>
    <t>C-EEBDLTNM12</t>
  </si>
  <si>
    <t>Disconnect Link, 50x6mm, Tinned Copper, M12 Hole</t>
  </si>
  <si>
    <t>C-EEBDLTNM16</t>
  </si>
  <si>
    <t>Disconnect Link, 50x6mm, Tinned Copper, M16 Hole</t>
  </si>
  <si>
    <t>C-EEBDLCM5M8W3</t>
  </si>
  <si>
    <t>Disconnect Link, 30x5mm, Copper, M8 Holes (x2)</t>
  </si>
  <si>
    <t>C-EEBDLCM5W3</t>
  </si>
  <si>
    <t>Disconnect Link, 30x5mm, Copper, M10 Holes (x2)</t>
  </si>
  <si>
    <t>C-EEBDLCM5M12W3</t>
  </si>
  <si>
    <t>Disconnect Link, 30x5mm, Copper, M12 Holes (x2)</t>
  </si>
  <si>
    <t>C-EEBDLCM5W4</t>
  </si>
  <si>
    <t>Disconnect Link, 40x5mm, Copper, M10 Holes (x2)</t>
  </si>
  <si>
    <t>C-EEBDLCM5M12W4</t>
  </si>
  <si>
    <t>Disconnect Link, 40x5mm, Copper, M12 Holes (x2)</t>
  </si>
  <si>
    <t>C-EEBDLCM5M8W4</t>
  </si>
  <si>
    <t>Disconnect Link, 40x5mm, Copper, M8 Holes (x2)</t>
  </si>
  <si>
    <t>C-EEBDLCM5M6</t>
  </si>
  <si>
    <t>Disconnect Link, 50x5mm, Copper, M6 Holes (x2)</t>
  </si>
  <si>
    <t>C-EEBDLCM5M8</t>
  </si>
  <si>
    <t>Disconnect Link, 50x5mm, Copper, M8 Holes (x2)</t>
  </si>
  <si>
    <t>C-EEBDLCM5</t>
  </si>
  <si>
    <t>Disconnect Link, 50x5mm, Copper, M10 Holes (x2)</t>
  </si>
  <si>
    <t>C-EEBDLCM5M12</t>
  </si>
  <si>
    <t>Disconnect Link, 50x5mm, Copper, M12 Holes (x2)</t>
  </si>
  <si>
    <t>C-EEBDLCM5M16</t>
  </si>
  <si>
    <t>Disconnect Link, 50x5mm, Copper, M16 Holes (x2)</t>
  </si>
  <si>
    <t>C-EEBDLCMM6</t>
  </si>
  <si>
    <t>Disconnect Link, 50x6mm, Copper, M6 Holes (x2)</t>
  </si>
  <si>
    <t>C-EEBDLCMM8</t>
  </si>
  <si>
    <t>Disconnect Link, 50x6mm, Copper, M8 Holes (x2)</t>
  </si>
  <si>
    <t>C-EEBDLCM</t>
  </si>
  <si>
    <t>Disconnect Link, 50x6mm, Copper, M10 Holes (x2)</t>
  </si>
  <si>
    <t>C-EEBDLCMM12</t>
  </si>
  <si>
    <t>Disconnect Link, 50x6mm, Copper, M12 Holes (x2)</t>
  </si>
  <si>
    <t>C-EEBDLCMM16</t>
  </si>
  <si>
    <t>Disconnect Link, 50x6mm, Copper, M16 Holes (x2)</t>
  </si>
  <si>
    <t>C-EEBDLTM5M8W3</t>
  </si>
  <si>
    <t>Disconnect Link, 30x5mm, Tinned Copper, M8 Holes (x2)</t>
  </si>
  <si>
    <t>C-EEBDLTM5W3</t>
  </si>
  <si>
    <t>Disconnect Link, 30x5mm, Tinned Copper, M10 Holes (x2)</t>
  </si>
  <si>
    <t>C-EEBDLTM5M12W3</t>
  </si>
  <si>
    <t>Disconnect Link, 30x5mm, Tinned Copper, M12 Holes (x2)</t>
  </si>
  <si>
    <t>C-EEBDLTM5M8W4</t>
  </si>
  <si>
    <t>Disconnect Link, 40x5mm, Tinned Copper, M8 Holes (x2)</t>
  </si>
  <si>
    <t>C-EEBDLTM5W4</t>
  </si>
  <si>
    <t>Disconnect Link, 40x5mm, Tinned Copper, M10 Holes (x2)</t>
  </si>
  <si>
    <t>C-EEBDLTM5M12W4</t>
  </si>
  <si>
    <t>Disconnect Link, 40x5mm, Tinned Copper, M12 Holes (x2)</t>
  </si>
  <si>
    <t>C-EEBDLTM5M6</t>
  </si>
  <si>
    <t>Disconnect Link, 50x5mm, Tinned Copper, M6 Holes (x2)</t>
  </si>
  <si>
    <t>C-EEBDLTM5M8</t>
  </si>
  <si>
    <t>Disconnect Link, 50x5mm, Tinned Copper, M8 Holes (x2)</t>
  </si>
  <si>
    <t>C-EEBDLTM5</t>
  </si>
  <si>
    <t>Disconnect Link, 50x5mm, Tinned Copper, M10 Holes (x2)</t>
  </si>
  <si>
    <t>C-EEBDLTM5M12</t>
  </si>
  <si>
    <t>Disconnect Link, 50x5mm, Tinned Copper, M12 Holes (x2)</t>
  </si>
  <si>
    <t>C-EEBDLTM5M16</t>
  </si>
  <si>
    <t>Disconnect Link, 50x5mm, Tinned Copper, M16 Holes (x2)</t>
  </si>
  <si>
    <t>C-EEBDLTMM6</t>
  </si>
  <si>
    <t>Disconnect Link, 50x6mm, Tinned Copper, M6 Holes (x2)</t>
  </si>
  <si>
    <t>C-EEBDLTMM8</t>
  </si>
  <si>
    <t>Disconnect Link, 50x6mm, Tinned Copper, M8 Holes (x2)</t>
  </si>
  <si>
    <t>C-EEBDLTM</t>
  </si>
  <si>
    <t>Disconnect Link, 50x6mm, Tinned Copper, M10 Holes (x2)</t>
  </si>
  <si>
    <t>C-EEBDLTMM12</t>
  </si>
  <si>
    <t>Disconnect Link, 50x6mm, Tinned Copper, M12 Holes (x2)</t>
  </si>
  <si>
    <t>C-EEBDLTMM16</t>
  </si>
  <si>
    <t>Disconnect Link, 50x6mm, Tinned Copper, M16 Holes (x2)</t>
  </si>
  <si>
    <t>07201</t>
  </si>
  <si>
    <t>Sheet Cardboard</t>
  </si>
  <si>
    <t>EEB tinting</t>
  </si>
  <si>
    <t>TIN6X50</t>
  </si>
  <si>
    <t>Tinning Adder</t>
  </si>
  <si>
    <t>Column O</t>
  </si>
  <si>
    <t>Column O plus extra</t>
  </si>
  <si>
    <t>Column N</t>
  </si>
  <si>
    <t>Previous Currency</t>
  </si>
  <si>
    <t>EGBA142144EE</t>
  </si>
  <si>
    <t>EGBA144144LL</t>
  </si>
  <si>
    <t>EGBA142120EE</t>
  </si>
  <si>
    <t>EGBA142120JJ</t>
  </si>
  <si>
    <t>EGBA143120DGT</t>
  </si>
  <si>
    <t>EGBA144120CCT</t>
  </si>
  <si>
    <t>EGBA144120NN</t>
  </si>
  <si>
    <t>EGBA384120BB</t>
  </si>
  <si>
    <t>EGBA14296BB</t>
  </si>
  <si>
    <t>EGBA146120NN</t>
  </si>
  <si>
    <t>EGBA384120CB</t>
  </si>
  <si>
    <t>EGBA14396NN</t>
  </si>
  <si>
    <t>EGBA14296BD</t>
  </si>
  <si>
    <t>EGBA14396EC</t>
  </si>
  <si>
    <t>EGBA14296NN</t>
  </si>
  <si>
    <t>EGBC14296NN</t>
  </si>
  <si>
    <t>EGBA14496CC</t>
  </si>
  <si>
    <t>EGBA14496EE</t>
  </si>
  <si>
    <t>EGBA14496NN</t>
  </si>
  <si>
    <t>EGBA14384CCT</t>
  </si>
  <si>
    <t>EGBD14284NN</t>
  </si>
  <si>
    <t>EGBA14480GG</t>
  </si>
  <si>
    <t>EGBA14172NN</t>
  </si>
  <si>
    <t>EGBA14472BB</t>
  </si>
  <si>
    <t>EGBA14372GG</t>
  </si>
  <si>
    <t>EGBA14272NN</t>
  </si>
  <si>
    <t>EGBA14472CB</t>
  </si>
  <si>
    <t>EGBA14270EE</t>
  </si>
  <si>
    <t>EGBA14472CC</t>
  </si>
  <si>
    <t>EGBA12460NN</t>
  </si>
  <si>
    <t>EGBA14260BB</t>
  </si>
  <si>
    <t>EGBA14260NN</t>
  </si>
  <si>
    <t>EGBA14260JJ</t>
  </si>
  <si>
    <t>EGBA14360DGT</t>
  </si>
  <si>
    <t>EGBA14460CC</t>
  </si>
  <si>
    <t>EGBA14460CCT</t>
  </si>
  <si>
    <t>EGBA14460GG</t>
  </si>
  <si>
    <t>EGBA14660CC</t>
  </si>
  <si>
    <t>EGBA38460BB</t>
  </si>
  <si>
    <t>EGBA38460NN</t>
  </si>
  <si>
    <t>EGBA14256JJ</t>
  </si>
  <si>
    <t>EGBA14250BD</t>
  </si>
  <si>
    <t>EGBA14354CC</t>
  </si>
  <si>
    <t>EGBA12448NN</t>
  </si>
  <si>
    <t>EGBA14450EB</t>
  </si>
  <si>
    <t>EGBA14248BB</t>
  </si>
  <si>
    <t>EGBA14148NN</t>
  </si>
  <si>
    <t>EGBA14248JJ</t>
  </si>
  <si>
    <t>EGBA14248GG</t>
  </si>
  <si>
    <t>EGBA14248NN</t>
  </si>
  <si>
    <t>EGBA14348CC</t>
  </si>
  <si>
    <t>EGBA14348NN</t>
  </si>
  <si>
    <t>EGBA14348DGT</t>
  </si>
  <si>
    <t>EGBA14448AA</t>
  </si>
  <si>
    <t>EGBA14448BB</t>
  </si>
  <si>
    <t>EGBA14448CB</t>
  </si>
  <si>
    <t>EGBA14448CCT</t>
  </si>
  <si>
    <t>EGBA14448GG</t>
  </si>
  <si>
    <t>EGBA14448MM</t>
  </si>
  <si>
    <t>EGBA14448LL</t>
  </si>
  <si>
    <t>EGBA14448NN</t>
  </si>
  <si>
    <t>EGBA14448NNT</t>
  </si>
  <si>
    <t>EGBA14648BB</t>
  </si>
  <si>
    <t>EGBA14448RR</t>
  </si>
  <si>
    <t>EGBA14648NN</t>
  </si>
  <si>
    <t>EGBA14648CC</t>
  </si>
  <si>
    <t>EGBA38448BB</t>
  </si>
  <si>
    <t>EGBA38248EE</t>
  </si>
  <si>
    <t>EGBA38448CB</t>
  </si>
  <si>
    <t>EGBA38448CC</t>
  </si>
  <si>
    <t>EGBA38448GG</t>
  </si>
  <si>
    <t>EGBA38448LL</t>
  </si>
  <si>
    <t>EGBA38448NN</t>
  </si>
  <si>
    <t>EGBC14448NN</t>
  </si>
  <si>
    <t>EGBF12448CB</t>
  </si>
  <si>
    <t>EGBC14248NN</t>
  </si>
  <si>
    <t>EGBF14448CC</t>
  </si>
  <si>
    <t>EGBF12448CC</t>
  </si>
  <si>
    <t>EGBA12842NN</t>
  </si>
  <si>
    <t>EGBF14448CCT</t>
  </si>
  <si>
    <t>EGBA14442CB</t>
  </si>
  <si>
    <t>EGBA14442CC</t>
  </si>
  <si>
    <t>EGBA38642LL</t>
  </si>
  <si>
    <t>EGBA14240EET</t>
  </si>
  <si>
    <t>EGBA14440CC</t>
  </si>
  <si>
    <t>EGBB14240EE</t>
  </si>
  <si>
    <t>EGBF14440QQ</t>
  </si>
  <si>
    <t>EGBA12436MM</t>
  </si>
  <si>
    <t>EGBA12636CC</t>
  </si>
  <si>
    <t>EGBA12636LL</t>
  </si>
  <si>
    <t>EGBA14236BB</t>
  </si>
  <si>
    <t>EGBA14236BD</t>
  </si>
  <si>
    <t>EGBA14236DD</t>
  </si>
  <si>
    <t>EGBA14236EE</t>
  </si>
  <si>
    <t>EGBA14236GG</t>
  </si>
  <si>
    <t>EGBA14236NN</t>
  </si>
  <si>
    <t>EGBA14236NNT</t>
  </si>
  <si>
    <t>EGBA14336BBT</t>
  </si>
  <si>
    <t>EGBA14336BB</t>
  </si>
  <si>
    <t>EGBA14336CC</t>
  </si>
  <si>
    <t>EGBA14336DGT</t>
  </si>
  <si>
    <t>EGBA14436AA</t>
  </si>
  <si>
    <t>EGBA14336NN</t>
  </si>
  <si>
    <t>EGBA14436AAT</t>
  </si>
  <si>
    <t>EGBA14436CB</t>
  </si>
  <si>
    <t>EGBA14436CC</t>
  </si>
  <si>
    <t>EGBA14436CCT</t>
  </si>
  <si>
    <t>EGBA14436EE</t>
  </si>
  <si>
    <t>EGBA14436DD</t>
  </si>
  <si>
    <t>EGBA14436GG</t>
  </si>
  <si>
    <t>EGBA14436JJ</t>
  </si>
  <si>
    <t>EGBA14436LL</t>
  </si>
  <si>
    <t>EGBA14436LLT</t>
  </si>
  <si>
    <t>EGBA14436MM</t>
  </si>
  <si>
    <t>EGBA14436NN</t>
  </si>
  <si>
    <t>EGBA14436QQT</t>
  </si>
  <si>
    <t>EGBA14436QQ</t>
  </si>
  <si>
    <t>EGBA14436RR</t>
  </si>
  <si>
    <t>EGBA14636BB</t>
  </si>
  <si>
    <t>EGBA14636CC</t>
  </si>
  <si>
    <t>EGBA14636LL</t>
  </si>
  <si>
    <t>EGBA14636NN</t>
  </si>
  <si>
    <t>EGBA14636QQ</t>
  </si>
  <si>
    <t>EGBA14636RR</t>
  </si>
  <si>
    <t>EGBA14836CC</t>
  </si>
  <si>
    <t>EGBA14836NN</t>
  </si>
  <si>
    <t>EGBA14836RR</t>
  </si>
  <si>
    <t>EGBA38236GG</t>
  </si>
  <si>
    <t>EGBA38436EE</t>
  </si>
  <si>
    <t>EGBA38636JJ</t>
  </si>
  <si>
    <t>EGBC14236NN</t>
  </si>
  <si>
    <t>EGBF12436CB</t>
  </si>
  <si>
    <t>EGBD14336CC2QK</t>
  </si>
  <si>
    <t>EGBF12436LL</t>
  </si>
  <si>
    <t>EGBF14436CC</t>
  </si>
  <si>
    <t>EGBA14434DD</t>
  </si>
  <si>
    <t>EGBA14434CC</t>
  </si>
  <si>
    <t>EGBA14433DBT</t>
  </si>
  <si>
    <t>EGBB14433DBT</t>
  </si>
  <si>
    <t>EGBA14432CC</t>
  </si>
  <si>
    <t>EGBA14432BB</t>
  </si>
  <si>
    <t>EGBA14432GG</t>
  </si>
  <si>
    <t>EGBA14230BB</t>
  </si>
  <si>
    <t>EGBA14230EE</t>
  </si>
  <si>
    <t>EGBA14230EET</t>
  </si>
  <si>
    <t>EGBA14230HH</t>
  </si>
  <si>
    <t>EGBA14330CC</t>
  </si>
  <si>
    <t>EGBA14430BB</t>
  </si>
  <si>
    <t>EGBA14430CC</t>
  </si>
  <si>
    <t>EGBA14430CCT</t>
  </si>
  <si>
    <t>EGBA14430LL</t>
  </si>
  <si>
    <t>EGBA14430NN</t>
  </si>
  <si>
    <t>EGBA14630NN</t>
  </si>
  <si>
    <t>EGBA14630RR</t>
  </si>
  <si>
    <t>EGBA14830CC</t>
  </si>
  <si>
    <t>EGBA38430CC</t>
  </si>
  <si>
    <t>EGBA38430NN</t>
  </si>
  <si>
    <t>EGBA38630LL</t>
  </si>
  <si>
    <t>EGBB14230EET</t>
  </si>
  <si>
    <t>EGBC12230NN</t>
  </si>
  <si>
    <t>EGBB14330CB</t>
  </si>
  <si>
    <t>EGBA14428BDT</t>
  </si>
  <si>
    <t>EGBA14428CC</t>
  </si>
  <si>
    <t>EGBC14428CC</t>
  </si>
  <si>
    <t>EGBA14428NN</t>
  </si>
  <si>
    <t>EGBF12426CB</t>
  </si>
  <si>
    <t>EGBA12224BB</t>
  </si>
  <si>
    <t>EGBA12424CC</t>
  </si>
  <si>
    <t>EGBA12224NN</t>
  </si>
  <si>
    <t>EGBA12424NN</t>
  </si>
  <si>
    <t>EGBA12624CC</t>
  </si>
  <si>
    <t>EGBA12624RR</t>
  </si>
  <si>
    <t>EGBA14436BB</t>
  </si>
  <si>
    <t>EGBA12824NN</t>
  </si>
  <si>
    <t>EGBA14448CC</t>
  </si>
  <si>
    <t>EGBA12624NN</t>
  </si>
  <si>
    <t>EGBA14124NN</t>
  </si>
  <si>
    <t>EGBA14224BB</t>
  </si>
  <si>
    <t>EGBA14224BE</t>
  </si>
  <si>
    <t>EGBA14224BBT</t>
  </si>
  <si>
    <t>EGBA14224EE</t>
  </si>
  <si>
    <t>EGBA14224DD</t>
  </si>
  <si>
    <t>EGBA14224EET</t>
  </si>
  <si>
    <t>EGBA14224GE</t>
  </si>
  <si>
    <t>EGBA14224GG</t>
  </si>
  <si>
    <t>EGBA14224HH</t>
  </si>
  <si>
    <t>EGBA14224GGT</t>
  </si>
  <si>
    <t>EGBA14224JJ</t>
  </si>
  <si>
    <t>EGBA14224NN</t>
  </si>
  <si>
    <t>EGBA14324BB</t>
  </si>
  <si>
    <t>EGBA14324CC</t>
  </si>
  <si>
    <t>EGBA14324BBT</t>
  </si>
  <si>
    <t>EGBA14324CF</t>
  </si>
  <si>
    <t>EGBA14324DGT</t>
  </si>
  <si>
    <t>EGBA14324EC</t>
  </si>
  <si>
    <t>EGBA14324LL</t>
  </si>
  <si>
    <t>EGBA14324GG</t>
  </si>
  <si>
    <t>EGBA14324LLT</t>
  </si>
  <si>
    <t>EGBA14324NN</t>
  </si>
  <si>
    <t>EGBA14424AAT</t>
  </si>
  <si>
    <t>EGBA14424AA</t>
  </si>
  <si>
    <t>EGBA14424BB</t>
  </si>
  <si>
    <t>EGBA14424BC</t>
  </si>
  <si>
    <t>EGBA14424BBT</t>
  </si>
  <si>
    <t>EGBA14424BD</t>
  </si>
  <si>
    <t>EGBA14424DD</t>
  </si>
  <si>
    <t>EGBA14324AA</t>
  </si>
  <si>
    <t>EGBA14324CCT</t>
  </si>
  <si>
    <t>EGBA14424CCT</t>
  </si>
  <si>
    <t>EGBA14424CA</t>
  </si>
  <si>
    <t>EGBA14424BFT</t>
  </si>
  <si>
    <t>EGBA14424CBT</t>
  </si>
  <si>
    <t>EGBA14424CB</t>
  </si>
  <si>
    <t>EGBA14424GG</t>
  </si>
  <si>
    <t>EGBA14424JJ</t>
  </si>
  <si>
    <t>EGBA14424EE</t>
  </si>
  <si>
    <t>EGBA14424LLT</t>
  </si>
  <si>
    <t>EGBA14424GGT</t>
  </si>
  <si>
    <t>EGBA14424JJT</t>
  </si>
  <si>
    <t>EGBA14424KK</t>
  </si>
  <si>
    <t>EGBA14424DDT</t>
  </si>
  <si>
    <t>EGBA14424MM</t>
  </si>
  <si>
    <t>EGBA14424QQ</t>
  </si>
  <si>
    <t>EGBA14424NN</t>
  </si>
  <si>
    <t>EGBA14424RRT</t>
  </si>
  <si>
    <t>EGBA14424RR</t>
  </si>
  <si>
    <t>EGBA14424QQT</t>
  </si>
  <si>
    <t>EGBA14424MMT</t>
  </si>
  <si>
    <t>EGBA14424NNT</t>
  </si>
  <si>
    <t>EGBA14824DG</t>
  </si>
  <si>
    <t>EGBA14824LL</t>
  </si>
  <si>
    <t>EGBA14824MM</t>
  </si>
  <si>
    <t>EGBA38424DD</t>
  </si>
  <si>
    <t>EGBA38624CC</t>
  </si>
  <si>
    <t>EGBA14824NN</t>
  </si>
  <si>
    <t>EGBA38424CC</t>
  </si>
  <si>
    <t>EGBA38424BB</t>
  </si>
  <si>
    <t>EGBA38624LL</t>
  </si>
  <si>
    <t>EGBB14424CC</t>
  </si>
  <si>
    <t>EGBB14324CB</t>
  </si>
  <si>
    <t>EGBB14424EE</t>
  </si>
  <si>
    <t>EGBB14424JE</t>
  </si>
  <si>
    <t>EGBB38324NN</t>
  </si>
  <si>
    <t>EGBC14124NN</t>
  </si>
  <si>
    <t>EGBC14224NN</t>
  </si>
  <si>
    <t>EGBC14424NN</t>
  </si>
  <si>
    <t>EGBF12424CB</t>
  </si>
  <si>
    <t>EGBD14224BB</t>
  </si>
  <si>
    <t>EGBF12424CC</t>
  </si>
  <si>
    <t>EGBF14424CC</t>
  </si>
  <si>
    <t>EGBF14424LL</t>
  </si>
  <si>
    <t>EGBF14424GG</t>
  </si>
  <si>
    <t>EGBF14424RR</t>
  </si>
  <si>
    <t>EGBA14422BD</t>
  </si>
  <si>
    <t>EGBA14222EET</t>
  </si>
  <si>
    <t>EGBA14421RR</t>
  </si>
  <si>
    <t>EGBA12420NN</t>
  </si>
  <si>
    <t>EGBA14220BB</t>
  </si>
  <si>
    <t>EGBA14220DGT</t>
  </si>
  <si>
    <t>EGBA14220EE</t>
  </si>
  <si>
    <t>EGBA14220BE</t>
  </si>
  <si>
    <t>EGBA14220HH</t>
  </si>
  <si>
    <t>EGBA14220JJ</t>
  </si>
  <si>
    <t>EGBA14220NN</t>
  </si>
  <si>
    <t>EGBA14320BB</t>
  </si>
  <si>
    <t>EGBA14320CC</t>
  </si>
  <si>
    <t>EGBA14420DG1TE</t>
  </si>
  <si>
    <t>EGBA14420AA</t>
  </si>
  <si>
    <t>EGBA14420LLT2GT</t>
  </si>
  <si>
    <t>EGBA14420BB</t>
  </si>
  <si>
    <t>EGBA14420CBT</t>
  </si>
  <si>
    <t>EGBA14420CB</t>
  </si>
  <si>
    <t>EGBA14420CC</t>
  </si>
  <si>
    <t>EGBA14420CCT</t>
  </si>
  <si>
    <t>EGBA14420GG</t>
  </si>
  <si>
    <t>EGBA14420LL</t>
  </si>
  <si>
    <t>EGBA14420HH</t>
  </si>
  <si>
    <t>EGBA14420LLT</t>
  </si>
  <si>
    <t>EGBA14420NN</t>
  </si>
  <si>
    <t>EGBA14420MM</t>
  </si>
  <si>
    <t>EGBA14420QQT</t>
  </si>
  <si>
    <t>EGBA14420QQ</t>
  </si>
  <si>
    <t>EGBA14420RR</t>
  </si>
  <si>
    <t>EGBA38420CC</t>
  </si>
  <si>
    <t>EGBA38320BF</t>
  </si>
  <si>
    <t>EGBB14420CC</t>
  </si>
  <si>
    <t>EGBF14420CC</t>
  </si>
  <si>
    <t>EGBF14420LLT</t>
  </si>
  <si>
    <t>EGBA12418EE</t>
  </si>
  <si>
    <t>EGBF14420LL</t>
  </si>
  <si>
    <t>EGBA12418MM</t>
  </si>
  <si>
    <t>EGBA12418NN</t>
  </si>
  <si>
    <t>EGBA14118NN</t>
  </si>
  <si>
    <t>EGBA14218BB</t>
  </si>
  <si>
    <t>EGBA14218EE</t>
  </si>
  <si>
    <t>EGBA14218GG</t>
  </si>
  <si>
    <t>EGBA14218HH</t>
  </si>
  <si>
    <t>EGBA14218HHT</t>
  </si>
  <si>
    <t>EGBA14218NN</t>
  </si>
  <si>
    <t>EGBA14318DD</t>
  </si>
  <si>
    <t>EGBA14318NN</t>
  </si>
  <si>
    <t>EGBA14318GG</t>
  </si>
  <si>
    <t>EGBA14418AA</t>
  </si>
  <si>
    <t>EGBA14418BC</t>
  </si>
  <si>
    <t>EGBA14418BB</t>
  </si>
  <si>
    <t>EGBA14418BD</t>
  </si>
  <si>
    <t>EGBA14418CC</t>
  </si>
  <si>
    <t>EGBA14418DD</t>
  </si>
  <si>
    <t>EGBA14418CCT</t>
  </si>
  <si>
    <t>EGBA14418EE</t>
  </si>
  <si>
    <t>EGBA14418JJ</t>
  </si>
  <si>
    <t>EGBA14418GG</t>
  </si>
  <si>
    <t>EGBA14418LL</t>
  </si>
  <si>
    <t>EGBA14418LLT</t>
  </si>
  <si>
    <t>EGBA14418MM</t>
  </si>
  <si>
    <t>EGBA38418BB</t>
  </si>
  <si>
    <t>EGBA14418NN</t>
  </si>
  <si>
    <t>EGBA38418DB</t>
  </si>
  <si>
    <t>EGBB14418BB</t>
  </si>
  <si>
    <t>EGBB14318CB</t>
  </si>
  <si>
    <t>EGBA38418NN</t>
  </si>
  <si>
    <t>EGBC14118HH</t>
  </si>
  <si>
    <t>EGBC14218EET</t>
  </si>
  <si>
    <t>EGBF14418CCT</t>
  </si>
  <si>
    <t>EGBF14418CC</t>
  </si>
  <si>
    <t>EGBA12416AA</t>
  </si>
  <si>
    <t>EGBF14418LL</t>
  </si>
  <si>
    <t>EGBA12416BD</t>
  </si>
  <si>
    <t>EGBA12416CA</t>
  </si>
  <si>
    <t>EGBA14116HH</t>
  </si>
  <si>
    <t>EGBA14216EE</t>
  </si>
  <si>
    <t>EGBA14216BB</t>
  </si>
  <si>
    <t>EGBA14216GG</t>
  </si>
  <si>
    <t>EGBA14216HH</t>
  </si>
  <si>
    <t>EGBA14216NN</t>
  </si>
  <si>
    <t>EGBA14216NNT</t>
  </si>
  <si>
    <t>EGBA14316CC</t>
  </si>
  <si>
    <t>EGBA14416AA</t>
  </si>
  <si>
    <t>EGBA14416AAT</t>
  </si>
  <si>
    <t>EGBA14416BB</t>
  </si>
  <si>
    <t>EGBA14416CA</t>
  </si>
  <si>
    <t>EGBA14416CC</t>
  </si>
  <si>
    <t>EGBA14416CF</t>
  </si>
  <si>
    <t>EGBA14416CCT</t>
  </si>
  <si>
    <t>EGBA14416LL</t>
  </si>
  <si>
    <t>EGBA14416LLT</t>
  </si>
  <si>
    <t>EGBA14416NN</t>
  </si>
  <si>
    <t>EGBA14416NNT</t>
  </si>
  <si>
    <t>EGBA38416GG</t>
  </si>
  <si>
    <t>EGBC14316LL</t>
  </si>
  <si>
    <t>EGBC14416AA</t>
  </si>
  <si>
    <t>EGBC14416CAT</t>
  </si>
  <si>
    <t>EGBD14416JET</t>
  </si>
  <si>
    <t>EGBF14416LL</t>
  </si>
  <si>
    <t>EGBF14416LLT</t>
  </si>
  <si>
    <t>EGBA14215EET</t>
  </si>
  <si>
    <t>EGBA14215BDT</t>
  </si>
  <si>
    <t>EGBA14215GG</t>
  </si>
  <si>
    <t>EGBA14215JJ</t>
  </si>
  <si>
    <t>EGBA14415CC</t>
  </si>
  <si>
    <t>EGBA14215NN</t>
  </si>
  <si>
    <t>EGBA14215JJT</t>
  </si>
  <si>
    <t>EGBA14415CCT</t>
  </si>
  <si>
    <t>EGBA14415LL</t>
  </si>
  <si>
    <t>EGBA14415GG</t>
  </si>
  <si>
    <t>EGBC14215NN</t>
  </si>
  <si>
    <t>EGBA12414BB</t>
  </si>
  <si>
    <t>EGBA14214BB</t>
  </si>
  <si>
    <t>EGBA14214BDT</t>
  </si>
  <si>
    <t>EGBA14214EE</t>
  </si>
  <si>
    <t>EGBA14214GCT</t>
  </si>
  <si>
    <t>EGBA14214HH</t>
  </si>
  <si>
    <t>EGBA14214NN</t>
  </si>
  <si>
    <t>EGBA14414AA</t>
  </si>
  <si>
    <t>EGBA14414BB</t>
  </si>
  <si>
    <t>EGBA14414BF</t>
  </si>
  <si>
    <t>EGBA14414CB</t>
  </si>
  <si>
    <t>EGBA14414CC</t>
  </si>
  <si>
    <t>EGBA14414GG</t>
  </si>
  <si>
    <t>EGBA14414EE</t>
  </si>
  <si>
    <t>EGBA14414KK</t>
  </si>
  <si>
    <t>EGBA14414LL</t>
  </si>
  <si>
    <t>EGBA14414MM</t>
  </si>
  <si>
    <t>EGBA14414RR</t>
  </si>
  <si>
    <t>EGBA14414NN</t>
  </si>
  <si>
    <t>EGBB14214NN</t>
  </si>
  <si>
    <t>EGBB14414CC</t>
  </si>
  <si>
    <t>EGBA14213NN</t>
  </si>
  <si>
    <t>EGBB14313GGT</t>
  </si>
  <si>
    <t>EGBC14213EB</t>
  </si>
  <si>
    <t>EGBA12412AA</t>
  </si>
  <si>
    <t>EGBA12212NN</t>
  </si>
  <si>
    <t>EGBA12412CC</t>
  </si>
  <si>
    <t>EGBA12412NN</t>
  </si>
  <si>
    <t>EGBA12412GG</t>
  </si>
  <si>
    <t>EGBA12612LL</t>
  </si>
  <si>
    <t>EGBA12612NN</t>
  </si>
  <si>
    <t>EGBA14112EE</t>
  </si>
  <si>
    <t>EGBA14112HH</t>
  </si>
  <si>
    <t>EGBA14112NN</t>
  </si>
  <si>
    <t>EGBA14212EE2GH</t>
  </si>
  <si>
    <t>EGBA14212BB</t>
  </si>
  <si>
    <t>EGBA14212BBT</t>
  </si>
  <si>
    <t>EGBA14212BD</t>
  </si>
  <si>
    <t>EGBA14212DD</t>
  </si>
  <si>
    <t>EGBA14212DDT</t>
  </si>
  <si>
    <t>EGBA14212ECT</t>
  </si>
  <si>
    <t>EGBA14212EB</t>
  </si>
  <si>
    <t>EGBA14212EE</t>
  </si>
  <si>
    <t>EGBA14212EET</t>
  </si>
  <si>
    <t>EGBA14212GG</t>
  </si>
  <si>
    <t>EGBA14212HH</t>
  </si>
  <si>
    <t>EGBA14212JJ</t>
  </si>
  <si>
    <t>EGBA14212HHT</t>
  </si>
  <si>
    <t>EGBA14212JJT</t>
  </si>
  <si>
    <t>EGBA14212NN</t>
  </si>
  <si>
    <t>EGBA14212NNT</t>
  </si>
  <si>
    <t>EGBA14312LL2QA</t>
  </si>
  <si>
    <t>EGBA14312BB</t>
  </si>
  <si>
    <t>EGBA14312BBT</t>
  </si>
  <si>
    <t>EGBA14312EE</t>
  </si>
  <si>
    <t>EGBA14312CC</t>
  </si>
  <si>
    <t>EGBA14312GG</t>
  </si>
  <si>
    <t>EGBA14312HH</t>
  </si>
  <si>
    <t>EGBA14312MM</t>
  </si>
  <si>
    <t>EGBA14312LL</t>
  </si>
  <si>
    <t>EGBA14312MMT</t>
  </si>
  <si>
    <t>EGBA14312NN</t>
  </si>
  <si>
    <t>EGBA14412AA1TD</t>
  </si>
  <si>
    <t>EGBA14412BBT2GK</t>
  </si>
  <si>
    <t>EGBA14412AA</t>
  </si>
  <si>
    <t>EGBA14412AAT</t>
  </si>
  <si>
    <t>EGBA14412BB</t>
  </si>
  <si>
    <t>EGBA14412BBT</t>
  </si>
  <si>
    <t>EGBA14412CB</t>
  </si>
  <si>
    <t>EGBA14412BD</t>
  </si>
  <si>
    <t>EGBA14412BE</t>
  </si>
  <si>
    <t>EGBA14412CBT</t>
  </si>
  <si>
    <t>EGBA14412CC</t>
  </si>
  <si>
    <t>EGBA14412CCT</t>
  </si>
  <si>
    <t>EGBA14412CF</t>
  </si>
  <si>
    <t>EGBA14412DD</t>
  </si>
  <si>
    <t>EGBA14412EC</t>
  </si>
  <si>
    <t>EGBA14412DG</t>
  </si>
  <si>
    <t>EGBA14412EE</t>
  </si>
  <si>
    <t>EGBA14412GET</t>
  </si>
  <si>
    <t>EGBA14412GGT</t>
  </si>
  <si>
    <t>EGBA14412JE</t>
  </si>
  <si>
    <t>EGBA14412JJ</t>
  </si>
  <si>
    <t>EGBA14412LB</t>
  </si>
  <si>
    <t>EGBA14412KK</t>
  </si>
  <si>
    <t>EGBA14412LL</t>
  </si>
  <si>
    <t>EGBA14412LLT</t>
  </si>
  <si>
    <t>EGBA14412MM</t>
  </si>
  <si>
    <t>EGBA14412MMT</t>
  </si>
  <si>
    <t>EGBA14412QQ</t>
  </si>
  <si>
    <t>EGBA14412NNT</t>
  </si>
  <si>
    <t>EGBA14412QQT</t>
  </si>
  <si>
    <t>EGBA14412RR</t>
  </si>
  <si>
    <t>EGBA14412RRT</t>
  </si>
  <si>
    <t>EGBA14612AA</t>
  </si>
  <si>
    <t>EGBA14612BB</t>
  </si>
  <si>
    <t>EGBA14612BF</t>
  </si>
  <si>
    <t>EGBA14612CC</t>
  </si>
  <si>
    <t>EGBA14812BB</t>
  </si>
  <si>
    <t>EGBA38212EE</t>
  </si>
  <si>
    <t>EGBA38412AA</t>
  </si>
  <si>
    <t>EGBA38412BB</t>
  </si>
  <si>
    <t>EGBA38212NN</t>
  </si>
  <si>
    <t>EGBA38412CC</t>
  </si>
  <si>
    <t>EGBA38412HH</t>
  </si>
  <si>
    <t>EGBA38412NN</t>
  </si>
  <si>
    <t>EGBA38612GG</t>
  </si>
  <si>
    <t>EGBB14212JJ</t>
  </si>
  <si>
    <t>EGBB14112HH</t>
  </si>
  <si>
    <t>EGBB14312CB</t>
  </si>
  <si>
    <t>EGBB14412BB</t>
  </si>
  <si>
    <t>EGBB14412CC</t>
  </si>
  <si>
    <t>EGBB14412CCT</t>
  </si>
  <si>
    <t>EGBC14212BB</t>
  </si>
  <si>
    <t>EGBC14212BFT</t>
  </si>
  <si>
    <t>EGBC14212GG</t>
  </si>
  <si>
    <t>EGBC14312NN</t>
  </si>
  <si>
    <t>EGBC14412NN</t>
  </si>
  <si>
    <t>EGBC14412NNT</t>
  </si>
  <si>
    <t>EGBD14212NN</t>
  </si>
  <si>
    <t>EGBD14412NN</t>
  </si>
  <si>
    <t>EGBF14412LL</t>
  </si>
  <si>
    <t>EGBF14412CC</t>
  </si>
  <si>
    <t>EGBA12210JJ</t>
  </si>
  <si>
    <t>EGBF14412LLT</t>
  </si>
  <si>
    <t>EGBA14210BB</t>
  </si>
  <si>
    <t>EGBA14210BE</t>
  </si>
  <si>
    <t>EGBA14210HB</t>
  </si>
  <si>
    <t>EGBA14210EE</t>
  </si>
  <si>
    <t>EGBA14210GG</t>
  </si>
  <si>
    <t>EGBA14210JF</t>
  </si>
  <si>
    <t>EGBA14210JE</t>
  </si>
  <si>
    <t>EGBA14210NN</t>
  </si>
  <si>
    <t>EGBA14210JJ</t>
  </si>
  <si>
    <t>EGBA14210SS</t>
  </si>
  <si>
    <t>EGBA14410AA</t>
  </si>
  <si>
    <t>EGBA14410AAT</t>
  </si>
  <si>
    <t>EGBA14310NN</t>
  </si>
  <si>
    <t>EGBA14410BB</t>
  </si>
  <si>
    <t>EGBA14410CC</t>
  </si>
  <si>
    <t>EGBA14410EE</t>
  </si>
  <si>
    <t>EGBA14410GG</t>
  </si>
  <si>
    <t>EGBA14410LL</t>
  </si>
  <si>
    <t>EGBA14410GGT</t>
  </si>
  <si>
    <t>EGBA14410NN</t>
  </si>
  <si>
    <t>EGBA14410NNT</t>
  </si>
  <si>
    <t>EGBA14410RR</t>
  </si>
  <si>
    <t>EGBA38410DB</t>
  </si>
  <si>
    <t>EGBC14110HH</t>
  </si>
  <si>
    <t>EGBC14310LL</t>
  </si>
  <si>
    <t>EGBA38509AA</t>
  </si>
  <si>
    <t>EGBA14209GGT</t>
  </si>
  <si>
    <t>EGBA12408NN</t>
  </si>
  <si>
    <t>EGBB14209HHT</t>
  </si>
  <si>
    <t>EGBA14208BB</t>
  </si>
  <si>
    <t>EGBA14208BF</t>
  </si>
  <si>
    <t>EGBA14208EE</t>
  </si>
  <si>
    <t>EGBA14208GG</t>
  </si>
  <si>
    <t>EGBA14208HHT</t>
  </si>
  <si>
    <t>EGBA14208NN</t>
  </si>
  <si>
    <t>EGBA14308JJ</t>
  </si>
  <si>
    <t>EGBA14408BB</t>
  </si>
  <si>
    <t>EGBA14308NN</t>
  </si>
  <si>
    <t>EGBA14408MM</t>
  </si>
  <si>
    <t>EGBA14408NN</t>
  </si>
  <si>
    <t>EGBA14608AA</t>
  </si>
  <si>
    <t>EGBC14408GG</t>
  </si>
  <si>
    <t>EGBA38308NN</t>
  </si>
  <si>
    <t>EGBC14308LLT</t>
  </si>
  <si>
    <t>EGBA14207BF</t>
  </si>
  <si>
    <t>EGBA12206NN</t>
  </si>
  <si>
    <t>EGBC14307NN</t>
  </si>
  <si>
    <t>EGBA14106HH</t>
  </si>
  <si>
    <t>EGBA14106HHT</t>
  </si>
  <si>
    <t>EGBA14206BD</t>
  </si>
  <si>
    <t>EGBA14106NN</t>
  </si>
  <si>
    <t>EGBA14206EC</t>
  </si>
  <si>
    <t>EGBA14206BB</t>
  </si>
  <si>
    <t>EGBA14206EE</t>
  </si>
  <si>
    <t>EGBA14206EET</t>
  </si>
  <si>
    <t>EGBA14206GG</t>
  </si>
  <si>
    <t>EGBA14206JJ</t>
  </si>
  <si>
    <t>EGBA14206NNT</t>
  </si>
  <si>
    <t>EGBA14206NN</t>
  </si>
  <si>
    <t>EGBA14206SS</t>
  </si>
  <si>
    <t>EGBA14306CC</t>
  </si>
  <si>
    <t>EGBA14306NN</t>
  </si>
  <si>
    <t>EGBA14406MM2QC</t>
  </si>
  <si>
    <t>EGBA14406CC</t>
  </si>
  <si>
    <t>EGBA14406CCT</t>
  </si>
  <si>
    <t>EGBB14106NN</t>
  </si>
  <si>
    <t>EGBA14406LL</t>
  </si>
  <si>
    <t>EGBA14406NN</t>
  </si>
  <si>
    <t>EGBF14406LL</t>
  </si>
  <si>
    <t>EGBC14106EE</t>
  </si>
  <si>
    <t>EGBB14206EET</t>
  </si>
  <si>
    <t>EGBA14424CC</t>
  </si>
  <si>
    <t>EGBA14424LL</t>
  </si>
  <si>
    <t>EGBA14618CC</t>
  </si>
  <si>
    <t>EGBA14612GG</t>
  </si>
  <si>
    <t>EGBA14612NN</t>
  </si>
  <si>
    <t>EGBA14412HH</t>
  </si>
  <si>
    <t>EGBA38412GG</t>
  </si>
  <si>
    <t>EGBA14412CCT1TK</t>
  </si>
  <si>
    <t>EGBC14212EE</t>
  </si>
  <si>
    <t>EGBD14312CC2QK</t>
  </si>
  <si>
    <t>EGBA14110NN</t>
  </si>
  <si>
    <t>EGBA14308AA1TK</t>
  </si>
  <si>
    <t>EGBB14206NN</t>
  </si>
  <si>
    <t>EGBC14206NN</t>
  </si>
  <si>
    <t>EGBF14406LLT</t>
  </si>
  <si>
    <t>EGBA14412GG</t>
  </si>
  <si>
    <t>EGBA14630CC</t>
  </si>
  <si>
    <t>EGBA14412NN</t>
  </si>
  <si>
    <t>EGBA14624LL</t>
  </si>
  <si>
    <t>From Price Sheet</t>
  </si>
  <si>
    <t>USD</t>
  </si>
  <si>
    <t>Euro Pricing on this sheet</t>
  </si>
  <si>
    <t>USD pricing on this sheet</t>
  </si>
  <si>
    <t>Yuan</t>
  </si>
  <si>
    <t>Yuan pricing on this sheet</t>
  </si>
  <si>
    <t>Rupee</t>
  </si>
  <si>
    <t>Rupee pricing on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</si>
</sst>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#,##0.00;\-#,##0.00"/>
    <numFmt numFmtId="165" formatCode="#,##0.000;\-#,##0.000"/>
    <numFmt numFmtId="166" formatCode="&quot;$&quot;#,##0.00000_);[Red]\(&quot;$&quot;#,##0.00000\)"/>
    <numFmt numFmtId="167" formatCode="0.000000"/>
    <numFmt numFmtId="168" formatCode="[$€-2]\ #,##0.00;[Red]\-[$€-2]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Tahoma"/>
      <family val="2"/>
    </font>
    <font>
      <b/>
      <sz val="9"/>
      <color rgb="FFFFFFFF"/>
      <name val="Arial"/>
      <family val="2"/>
    </font>
    <font>
      <b/>
      <sz val="9"/>
      <color theme="1"/>
      <name val="Arial"/>
      <family val="2"/>
    </font>
    <font>
      <sz val="11"/>
      <color rgb="FF9C0006"/>
      <name val="Calibri"/>
      <family val="2"/>
      <scheme val="minor"/>
    </font>
    <font>
      <sz val="10"/>
      <color theme="1"/>
      <name val="Tahoma"/>
      <family val="2"/>
    </font>
    <font>
      <sz val="11"/>
      <color rgb="FF00007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4262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3" fillId="0" borderId="0" applyNumberFormat="0" applyFill="0" applyBorder="0" applyAlignment="0" applyProtection="0"/>
    <xf numFmtId="0" fontId="8" fillId="9" borderId="0" applyNumberFormat="0" applyBorder="0" applyAlignment="0" applyProtection="0"/>
    <xf numFmtId="0" fontId="9" fillId="0" borderId="0"/>
  </cellStyleXfs>
  <cellXfs count="44">
    <xf numFmtId="0" fontId="0" fillId="0" borderId="0" xfId="0"/>
    <xf numFmtId="49" fontId="1" fillId="0" borderId="0" xfId="1" applyNumberFormat="1"/>
    <xf numFmtId="0" fontId="1" fillId="0" borderId="0" xfId="1"/>
    <xf numFmtId="0" fontId="1" fillId="0" borderId="1" xfId="1" applyBorder="1"/>
    <xf numFmtId="164" fontId="2" fillId="2" borderId="1" xfId="2" applyNumberFormat="1" applyFill="1" applyBorder="1" applyAlignment="1">
      <alignment horizontal="right" wrapText="1"/>
    </xf>
    <xf numFmtId="164" fontId="2" fillId="0" borderId="1" xfId="2" applyNumberFormat="1" applyBorder="1" applyAlignment="1">
      <alignment horizontal="right" wrapText="1"/>
    </xf>
    <xf numFmtId="165" fontId="2" fillId="0" borderId="1" xfId="2" applyNumberFormat="1" applyBorder="1" applyAlignment="1">
      <alignment horizontal="right" wrapText="1"/>
    </xf>
    <xf numFmtId="164" fontId="1" fillId="0" borderId="1" xfId="1" applyNumberFormat="1" applyBorder="1"/>
    <xf numFmtId="165" fontId="1" fillId="0" borderId="1" xfId="1" applyNumberFormat="1" applyBorder="1"/>
    <xf numFmtId="0" fontId="1" fillId="0" borderId="0" xfId="1" applyAlignment="1">
      <alignment wrapText="1"/>
    </xf>
    <xf numFmtId="164" fontId="1" fillId="0" borderId="0" xfId="1" applyNumberFormat="1"/>
    <xf numFmtId="165" fontId="1" fillId="0" borderId="0" xfId="1" applyNumberFormat="1"/>
    <xf numFmtId="0" fontId="3" fillId="0" borderId="0" xfId="3"/>
    <xf numFmtId="0" fontId="1" fillId="3" borderId="0" xfId="1" applyFill="1"/>
    <xf numFmtId="49" fontId="1" fillId="3" borderId="0" xfId="1" applyNumberFormat="1" applyFill="1"/>
    <xf numFmtId="44" fontId="1" fillId="0" borderId="0" xfId="1" applyNumberFormat="1"/>
    <xf numFmtId="44" fontId="4" fillId="4" borderId="0" xfId="0" applyNumberFormat="1" applyFont="1" applyFill="1"/>
    <xf numFmtId="0" fontId="1" fillId="0" borderId="1" xfId="1" applyBorder="1" applyAlignment="1">
      <alignment wrapText="1"/>
    </xf>
    <xf numFmtId="8" fontId="1" fillId="3" borderId="0" xfId="1" applyNumberFormat="1" applyFill="1"/>
    <xf numFmtId="8" fontId="1" fillId="5" borderId="0" xfId="1" applyNumberFormat="1" applyFill="1"/>
    <xf numFmtId="8" fontId="4" fillId="4" borderId="0" xfId="0" applyNumberFormat="1" applyFont="1" applyFill="1"/>
    <xf numFmtId="0" fontId="6" fillId="6" borderId="1" xfId="0" applyFont="1" applyFill="1" applyBorder="1" applyAlignment="1">
      <alignment wrapText="1"/>
    </xf>
    <xf numFmtId="0" fontId="6" fillId="6" borderId="2" xfId="0" applyFont="1" applyFill="1" applyBorder="1" applyAlignment="1">
      <alignment wrapText="1"/>
    </xf>
    <xf numFmtId="0" fontId="5" fillId="0" borderId="3" xfId="0" applyFont="1" applyBorder="1"/>
    <xf numFmtId="8" fontId="5" fillId="0" borderId="3" xfId="0" applyNumberFormat="1" applyFont="1" applyBorder="1"/>
    <xf numFmtId="8" fontId="5" fillId="0" borderId="4" xfId="0" applyNumberFormat="1" applyFont="1" applyBorder="1"/>
    <xf numFmtId="8" fontId="5" fillId="7" borderId="4" xfId="0" applyNumberFormat="1" applyFont="1" applyFill="1" applyBorder="1"/>
    <xf numFmtId="0" fontId="0" fillId="7" borderId="0" xfId="0" applyFill="1"/>
    <xf numFmtId="0" fontId="7" fillId="8" borderId="2" xfId="0" applyFont="1" applyFill="1" applyBorder="1" applyAlignment="1">
      <alignment wrapText="1"/>
    </xf>
    <xf numFmtId="0" fontId="8" fillId="9" borderId="1" xfId="4" applyBorder="1"/>
    <xf numFmtId="0" fontId="8" fillId="9" borderId="1" xfId="4" applyBorder="1" applyAlignment="1">
      <alignment wrapText="1"/>
    </xf>
    <xf numFmtId="0" fontId="8" fillId="9" borderId="0" xfId="4" applyAlignment="1">
      <alignment wrapText="1"/>
    </xf>
    <xf numFmtId="8" fontId="8" fillId="9" borderId="1" xfId="4" applyNumberFormat="1" applyBorder="1" applyAlignment="1">
      <alignment horizontal="center"/>
    </xf>
    <xf numFmtId="44" fontId="8" fillId="9" borderId="0" xfId="4" applyNumberFormat="1"/>
    <xf numFmtId="8" fontId="8" fillId="9" borderId="0" xfId="4" applyNumberFormat="1"/>
    <xf numFmtId="166" fontId="5" fillId="0" borderId="1" xfId="0" applyNumberFormat="1" applyFont="1" applyBorder="1" applyAlignment="1">
      <alignment horizontal="center"/>
    </xf>
    <xf numFmtId="167" fontId="1" fillId="0" borderId="0" xfId="1" applyNumberFormat="1"/>
    <xf numFmtId="168" fontId="0" fillId="0" borderId="0" xfId="0" applyNumberFormat="1"/>
    <xf numFmtId="0" fontId="0" fillId="0" borderId="0" xfId="0" quotePrefix="1"/>
    <xf numFmtId="4" fontId="0" fillId="0" borderId="0" xfId="0" applyNumberFormat="1"/>
    <xf numFmtId="0" fontId="0" fillId="0" borderId="5" xfId="0" applyBorder="1"/>
    <xf numFmtId="0" fontId="10" fillId="0" borderId="5" xfId="0" applyFont="1" applyBorder="1"/>
    <xf numFmtId="8" fontId="0" fillId="0" borderId="0" xfId="0" applyNumberFormat="1"/>
    <xf numFmtId="7" fontId="0" fillId="0" borderId="0" xfId="0" applyNumberFormat="1"/>
  </cellXfs>
  <cellStyles count="6">
    <cellStyle name="Bad" xfId="4" builtinId="27"/>
    <cellStyle name="Explanatory Text" xfId="3" builtinId="53"/>
    <cellStyle name="Normal" xfId="0" builtinId="0"/>
    <cellStyle name="Normal 2 2" xfId="2" xr:uid="{C2BDB8C7-BCDF-4424-B1B2-E8DF8D5DB805}"/>
    <cellStyle name="Normal 2 3" xfId="5" xr:uid="{021971FC-4BFB-4AD3-B0E2-FEA30ED5AD79}"/>
    <cellStyle name="Normal 5" xfId="1" xr:uid="{D189C866-34C3-4674-B5B5-43C7476101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7" xr16:uid="{ED095596-5D15-44D8-B8A6-D65DAAD101B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2" xr16:uid="{6E81316C-4FC8-4B80-974F-5431844F7D89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3" xr16:uid="{C2412A29-8A0D-4FBC-9230-A1DF061FED12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9F784608-833F-4B87-9303-17660986110D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BD770A3D-9CDC-40C6-AF16-096B4262B6A9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8CF6FC66-9589-4E72-A6BB-4B419E24A5F6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1" xr16:uid="{D19944BC-F1EC-411C-80C5-32C48DDB48E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1CFADF5A-1621-43A6-B767-2F2B40024DB9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6" xr16:uid="{63AA1766-0AB1-43B5-8435-A07015A1E396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DEF18A0-8282-48AB-B445-7E23086525C9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95DA9F9-0766-40A8-B80C-418587CAC6F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4" xr16:uid="{DDE7D143-577B-4056-9F21-E0499539F4B1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7" xr16:uid="{56FF8E1B-4930-4AAB-9C09-D9BF12BA7751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F160CF58-C769-4A4A-A221-2EBED3097FB2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6D9CC3B4-717B-41BB-A428-0BAEE8C67303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5" xr16:uid="{4C6B1105-E76B-423E-AEE3-5F64569D84C2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166A9F56-D8CF-4F94-A874-6F90DAEDBFDF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5B6961CD-315A-45BE-895A-C74581F28D0E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EF036D0E-94E3-45EA-A36E-C9562E9145DD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3C0938BD-8964-4530-9121-739BAF36647C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2BC6B1B7-D2F0-4E13-9934-B5C0829AC89C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400A660-BEED-4A79-9FA9-B404AC5DF2FA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8" xr16:uid="{D7E73744-7D79-4A40-AA0C-B86298A69D73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5" xr16:uid="{ABAC45BF-6755-425D-A48C-406BF8487D93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8026BB03-3E0F-4869-8869-31BF6AF889FC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51848552-F3EC-413E-B5A2-B3326C05FC9E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9" xr16:uid="{25601776-A674-49AA-A3DB-97071A5A462D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9" xr16:uid="{08BF4BC0-CE17-4F21-B006-2E6E3AFCA947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D43FC8DD-FC75-499C-BDA0-49F924D88AB1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0" xr16:uid="{D7F50B81-48BA-4D8C-8E1C-F3AD180C81A8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6" xr16:uid="{C56A52CA-15EC-4BA4-8E77-FF39999D20C3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5" xr16:uid="{D5A34C4A-1F46-4FA2-A4B5-DA0BB4B85B9A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3" xr16:uid="{C2349AA8-6B0F-49FC-B81E-005867187D34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2" xr16:uid="{31C5BDAF-27C2-4864-B115-F5C04B60240A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F5C58450-DB04-493F-BAB0-197138C506F3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64437E1A-80C0-4573-908C-6DDB56F7278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queryTable" Target="../queryTables/queryTable23.xml"/><Relationship Id="rId4" Type="http://schemas.openxmlformats.org/officeDocument/2006/relationships/queryTable" Target="../queryTables/query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queryTable" Target="../queryTables/queryTable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7" Type="http://schemas.openxmlformats.org/officeDocument/2006/relationships/queryTable" Target="../queryTables/queryTable36.xml"/><Relationship Id="rId2" Type="http://schemas.openxmlformats.org/officeDocument/2006/relationships/queryTable" Target="../queryTables/queryTable31.xml"/><Relationship Id="rId1" Type="http://schemas.openxmlformats.org/officeDocument/2006/relationships/queryTable" Target="../queryTables/queryTable30.xml"/><Relationship Id="rId6" Type="http://schemas.openxmlformats.org/officeDocument/2006/relationships/queryTable" Target="../queryTables/queryTable35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C4A37-C060-43F5-A5F0-FB97A4C63B3B}">
  <sheetPr codeName="Sheet1"/>
  <dimension ref="A1:T189"/>
  <sheetViews>
    <sheetView zoomScale="87" zoomScaleNormal="87" workbookViewId="0">
      <pane xSplit="7" ySplit="4" topLeftCell="H5" activePane="bottomRight" state="frozen"/>
      <selection pane="topRight" activeCell="F1" sqref="F1"/>
      <selection pane="bottomLeft" activeCell="A3" sqref="A3"/>
      <selection pane="bottomRight" activeCell="G5" sqref="G5"/>
    </sheetView>
  </sheetViews>
  <sheetFormatPr defaultColWidth="9.109375" defaultRowHeight="14.4" x14ac:dyDescent="0.3"/>
  <cols>
    <col min="1" max="1" width="11.5546875" style="2" hidden="1" customWidth="1"/>
    <col min="2" max="2" width="17.44140625" style="2" hidden="1" customWidth="1"/>
    <col min="3" max="3" width="18.88671875" style="1" bestFit="1" customWidth="1"/>
    <col min="4" max="4" width="13" style="2" bestFit="1" customWidth="1"/>
    <col min="5" max="5" width="18.88671875" style="1" bestFit="1" customWidth="1"/>
    <col min="6" max="6" width="61" style="2" bestFit="1" customWidth="1"/>
    <col min="7" max="7" width="20.5546875" style="15" bestFit="1" customWidth="1"/>
    <col min="8" max="8" width="20.5546875" style="33" customWidth="1"/>
    <col min="9" max="9" width="19" style="10" bestFit="1" customWidth="1"/>
    <col min="10" max="10" width="12.88671875" style="10" bestFit="1" customWidth="1"/>
    <col min="11" max="11" width="15.88671875" style="10" bestFit="1" customWidth="1"/>
    <col min="12" max="12" width="12.88671875" style="10" bestFit="1" customWidth="1"/>
    <col min="13" max="13" width="12.6640625" style="10" bestFit="1" customWidth="1"/>
    <col min="14" max="14" width="12" style="10" bestFit="1" customWidth="1"/>
    <col min="15" max="15" width="13" style="10" customWidth="1"/>
    <col min="16" max="16" width="16.5546875" style="10" bestFit="1" customWidth="1"/>
    <col min="17" max="17" width="12" style="10" bestFit="1" customWidth="1"/>
    <col min="18" max="18" width="14.109375" style="11" bestFit="1" customWidth="1"/>
    <col min="19" max="19" width="12" style="10" bestFit="1" customWidth="1"/>
    <col min="20" max="20" width="24.5546875" style="2" bestFit="1" customWidth="1"/>
    <col min="21" max="16384" width="9.109375" style="2"/>
  </cols>
  <sheetData>
    <row r="1" spans="1:20" x14ac:dyDescent="0.3">
      <c r="G1" s="3" t="s">
        <v>0</v>
      </c>
      <c r="H1" s="29" t="s">
        <v>394</v>
      </c>
      <c r="I1" s="4">
        <v>1.5</v>
      </c>
      <c r="J1" s="5">
        <v>0.78146369999999998</v>
      </c>
      <c r="K1" s="5">
        <v>1.3</v>
      </c>
      <c r="L1" s="5">
        <v>7.27</v>
      </c>
      <c r="M1" s="5">
        <v>6.7129500000000002</v>
      </c>
      <c r="N1" s="5">
        <v>0.9004953</v>
      </c>
      <c r="O1" s="5">
        <v>83.57</v>
      </c>
      <c r="P1" s="5">
        <v>10.106</v>
      </c>
      <c r="Q1" s="5">
        <v>3.8899499999999998</v>
      </c>
      <c r="R1" s="6">
        <v>9.9404500000000002</v>
      </c>
      <c r="S1" s="5">
        <v>0.84325000000000006</v>
      </c>
      <c r="T1" s="3">
        <v>1</v>
      </c>
    </row>
    <row r="2" spans="1:20" ht="28.8" x14ac:dyDescent="0.3">
      <c r="F2" s="2">
        <f>0.35/N1</f>
        <v>0.38867498808711159</v>
      </c>
      <c r="G2" s="17" t="s">
        <v>1</v>
      </c>
      <c r="H2" s="30" t="s">
        <v>1</v>
      </c>
      <c r="I2" s="7">
        <v>1.1499999999999999</v>
      </c>
      <c r="J2" s="7">
        <v>1</v>
      </c>
      <c r="K2" s="7">
        <v>1</v>
      </c>
      <c r="L2" s="7">
        <v>0.85</v>
      </c>
      <c r="M2" s="7">
        <v>1</v>
      </c>
      <c r="N2" s="7">
        <v>1.2318</v>
      </c>
      <c r="O2" s="7">
        <v>1</v>
      </c>
      <c r="P2" s="7">
        <v>1</v>
      </c>
      <c r="Q2" s="7">
        <v>1</v>
      </c>
      <c r="R2" s="8">
        <v>1</v>
      </c>
      <c r="S2" s="7">
        <v>1</v>
      </c>
      <c r="T2" s="3">
        <v>0.95</v>
      </c>
    </row>
    <row r="3" spans="1:20" x14ac:dyDescent="0.3">
      <c r="G3" s="3" t="s">
        <v>2</v>
      </c>
      <c r="H3" s="29" t="s">
        <v>2</v>
      </c>
      <c r="I3" s="7"/>
      <c r="J3" s="7"/>
      <c r="K3" s="7"/>
      <c r="L3" s="7"/>
      <c r="M3" s="7"/>
      <c r="N3" s="7"/>
      <c r="O3" s="7"/>
      <c r="P3" s="7"/>
      <c r="Q3" s="7"/>
      <c r="R3" s="8"/>
      <c r="S3" s="7"/>
      <c r="T3" s="3"/>
    </row>
    <row r="4" spans="1:20" ht="28.8" x14ac:dyDescent="0.3">
      <c r="A4" s="2" t="s">
        <v>3</v>
      </c>
      <c r="B4" s="2" t="s">
        <v>4</v>
      </c>
      <c r="C4" s="1" t="s">
        <v>5</v>
      </c>
      <c r="D4" s="2" t="s">
        <v>6</v>
      </c>
      <c r="E4" s="2" t="s">
        <v>7</v>
      </c>
      <c r="F4" s="2" t="s">
        <v>8</v>
      </c>
      <c r="G4" s="9" t="s">
        <v>9</v>
      </c>
      <c r="H4" s="31" t="s">
        <v>9</v>
      </c>
      <c r="I4" s="10" t="s">
        <v>10</v>
      </c>
      <c r="J4" s="10" t="s">
        <v>11</v>
      </c>
      <c r="K4" s="10" t="s">
        <v>12</v>
      </c>
      <c r="L4" s="10" t="s">
        <v>13</v>
      </c>
      <c r="M4" s="10" t="s">
        <v>14</v>
      </c>
      <c r="N4" s="10" t="s">
        <v>15</v>
      </c>
      <c r="O4" s="10" t="s">
        <v>16</v>
      </c>
      <c r="P4" s="10" t="s">
        <v>17</v>
      </c>
      <c r="Q4" s="10" t="s">
        <v>18</v>
      </c>
      <c r="R4" s="11" t="s">
        <v>19</v>
      </c>
      <c r="S4" s="10" t="s">
        <v>20</v>
      </c>
      <c r="T4" s="9" t="s">
        <v>21</v>
      </c>
    </row>
    <row r="5" spans="1:20" x14ac:dyDescent="0.3">
      <c r="A5" s="2" t="s">
        <v>22</v>
      </c>
      <c r="B5" s="2" t="s">
        <v>23</v>
      </c>
      <c r="C5" s="2" t="s">
        <v>24</v>
      </c>
      <c r="D5" s="2" t="s">
        <v>25</v>
      </c>
      <c r="E5" s="2" t="s">
        <v>24</v>
      </c>
      <c r="F5" s="2" t="s">
        <v>26</v>
      </c>
      <c r="G5" s="35">
        <v>6.6025999999999998</v>
      </c>
      <c r="H5" s="32">
        <v>5.6275440500000009</v>
      </c>
      <c r="I5" s="36">
        <f>$G5*I$1*I$2</f>
        <v>11.389484999999999</v>
      </c>
      <c r="J5" s="36">
        <f t="shared" ref="J5:S20" si="0">$G5*J$1*J$2</f>
        <v>5.1596922256199997</v>
      </c>
      <c r="K5" s="36">
        <f t="shared" si="0"/>
        <v>8.58338</v>
      </c>
      <c r="L5" s="36">
        <f t="shared" si="0"/>
        <v>40.800766699999997</v>
      </c>
      <c r="M5" s="36">
        <f t="shared" si="0"/>
        <v>44.322923670000002</v>
      </c>
      <c r="N5" s="36">
        <f t="shared" si="0"/>
        <v>7.3238027278514046</v>
      </c>
      <c r="O5" s="36">
        <f t="shared" si="0"/>
        <v>551.77928199999997</v>
      </c>
      <c r="P5" s="36">
        <f t="shared" si="0"/>
        <v>66.725875599999995</v>
      </c>
      <c r="Q5" s="36">
        <f t="shared" si="0"/>
        <v>25.683783869999999</v>
      </c>
      <c r="R5" s="36">
        <f t="shared" si="0"/>
        <v>65.632815170000001</v>
      </c>
      <c r="S5" s="36">
        <f t="shared" si="0"/>
        <v>5.5676424500000001</v>
      </c>
      <c r="T5" s="36">
        <f t="shared" ref="T5:T36" si="1">$G5*T$1*T$2</f>
        <v>6.2724699999999993</v>
      </c>
    </row>
    <row r="6" spans="1:20" x14ac:dyDescent="0.3">
      <c r="A6" s="2" t="s">
        <v>22</v>
      </c>
      <c r="B6" s="2" t="s">
        <v>23</v>
      </c>
      <c r="C6" s="2" t="s">
        <v>27</v>
      </c>
      <c r="D6" s="2" t="s">
        <v>25</v>
      </c>
      <c r="E6" s="2" t="s">
        <v>27</v>
      </c>
      <c r="F6" s="2" t="s">
        <v>28</v>
      </c>
      <c r="G6" s="35">
        <v>9.2459000000000007</v>
      </c>
      <c r="H6" s="32">
        <v>7.8785616700000007</v>
      </c>
      <c r="I6" s="36">
        <f t="shared" ref="I6:S27" si="2">$G6*I$1*I$2</f>
        <v>15.949177500000001</v>
      </c>
      <c r="J6" s="36">
        <f t="shared" si="0"/>
        <v>7.2253352238300002</v>
      </c>
      <c r="K6" s="36">
        <f t="shared" si="0"/>
        <v>12.019670000000001</v>
      </c>
      <c r="L6" s="36">
        <f t="shared" si="0"/>
        <v>57.135039049999996</v>
      </c>
      <c r="M6" s="36">
        <f t="shared" si="0"/>
        <v>62.067264405000003</v>
      </c>
      <c r="N6" s="36">
        <f t="shared" si="0"/>
        <v>10.255830679041788</v>
      </c>
      <c r="O6" s="36">
        <f t="shared" si="0"/>
        <v>772.67986299999995</v>
      </c>
      <c r="P6" s="36">
        <f t="shared" si="0"/>
        <v>93.439065400000004</v>
      </c>
      <c r="Q6" s="36">
        <f t="shared" si="0"/>
        <v>35.966088705000004</v>
      </c>
      <c r="R6" s="36">
        <f t="shared" si="0"/>
        <v>91.908406655000007</v>
      </c>
      <c r="S6" s="36">
        <f t="shared" si="0"/>
        <v>7.7966051750000007</v>
      </c>
      <c r="T6" s="36">
        <f t="shared" si="1"/>
        <v>8.7836049999999997</v>
      </c>
    </row>
    <row r="7" spans="1:20" x14ac:dyDescent="0.3">
      <c r="A7" s="2" t="s">
        <v>22</v>
      </c>
      <c r="B7" s="2" t="s">
        <v>23</v>
      </c>
      <c r="C7" s="2" t="s">
        <v>29</v>
      </c>
      <c r="D7" s="2" t="s">
        <v>25</v>
      </c>
      <c r="E7" s="2" t="s">
        <v>29</v>
      </c>
      <c r="F7" s="2" t="s">
        <v>30</v>
      </c>
      <c r="G7" s="35">
        <v>11.889200000000001</v>
      </c>
      <c r="H7" s="32">
        <v>10.129579290000001</v>
      </c>
      <c r="I7" s="36">
        <f t="shared" si="2"/>
        <v>20.508869999999998</v>
      </c>
      <c r="J7" s="36">
        <f t="shared" si="0"/>
        <v>9.2909782220399997</v>
      </c>
      <c r="K7" s="36">
        <f t="shared" si="0"/>
        <v>15.455960000000001</v>
      </c>
      <c r="L7" s="36">
        <f t="shared" si="0"/>
        <v>73.469311399999995</v>
      </c>
      <c r="M7" s="36">
        <f t="shared" si="0"/>
        <v>79.811605140000012</v>
      </c>
      <c r="N7" s="36">
        <f t="shared" si="0"/>
        <v>13.187858630232169</v>
      </c>
      <c r="O7" s="36">
        <f t="shared" si="0"/>
        <v>993.58044399999994</v>
      </c>
      <c r="P7" s="36">
        <f t="shared" si="0"/>
        <v>120.1522552</v>
      </c>
      <c r="Q7" s="36">
        <f t="shared" si="0"/>
        <v>46.248393540000002</v>
      </c>
      <c r="R7" s="36">
        <f t="shared" si="0"/>
        <v>118.18399814000001</v>
      </c>
      <c r="S7" s="36">
        <f t="shared" si="0"/>
        <v>10.0255679</v>
      </c>
      <c r="T7" s="36">
        <f t="shared" si="1"/>
        <v>11.294740000000001</v>
      </c>
    </row>
    <row r="8" spans="1:20" x14ac:dyDescent="0.3">
      <c r="A8" s="2" t="s">
        <v>22</v>
      </c>
      <c r="B8" s="2" t="s">
        <v>23</v>
      </c>
      <c r="C8" s="2" t="s">
        <v>31</v>
      </c>
      <c r="D8" s="2" t="s">
        <v>25</v>
      </c>
      <c r="E8" s="2" t="s">
        <v>31</v>
      </c>
      <c r="F8" s="2" t="s">
        <v>32</v>
      </c>
      <c r="G8" s="35">
        <v>14.532400000000001</v>
      </c>
      <c r="H8" s="32">
        <v>12.38059691</v>
      </c>
      <c r="I8" s="36">
        <f t="shared" si="2"/>
        <v>25.068389999999997</v>
      </c>
      <c r="J8" s="36">
        <f t="shared" si="0"/>
        <v>11.356543073880001</v>
      </c>
      <c r="K8" s="36">
        <f t="shared" si="0"/>
        <v>18.892120000000002</v>
      </c>
      <c r="L8" s="36">
        <f t="shared" si="0"/>
        <v>89.802965799999996</v>
      </c>
      <c r="M8" s="36">
        <f t="shared" si="0"/>
        <v>97.555274580000003</v>
      </c>
      <c r="N8" s="36">
        <f t="shared" si="0"/>
        <v>16.119775658411498</v>
      </c>
      <c r="O8" s="36">
        <f t="shared" si="0"/>
        <v>1214.4726679999999</v>
      </c>
      <c r="P8" s="36">
        <f t="shared" si="0"/>
        <v>146.86443439999999</v>
      </c>
      <c r="Q8" s="36">
        <f t="shared" si="0"/>
        <v>56.530309379999998</v>
      </c>
      <c r="R8" s="36">
        <f t="shared" si="0"/>
        <v>144.45859558000001</v>
      </c>
      <c r="S8" s="36">
        <f t="shared" si="0"/>
        <v>12.254446300000001</v>
      </c>
      <c r="T8" s="36">
        <f t="shared" si="1"/>
        <v>13.80578</v>
      </c>
    </row>
    <row r="9" spans="1:20" x14ac:dyDescent="0.3">
      <c r="A9" s="2" t="s">
        <v>22</v>
      </c>
      <c r="B9" s="2" t="s">
        <v>23</v>
      </c>
      <c r="C9" s="2" t="s">
        <v>33</v>
      </c>
      <c r="D9" s="2" t="s">
        <v>25</v>
      </c>
      <c r="E9" s="2" t="s">
        <v>33</v>
      </c>
      <c r="F9" s="2" t="s">
        <v>34</v>
      </c>
      <c r="G9" s="35">
        <v>19.813500000000001</v>
      </c>
      <c r="H9" s="32">
        <v>16.882632149999999</v>
      </c>
      <c r="I9" s="36">
        <f t="shared" si="2"/>
        <v>34.178287499999996</v>
      </c>
      <c r="J9" s="36">
        <f t="shared" si="0"/>
        <v>15.48353101995</v>
      </c>
      <c r="K9" s="36">
        <f t="shared" si="0"/>
        <v>25.757550000000002</v>
      </c>
      <c r="L9" s="36">
        <f t="shared" si="0"/>
        <v>122.43752325000001</v>
      </c>
      <c r="M9" s="36">
        <f t="shared" si="0"/>
        <v>133.00703482500001</v>
      </c>
      <c r="N9" s="36">
        <f t="shared" si="0"/>
        <v>21.977730795184293</v>
      </c>
      <c r="O9" s="36">
        <f t="shared" si="0"/>
        <v>1655.8141949999999</v>
      </c>
      <c r="P9" s="36">
        <f t="shared" si="0"/>
        <v>200.235231</v>
      </c>
      <c r="Q9" s="36">
        <f t="shared" si="0"/>
        <v>77.073524324999994</v>
      </c>
      <c r="R9" s="36">
        <f t="shared" si="0"/>
        <v>196.955106075</v>
      </c>
      <c r="S9" s="36">
        <f t="shared" si="0"/>
        <v>16.707733875000002</v>
      </c>
      <c r="T9" s="36">
        <f t="shared" si="1"/>
        <v>18.822825000000002</v>
      </c>
    </row>
    <row r="10" spans="1:20" x14ac:dyDescent="0.3">
      <c r="A10" s="2" t="s">
        <v>22</v>
      </c>
      <c r="B10" s="2" t="s">
        <v>23</v>
      </c>
      <c r="C10" s="2" t="s">
        <v>35</v>
      </c>
      <c r="D10" s="2" t="s">
        <v>25</v>
      </c>
      <c r="E10" s="2" t="s">
        <v>35</v>
      </c>
      <c r="F10" s="2" t="s">
        <v>36</v>
      </c>
      <c r="G10" s="35">
        <v>22.455100000000002</v>
      </c>
      <c r="H10" s="32">
        <v>19.133649770000005</v>
      </c>
      <c r="I10" s="36">
        <f t="shared" si="2"/>
        <v>38.7350475</v>
      </c>
      <c r="J10" s="36">
        <f t="shared" si="0"/>
        <v>17.547845529869999</v>
      </c>
      <c r="K10" s="36">
        <f t="shared" si="0"/>
        <v>29.191630000000004</v>
      </c>
      <c r="L10" s="36">
        <f t="shared" si="0"/>
        <v>138.76129045000002</v>
      </c>
      <c r="M10" s="36">
        <f t="shared" si="0"/>
        <v>150.73996354500002</v>
      </c>
      <c r="N10" s="36">
        <f t="shared" si="0"/>
        <v>24.907873055186759</v>
      </c>
      <c r="O10" s="36">
        <f t="shared" si="0"/>
        <v>1876.572707</v>
      </c>
      <c r="P10" s="36">
        <f t="shared" si="0"/>
        <v>226.93124060000002</v>
      </c>
      <c r="Q10" s="36">
        <f t="shared" si="0"/>
        <v>87.349216245000008</v>
      </c>
      <c r="R10" s="36">
        <f t="shared" si="0"/>
        <v>223.21379879500003</v>
      </c>
      <c r="S10" s="36">
        <f t="shared" si="0"/>
        <v>18.935263075000002</v>
      </c>
      <c r="T10" s="36">
        <f t="shared" si="1"/>
        <v>21.332345</v>
      </c>
    </row>
    <row r="11" spans="1:20" x14ac:dyDescent="0.3">
      <c r="A11" s="2" t="s">
        <v>22</v>
      </c>
      <c r="B11" s="2" t="s">
        <v>23</v>
      </c>
      <c r="C11" s="2" t="s">
        <v>37</v>
      </c>
      <c r="D11" s="2" t="s">
        <v>25</v>
      </c>
      <c r="E11" s="2" t="s">
        <v>37</v>
      </c>
      <c r="F11" s="2" t="s">
        <v>38</v>
      </c>
      <c r="G11" s="35">
        <f>7.61*1.10597</f>
        <v>8.4164317000000004</v>
      </c>
      <c r="H11" s="32">
        <v>7.1751186637500011</v>
      </c>
      <c r="I11" s="36">
        <f t="shared" si="2"/>
        <v>14.5183446825</v>
      </c>
      <c r="J11" s="36">
        <f t="shared" si="0"/>
        <v>6.5771358570792904</v>
      </c>
      <c r="K11" s="36">
        <f t="shared" si="0"/>
        <v>10.94136121</v>
      </c>
      <c r="L11" s="36">
        <f t="shared" si="0"/>
        <v>52.00933969015</v>
      </c>
      <c r="M11" s="36">
        <f t="shared" si="0"/>
        <v>56.499085180515003</v>
      </c>
      <c r="N11" s="36">
        <f t="shared" si="0"/>
        <v>9.3357594649433597</v>
      </c>
      <c r="O11" s="36">
        <f t="shared" si="0"/>
        <v>703.36119716899998</v>
      </c>
      <c r="P11" s="36">
        <f t="shared" si="0"/>
        <v>85.056458760200002</v>
      </c>
      <c r="Q11" s="36">
        <f t="shared" si="0"/>
        <v>32.739498491414999</v>
      </c>
      <c r="R11" s="36">
        <f t="shared" si="0"/>
        <v>83.663118492264999</v>
      </c>
      <c r="S11" s="36">
        <f t="shared" si="0"/>
        <v>7.0971560310250004</v>
      </c>
      <c r="T11" s="36">
        <f t="shared" si="1"/>
        <v>7.9956101149999999</v>
      </c>
    </row>
    <row r="12" spans="1:20" x14ac:dyDescent="0.3">
      <c r="A12" s="2" t="s">
        <v>22</v>
      </c>
      <c r="B12" s="2" t="s">
        <v>23</v>
      </c>
      <c r="C12" s="2" t="s">
        <v>39</v>
      </c>
      <c r="D12" s="2" t="s">
        <v>25</v>
      </c>
      <c r="E12" s="2" t="s">
        <v>39</v>
      </c>
      <c r="F12" s="2" t="s">
        <v>40</v>
      </c>
      <c r="G12" s="35">
        <v>9.9064999999999994</v>
      </c>
      <c r="H12" s="32">
        <v>8.4413160749999996</v>
      </c>
      <c r="I12" s="36">
        <f t="shared" si="2"/>
        <v>17.088712499999996</v>
      </c>
      <c r="J12" s="36">
        <f t="shared" si="0"/>
        <v>7.7415701440499998</v>
      </c>
      <c r="K12" s="36">
        <f t="shared" si="0"/>
        <v>12.878449999999999</v>
      </c>
      <c r="L12" s="36">
        <f t="shared" si="0"/>
        <v>61.217216749999992</v>
      </c>
      <c r="M12" s="36">
        <f t="shared" si="0"/>
        <v>66.501839175000001</v>
      </c>
      <c r="N12" s="36">
        <f t="shared" si="0"/>
        <v>10.988588090064511</v>
      </c>
      <c r="O12" s="36">
        <f t="shared" si="0"/>
        <v>827.8862049999999</v>
      </c>
      <c r="P12" s="36">
        <f t="shared" si="0"/>
        <v>100.115089</v>
      </c>
      <c r="Q12" s="36">
        <f t="shared" si="0"/>
        <v>38.535789674999997</v>
      </c>
      <c r="R12" s="36">
        <f t="shared" si="0"/>
        <v>98.475067924999991</v>
      </c>
      <c r="S12" s="36">
        <f t="shared" si="0"/>
        <v>8.3536561250000005</v>
      </c>
      <c r="T12" s="36">
        <f t="shared" si="1"/>
        <v>9.4111749999999983</v>
      </c>
    </row>
    <row r="13" spans="1:20" x14ac:dyDescent="0.3">
      <c r="A13" s="2" t="s">
        <v>22</v>
      </c>
      <c r="B13" s="2" t="s">
        <v>23</v>
      </c>
      <c r="C13" s="2" t="s">
        <v>41</v>
      </c>
      <c r="D13" s="2" t="s">
        <v>25</v>
      </c>
      <c r="E13" s="2" t="s">
        <v>41</v>
      </c>
      <c r="F13" s="2" t="s">
        <v>42</v>
      </c>
      <c r="G13" s="35">
        <v>12.877800000000001</v>
      </c>
      <c r="H13" s="32">
        <v>10.973710897500002</v>
      </c>
      <c r="I13" s="36">
        <f t="shared" si="2"/>
        <v>22.214205</v>
      </c>
      <c r="J13" s="36">
        <f t="shared" si="0"/>
        <v>10.06353323586</v>
      </c>
      <c r="K13" s="36">
        <f t="shared" si="0"/>
        <v>16.741140000000001</v>
      </c>
      <c r="L13" s="36">
        <f t="shared" si="0"/>
        <v>79.578365099999999</v>
      </c>
      <c r="M13" s="36">
        <f t="shared" si="0"/>
        <v>86.448027510000003</v>
      </c>
      <c r="N13" s="36">
        <f t="shared" si="0"/>
        <v>14.284443517512011</v>
      </c>
      <c r="O13" s="36">
        <f t="shared" si="0"/>
        <v>1076.1977460000001</v>
      </c>
      <c r="P13" s="36">
        <f t="shared" si="0"/>
        <v>130.14304680000001</v>
      </c>
      <c r="Q13" s="36">
        <f t="shared" si="0"/>
        <v>50.093998110000001</v>
      </c>
      <c r="R13" s="36">
        <f t="shared" si="0"/>
        <v>128.01112701</v>
      </c>
      <c r="S13" s="36">
        <f t="shared" si="0"/>
        <v>10.859204850000001</v>
      </c>
      <c r="T13" s="36">
        <f t="shared" si="1"/>
        <v>12.23391</v>
      </c>
    </row>
    <row r="14" spans="1:20" x14ac:dyDescent="0.3">
      <c r="A14" s="2" t="s">
        <v>22</v>
      </c>
      <c r="B14" s="2" t="s">
        <v>23</v>
      </c>
      <c r="C14" s="2" t="s">
        <v>43</v>
      </c>
      <c r="D14" s="2" t="s">
        <v>25</v>
      </c>
      <c r="E14" s="2" t="s">
        <v>43</v>
      </c>
      <c r="F14" s="2" t="s">
        <v>44</v>
      </c>
      <c r="G14" s="35">
        <v>15.850199999999999</v>
      </c>
      <c r="H14" s="32">
        <v>13.506105720000001</v>
      </c>
      <c r="I14" s="36">
        <f t="shared" si="2"/>
        <v>27.341594999999995</v>
      </c>
      <c r="J14" s="36">
        <f t="shared" si="0"/>
        <v>12.386355937739999</v>
      </c>
      <c r="K14" s="36">
        <f t="shared" si="0"/>
        <v>20.605260000000001</v>
      </c>
      <c r="L14" s="36">
        <f t="shared" si="0"/>
        <v>97.946310899999986</v>
      </c>
      <c r="M14" s="36">
        <f t="shared" si="0"/>
        <v>106.40160009</v>
      </c>
      <c r="N14" s="36">
        <f t="shared" si="0"/>
        <v>17.581519098081106</v>
      </c>
      <c r="O14" s="36">
        <f t="shared" si="0"/>
        <v>1324.6012139999998</v>
      </c>
      <c r="P14" s="36">
        <f t="shared" si="0"/>
        <v>160.18212119999998</v>
      </c>
      <c r="Q14" s="36">
        <f t="shared" si="0"/>
        <v>61.656485489999994</v>
      </c>
      <c r="R14" s="36">
        <f t="shared" si="0"/>
        <v>157.55812058999999</v>
      </c>
      <c r="S14" s="36">
        <f t="shared" si="0"/>
        <v>13.36568115</v>
      </c>
      <c r="T14" s="36">
        <f t="shared" si="1"/>
        <v>15.057689999999999</v>
      </c>
    </row>
    <row r="15" spans="1:20" x14ac:dyDescent="0.3">
      <c r="A15" s="2" t="s">
        <v>22</v>
      </c>
      <c r="B15" s="2" t="s">
        <v>23</v>
      </c>
      <c r="C15" s="2" t="s">
        <v>45</v>
      </c>
      <c r="D15" s="2" t="s">
        <v>25</v>
      </c>
      <c r="E15" s="2" t="s">
        <v>45</v>
      </c>
      <c r="F15" s="2" t="s">
        <v>46</v>
      </c>
      <c r="G15" s="35">
        <v>21.135100000000001</v>
      </c>
      <c r="H15" s="32">
        <v>18.008140960000002</v>
      </c>
      <c r="I15" s="36">
        <f t="shared" si="2"/>
        <v>36.458047499999999</v>
      </c>
      <c r="J15" s="36">
        <f t="shared" si="0"/>
        <v>16.516313445870001</v>
      </c>
      <c r="K15" s="36">
        <f t="shared" si="0"/>
        <v>27.475630000000002</v>
      </c>
      <c r="L15" s="36">
        <f t="shared" si="0"/>
        <v>130.60435045</v>
      </c>
      <c r="M15" s="36">
        <f t="shared" si="0"/>
        <v>141.87886954500001</v>
      </c>
      <c r="N15" s="36">
        <f t="shared" si="0"/>
        <v>23.443689309273957</v>
      </c>
      <c r="O15" s="36">
        <f t="shared" si="0"/>
        <v>1766.260307</v>
      </c>
      <c r="P15" s="36">
        <f t="shared" si="0"/>
        <v>213.59132060000002</v>
      </c>
      <c r="Q15" s="36">
        <f t="shared" si="0"/>
        <v>82.214482244999999</v>
      </c>
      <c r="R15" s="36">
        <f t="shared" si="0"/>
        <v>210.09240479500002</v>
      </c>
      <c r="S15" s="36">
        <f t="shared" si="0"/>
        <v>17.822173075000002</v>
      </c>
      <c r="T15" s="36">
        <f t="shared" si="1"/>
        <v>20.078344999999999</v>
      </c>
    </row>
    <row r="16" spans="1:20" x14ac:dyDescent="0.3">
      <c r="A16" s="2" t="s">
        <v>22</v>
      </c>
      <c r="B16" s="2" t="s">
        <v>23</v>
      </c>
      <c r="C16" s="2" t="s">
        <v>47</v>
      </c>
      <c r="D16" s="2" t="s">
        <v>25</v>
      </c>
      <c r="E16" s="2" t="s">
        <v>47</v>
      </c>
      <c r="F16" s="2" t="s">
        <v>48</v>
      </c>
      <c r="G16" s="35">
        <v>26.4178</v>
      </c>
      <c r="H16" s="32">
        <v>22.510176200000004</v>
      </c>
      <c r="I16" s="36">
        <f t="shared" si="2"/>
        <v>45.570704999999997</v>
      </c>
      <c r="J16" s="36">
        <f t="shared" si="0"/>
        <v>20.644551733859998</v>
      </c>
      <c r="K16" s="36">
        <f t="shared" si="0"/>
        <v>34.343139999999998</v>
      </c>
      <c r="L16" s="36">
        <f t="shared" si="0"/>
        <v>163.2487951</v>
      </c>
      <c r="M16" s="36">
        <f t="shared" si="0"/>
        <v>177.34137050999999</v>
      </c>
      <c r="N16" s="36">
        <f t="shared" si="0"/>
        <v>29.303419214223613</v>
      </c>
      <c r="O16" s="36">
        <f t="shared" si="0"/>
        <v>2207.7355459999999</v>
      </c>
      <c r="P16" s="36">
        <f t="shared" si="0"/>
        <v>266.97828679999998</v>
      </c>
      <c r="Q16" s="36">
        <f t="shared" si="0"/>
        <v>102.76392111</v>
      </c>
      <c r="R16" s="36">
        <f t="shared" si="0"/>
        <v>262.60482001000003</v>
      </c>
      <c r="S16" s="36">
        <f t="shared" si="0"/>
        <v>22.276809850000003</v>
      </c>
      <c r="T16" s="36">
        <f t="shared" si="1"/>
        <v>25.096909999999998</v>
      </c>
    </row>
    <row r="17" spans="1:20" x14ac:dyDescent="0.3">
      <c r="A17" s="2" t="s">
        <v>22</v>
      </c>
      <c r="B17" s="2" t="s">
        <v>23</v>
      </c>
      <c r="C17" s="2" t="s">
        <v>49</v>
      </c>
      <c r="D17" s="2" t="s">
        <v>25</v>
      </c>
      <c r="E17" s="2" t="s">
        <v>49</v>
      </c>
      <c r="F17" s="2" t="s">
        <v>50</v>
      </c>
      <c r="G17" s="35">
        <f>28.66*1.10597</f>
        <v>31.697100199999998</v>
      </c>
      <c r="H17" s="32">
        <v>27.012211440000002</v>
      </c>
      <c r="I17" s="36">
        <f t="shared" si="2"/>
        <v>54.677497844999991</v>
      </c>
      <c r="J17" s="36">
        <f t="shared" si="0"/>
        <v>24.770133201562739</v>
      </c>
      <c r="K17" s="36">
        <f t="shared" si="0"/>
        <v>41.206230259999998</v>
      </c>
      <c r="L17" s="36">
        <f t="shared" si="0"/>
        <v>195.87223068589998</v>
      </c>
      <c r="M17" s="36">
        <f t="shared" si="0"/>
        <v>212.78104878758998</v>
      </c>
      <c r="N17" s="36">
        <f t="shared" si="0"/>
        <v>35.159377958643454</v>
      </c>
      <c r="O17" s="36">
        <f t="shared" si="0"/>
        <v>2648.9266637139995</v>
      </c>
      <c r="P17" s="36">
        <f t="shared" si="0"/>
        <v>320.33089462119995</v>
      </c>
      <c r="Q17" s="36">
        <f t="shared" si="0"/>
        <v>123.30013492298998</v>
      </c>
      <c r="R17" s="36">
        <f t="shared" si="0"/>
        <v>315.08343968308998</v>
      </c>
      <c r="S17" s="36">
        <f t="shared" si="0"/>
        <v>26.728579743649998</v>
      </c>
      <c r="T17" s="36">
        <f t="shared" si="1"/>
        <v>30.112245189999996</v>
      </c>
    </row>
    <row r="18" spans="1:20" x14ac:dyDescent="0.3">
      <c r="A18" s="2" t="s">
        <v>22</v>
      </c>
      <c r="B18" s="2" t="s">
        <v>23</v>
      </c>
      <c r="C18" s="2" t="s">
        <v>51</v>
      </c>
      <c r="D18" s="2" t="s">
        <v>25</v>
      </c>
      <c r="E18" s="2" t="s">
        <v>51</v>
      </c>
      <c r="F18" s="2" t="s">
        <v>52</v>
      </c>
      <c r="G18" s="35">
        <f>17.91*1.10597</f>
        <v>19.807922699999999</v>
      </c>
      <c r="H18" s="32">
        <v>16.882632149999999</v>
      </c>
      <c r="I18" s="36">
        <f t="shared" si="2"/>
        <v>34.168666657499998</v>
      </c>
      <c r="J18" s="36">
        <f t="shared" si="0"/>
        <v>15.479172562455989</v>
      </c>
      <c r="K18" s="36">
        <f t="shared" si="0"/>
        <v>25.750299509999998</v>
      </c>
      <c r="L18" s="36">
        <f t="shared" si="0"/>
        <v>122.40305832464999</v>
      </c>
      <c r="M18" s="36">
        <f t="shared" si="0"/>
        <v>132.969594688965</v>
      </c>
      <c r="N18" s="36">
        <f t="shared" si="0"/>
        <v>21.971544286088776</v>
      </c>
      <c r="O18" s="36">
        <f t="shared" si="0"/>
        <v>1655.3481000389997</v>
      </c>
      <c r="P18" s="36">
        <f t="shared" si="0"/>
        <v>200.17886680619998</v>
      </c>
      <c r="Q18" s="36">
        <f t="shared" si="0"/>
        <v>77.051828906864998</v>
      </c>
      <c r="R18" s="36">
        <f t="shared" si="0"/>
        <v>196.89966520321499</v>
      </c>
      <c r="S18" s="36">
        <f t="shared" si="0"/>
        <v>16.703030816775001</v>
      </c>
      <c r="T18" s="36">
        <f t="shared" si="1"/>
        <v>18.817526564999998</v>
      </c>
    </row>
    <row r="19" spans="1:20" x14ac:dyDescent="0.3">
      <c r="A19" s="2" t="s">
        <v>22</v>
      </c>
      <c r="B19" s="2" t="s">
        <v>23</v>
      </c>
      <c r="C19" s="2" t="s">
        <v>53</v>
      </c>
      <c r="D19" s="2" t="s">
        <v>25</v>
      </c>
      <c r="E19" s="2" t="s">
        <v>53</v>
      </c>
      <c r="F19" s="2" t="s">
        <v>54</v>
      </c>
      <c r="G19" s="35">
        <v>21.134</v>
      </c>
      <c r="H19" s="32">
        <v>18.008140960000002</v>
      </c>
      <c r="I19" s="36">
        <f t="shared" si="2"/>
        <v>36.456150000000001</v>
      </c>
      <c r="J19" s="36">
        <f t="shared" si="0"/>
        <v>16.515453835799999</v>
      </c>
      <c r="K19" s="36">
        <f t="shared" si="0"/>
        <v>27.4742</v>
      </c>
      <c r="L19" s="36">
        <f t="shared" si="0"/>
        <v>130.597553</v>
      </c>
      <c r="M19" s="36">
        <f t="shared" si="0"/>
        <v>141.87148530000002</v>
      </c>
      <c r="N19" s="36">
        <f t="shared" si="0"/>
        <v>23.442469156152359</v>
      </c>
      <c r="O19" s="36">
        <f t="shared" si="0"/>
        <v>1766.1683799999998</v>
      </c>
      <c r="P19" s="36">
        <f t="shared" si="0"/>
        <v>213.58020400000001</v>
      </c>
      <c r="Q19" s="36">
        <f t="shared" si="0"/>
        <v>82.210203300000003</v>
      </c>
      <c r="R19" s="36">
        <f t="shared" si="0"/>
        <v>210.08147030000001</v>
      </c>
      <c r="S19" s="36">
        <f t="shared" si="0"/>
        <v>17.8212455</v>
      </c>
      <c r="T19" s="36">
        <f t="shared" si="1"/>
        <v>20.077300000000001</v>
      </c>
    </row>
    <row r="20" spans="1:20" x14ac:dyDescent="0.3">
      <c r="A20" s="2" t="s">
        <v>22</v>
      </c>
      <c r="B20" s="2" t="s">
        <v>23</v>
      </c>
      <c r="C20" s="2" t="s">
        <v>55</v>
      </c>
      <c r="D20" s="2" t="s">
        <v>25</v>
      </c>
      <c r="E20" s="2" t="s">
        <v>55</v>
      </c>
      <c r="F20" s="2" t="s">
        <v>56</v>
      </c>
      <c r="G20" s="35">
        <f>20.3*1.10597</f>
        <v>22.451190999999998</v>
      </c>
      <c r="H20" s="32">
        <v>19.133649770000005</v>
      </c>
      <c r="I20" s="36">
        <f t="shared" si="2"/>
        <v>38.728304474999995</v>
      </c>
      <c r="J20" s="36">
        <f t="shared" si="0"/>
        <v>17.544790788266699</v>
      </c>
      <c r="K20" s="36">
        <f t="shared" si="0"/>
        <v>29.186548299999998</v>
      </c>
      <c r="L20" s="36">
        <f t="shared" si="0"/>
        <v>138.73713478449997</v>
      </c>
      <c r="M20" s="36">
        <f t="shared" si="0"/>
        <v>150.71372262345</v>
      </c>
      <c r="N20" s="36">
        <f t="shared" si="0"/>
        <v>24.903537074684653</v>
      </c>
      <c r="O20" s="36">
        <f t="shared" si="0"/>
        <v>1876.2460318699996</v>
      </c>
      <c r="P20" s="36">
        <f t="shared" si="0"/>
        <v>226.89173624599997</v>
      </c>
      <c r="Q20" s="36">
        <f t="shared" si="0"/>
        <v>87.334010430449993</v>
      </c>
      <c r="R20" s="36">
        <f t="shared" si="0"/>
        <v>223.17494157594999</v>
      </c>
      <c r="S20" s="36">
        <f t="shared" si="0"/>
        <v>18.931966810749998</v>
      </c>
      <c r="T20" s="36">
        <f t="shared" si="1"/>
        <v>21.328631449999996</v>
      </c>
    </row>
    <row r="21" spans="1:20" x14ac:dyDescent="0.3">
      <c r="A21" s="2" t="s">
        <v>22</v>
      </c>
      <c r="B21" s="2" t="s">
        <v>23</v>
      </c>
      <c r="C21" s="2" t="s">
        <v>57</v>
      </c>
      <c r="D21" s="2" t="s">
        <v>25</v>
      </c>
      <c r="E21" s="2" t="s">
        <v>57</v>
      </c>
      <c r="F21" s="2" t="s">
        <v>58</v>
      </c>
      <c r="G21" s="35">
        <v>23.775600000000001</v>
      </c>
      <c r="H21" s="32">
        <v>20.259158580000001</v>
      </c>
      <c r="I21" s="36">
        <f t="shared" si="2"/>
        <v>41.012909999999998</v>
      </c>
      <c r="J21" s="36">
        <f t="shared" si="2"/>
        <v>18.579768345720002</v>
      </c>
      <c r="K21" s="36">
        <f t="shared" si="2"/>
        <v>30.908280000000001</v>
      </c>
      <c r="L21" s="36">
        <f t="shared" si="2"/>
        <v>146.9213202</v>
      </c>
      <c r="M21" s="36">
        <f t="shared" si="2"/>
        <v>159.60441402000001</v>
      </c>
      <c r="N21" s="36">
        <f t="shared" si="2"/>
        <v>26.372611416154825</v>
      </c>
      <c r="O21" s="36">
        <f t="shared" si="2"/>
        <v>1986.926892</v>
      </c>
      <c r="P21" s="36">
        <f t="shared" si="2"/>
        <v>240.27621360000001</v>
      </c>
      <c r="Q21" s="36">
        <f t="shared" si="2"/>
        <v>92.485895220000003</v>
      </c>
      <c r="R21" s="36">
        <f t="shared" si="2"/>
        <v>236.34016302000001</v>
      </c>
      <c r="S21" s="36">
        <f t="shared" si="2"/>
        <v>20.048774700000003</v>
      </c>
      <c r="T21" s="36">
        <f t="shared" si="1"/>
        <v>22.586819999999999</v>
      </c>
    </row>
    <row r="22" spans="1:20" x14ac:dyDescent="0.3">
      <c r="A22" s="2" t="s">
        <v>22</v>
      </c>
      <c r="B22" s="2" t="s">
        <v>23</v>
      </c>
      <c r="C22" s="2" t="s">
        <v>59</v>
      </c>
      <c r="D22" s="2" t="s">
        <v>25</v>
      </c>
      <c r="E22" s="2" t="s">
        <v>59</v>
      </c>
      <c r="F22" s="2" t="s">
        <v>60</v>
      </c>
      <c r="G22" s="35">
        <v>26.4178</v>
      </c>
      <c r="H22" s="32">
        <v>22.510176200000004</v>
      </c>
      <c r="I22" s="36">
        <f t="shared" si="2"/>
        <v>45.570704999999997</v>
      </c>
      <c r="J22" s="36">
        <f t="shared" si="2"/>
        <v>20.644551733859998</v>
      </c>
      <c r="K22" s="36">
        <f t="shared" si="2"/>
        <v>34.343139999999998</v>
      </c>
      <c r="L22" s="36">
        <f t="shared" si="2"/>
        <v>163.2487951</v>
      </c>
      <c r="M22" s="36">
        <f t="shared" si="2"/>
        <v>177.34137050999999</v>
      </c>
      <c r="N22" s="36">
        <f t="shared" si="2"/>
        <v>29.303419214223613</v>
      </c>
      <c r="O22" s="36">
        <f t="shared" si="2"/>
        <v>2207.7355459999999</v>
      </c>
      <c r="P22" s="36">
        <f t="shared" si="2"/>
        <v>266.97828679999998</v>
      </c>
      <c r="Q22" s="36">
        <f t="shared" si="2"/>
        <v>102.76392111</v>
      </c>
      <c r="R22" s="36">
        <f t="shared" si="2"/>
        <v>262.60482001000003</v>
      </c>
      <c r="S22" s="36">
        <f t="shared" si="2"/>
        <v>22.276809850000003</v>
      </c>
      <c r="T22" s="36">
        <f t="shared" si="1"/>
        <v>25.096909999999998</v>
      </c>
    </row>
    <row r="23" spans="1:20" x14ac:dyDescent="0.3">
      <c r="A23" s="2" t="s">
        <v>22</v>
      </c>
      <c r="B23" s="2" t="s">
        <v>23</v>
      </c>
      <c r="C23" s="2" t="s">
        <v>61</v>
      </c>
      <c r="D23" s="2" t="s">
        <v>25</v>
      </c>
      <c r="E23" s="2" t="s">
        <v>61</v>
      </c>
      <c r="F23" s="2" t="s">
        <v>62</v>
      </c>
      <c r="G23" s="35">
        <v>33.022100000000002</v>
      </c>
      <c r="H23" s="32">
        <v>28.137720250000001</v>
      </c>
      <c r="I23" s="36">
        <f t="shared" si="2"/>
        <v>56.963122500000004</v>
      </c>
      <c r="J23" s="36">
        <f t="shared" si="2"/>
        <v>25.80557244777</v>
      </c>
      <c r="K23" s="36">
        <f t="shared" si="2"/>
        <v>42.928730000000002</v>
      </c>
      <c r="L23" s="36">
        <f t="shared" si="2"/>
        <v>204.06006694999999</v>
      </c>
      <c r="M23" s="36">
        <f t="shared" si="2"/>
        <v>221.67570619500003</v>
      </c>
      <c r="N23" s="36">
        <f t="shared" si="2"/>
        <v>36.629107633262933</v>
      </c>
      <c r="O23" s="36">
        <f t="shared" si="2"/>
        <v>2759.6568969999998</v>
      </c>
      <c r="P23" s="36">
        <f t="shared" si="2"/>
        <v>333.72134260000001</v>
      </c>
      <c r="Q23" s="36">
        <f t="shared" si="2"/>
        <v>128.454317895</v>
      </c>
      <c r="R23" s="36">
        <f t="shared" si="2"/>
        <v>328.25453394500005</v>
      </c>
      <c r="S23" s="36">
        <f t="shared" si="2"/>
        <v>27.845885825000003</v>
      </c>
      <c r="T23" s="36">
        <f t="shared" si="1"/>
        <v>31.370995000000001</v>
      </c>
    </row>
    <row r="24" spans="1:20" x14ac:dyDescent="0.3">
      <c r="A24" s="2" t="s">
        <v>22</v>
      </c>
      <c r="B24" s="2" t="s">
        <v>23</v>
      </c>
      <c r="C24" s="2" t="s">
        <v>63</v>
      </c>
      <c r="D24" s="2" t="s">
        <v>25</v>
      </c>
      <c r="E24" s="2" t="s">
        <v>63</v>
      </c>
      <c r="F24" s="2" t="s">
        <v>64</v>
      </c>
      <c r="G24" s="35">
        <v>9.2459000000000007</v>
      </c>
      <c r="H24" s="32">
        <v>7.8785616700000007</v>
      </c>
      <c r="I24" s="36">
        <f t="shared" si="2"/>
        <v>15.949177500000001</v>
      </c>
      <c r="J24" s="36">
        <f t="shared" si="2"/>
        <v>7.2253352238300002</v>
      </c>
      <c r="K24" s="36">
        <f t="shared" si="2"/>
        <v>12.019670000000001</v>
      </c>
      <c r="L24" s="36">
        <f t="shared" si="2"/>
        <v>57.135039049999996</v>
      </c>
      <c r="M24" s="36">
        <f t="shared" si="2"/>
        <v>62.067264405000003</v>
      </c>
      <c r="N24" s="36">
        <f t="shared" si="2"/>
        <v>10.255830679041788</v>
      </c>
      <c r="O24" s="36">
        <f t="shared" si="2"/>
        <v>772.67986299999995</v>
      </c>
      <c r="P24" s="36">
        <f t="shared" si="2"/>
        <v>93.439065400000004</v>
      </c>
      <c r="Q24" s="36">
        <f t="shared" si="2"/>
        <v>35.966088705000004</v>
      </c>
      <c r="R24" s="36">
        <f t="shared" si="2"/>
        <v>91.908406655000007</v>
      </c>
      <c r="S24" s="36">
        <f t="shared" si="2"/>
        <v>7.7966051750000007</v>
      </c>
      <c r="T24" s="36">
        <f t="shared" si="1"/>
        <v>8.7836049999999997</v>
      </c>
    </row>
    <row r="25" spans="1:20" x14ac:dyDescent="0.3">
      <c r="A25" s="2" t="s">
        <v>22</v>
      </c>
      <c r="B25" s="2" t="s">
        <v>23</v>
      </c>
      <c r="C25" s="2" t="s">
        <v>65</v>
      </c>
      <c r="D25" s="2" t="s">
        <v>25</v>
      </c>
      <c r="E25" s="2" t="s">
        <v>65</v>
      </c>
      <c r="F25" s="2" t="s">
        <v>66</v>
      </c>
      <c r="G25" s="35">
        <v>11.889200000000001</v>
      </c>
      <c r="H25" s="32">
        <v>10.129579290000001</v>
      </c>
      <c r="I25" s="36">
        <f t="shared" si="2"/>
        <v>20.508869999999998</v>
      </c>
      <c r="J25" s="36">
        <f t="shared" si="2"/>
        <v>9.2909782220399997</v>
      </c>
      <c r="K25" s="36">
        <f t="shared" si="2"/>
        <v>15.455960000000001</v>
      </c>
      <c r="L25" s="36">
        <f t="shared" si="2"/>
        <v>73.469311399999995</v>
      </c>
      <c r="M25" s="36">
        <f t="shared" si="2"/>
        <v>79.811605140000012</v>
      </c>
      <c r="N25" s="36">
        <f t="shared" si="2"/>
        <v>13.187858630232169</v>
      </c>
      <c r="O25" s="36">
        <f t="shared" si="2"/>
        <v>993.58044399999994</v>
      </c>
      <c r="P25" s="36">
        <f t="shared" si="2"/>
        <v>120.1522552</v>
      </c>
      <c r="Q25" s="36">
        <f t="shared" si="2"/>
        <v>46.248393540000002</v>
      </c>
      <c r="R25" s="36">
        <f t="shared" si="2"/>
        <v>118.18399814000001</v>
      </c>
      <c r="S25" s="36">
        <f t="shared" si="2"/>
        <v>10.0255679</v>
      </c>
      <c r="T25" s="36">
        <f t="shared" si="1"/>
        <v>11.294740000000001</v>
      </c>
    </row>
    <row r="26" spans="1:20" x14ac:dyDescent="0.3">
      <c r="A26" s="2" t="s">
        <v>22</v>
      </c>
      <c r="B26" s="2" t="s">
        <v>23</v>
      </c>
      <c r="C26" s="2" t="s">
        <v>67</v>
      </c>
      <c r="D26" s="2" t="s">
        <v>25</v>
      </c>
      <c r="E26" s="2" t="s">
        <v>67</v>
      </c>
      <c r="F26" s="2" t="s">
        <v>68</v>
      </c>
      <c r="G26" s="35">
        <v>14.532400000000001</v>
      </c>
      <c r="H26" s="32">
        <v>12.38059691</v>
      </c>
      <c r="I26" s="36">
        <f t="shared" si="2"/>
        <v>25.068389999999997</v>
      </c>
      <c r="J26" s="36">
        <f t="shared" si="2"/>
        <v>11.356543073880001</v>
      </c>
      <c r="K26" s="36">
        <f t="shared" si="2"/>
        <v>18.892120000000002</v>
      </c>
      <c r="L26" s="36">
        <f t="shared" si="2"/>
        <v>89.802965799999996</v>
      </c>
      <c r="M26" s="36">
        <f t="shared" si="2"/>
        <v>97.555274580000003</v>
      </c>
      <c r="N26" s="36">
        <f t="shared" si="2"/>
        <v>16.119775658411498</v>
      </c>
      <c r="O26" s="36">
        <f t="shared" si="2"/>
        <v>1214.4726679999999</v>
      </c>
      <c r="P26" s="36">
        <f t="shared" si="2"/>
        <v>146.86443439999999</v>
      </c>
      <c r="Q26" s="36">
        <f t="shared" si="2"/>
        <v>56.530309379999998</v>
      </c>
      <c r="R26" s="36">
        <f t="shared" si="2"/>
        <v>144.45859558000001</v>
      </c>
      <c r="S26" s="36">
        <f t="shared" si="2"/>
        <v>12.254446300000001</v>
      </c>
      <c r="T26" s="36">
        <f t="shared" si="1"/>
        <v>13.80578</v>
      </c>
    </row>
    <row r="27" spans="1:20" x14ac:dyDescent="0.3">
      <c r="A27" s="2" t="s">
        <v>22</v>
      </c>
      <c r="B27" s="2" t="s">
        <v>23</v>
      </c>
      <c r="C27" s="2" t="s">
        <v>69</v>
      </c>
      <c r="D27" s="2" t="s">
        <v>25</v>
      </c>
      <c r="E27" s="2" t="s">
        <v>69</v>
      </c>
      <c r="F27" s="2" t="s">
        <v>70</v>
      </c>
      <c r="G27" s="35">
        <v>17.171299999999999</v>
      </c>
      <c r="H27" s="32">
        <v>14.63161453</v>
      </c>
      <c r="I27" s="36">
        <f>$G27*I$1*I$2</f>
        <v>29.620492499999994</v>
      </c>
      <c r="J27" s="36">
        <f t="shared" si="2"/>
        <v>13.418747631809998</v>
      </c>
      <c r="K27" s="36">
        <f t="shared" si="2"/>
        <v>22.322689999999998</v>
      </c>
      <c r="L27" s="36">
        <f t="shared" si="2"/>
        <v>106.11004834999999</v>
      </c>
      <c r="M27" s="36">
        <f t="shared" si="2"/>
        <v>115.27007833499999</v>
      </c>
      <c r="N27" s="36">
        <f t="shared" si="2"/>
        <v>19.046922997115502</v>
      </c>
      <c r="O27" s="36">
        <f t="shared" si="2"/>
        <v>1435.0055409999998</v>
      </c>
      <c r="P27" s="36">
        <f t="shared" si="2"/>
        <v>173.5331578</v>
      </c>
      <c r="Q27" s="36">
        <f t="shared" si="2"/>
        <v>66.795498434999985</v>
      </c>
      <c r="R27" s="36">
        <f t="shared" si="2"/>
        <v>170.69044908499998</v>
      </c>
      <c r="S27" s="36">
        <f t="shared" si="2"/>
        <v>14.479698725</v>
      </c>
      <c r="T27" s="36">
        <f t="shared" si="1"/>
        <v>16.312734999999996</v>
      </c>
    </row>
    <row r="28" spans="1:20" x14ac:dyDescent="0.3">
      <c r="A28" s="2" t="s">
        <v>22</v>
      </c>
      <c r="B28" s="2" t="s">
        <v>71</v>
      </c>
      <c r="C28" s="2" t="s">
        <v>72</v>
      </c>
      <c r="D28" s="2" t="s">
        <v>25</v>
      </c>
      <c r="E28" s="2" t="s">
        <v>72</v>
      </c>
      <c r="F28" s="2" t="s">
        <v>73</v>
      </c>
      <c r="G28" s="35">
        <v>11.889200000000001</v>
      </c>
      <c r="H28" s="32">
        <v>10.129579290000001</v>
      </c>
      <c r="I28" s="36">
        <f t="shared" ref="I28:S36" si="3">$G28*I$1*I$2</f>
        <v>20.508869999999998</v>
      </c>
      <c r="J28" s="36">
        <f t="shared" si="3"/>
        <v>9.2909782220399997</v>
      </c>
      <c r="K28" s="36">
        <f t="shared" si="3"/>
        <v>15.455960000000001</v>
      </c>
      <c r="L28" s="36">
        <f t="shared" si="3"/>
        <v>73.469311399999995</v>
      </c>
      <c r="M28" s="36">
        <f t="shared" si="3"/>
        <v>79.811605140000012</v>
      </c>
      <c r="N28" s="36">
        <f t="shared" si="3"/>
        <v>13.187858630232169</v>
      </c>
      <c r="O28" s="36">
        <f t="shared" si="3"/>
        <v>993.58044399999994</v>
      </c>
      <c r="P28" s="36">
        <f t="shared" si="3"/>
        <v>120.1522552</v>
      </c>
      <c r="Q28" s="36">
        <f t="shared" si="3"/>
        <v>46.248393540000002</v>
      </c>
      <c r="R28" s="36">
        <f t="shared" si="3"/>
        <v>118.18399814000001</v>
      </c>
      <c r="S28" s="36">
        <f t="shared" si="3"/>
        <v>10.0255679</v>
      </c>
      <c r="T28" s="36">
        <f t="shared" si="1"/>
        <v>11.294740000000001</v>
      </c>
    </row>
    <row r="29" spans="1:20" x14ac:dyDescent="0.3">
      <c r="A29" s="2" t="s">
        <v>22</v>
      </c>
      <c r="B29" s="2" t="s">
        <v>71</v>
      </c>
      <c r="C29" s="2" t="s">
        <v>74</v>
      </c>
      <c r="D29" s="2" t="s">
        <v>25</v>
      </c>
      <c r="E29" s="2" t="s">
        <v>74</v>
      </c>
      <c r="F29" s="2" t="s">
        <v>75</v>
      </c>
      <c r="G29" s="35">
        <v>11.889200000000001</v>
      </c>
      <c r="H29" s="32">
        <v>10.129579290000001</v>
      </c>
      <c r="I29" s="36">
        <f t="shared" si="3"/>
        <v>20.508869999999998</v>
      </c>
      <c r="J29" s="36">
        <f t="shared" si="3"/>
        <v>9.2909782220399997</v>
      </c>
      <c r="K29" s="36">
        <f t="shared" si="3"/>
        <v>15.455960000000001</v>
      </c>
      <c r="L29" s="36">
        <f t="shared" si="3"/>
        <v>73.469311399999995</v>
      </c>
      <c r="M29" s="36">
        <f t="shared" si="3"/>
        <v>79.811605140000012</v>
      </c>
      <c r="N29" s="36">
        <f t="shared" si="3"/>
        <v>13.187858630232169</v>
      </c>
      <c r="O29" s="36">
        <f t="shared" si="3"/>
        <v>993.58044399999994</v>
      </c>
      <c r="P29" s="36">
        <f t="shared" si="3"/>
        <v>120.1522552</v>
      </c>
      <c r="Q29" s="36">
        <f t="shared" si="3"/>
        <v>46.248393540000002</v>
      </c>
      <c r="R29" s="36">
        <f t="shared" si="3"/>
        <v>118.18399814000001</v>
      </c>
      <c r="S29" s="36">
        <f t="shared" si="3"/>
        <v>10.0255679</v>
      </c>
      <c r="T29" s="36">
        <f t="shared" si="1"/>
        <v>11.294740000000001</v>
      </c>
    </row>
    <row r="30" spans="1:20" x14ac:dyDescent="0.3">
      <c r="A30" s="2" t="s">
        <v>22</v>
      </c>
      <c r="B30" s="2" t="s">
        <v>71</v>
      </c>
      <c r="C30" s="2" t="s">
        <v>76</v>
      </c>
      <c r="D30" s="2" t="s">
        <v>25</v>
      </c>
      <c r="E30" s="2" t="s">
        <v>76</v>
      </c>
      <c r="F30" s="2" t="s">
        <v>77</v>
      </c>
      <c r="G30" s="35">
        <v>11.889200000000001</v>
      </c>
      <c r="H30" s="32">
        <v>10.129579290000001</v>
      </c>
      <c r="I30" s="36">
        <f t="shared" si="3"/>
        <v>20.508869999999998</v>
      </c>
      <c r="J30" s="36">
        <f t="shared" si="3"/>
        <v>9.2909782220399997</v>
      </c>
      <c r="K30" s="36">
        <f t="shared" si="3"/>
        <v>15.455960000000001</v>
      </c>
      <c r="L30" s="36">
        <f t="shared" si="3"/>
        <v>73.469311399999995</v>
      </c>
      <c r="M30" s="36">
        <f t="shared" si="3"/>
        <v>79.811605140000012</v>
      </c>
      <c r="N30" s="36">
        <f t="shared" si="3"/>
        <v>13.187858630232169</v>
      </c>
      <c r="O30" s="36">
        <f t="shared" si="3"/>
        <v>993.58044399999994</v>
      </c>
      <c r="P30" s="36">
        <f t="shared" si="3"/>
        <v>120.1522552</v>
      </c>
      <c r="Q30" s="36">
        <f t="shared" si="3"/>
        <v>46.248393540000002</v>
      </c>
      <c r="R30" s="36">
        <f t="shared" si="3"/>
        <v>118.18399814000001</v>
      </c>
      <c r="S30" s="36">
        <f t="shared" si="3"/>
        <v>10.0255679</v>
      </c>
      <c r="T30" s="36">
        <f t="shared" si="1"/>
        <v>11.294740000000001</v>
      </c>
    </row>
    <row r="31" spans="1:20" x14ac:dyDescent="0.3">
      <c r="A31" s="2" t="s">
        <v>22</v>
      </c>
      <c r="B31" s="2" t="s">
        <v>71</v>
      </c>
      <c r="C31" s="2" t="s">
        <v>78</v>
      </c>
      <c r="D31" s="2" t="s">
        <v>25</v>
      </c>
      <c r="E31" s="2" t="s">
        <v>78</v>
      </c>
      <c r="F31" s="2" t="s">
        <v>77</v>
      </c>
      <c r="G31" s="35">
        <v>11.889200000000001</v>
      </c>
      <c r="H31" s="32">
        <v>10.129579290000001</v>
      </c>
      <c r="I31" s="36">
        <f t="shared" si="3"/>
        <v>20.508869999999998</v>
      </c>
      <c r="J31" s="36">
        <f t="shared" si="3"/>
        <v>9.2909782220399997</v>
      </c>
      <c r="K31" s="36">
        <f t="shared" si="3"/>
        <v>15.455960000000001</v>
      </c>
      <c r="L31" s="36">
        <f t="shared" si="3"/>
        <v>73.469311399999995</v>
      </c>
      <c r="M31" s="36">
        <f t="shared" si="3"/>
        <v>79.811605140000012</v>
      </c>
      <c r="N31" s="36">
        <f t="shared" si="3"/>
        <v>13.187858630232169</v>
      </c>
      <c r="O31" s="36">
        <f t="shared" si="3"/>
        <v>993.58044399999994</v>
      </c>
      <c r="P31" s="36">
        <f t="shared" si="3"/>
        <v>120.1522552</v>
      </c>
      <c r="Q31" s="36">
        <f t="shared" si="3"/>
        <v>46.248393540000002</v>
      </c>
      <c r="R31" s="36">
        <f t="shared" si="3"/>
        <v>118.18399814000001</v>
      </c>
      <c r="S31" s="36">
        <f t="shared" si="3"/>
        <v>10.0255679</v>
      </c>
      <c r="T31" s="36">
        <f t="shared" si="1"/>
        <v>11.294740000000001</v>
      </c>
    </row>
    <row r="32" spans="1:20" x14ac:dyDescent="0.3">
      <c r="A32" s="2" t="s">
        <v>22</v>
      </c>
      <c r="B32" s="2" t="s">
        <v>71</v>
      </c>
      <c r="C32" s="2" t="s">
        <v>79</v>
      </c>
      <c r="D32" s="2" t="s">
        <v>25</v>
      </c>
      <c r="E32" s="2" t="s">
        <v>79</v>
      </c>
      <c r="F32" s="2" t="s">
        <v>80</v>
      </c>
      <c r="G32" s="35">
        <v>23.767299999999999</v>
      </c>
      <c r="H32" s="32">
        <v>20.259158580000001</v>
      </c>
      <c r="I32" s="36">
        <f t="shared" si="3"/>
        <v>40.998592499999994</v>
      </c>
      <c r="J32" s="36">
        <f t="shared" si="3"/>
        <v>18.573282197009998</v>
      </c>
      <c r="K32" s="36">
        <f t="shared" si="3"/>
        <v>30.897489999999998</v>
      </c>
      <c r="L32" s="36">
        <f t="shared" si="3"/>
        <v>146.87003034999998</v>
      </c>
      <c r="M32" s="36">
        <f t="shared" si="3"/>
        <v>159.548696535</v>
      </c>
      <c r="N32" s="36">
        <f t="shared" si="3"/>
        <v>26.363404806237337</v>
      </c>
      <c r="O32" s="36">
        <f t="shared" si="3"/>
        <v>1986.2332609999996</v>
      </c>
      <c r="P32" s="36">
        <f t="shared" si="3"/>
        <v>240.19233379999997</v>
      </c>
      <c r="Q32" s="36">
        <f t="shared" si="3"/>
        <v>92.453608634999995</v>
      </c>
      <c r="R32" s="36">
        <f t="shared" si="3"/>
        <v>236.25765728499999</v>
      </c>
      <c r="S32" s="36">
        <f t="shared" si="3"/>
        <v>20.041775725000001</v>
      </c>
      <c r="T32" s="36">
        <f t="shared" si="1"/>
        <v>22.578934999999998</v>
      </c>
    </row>
    <row r="33" spans="1:20" x14ac:dyDescent="0.3">
      <c r="A33" s="2" t="s">
        <v>22</v>
      </c>
      <c r="B33" s="2" t="s">
        <v>71</v>
      </c>
      <c r="C33" s="2" t="s">
        <v>81</v>
      </c>
      <c r="D33" s="2" t="s">
        <v>25</v>
      </c>
      <c r="E33" s="2" t="s">
        <v>81</v>
      </c>
      <c r="F33" s="2" t="s">
        <v>82</v>
      </c>
      <c r="G33" s="35">
        <v>11.889200000000001</v>
      </c>
      <c r="H33" s="32">
        <v>10.129579290000001</v>
      </c>
      <c r="I33" s="36">
        <f t="shared" si="3"/>
        <v>20.508869999999998</v>
      </c>
      <c r="J33" s="36">
        <f t="shared" si="3"/>
        <v>9.2909782220399997</v>
      </c>
      <c r="K33" s="36">
        <f t="shared" si="3"/>
        <v>15.455960000000001</v>
      </c>
      <c r="L33" s="36">
        <f t="shared" si="3"/>
        <v>73.469311399999995</v>
      </c>
      <c r="M33" s="36">
        <f t="shared" si="3"/>
        <v>79.811605140000012</v>
      </c>
      <c r="N33" s="36">
        <f t="shared" si="3"/>
        <v>13.187858630232169</v>
      </c>
      <c r="O33" s="36">
        <f t="shared" si="3"/>
        <v>993.58044399999994</v>
      </c>
      <c r="P33" s="36">
        <f t="shared" si="3"/>
        <v>120.1522552</v>
      </c>
      <c r="Q33" s="36">
        <f t="shared" si="3"/>
        <v>46.248393540000002</v>
      </c>
      <c r="R33" s="36">
        <f t="shared" si="3"/>
        <v>118.18399814000001</v>
      </c>
      <c r="S33" s="36">
        <f t="shared" si="3"/>
        <v>10.0255679</v>
      </c>
      <c r="T33" s="36">
        <f t="shared" si="1"/>
        <v>11.294740000000001</v>
      </c>
    </row>
    <row r="34" spans="1:20" x14ac:dyDescent="0.3">
      <c r="A34" s="2" t="s">
        <v>22</v>
      </c>
      <c r="B34" s="2" t="s">
        <v>71</v>
      </c>
      <c r="C34" s="2" t="s">
        <v>83</v>
      </c>
      <c r="D34" s="2" t="s">
        <v>25</v>
      </c>
      <c r="E34" s="2" t="s">
        <v>83</v>
      </c>
      <c r="F34" s="2" t="s">
        <v>84</v>
      </c>
      <c r="G34" s="35">
        <v>11.889200000000001</v>
      </c>
      <c r="H34" s="32">
        <v>10.129579290000001</v>
      </c>
      <c r="I34" s="36">
        <f t="shared" si="3"/>
        <v>20.508869999999998</v>
      </c>
      <c r="J34" s="36">
        <f t="shared" si="3"/>
        <v>9.2909782220399997</v>
      </c>
      <c r="K34" s="36">
        <f t="shared" si="3"/>
        <v>15.455960000000001</v>
      </c>
      <c r="L34" s="36">
        <f t="shared" si="3"/>
        <v>73.469311399999995</v>
      </c>
      <c r="M34" s="36">
        <f t="shared" si="3"/>
        <v>79.811605140000012</v>
      </c>
      <c r="N34" s="36">
        <f t="shared" si="3"/>
        <v>13.187858630232169</v>
      </c>
      <c r="O34" s="36">
        <f t="shared" si="3"/>
        <v>993.58044399999994</v>
      </c>
      <c r="P34" s="36">
        <f t="shared" si="3"/>
        <v>120.1522552</v>
      </c>
      <c r="Q34" s="36">
        <f t="shared" si="3"/>
        <v>46.248393540000002</v>
      </c>
      <c r="R34" s="36">
        <f t="shared" si="3"/>
        <v>118.18399814000001</v>
      </c>
      <c r="S34" s="36">
        <f t="shared" si="3"/>
        <v>10.0255679</v>
      </c>
      <c r="T34" s="36">
        <f t="shared" si="1"/>
        <v>11.294740000000001</v>
      </c>
    </row>
    <row r="35" spans="1:20" x14ac:dyDescent="0.3">
      <c r="A35" s="2" t="s">
        <v>22</v>
      </c>
      <c r="B35" s="2" t="s">
        <v>71</v>
      </c>
      <c r="C35" s="2" t="s">
        <v>85</v>
      </c>
      <c r="D35" s="2" t="s">
        <v>25</v>
      </c>
      <c r="E35" s="2" t="s">
        <v>85</v>
      </c>
      <c r="F35" s="2" t="s">
        <v>86</v>
      </c>
      <c r="G35" s="35">
        <v>23.767299999999999</v>
      </c>
      <c r="H35" s="32">
        <v>20.259158580000001</v>
      </c>
      <c r="I35" s="36">
        <f t="shared" si="3"/>
        <v>40.998592499999994</v>
      </c>
      <c r="J35" s="36">
        <f t="shared" si="3"/>
        <v>18.573282197009998</v>
      </c>
      <c r="K35" s="36">
        <f t="shared" si="3"/>
        <v>30.897489999999998</v>
      </c>
      <c r="L35" s="36">
        <f t="shared" si="3"/>
        <v>146.87003034999998</v>
      </c>
      <c r="M35" s="36">
        <f t="shared" si="3"/>
        <v>159.548696535</v>
      </c>
      <c r="N35" s="36">
        <f t="shared" si="3"/>
        <v>26.363404806237337</v>
      </c>
      <c r="O35" s="36">
        <f t="shared" si="3"/>
        <v>1986.2332609999996</v>
      </c>
      <c r="P35" s="36">
        <f t="shared" si="3"/>
        <v>240.19233379999997</v>
      </c>
      <c r="Q35" s="36">
        <f t="shared" si="3"/>
        <v>92.453608634999995</v>
      </c>
      <c r="R35" s="36">
        <f t="shared" si="3"/>
        <v>236.25765728499999</v>
      </c>
      <c r="S35" s="36">
        <f t="shared" si="3"/>
        <v>20.041775725000001</v>
      </c>
      <c r="T35" s="36">
        <f t="shared" si="1"/>
        <v>22.578934999999998</v>
      </c>
    </row>
    <row r="36" spans="1:20" x14ac:dyDescent="0.3">
      <c r="A36" s="2" t="s">
        <v>22</v>
      </c>
      <c r="B36" s="2" t="s">
        <v>71</v>
      </c>
      <c r="C36" s="2" t="s">
        <v>87</v>
      </c>
      <c r="D36" s="2" t="s">
        <v>25</v>
      </c>
      <c r="E36" s="2" t="s">
        <v>87</v>
      </c>
      <c r="F36" s="2" t="s">
        <v>88</v>
      </c>
      <c r="G36" s="35">
        <v>9.2459000000000007</v>
      </c>
      <c r="H36" s="32">
        <v>7.8785616700000007</v>
      </c>
      <c r="I36" s="36">
        <f t="shared" si="3"/>
        <v>15.949177500000001</v>
      </c>
      <c r="J36" s="36">
        <f t="shared" si="3"/>
        <v>7.2253352238300002</v>
      </c>
      <c r="K36" s="36">
        <f t="shared" si="3"/>
        <v>12.019670000000001</v>
      </c>
      <c r="L36" s="36">
        <f t="shared" ref="I36:S62" si="4">$G36*L$1*L$2</f>
        <v>57.135039049999996</v>
      </c>
      <c r="M36" s="36">
        <f t="shared" si="4"/>
        <v>62.067264405000003</v>
      </c>
      <c r="N36" s="36">
        <f t="shared" si="4"/>
        <v>10.255830679041788</v>
      </c>
      <c r="O36" s="36">
        <f t="shared" si="4"/>
        <v>772.67986299999995</v>
      </c>
      <c r="P36" s="36">
        <f t="shared" si="4"/>
        <v>93.439065400000004</v>
      </c>
      <c r="Q36" s="36">
        <f t="shared" si="4"/>
        <v>35.966088705000004</v>
      </c>
      <c r="R36" s="36">
        <f t="shared" si="4"/>
        <v>91.908406655000007</v>
      </c>
      <c r="S36" s="36">
        <f t="shared" si="4"/>
        <v>7.7966051750000007</v>
      </c>
      <c r="T36" s="36">
        <f t="shared" si="1"/>
        <v>8.7836049999999997</v>
      </c>
    </row>
    <row r="37" spans="1:20" x14ac:dyDescent="0.3">
      <c r="A37" s="2" t="s">
        <v>22</v>
      </c>
      <c r="B37" s="2" t="s">
        <v>71</v>
      </c>
      <c r="C37" s="2" t="s">
        <v>89</v>
      </c>
      <c r="D37" s="2" t="s">
        <v>25</v>
      </c>
      <c r="E37" s="2" t="s">
        <v>89</v>
      </c>
      <c r="F37" s="2" t="s">
        <v>90</v>
      </c>
      <c r="G37" s="35">
        <v>9.2459000000000007</v>
      </c>
      <c r="H37" s="32">
        <v>7.8785616700000007</v>
      </c>
      <c r="I37" s="36">
        <f t="shared" si="4"/>
        <v>15.949177500000001</v>
      </c>
      <c r="J37" s="36">
        <f t="shared" si="4"/>
        <v>7.2253352238300002</v>
      </c>
      <c r="K37" s="36">
        <f t="shared" si="4"/>
        <v>12.019670000000001</v>
      </c>
      <c r="L37" s="36">
        <f t="shared" si="4"/>
        <v>57.135039049999996</v>
      </c>
      <c r="M37" s="36">
        <f t="shared" si="4"/>
        <v>62.067264405000003</v>
      </c>
      <c r="N37" s="36">
        <f t="shared" si="4"/>
        <v>10.255830679041788</v>
      </c>
      <c r="O37" s="36">
        <f t="shared" si="4"/>
        <v>772.67986299999995</v>
      </c>
      <c r="P37" s="36">
        <f t="shared" si="4"/>
        <v>93.439065400000004</v>
      </c>
      <c r="Q37" s="36">
        <f t="shared" si="4"/>
        <v>35.966088705000004</v>
      </c>
      <c r="R37" s="36">
        <f t="shared" si="4"/>
        <v>91.908406655000007</v>
      </c>
      <c r="S37" s="36">
        <f t="shared" si="4"/>
        <v>7.7966051750000007</v>
      </c>
      <c r="T37" s="36">
        <f t="shared" ref="T37:T68" si="5">$G37*T$1*T$2</f>
        <v>8.7836049999999997</v>
      </c>
    </row>
    <row r="38" spans="1:20" x14ac:dyDescent="0.3">
      <c r="A38" s="2" t="s">
        <v>22</v>
      </c>
      <c r="B38" s="2" t="s">
        <v>71</v>
      </c>
      <c r="C38" s="2" t="s">
        <v>91</v>
      </c>
      <c r="D38" s="2" t="s">
        <v>25</v>
      </c>
      <c r="E38" s="2" t="s">
        <v>91</v>
      </c>
      <c r="F38" s="2" t="s">
        <v>92</v>
      </c>
      <c r="G38" s="35">
        <f>11.94*1.10597</f>
        <v>13.205281799999998</v>
      </c>
      <c r="H38" s="32">
        <v>11.255088100000002</v>
      </c>
      <c r="I38" s="36">
        <f t="shared" si="4"/>
        <v>22.779111104999998</v>
      </c>
      <c r="J38" s="36">
        <f t="shared" si="4"/>
        <v>10.319448374970658</v>
      </c>
      <c r="K38" s="36">
        <f t="shared" si="4"/>
        <v>17.166866339999999</v>
      </c>
      <c r="L38" s="36">
        <f t="shared" si="4"/>
        <v>81.602038883099979</v>
      </c>
      <c r="M38" s="36">
        <f t="shared" si="4"/>
        <v>88.646396459309983</v>
      </c>
      <c r="N38" s="36">
        <f t="shared" si="4"/>
        <v>14.647696190725847</v>
      </c>
      <c r="O38" s="36">
        <f t="shared" si="4"/>
        <v>1103.5654000259997</v>
      </c>
      <c r="P38" s="36">
        <f t="shared" si="4"/>
        <v>133.45257787079998</v>
      </c>
      <c r="Q38" s="36">
        <f t="shared" si="4"/>
        <v>51.367885937909989</v>
      </c>
      <c r="R38" s="36">
        <f t="shared" si="4"/>
        <v>131.26644346881</v>
      </c>
      <c r="S38" s="36">
        <f t="shared" si="4"/>
        <v>11.135353877849999</v>
      </c>
      <c r="T38" s="36">
        <f t="shared" si="5"/>
        <v>12.545017709999998</v>
      </c>
    </row>
    <row r="39" spans="1:20" x14ac:dyDescent="0.3">
      <c r="A39" s="2" t="s">
        <v>22</v>
      </c>
      <c r="B39" s="2" t="s">
        <v>71</v>
      </c>
      <c r="C39" s="13" t="s">
        <v>93</v>
      </c>
      <c r="D39" s="2" t="s">
        <v>25</v>
      </c>
      <c r="E39" s="13" t="s">
        <v>93</v>
      </c>
      <c r="F39" s="2" t="s">
        <v>94</v>
      </c>
      <c r="G39" s="35">
        <f>1.10597*8.36</f>
        <v>9.2459091999999981</v>
      </c>
      <c r="H39" s="32">
        <v>7.8785616700000007</v>
      </c>
      <c r="I39" s="36">
        <f t="shared" ref="I39:S41" si="6">$G39*I$1*I$2</f>
        <v>15.949193369999994</v>
      </c>
      <c r="J39" s="36">
        <f t="shared" si="6"/>
        <v>7.2253424132960387</v>
      </c>
      <c r="K39" s="36">
        <f t="shared" si="6"/>
        <v>12.019681959999998</v>
      </c>
      <c r="L39" s="36">
        <f t="shared" si="6"/>
        <v>57.135095901399986</v>
      </c>
      <c r="M39" s="36">
        <f t="shared" si="6"/>
        <v>62.067326164139992</v>
      </c>
      <c r="N39" s="36">
        <f t="shared" si="6"/>
        <v>10.255840883958802</v>
      </c>
      <c r="O39" s="36">
        <f t="shared" si="6"/>
        <v>772.68063184399978</v>
      </c>
      <c r="P39" s="36">
        <f t="shared" si="6"/>
        <v>93.43915837519998</v>
      </c>
      <c r="Q39" s="36">
        <f t="shared" si="6"/>
        <v>35.96612449253999</v>
      </c>
      <c r="R39" s="36">
        <f t="shared" si="6"/>
        <v>91.908498107139977</v>
      </c>
      <c r="S39" s="36">
        <f t="shared" si="6"/>
        <v>7.7966129328999987</v>
      </c>
      <c r="T39" s="36">
        <f t="shared" si="5"/>
        <v>8.7836137399999981</v>
      </c>
    </row>
    <row r="40" spans="1:20" x14ac:dyDescent="0.3">
      <c r="A40" s="2" t="s">
        <v>22</v>
      </c>
      <c r="B40" s="2" t="s">
        <v>71</v>
      </c>
      <c r="C40" s="13" t="s">
        <v>95</v>
      </c>
      <c r="D40" s="2" t="s">
        <v>25</v>
      </c>
      <c r="E40" s="13" t="s">
        <v>95</v>
      </c>
      <c r="F40" s="2" t="s">
        <v>96</v>
      </c>
      <c r="G40" s="35">
        <f>1.10597*8.36</f>
        <v>9.2459091999999981</v>
      </c>
      <c r="H40" s="32">
        <v>7.8785616700000007</v>
      </c>
      <c r="I40" s="36">
        <f t="shared" si="6"/>
        <v>15.949193369999994</v>
      </c>
      <c r="J40" s="36">
        <f t="shared" si="6"/>
        <v>7.2253424132960387</v>
      </c>
      <c r="K40" s="36">
        <f t="shared" si="6"/>
        <v>12.019681959999998</v>
      </c>
      <c r="L40" s="36">
        <f t="shared" si="6"/>
        <v>57.135095901399986</v>
      </c>
      <c r="M40" s="36">
        <f t="shared" si="6"/>
        <v>62.067326164139992</v>
      </c>
      <c r="N40" s="36">
        <f t="shared" si="6"/>
        <v>10.255840883958802</v>
      </c>
      <c r="O40" s="36">
        <f t="shared" si="6"/>
        <v>772.68063184399978</v>
      </c>
      <c r="P40" s="36">
        <f t="shared" si="6"/>
        <v>93.43915837519998</v>
      </c>
      <c r="Q40" s="36">
        <f t="shared" si="6"/>
        <v>35.96612449253999</v>
      </c>
      <c r="R40" s="36">
        <f t="shared" si="6"/>
        <v>91.908498107139977</v>
      </c>
      <c r="S40" s="36">
        <f t="shared" si="6"/>
        <v>7.7966129328999987</v>
      </c>
      <c r="T40" s="36">
        <f t="shared" si="5"/>
        <v>8.7836137399999981</v>
      </c>
    </row>
    <row r="41" spans="1:20" x14ac:dyDescent="0.3">
      <c r="A41" s="2" t="s">
        <v>22</v>
      </c>
      <c r="B41" s="2" t="s">
        <v>71</v>
      </c>
      <c r="C41" s="13" t="s">
        <v>97</v>
      </c>
      <c r="D41" s="2" t="s">
        <v>25</v>
      </c>
      <c r="E41" s="13" t="s">
        <v>97</v>
      </c>
      <c r="F41" s="2" t="s">
        <v>98</v>
      </c>
      <c r="G41" s="35">
        <f>1.10597*11.94</f>
        <v>13.205281799999998</v>
      </c>
      <c r="H41" s="32">
        <v>11.255088100000002</v>
      </c>
      <c r="I41" s="36">
        <f t="shared" si="6"/>
        <v>22.779111104999998</v>
      </c>
      <c r="J41" s="36">
        <f t="shared" si="6"/>
        <v>10.319448374970658</v>
      </c>
      <c r="K41" s="36">
        <f t="shared" si="6"/>
        <v>17.166866339999999</v>
      </c>
      <c r="L41" s="36">
        <f t="shared" si="6"/>
        <v>81.602038883099979</v>
      </c>
      <c r="M41" s="36">
        <f t="shared" si="6"/>
        <v>88.646396459309983</v>
      </c>
      <c r="N41" s="36">
        <f t="shared" si="6"/>
        <v>14.647696190725847</v>
      </c>
      <c r="O41" s="36">
        <f t="shared" si="6"/>
        <v>1103.5654000259997</v>
      </c>
      <c r="P41" s="36">
        <f t="shared" si="6"/>
        <v>133.45257787079998</v>
      </c>
      <c r="Q41" s="36">
        <f t="shared" si="6"/>
        <v>51.367885937909989</v>
      </c>
      <c r="R41" s="36">
        <f t="shared" si="6"/>
        <v>131.26644346881</v>
      </c>
      <c r="S41" s="36">
        <f t="shared" si="6"/>
        <v>11.135353877849999</v>
      </c>
      <c r="T41" s="36">
        <f t="shared" si="5"/>
        <v>12.545017709999998</v>
      </c>
    </row>
    <row r="42" spans="1:20" x14ac:dyDescent="0.3">
      <c r="A42" s="2" t="s">
        <v>22</v>
      </c>
      <c r="B42" s="2" t="s">
        <v>71</v>
      </c>
      <c r="C42" s="2" t="s">
        <v>99</v>
      </c>
      <c r="D42" s="2" t="s">
        <v>25</v>
      </c>
      <c r="E42" s="2" t="s">
        <v>99</v>
      </c>
      <c r="F42" s="2" t="s">
        <v>100</v>
      </c>
      <c r="G42" s="35">
        <f>1.10597*5.97</f>
        <v>6.602640899999999</v>
      </c>
      <c r="H42" s="32">
        <v>5.6275440500000009</v>
      </c>
      <c r="I42" s="36">
        <f t="shared" si="4"/>
        <v>11.389555552499999</v>
      </c>
      <c r="J42" s="36">
        <f t="shared" si="4"/>
        <v>5.1597241874853292</v>
      </c>
      <c r="K42" s="36">
        <f t="shared" si="4"/>
        <v>8.5834331699999993</v>
      </c>
      <c r="L42" s="36">
        <f t="shared" si="4"/>
        <v>40.80101944154999</v>
      </c>
      <c r="M42" s="36">
        <f t="shared" si="4"/>
        <v>44.323198229654992</v>
      </c>
      <c r="N42" s="36">
        <f t="shared" si="4"/>
        <v>7.3238480953629237</v>
      </c>
      <c r="O42" s="36">
        <f t="shared" si="4"/>
        <v>551.78270001299984</v>
      </c>
      <c r="P42" s="36">
        <f t="shared" si="4"/>
        <v>66.726288935399992</v>
      </c>
      <c r="Q42" s="36">
        <f t="shared" si="4"/>
        <v>25.683942968954995</v>
      </c>
      <c r="R42" s="36">
        <f t="shared" si="4"/>
        <v>65.633221734404998</v>
      </c>
      <c r="S42" s="36">
        <f t="shared" si="4"/>
        <v>5.5676769389249996</v>
      </c>
      <c r="T42" s="36">
        <f t="shared" si="5"/>
        <v>6.272508854999999</v>
      </c>
    </row>
    <row r="43" spans="1:20" x14ac:dyDescent="0.3">
      <c r="A43" s="2" t="s">
        <v>22</v>
      </c>
      <c r="B43" s="2" t="s">
        <v>71</v>
      </c>
      <c r="C43" s="2" t="s">
        <v>101</v>
      </c>
      <c r="D43" s="2" t="s">
        <v>25</v>
      </c>
      <c r="E43" s="2" t="s">
        <v>101</v>
      </c>
      <c r="F43" s="2" t="s">
        <v>102</v>
      </c>
      <c r="G43" s="35">
        <f>1.10597*11.94</f>
        <v>13.205281799999998</v>
      </c>
      <c r="H43" s="32">
        <v>11.255088100000002</v>
      </c>
      <c r="I43" s="36">
        <f t="shared" si="4"/>
        <v>22.779111104999998</v>
      </c>
      <c r="J43" s="36">
        <f t="shared" si="4"/>
        <v>10.319448374970658</v>
      </c>
      <c r="K43" s="36">
        <f t="shared" si="4"/>
        <v>17.166866339999999</v>
      </c>
      <c r="L43" s="36">
        <f t="shared" si="4"/>
        <v>81.602038883099979</v>
      </c>
      <c r="M43" s="36">
        <f t="shared" si="4"/>
        <v>88.646396459309983</v>
      </c>
      <c r="N43" s="36">
        <f t="shared" si="4"/>
        <v>14.647696190725847</v>
      </c>
      <c r="O43" s="36">
        <f t="shared" si="4"/>
        <v>1103.5654000259997</v>
      </c>
      <c r="P43" s="36">
        <f t="shared" si="4"/>
        <v>133.45257787079998</v>
      </c>
      <c r="Q43" s="36">
        <f t="shared" si="4"/>
        <v>51.367885937909989</v>
      </c>
      <c r="R43" s="36">
        <f t="shared" si="4"/>
        <v>131.26644346881</v>
      </c>
      <c r="S43" s="36">
        <f t="shared" si="4"/>
        <v>11.135353877849999</v>
      </c>
      <c r="T43" s="36">
        <f t="shared" si="5"/>
        <v>12.545017709999998</v>
      </c>
    </row>
    <row r="44" spans="1:20" x14ac:dyDescent="0.3">
      <c r="A44" s="2" t="s">
        <v>22</v>
      </c>
      <c r="B44" s="2" t="s">
        <v>71</v>
      </c>
      <c r="C44" s="13" t="s">
        <v>103</v>
      </c>
      <c r="D44" s="2" t="s">
        <v>25</v>
      </c>
      <c r="E44" s="13" t="s">
        <v>103</v>
      </c>
      <c r="F44" s="2" t="s">
        <v>104</v>
      </c>
      <c r="G44" s="35">
        <f>1.10597*5.97</f>
        <v>6.602640899999999</v>
      </c>
      <c r="H44" s="32">
        <v>5.6275440500000009</v>
      </c>
      <c r="I44" s="36">
        <f t="shared" ref="I44:S45" si="7">$G44*I$1*I$2</f>
        <v>11.389555552499999</v>
      </c>
      <c r="J44" s="36">
        <f t="shared" si="7"/>
        <v>5.1597241874853292</v>
      </c>
      <c r="K44" s="36">
        <f t="shared" si="7"/>
        <v>8.5834331699999993</v>
      </c>
      <c r="L44" s="36">
        <f t="shared" si="7"/>
        <v>40.80101944154999</v>
      </c>
      <c r="M44" s="36">
        <f t="shared" si="7"/>
        <v>44.323198229654992</v>
      </c>
      <c r="N44" s="36">
        <f t="shared" si="7"/>
        <v>7.3238480953629237</v>
      </c>
      <c r="O44" s="36">
        <f t="shared" si="7"/>
        <v>551.78270001299984</v>
      </c>
      <c r="P44" s="36">
        <f t="shared" si="7"/>
        <v>66.726288935399992</v>
      </c>
      <c r="Q44" s="36">
        <f t="shared" si="7"/>
        <v>25.683942968954995</v>
      </c>
      <c r="R44" s="36">
        <f t="shared" si="7"/>
        <v>65.633221734404998</v>
      </c>
      <c r="S44" s="36">
        <f t="shared" si="7"/>
        <v>5.5676769389249996</v>
      </c>
      <c r="T44" s="36">
        <f t="shared" si="5"/>
        <v>6.272508854999999</v>
      </c>
    </row>
    <row r="45" spans="1:20" x14ac:dyDescent="0.3">
      <c r="A45" s="2" t="s">
        <v>22</v>
      </c>
      <c r="B45" s="2" t="s">
        <v>71</v>
      </c>
      <c r="C45" s="13" t="s">
        <v>105</v>
      </c>
      <c r="D45" s="2" t="s">
        <v>25</v>
      </c>
      <c r="E45" s="13" t="s">
        <v>105</v>
      </c>
      <c r="F45" s="2" t="s">
        <v>106</v>
      </c>
      <c r="G45" s="35">
        <f>1.10597*11.94</f>
        <v>13.205281799999998</v>
      </c>
      <c r="H45" s="32">
        <v>11.255088100000002</v>
      </c>
      <c r="I45" s="36">
        <f t="shared" si="7"/>
        <v>22.779111104999998</v>
      </c>
      <c r="J45" s="36">
        <f t="shared" si="7"/>
        <v>10.319448374970658</v>
      </c>
      <c r="K45" s="36">
        <f t="shared" si="7"/>
        <v>17.166866339999999</v>
      </c>
      <c r="L45" s="36">
        <f t="shared" si="7"/>
        <v>81.602038883099979</v>
      </c>
      <c r="M45" s="36">
        <f t="shared" si="7"/>
        <v>88.646396459309983</v>
      </c>
      <c r="N45" s="36">
        <f t="shared" si="7"/>
        <v>14.647696190725847</v>
      </c>
      <c r="O45" s="36">
        <f t="shared" si="7"/>
        <v>1103.5654000259997</v>
      </c>
      <c r="P45" s="36">
        <f t="shared" si="7"/>
        <v>133.45257787079998</v>
      </c>
      <c r="Q45" s="36">
        <f t="shared" si="7"/>
        <v>51.367885937909989</v>
      </c>
      <c r="R45" s="36">
        <f t="shared" si="7"/>
        <v>131.26644346881</v>
      </c>
      <c r="S45" s="36">
        <f t="shared" si="7"/>
        <v>11.135353877849999</v>
      </c>
      <c r="T45" s="36">
        <f t="shared" si="5"/>
        <v>12.545017709999998</v>
      </c>
    </row>
    <row r="46" spans="1:20" x14ac:dyDescent="0.3">
      <c r="A46" s="2" t="s">
        <v>22</v>
      </c>
      <c r="B46" s="2" t="s">
        <v>107</v>
      </c>
      <c r="C46" s="2" t="s">
        <v>108</v>
      </c>
      <c r="D46" s="2" t="s">
        <v>25</v>
      </c>
      <c r="E46" s="2" t="s">
        <v>108</v>
      </c>
      <c r="F46" s="2" t="s">
        <v>109</v>
      </c>
      <c r="G46" s="35">
        <f>1.10597*14.33</f>
        <v>15.848550099999999</v>
      </c>
      <c r="H46" s="32">
        <v>13.506105720000001</v>
      </c>
      <c r="I46" s="36">
        <f t="shared" si="4"/>
        <v>27.338748922499995</v>
      </c>
      <c r="J46" s="36">
        <f t="shared" si="4"/>
        <v>12.38506660078137</v>
      </c>
      <c r="K46" s="36">
        <f t="shared" si="4"/>
        <v>20.603115129999999</v>
      </c>
      <c r="L46" s="36">
        <f t="shared" si="4"/>
        <v>97.936115342949989</v>
      </c>
      <c r="M46" s="36">
        <f t="shared" si="4"/>
        <v>106.39052439379499</v>
      </c>
      <c r="N46" s="36">
        <f t="shared" si="4"/>
        <v>17.579688979321727</v>
      </c>
      <c r="O46" s="36">
        <f t="shared" si="4"/>
        <v>1324.4633318569997</v>
      </c>
      <c r="P46" s="36">
        <f t="shared" si="4"/>
        <v>160.16544731059997</v>
      </c>
      <c r="Q46" s="36">
        <f t="shared" si="4"/>
        <v>61.650067461494992</v>
      </c>
      <c r="R46" s="36">
        <f t="shared" si="4"/>
        <v>157.54171984154499</v>
      </c>
      <c r="S46" s="36">
        <f t="shared" si="4"/>
        <v>13.364289871824999</v>
      </c>
      <c r="T46" s="36">
        <f t="shared" si="5"/>
        <v>15.056122594999998</v>
      </c>
    </row>
    <row r="47" spans="1:20" x14ac:dyDescent="0.3">
      <c r="A47" s="2" t="s">
        <v>22</v>
      </c>
      <c r="B47" s="2" t="s">
        <v>107</v>
      </c>
      <c r="C47" s="2" t="s">
        <v>110</v>
      </c>
      <c r="D47" s="2" t="s">
        <v>25</v>
      </c>
      <c r="E47" s="2" t="s">
        <v>110</v>
      </c>
      <c r="F47" s="2" t="s">
        <v>111</v>
      </c>
      <c r="G47" s="35">
        <f>1.10597*14.33</f>
        <v>15.848550099999999</v>
      </c>
      <c r="H47" s="32">
        <v>13.506105720000001</v>
      </c>
      <c r="I47" s="36">
        <f t="shared" si="4"/>
        <v>27.338748922499995</v>
      </c>
      <c r="J47" s="36">
        <f t="shared" si="4"/>
        <v>12.38506660078137</v>
      </c>
      <c r="K47" s="36">
        <f t="shared" si="4"/>
        <v>20.603115129999999</v>
      </c>
      <c r="L47" s="36">
        <f t="shared" si="4"/>
        <v>97.936115342949989</v>
      </c>
      <c r="M47" s="36">
        <f t="shared" si="4"/>
        <v>106.39052439379499</v>
      </c>
      <c r="N47" s="36">
        <f t="shared" si="4"/>
        <v>17.579688979321727</v>
      </c>
      <c r="O47" s="36">
        <f t="shared" si="4"/>
        <v>1324.4633318569997</v>
      </c>
      <c r="P47" s="36">
        <f t="shared" si="4"/>
        <v>160.16544731059997</v>
      </c>
      <c r="Q47" s="36">
        <f t="shared" si="4"/>
        <v>61.650067461494992</v>
      </c>
      <c r="R47" s="36">
        <f t="shared" si="4"/>
        <v>157.54171984154499</v>
      </c>
      <c r="S47" s="36">
        <f t="shared" si="4"/>
        <v>13.364289871824999</v>
      </c>
      <c r="T47" s="36">
        <f t="shared" si="5"/>
        <v>15.056122594999998</v>
      </c>
    </row>
    <row r="48" spans="1:20" x14ac:dyDescent="0.3">
      <c r="A48" s="2" t="s">
        <v>22</v>
      </c>
      <c r="B48" s="2" t="s">
        <v>107</v>
      </c>
      <c r="C48" s="2" t="s">
        <v>112</v>
      </c>
      <c r="D48" s="2" t="s">
        <v>25</v>
      </c>
      <c r="E48" s="2" t="s">
        <v>112</v>
      </c>
      <c r="F48" s="2" t="s">
        <v>113</v>
      </c>
      <c r="G48" s="35">
        <f>1.10597*14.33</f>
        <v>15.848550099999999</v>
      </c>
      <c r="H48" s="32">
        <v>13.506105720000001</v>
      </c>
      <c r="I48" s="36">
        <f t="shared" si="4"/>
        <v>27.338748922499995</v>
      </c>
      <c r="J48" s="36">
        <f t="shared" si="4"/>
        <v>12.38506660078137</v>
      </c>
      <c r="K48" s="36">
        <f t="shared" si="4"/>
        <v>20.603115129999999</v>
      </c>
      <c r="L48" s="36">
        <f t="shared" si="4"/>
        <v>97.936115342949989</v>
      </c>
      <c r="M48" s="36">
        <f t="shared" si="4"/>
        <v>106.39052439379499</v>
      </c>
      <c r="N48" s="36">
        <f t="shared" si="4"/>
        <v>17.579688979321727</v>
      </c>
      <c r="O48" s="36">
        <f t="shared" si="4"/>
        <v>1324.4633318569997</v>
      </c>
      <c r="P48" s="36">
        <f t="shared" si="4"/>
        <v>160.16544731059997</v>
      </c>
      <c r="Q48" s="36">
        <f t="shared" si="4"/>
        <v>61.650067461494992</v>
      </c>
      <c r="R48" s="36">
        <f t="shared" si="4"/>
        <v>157.54171984154499</v>
      </c>
      <c r="S48" s="36">
        <f t="shared" si="4"/>
        <v>13.364289871824999</v>
      </c>
      <c r="T48" s="36">
        <f t="shared" si="5"/>
        <v>15.056122594999998</v>
      </c>
    </row>
    <row r="49" spans="1:20" x14ac:dyDescent="0.3">
      <c r="A49" s="2" t="s">
        <v>22</v>
      </c>
      <c r="B49" s="2" t="s">
        <v>107</v>
      </c>
      <c r="C49" s="2" t="s">
        <v>114</v>
      </c>
      <c r="D49" s="2" t="s">
        <v>25</v>
      </c>
      <c r="E49" s="2" t="s">
        <v>114</v>
      </c>
      <c r="F49" s="2" t="s">
        <v>113</v>
      </c>
      <c r="G49" s="35">
        <f>1.10597*14.33</f>
        <v>15.848550099999999</v>
      </c>
      <c r="H49" s="32">
        <v>13.506105720000001</v>
      </c>
      <c r="I49" s="36">
        <f t="shared" si="4"/>
        <v>27.338748922499995</v>
      </c>
      <c r="J49" s="36">
        <f t="shared" si="4"/>
        <v>12.38506660078137</v>
      </c>
      <c r="K49" s="36">
        <f t="shared" si="4"/>
        <v>20.603115129999999</v>
      </c>
      <c r="L49" s="36">
        <f t="shared" si="4"/>
        <v>97.936115342949989</v>
      </c>
      <c r="M49" s="36">
        <f t="shared" si="4"/>
        <v>106.39052439379499</v>
      </c>
      <c r="N49" s="36">
        <f t="shared" si="4"/>
        <v>17.579688979321727</v>
      </c>
      <c r="O49" s="36">
        <f t="shared" si="4"/>
        <v>1324.4633318569997</v>
      </c>
      <c r="P49" s="36">
        <f t="shared" si="4"/>
        <v>160.16544731059997</v>
      </c>
      <c r="Q49" s="36">
        <f t="shared" si="4"/>
        <v>61.650067461494992</v>
      </c>
      <c r="R49" s="36">
        <f t="shared" si="4"/>
        <v>157.54171984154499</v>
      </c>
      <c r="S49" s="36">
        <f t="shared" si="4"/>
        <v>13.364289871824999</v>
      </c>
      <c r="T49" s="36">
        <f t="shared" si="5"/>
        <v>15.056122594999998</v>
      </c>
    </row>
    <row r="50" spans="1:20" x14ac:dyDescent="0.3">
      <c r="A50" s="2" t="s">
        <v>22</v>
      </c>
      <c r="B50" s="2" t="s">
        <v>107</v>
      </c>
      <c r="C50" s="2" t="s">
        <v>115</v>
      </c>
      <c r="D50" s="2" t="s">
        <v>25</v>
      </c>
      <c r="E50" s="2" t="s">
        <v>115</v>
      </c>
      <c r="F50" s="2" t="s">
        <v>116</v>
      </c>
      <c r="G50" s="35">
        <f>1.10597*28.66</f>
        <v>31.697100199999998</v>
      </c>
      <c r="H50" s="32">
        <v>27.012211440000002</v>
      </c>
      <c r="I50" s="36">
        <f t="shared" si="4"/>
        <v>54.677497844999991</v>
      </c>
      <c r="J50" s="36">
        <f t="shared" si="4"/>
        <v>24.770133201562739</v>
      </c>
      <c r="K50" s="36">
        <f t="shared" si="4"/>
        <v>41.206230259999998</v>
      </c>
      <c r="L50" s="36">
        <f t="shared" si="4"/>
        <v>195.87223068589998</v>
      </c>
      <c r="M50" s="36">
        <f t="shared" si="4"/>
        <v>212.78104878758998</v>
      </c>
      <c r="N50" s="36">
        <f t="shared" si="4"/>
        <v>35.159377958643454</v>
      </c>
      <c r="O50" s="36">
        <f t="shared" si="4"/>
        <v>2648.9266637139995</v>
      </c>
      <c r="P50" s="36">
        <f t="shared" si="4"/>
        <v>320.33089462119995</v>
      </c>
      <c r="Q50" s="36">
        <f t="shared" si="4"/>
        <v>123.30013492298998</v>
      </c>
      <c r="R50" s="36">
        <f t="shared" si="4"/>
        <v>315.08343968308998</v>
      </c>
      <c r="S50" s="36">
        <f t="shared" si="4"/>
        <v>26.728579743649998</v>
      </c>
      <c r="T50" s="36">
        <f t="shared" si="5"/>
        <v>30.112245189999996</v>
      </c>
    </row>
    <row r="51" spans="1:20" x14ac:dyDescent="0.3">
      <c r="A51" s="2" t="s">
        <v>22</v>
      </c>
      <c r="B51" s="2" t="s">
        <v>107</v>
      </c>
      <c r="C51" s="2" t="s">
        <v>117</v>
      </c>
      <c r="D51" s="2" t="s">
        <v>25</v>
      </c>
      <c r="E51" s="2" t="s">
        <v>117</v>
      </c>
      <c r="F51" s="2" t="s">
        <v>118</v>
      </c>
      <c r="G51" s="35">
        <f>1.10597*14.33</f>
        <v>15.848550099999999</v>
      </c>
      <c r="H51" s="32">
        <v>13.506105720000001</v>
      </c>
      <c r="I51" s="36">
        <f t="shared" si="4"/>
        <v>27.338748922499995</v>
      </c>
      <c r="J51" s="36">
        <f t="shared" si="4"/>
        <v>12.38506660078137</v>
      </c>
      <c r="K51" s="36">
        <f t="shared" si="4"/>
        <v>20.603115129999999</v>
      </c>
      <c r="L51" s="36">
        <f t="shared" si="4"/>
        <v>97.936115342949989</v>
      </c>
      <c r="M51" s="36">
        <f t="shared" si="4"/>
        <v>106.39052439379499</v>
      </c>
      <c r="N51" s="36">
        <f t="shared" si="4"/>
        <v>17.579688979321727</v>
      </c>
      <c r="O51" s="36">
        <f t="shared" si="4"/>
        <v>1324.4633318569997</v>
      </c>
      <c r="P51" s="36">
        <f t="shared" si="4"/>
        <v>160.16544731059997</v>
      </c>
      <c r="Q51" s="36">
        <f t="shared" si="4"/>
        <v>61.650067461494992</v>
      </c>
      <c r="R51" s="36">
        <f t="shared" si="4"/>
        <v>157.54171984154499</v>
      </c>
      <c r="S51" s="36">
        <f t="shared" si="4"/>
        <v>13.364289871824999</v>
      </c>
      <c r="T51" s="36">
        <f t="shared" si="5"/>
        <v>15.056122594999998</v>
      </c>
    </row>
    <row r="52" spans="1:20" x14ac:dyDescent="0.3">
      <c r="A52" s="2" t="s">
        <v>22</v>
      </c>
      <c r="B52" s="2" t="s">
        <v>107</v>
      </c>
      <c r="C52" s="2" t="s">
        <v>119</v>
      </c>
      <c r="D52" s="2" t="s">
        <v>25</v>
      </c>
      <c r="E52" s="2" t="s">
        <v>119</v>
      </c>
      <c r="F52" s="2" t="s">
        <v>120</v>
      </c>
      <c r="G52" s="35">
        <f>1.10597*14.33</f>
        <v>15.848550099999999</v>
      </c>
      <c r="H52" s="32">
        <v>13.506105720000001</v>
      </c>
      <c r="I52" s="36">
        <f t="shared" si="4"/>
        <v>27.338748922499995</v>
      </c>
      <c r="J52" s="36">
        <f t="shared" si="4"/>
        <v>12.38506660078137</v>
      </c>
      <c r="K52" s="36">
        <f t="shared" si="4"/>
        <v>20.603115129999999</v>
      </c>
      <c r="L52" s="36">
        <f t="shared" si="4"/>
        <v>97.936115342949989</v>
      </c>
      <c r="M52" s="36">
        <f t="shared" si="4"/>
        <v>106.39052439379499</v>
      </c>
      <c r="N52" s="36">
        <f t="shared" si="4"/>
        <v>17.579688979321727</v>
      </c>
      <c r="O52" s="36">
        <f t="shared" si="4"/>
        <v>1324.4633318569997</v>
      </c>
      <c r="P52" s="36">
        <f t="shared" si="4"/>
        <v>160.16544731059997</v>
      </c>
      <c r="Q52" s="36">
        <f t="shared" si="4"/>
        <v>61.650067461494992</v>
      </c>
      <c r="R52" s="36">
        <f t="shared" si="4"/>
        <v>157.54171984154499</v>
      </c>
      <c r="S52" s="36">
        <f t="shared" si="4"/>
        <v>13.364289871824999</v>
      </c>
      <c r="T52" s="36">
        <f t="shared" si="5"/>
        <v>15.056122594999998</v>
      </c>
    </row>
    <row r="53" spans="1:20" x14ac:dyDescent="0.3">
      <c r="A53" s="2" t="s">
        <v>22</v>
      </c>
      <c r="B53" s="2" t="s">
        <v>107</v>
      </c>
      <c r="C53" s="2" t="s">
        <v>121</v>
      </c>
      <c r="D53" s="2" t="s">
        <v>25</v>
      </c>
      <c r="E53" s="2" t="s">
        <v>121</v>
      </c>
      <c r="F53" s="2" t="s">
        <v>122</v>
      </c>
      <c r="G53" s="35">
        <f>1.10597*28.66</f>
        <v>31.697100199999998</v>
      </c>
      <c r="H53" s="32">
        <v>27.012211440000002</v>
      </c>
      <c r="I53" s="36">
        <f t="shared" si="4"/>
        <v>54.677497844999991</v>
      </c>
      <c r="J53" s="36">
        <f t="shared" si="4"/>
        <v>24.770133201562739</v>
      </c>
      <c r="K53" s="36">
        <f t="shared" si="4"/>
        <v>41.206230259999998</v>
      </c>
      <c r="L53" s="36">
        <f t="shared" si="4"/>
        <v>195.87223068589998</v>
      </c>
      <c r="M53" s="36">
        <f t="shared" si="4"/>
        <v>212.78104878758998</v>
      </c>
      <c r="N53" s="36">
        <f t="shared" si="4"/>
        <v>35.159377958643454</v>
      </c>
      <c r="O53" s="36">
        <f t="shared" si="4"/>
        <v>2648.9266637139995</v>
      </c>
      <c r="P53" s="36">
        <f t="shared" si="4"/>
        <v>320.33089462119995</v>
      </c>
      <c r="Q53" s="36">
        <f t="shared" si="4"/>
        <v>123.30013492298998</v>
      </c>
      <c r="R53" s="36">
        <f t="shared" si="4"/>
        <v>315.08343968308998</v>
      </c>
      <c r="S53" s="36">
        <f t="shared" si="4"/>
        <v>26.728579743649998</v>
      </c>
      <c r="T53" s="36">
        <f t="shared" si="5"/>
        <v>30.112245189999996</v>
      </c>
    </row>
    <row r="54" spans="1:20" x14ac:dyDescent="0.3">
      <c r="A54" s="2" t="s">
        <v>22</v>
      </c>
      <c r="B54" s="2" t="s">
        <v>123</v>
      </c>
      <c r="C54" s="2">
        <v>559640</v>
      </c>
      <c r="D54" s="2" t="s">
        <v>25</v>
      </c>
      <c r="E54" s="2">
        <v>559640</v>
      </c>
      <c r="F54" s="2" t="s">
        <v>124</v>
      </c>
      <c r="G54" s="35">
        <f>1.10597*2.39</f>
        <v>2.6432682999999999</v>
      </c>
      <c r="H54" s="32">
        <v>2.2510176200000003</v>
      </c>
      <c r="I54" s="36">
        <f t="shared" si="4"/>
        <v>4.5596378174999996</v>
      </c>
      <c r="J54" s="36">
        <f t="shared" si="4"/>
        <v>2.0656182258107099</v>
      </c>
      <c r="K54" s="36">
        <f t="shared" si="4"/>
        <v>3.4362487900000001</v>
      </c>
      <c r="L54" s="36">
        <f t="shared" si="4"/>
        <v>16.334076459849999</v>
      </c>
      <c r="M54" s="36">
        <f t="shared" si="4"/>
        <v>17.744127934485</v>
      </c>
      <c r="N54" s="36">
        <f t="shared" si="4"/>
        <v>2.9319927885958776</v>
      </c>
      <c r="O54" s="36">
        <f t="shared" si="4"/>
        <v>220.89793183099997</v>
      </c>
      <c r="P54" s="36">
        <f t="shared" si="4"/>
        <v>26.712869439799999</v>
      </c>
      <c r="Q54" s="36">
        <f t="shared" si="4"/>
        <v>10.282181523584999</v>
      </c>
      <c r="R54" s="36">
        <f t="shared" si="4"/>
        <v>26.275276372735</v>
      </c>
      <c r="S54" s="36">
        <f t="shared" si="4"/>
        <v>2.228935993975</v>
      </c>
      <c r="T54" s="36">
        <f t="shared" si="5"/>
        <v>2.511104885</v>
      </c>
    </row>
    <row r="55" spans="1:20" x14ac:dyDescent="0.3">
      <c r="A55" s="2" t="s">
        <v>22</v>
      </c>
      <c r="B55" s="2" t="s">
        <v>123</v>
      </c>
      <c r="C55" s="2">
        <v>559660</v>
      </c>
      <c r="D55" s="2" t="s">
        <v>25</v>
      </c>
      <c r="E55" s="2">
        <v>559660</v>
      </c>
      <c r="F55" s="2" t="s">
        <v>125</v>
      </c>
      <c r="G55" s="35">
        <f>1.10597*2.39</f>
        <v>2.6432682999999999</v>
      </c>
      <c r="H55" s="32">
        <v>2.2510176200000003</v>
      </c>
      <c r="I55" s="36">
        <f t="shared" si="4"/>
        <v>4.5596378174999996</v>
      </c>
      <c r="J55" s="36">
        <f t="shared" si="4"/>
        <v>2.0656182258107099</v>
      </c>
      <c r="K55" s="36">
        <f t="shared" si="4"/>
        <v>3.4362487900000001</v>
      </c>
      <c r="L55" s="36">
        <f t="shared" si="4"/>
        <v>16.334076459849999</v>
      </c>
      <c r="M55" s="36">
        <f t="shared" si="4"/>
        <v>17.744127934485</v>
      </c>
      <c r="N55" s="36">
        <f t="shared" si="4"/>
        <v>2.9319927885958776</v>
      </c>
      <c r="O55" s="36">
        <f t="shared" si="4"/>
        <v>220.89793183099997</v>
      </c>
      <c r="P55" s="36">
        <f t="shared" si="4"/>
        <v>26.712869439799999</v>
      </c>
      <c r="Q55" s="36">
        <f t="shared" si="4"/>
        <v>10.282181523584999</v>
      </c>
      <c r="R55" s="36">
        <f t="shared" si="4"/>
        <v>26.275276372735</v>
      </c>
      <c r="S55" s="36">
        <f t="shared" si="4"/>
        <v>2.228935993975</v>
      </c>
      <c r="T55" s="36">
        <f t="shared" si="5"/>
        <v>2.511104885</v>
      </c>
    </row>
    <row r="56" spans="1:20" x14ac:dyDescent="0.3">
      <c r="A56" s="2" t="s">
        <v>22</v>
      </c>
      <c r="B56" s="2" t="s">
        <v>126</v>
      </c>
      <c r="C56" s="2" t="s">
        <v>127</v>
      </c>
      <c r="D56" s="2" t="s">
        <v>25</v>
      </c>
      <c r="E56" s="2" t="s">
        <v>127</v>
      </c>
      <c r="F56" s="2" t="s">
        <v>128</v>
      </c>
      <c r="G56" s="35">
        <f>1.10597*1.19</f>
        <v>1.3161042999999999</v>
      </c>
      <c r="H56" s="32">
        <v>1.1255088100000001</v>
      </c>
      <c r="I56" s="36">
        <f t="shared" si="4"/>
        <v>2.2702799174999995</v>
      </c>
      <c r="J56" s="36">
        <f t="shared" si="4"/>
        <v>1.02848773586391</v>
      </c>
      <c r="K56" s="36">
        <f t="shared" si="4"/>
        <v>1.7109355899999998</v>
      </c>
      <c r="L56" s="36">
        <f t="shared" si="4"/>
        <v>8.1328665218499978</v>
      </c>
      <c r="M56" s="36">
        <f t="shared" si="4"/>
        <v>8.8349423606849999</v>
      </c>
      <c r="N56" s="36">
        <f t="shared" si="4"/>
        <v>1.4598625181711693</v>
      </c>
      <c r="O56" s="36">
        <f t="shared" si="4"/>
        <v>109.98683635099998</v>
      </c>
      <c r="P56" s="36">
        <f t="shared" si="4"/>
        <v>13.300550055799999</v>
      </c>
      <c r="Q56" s="36">
        <f t="shared" si="4"/>
        <v>5.1195799217849993</v>
      </c>
      <c r="R56" s="36">
        <f t="shared" si="4"/>
        <v>13.082668988935</v>
      </c>
      <c r="S56" s="36">
        <f t="shared" si="4"/>
        <v>1.1098049509750001</v>
      </c>
      <c r="T56" s="36">
        <f t="shared" si="5"/>
        <v>1.2502990849999998</v>
      </c>
    </row>
    <row r="57" spans="1:20" x14ac:dyDescent="0.3">
      <c r="A57" s="2" t="s">
        <v>22</v>
      </c>
      <c r="B57" s="2" t="s">
        <v>126</v>
      </c>
      <c r="C57" s="2" t="s">
        <v>129</v>
      </c>
      <c r="D57" s="2" t="s">
        <v>25</v>
      </c>
      <c r="E57" s="2" t="s">
        <v>129</v>
      </c>
      <c r="F57" s="2" t="s">
        <v>130</v>
      </c>
      <c r="G57" s="35">
        <f>1.10597*1.19</f>
        <v>1.3161042999999999</v>
      </c>
      <c r="H57" s="32">
        <v>1.1255088100000001</v>
      </c>
      <c r="I57" s="36">
        <f t="shared" si="4"/>
        <v>2.2702799174999995</v>
      </c>
      <c r="J57" s="36">
        <f t="shared" si="4"/>
        <v>1.02848773586391</v>
      </c>
      <c r="K57" s="36">
        <f t="shared" si="4"/>
        <v>1.7109355899999998</v>
      </c>
      <c r="L57" s="36">
        <f t="shared" si="4"/>
        <v>8.1328665218499978</v>
      </c>
      <c r="M57" s="36">
        <f t="shared" si="4"/>
        <v>8.8349423606849999</v>
      </c>
      <c r="N57" s="36">
        <f t="shared" si="4"/>
        <v>1.4598625181711693</v>
      </c>
      <c r="O57" s="36">
        <f t="shared" si="4"/>
        <v>109.98683635099998</v>
      </c>
      <c r="P57" s="36">
        <f t="shared" si="4"/>
        <v>13.300550055799999</v>
      </c>
      <c r="Q57" s="36">
        <f t="shared" si="4"/>
        <v>5.1195799217849993</v>
      </c>
      <c r="R57" s="36">
        <f t="shared" si="4"/>
        <v>13.082668988935</v>
      </c>
      <c r="S57" s="36">
        <f t="shared" si="4"/>
        <v>1.1098049509750001</v>
      </c>
      <c r="T57" s="36">
        <f t="shared" si="5"/>
        <v>1.2502990849999998</v>
      </c>
    </row>
    <row r="58" spans="1:20" x14ac:dyDescent="0.3">
      <c r="A58" s="2" t="s">
        <v>22</v>
      </c>
      <c r="B58" s="2" t="s">
        <v>107</v>
      </c>
      <c r="C58" s="12" t="s">
        <v>131</v>
      </c>
      <c r="D58" s="12" t="s">
        <v>25</v>
      </c>
      <c r="E58" s="12" t="s">
        <v>131</v>
      </c>
      <c r="F58" s="12" t="s">
        <v>132</v>
      </c>
      <c r="G58" s="35">
        <f>1.10597*2.39</f>
        <v>2.6432682999999999</v>
      </c>
      <c r="H58" s="32">
        <v>2.2510176200000003</v>
      </c>
      <c r="I58" s="36">
        <f t="shared" si="4"/>
        <v>4.5596378174999996</v>
      </c>
      <c r="J58" s="36">
        <f t="shared" si="4"/>
        <v>2.0656182258107099</v>
      </c>
      <c r="K58" s="36">
        <f t="shared" si="4"/>
        <v>3.4362487900000001</v>
      </c>
      <c r="L58" s="36">
        <f t="shared" si="4"/>
        <v>16.334076459849999</v>
      </c>
      <c r="M58" s="36">
        <f t="shared" si="4"/>
        <v>17.744127934485</v>
      </c>
      <c r="N58" s="36">
        <f t="shared" si="4"/>
        <v>2.9319927885958776</v>
      </c>
      <c r="O58" s="36">
        <f t="shared" si="4"/>
        <v>220.89793183099997</v>
      </c>
      <c r="P58" s="36">
        <f t="shared" si="4"/>
        <v>26.712869439799999</v>
      </c>
      <c r="Q58" s="36">
        <f t="shared" si="4"/>
        <v>10.282181523584999</v>
      </c>
      <c r="R58" s="36">
        <f t="shared" si="4"/>
        <v>26.275276372735</v>
      </c>
      <c r="S58" s="36">
        <f t="shared" si="4"/>
        <v>2.228935993975</v>
      </c>
      <c r="T58" s="36">
        <f t="shared" si="5"/>
        <v>2.511104885</v>
      </c>
    </row>
    <row r="59" spans="1:20" x14ac:dyDescent="0.3">
      <c r="A59" s="2" t="s">
        <v>22</v>
      </c>
      <c r="B59" s="2" t="s">
        <v>107</v>
      </c>
      <c r="C59" s="2" t="s">
        <v>133</v>
      </c>
      <c r="D59" s="2" t="s">
        <v>25</v>
      </c>
      <c r="E59" s="2" t="s">
        <v>133</v>
      </c>
      <c r="F59" s="2" t="s">
        <v>134</v>
      </c>
      <c r="G59" s="35">
        <f>1.10597*2.39</f>
        <v>2.6432682999999999</v>
      </c>
      <c r="H59" s="32">
        <v>2.2510176200000003</v>
      </c>
      <c r="I59" s="36">
        <f t="shared" si="4"/>
        <v>4.5596378174999996</v>
      </c>
      <c r="J59" s="36">
        <f t="shared" si="4"/>
        <v>2.0656182258107099</v>
      </c>
      <c r="K59" s="36">
        <f t="shared" si="4"/>
        <v>3.4362487900000001</v>
      </c>
      <c r="L59" s="36">
        <f t="shared" si="4"/>
        <v>16.334076459849999</v>
      </c>
      <c r="M59" s="36">
        <f t="shared" si="4"/>
        <v>17.744127934485</v>
      </c>
      <c r="N59" s="36">
        <f t="shared" si="4"/>
        <v>2.9319927885958776</v>
      </c>
      <c r="O59" s="36">
        <f t="shared" si="4"/>
        <v>220.89793183099997</v>
      </c>
      <c r="P59" s="36">
        <f t="shared" si="4"/>
        <v>26.712869439799999</v>
      </c>
      <c r="Q59" s="36">
        <f t="shared" si="4"/>
        <v>10.282181523584999</v>
      </c>
      <c r="R59" s="36">
        <f t="shared" si="4"/>
        <v>26.275276372735</v>
      </c>
      <c r="S59" s="36">
        <f t="shared" si="4"/>
        <v>2.228935993975</v>
      </c>
      <c r="T59" s="36">
        <f t="shared" si="5"/>
        <v>2.511104885</v>
      </c>
    </row>
    <row r="60" spans="1:20" x14ac:dyDescent="0.3">
      <c r="A60" s="2" t="s">
        <v>22</v>
      </c>
      <c r="B60" s="2" t="s">
        <v>107</v>
      </c>
      <c r="C60" s="2" t="s">
        <v>135</v>
      </c>
      <c r="D60" s="2" t="s">
        <v>25</v>
      </c>
      <c r="E60" s="2" t="s">
        <v>135</v>
      </c>
      <c r="F60" s="2" t="s">
        <v>136</v>
      </c>
      <c r="G60" s="35">
        <f>1.10597*2.99</f>
        <v>3.3068502999999998</v>
      </c>
      <c r="H60" s="32">
        <v>2.8137720250000005</v>
      </c>
      <c r="I60" s="36">
        <f t="shared" si="4"/>
        <v>5.7043167674999991</v>
      </c>
      <c r="J60" s="36">
        <f t="shared" si="4"/>
        <v>2.5841834707841098</v>
      </c>
      <c r="K60" s="36">
        <f t="shared" si="4"/>
        <v>4.2989053899999998</v>
      </c>
      <c r="L60" s="36">
        <f t="shared" si="4"/>
        <v>20.434681428849998</v>
      </c>
      <c r="M60" s="36">
        <f t="shared" si="4"/>
        <v>22.198720721384998</v>
      </c>
      <c r="N60" s="36">
        <f t="shared" si="4"/>
        <v>3.6680579238082323</v>
      </c>
      <c r="O60" s="36">
        <f t="shared" si="4"/>
        <v>276.35347957099998</v>
      </c>
      <c r="P60" s="36">
        <f t="shared" si="4"/>
        <v>33.419029131799995</v>
      </c>
      <c r="Q60" s="36">
        <f t="shared" si="4"/>
        <v>12.863482324484998</v>
      </c>
      <c r="R60" s="36">
        <f t="shared" si="4"/>
        <v>32.871580064634998</v>
      </c>
      <c r="S60" s="36">
        <f t="shared" si="4"/>
        <v>2.7885015154750001</v>
      </c>
      <c r="T60" s="36">
        <f t="shared" si="5"/>
        <v>3.1415077849999995</v>
      </c>
    </row>
    <row r="61" spans="1:20" x14ac:dyDescent="0.3">
      <c r="A61" s="2" t="s">
        <v>22</v>
      </c>
      <c r="B61" s="2" t="s">
        <v>107</v>
      </c>
      <c r="C61" s="2" t="s">
        <v>137</v>
      </c>
      <c r="D61" s="2" t="s">
        <v>25</v>
      </c>
      <c r="E61" s="2" t="s">
        <v>137</v>
      </c>
      <c r="F61" s="2" t="s">
        <v>138</v>
      </c>
      <c r="G61" s="35">
        <f>1.10597*3.58</f>
        <v>3.9593725999999996</v>
      </c>
      <c r="H61" s="32">
        <v>3.3765264300000002</v>
      </c>
      <c r="I61" s="36">
        <f t="shared" si="4"/>
        <v>6.8299177349999987</v>
      </c>
      <c r="J61" s="36">
        <f t="shared" si="4"/>
        <v>3.0941059616746198</v>
      </c>
      <c r="K61" s="36">
        <f t="shared" si="4"/>
        <v>5.1471843799999997</v>
      </c>
      <c r="L61" s="36">
        <f t="shared" si="4"/>
        <v>24.466942981699997</v>
      </c>
      <c r="M61" s="36">
        <f t="shared" si="4"/>
        <v>26.579070295169998</v>
      </c>
      <c r="N61" s="36">
        <f t="shared" si="4"/>
        <v>4.3918553067670469</v>
      </c>
      <c r="O61" s="36">
        <f t="shared" si="4"/>
        <v>330.88476818199996</v>
      </c>
      <c r="P61" s="36">
        <f t="shared" si="4"/>
        <v>40.013419495599997</v>
      </c>
      <c r="Q61" s="36">
        <f t="shared" si="4"/>
        <v>15.401761445369997</v>
      </c>
      <c r="R61" s="36">
        <f t="shared" si="4"/>
        <v>39.357945361669998</v>
      </c>
      <c r="S61" s="36">
        <f t="shared" si="4"/>
        <v>3.3387409449500001</v>
      </c>
      <c r="T61" s="36">
        <f t="shared" si="5"/>
        <v>3.7614039699999995</v>
      </c>
    </row>
    <row r="62" spans="1:20" x14ac:dyDescent="0.3">
      <c r="A62" s="2" t="s">
        <v>22</v>
      </c>
      <c r="B62" s="2" t="s">
        <v>107</v>
      </c>
      <c r="C62" s="12" t="s">
        <v>139</v>
      </c>
      <c r="D62" s="12" t="s">
        <v>25</v>
      </c>
      <c r="E62" s="12" t="s">
        <v>139</v>
      </c>
      <c r="F62" s="12" t="s">
        <v>140</v>
      </c>
      <c r="G62" s="35">
        <f>1.10597*2.39</f>
        <v>2.6432682999999999</v>
      </c>
      <c r="H62" s="32">
        <v>2.2510176200000003</v>
      </c>
      <c r="I62" s="36">
        <f t="shared" si="4"/>
        <v>4.5596378174999996</v>
      </c>
      <c r="J62" s="36">
        <f t="shared" si="4"/>
        <v>2.0656182258107099</v>
      </c>
      <c r="K62" s="36">
        <f t="shared" si="4"/>
        <v>3.4362487900000001</v>
      </c>
      <c r="L62" s="36">
        <f t="shared" si="4"/>
        <v>16.334076459849999</v>
      </c>
      <c r="M62" s="36">
        <f t="shared" si="4"/>
        <v>17.744127934485</v>
      </c>
      <c r="N62" s="36">
        <f t="shared" ref="J62:S85" si="8">$G62*N$1*N$2</f>
        <v>2.9319927885958776</v>
      </c>
      <c r="O62" s="36">
        <f t="shared" si="8"/>
        <v>220.89793183099997</v>
      </c>
      <c r="P62" s="36">
        <f t="shared" si="8"/>
        <v>26.712869439799999</v>
      </c>
      <c r="Q62" s="36">
        <f t="shared" si="8"/>
        <v>10.282181523584999</v>
      </c>
      <c r="R62" s="36">
        <f t="shared" si="8"/>
        <v>26.275276372735</v>
      </c>
      <c r="S62" s="36">
        <f t="shared" si="8"/>
        <v>2.228935993975</v>
      </c>
      <c r="T62" s="36">
        <f t="shared" si="5"/>
        <v>2.511104885</v>
      </c>
    </row>
    <row r="63" spans="1:20" x14ac:dyDescent="0.3">
      <c r="A63" s="2" t="s">
        <v>22</v>
      </c>
      <c r="B63" s="2" t="s">
        <v>107</v>
      </c>
      <c r="C63" s="2" t="s">
        <v>141</v>
      </c>
      <c r="D63" s="2" t="s">
        <v>25</v>
      </c>
      <c r="E63" s="2" t="s">
        <v>141</v>
      </c>
      <c r="F63" s="2" t="s">
        <v>142</v>
      </c>
      <c r="G63" s="35">
        <f>1.10597*4.78</f>
        <v>5.2865365999999998</v>
      </c>
      <c r="H63" s="32">
        <v>4.5020352400000005</v>
      </c>
      <c r="I63" s="36">
        <f t="shared" ref="I63:I94" si="9">$G63*I$1*I$2</f>
        <v>9.1192756349999993</v>
      </c>
      <c r="J63" s="36">
        <f t="shared" si="8"/>
        <v>4.1312364516214197</v>
      </c>
      <c r="K63" s="36">
        <f t="shared" si="8"/>
        <v>6.8724975800000001</v>
      </c>
      <c r="L63" s="36">
        <f t="shared" si="8"/>
        <v>32.668152919699999</v>
      </c>
      <c r="M63" s="36">
        <f t="shared" si="8"/>
        <v>35.488255868970001</v>
      </c>
      <c r="N63" s="36">
        <f t="shared" si="8"/>
        <v>5.8639855771917553</v>
      </c>
      <c r="O63" s="36">
        <f t="shared" si="8"/>
        <v>441.79586366199993</v>
      </c>
      <c r="P63" s="36">
        <f t="shared" si="8"/>
        <v>53.425738879599997</v>
      </c>
      <c r="Q63" s="36">
        <f t="shared" si="8"/>
        <v>20.564363047169998</v>
      </c>
      <c r="R63" s="36">
        <f t="shared" si="8"/>
        <v>52.55055274547</v>
      </c>
      <c r="S63" s="36">
        <f t="shared" si="8"/>
        <v>4.4578719879499999</v>
      </c>
      <c r="T63" s="36">
        <f t="shared" si="5"/>
        <v>5.0222097699999999</v>
      </c>
    </row>
    <row r="64" spans="1:20" x14ac:dyDescent="0.3">
      <c r="A64" s="2" t="s">
        <v>22</v>
      </c>
      <c r="B64" s="2" t="s">
        <v>107</v>
      </c>
      <c r="C64" s="12" t="s">
        <v>143</v>
      </c>
      <c r="D64" s="12" t="s">
        <v>25</v>
      </c>
      <c r="E64" s="12" t="s">
        <v>143</v>
      </c>
      <c r="F64" s="12" t="s">
        <v>144</v>
      </c>
      <c r="G64" s="35">
        <f>1.10597*2.39</f>
        <v>2.6432682999999999</v>
      </c>
      <c r="H64" s="32">
        <v>2.2510176200000003</v>
      </c>
      <c r="I64" s="36">
        <f t="shared" si="9"/>
        <v>4.5596378174999996</v>
      </c>
      <c r="J64" s="36">
        <f t="shared" si="8"/>
        <v>2.0656182258107099</v>
      </c>
      <c r="K64" s="36">
        <f t="shared" si="8"/>
        <v>3.4362487900000001</v>
      </c>
      <c r="L64" s="36">
        <f t="shared" si="8"/>
        <v>16.334076459849999</v>
      </c>
      <c r="M64" s="36">
        <f t="shared" si="8"/>
        <v>17.744127934485</v>
      </c>
      <c r="N64" s="36">
        <f t="shared" si="8"/>
        <v>2.9319927885958776</v>
      </c>
      <c r="O64" s="36">
        <f t="shared" si="8"/>
        <v>220.89793183099997</v>
      </c>
      <c r="P64" s="36">
        <f t="shared" si="8"/>
        <v>26.712869439799999</v>
      </c>
      <c r="Q64" s="36">
        <f t="shared" si="8"/>
        <v>10.282181523584999</v>
      </c>
      <c r="R64" s="36">
        <f t="shared" si="8"/>
        <v>26.275276372735</v>
      </c>
      <c r="S64" s="36">
        <f t="shared" si="8"/>
        <v>2.228935993975</v>
      </c>
      <c r="T64" s="36">
        <f t="shared" si="5"/>
        <v>2.511104885</v>
      </c>
    </row>
    <row r="65" spans="1:20" x14ac:dyDescent="0.3">
      <c r="A65" s="2" t="s">
        <v>22</v>
      </c>
      <c r="B65" s="2" t="s">
        <v>107</v>
      </c>
      <c r="C65" s="2" t="s">
        <v>145</v>
      </c>
      <c r="D65" s="2" t="s">
        <v>25</v>
      </c>
      <c r="E65" s="2" t="s">
        <v>145</v>
      </c>
      <c r="F65" s="2" t="s">
        <v>146</v>
      </c>
      <c r="G65" s="35">
        <f>1.10597*8.36</f>
        <v>9.2459091999999981</v>
      </c>
      <c r="H65" s="32">
        <v>7.8785616700000007</v>
      </c>
      <c r="I65" s="36">
        <f t="shared" si="9"/>
        <v>15.949193369999994</v>
      </c>
      <c r="J65" s="36">
        <f t="shared" si="8"/>
        <v>7.2253424132960387</v>
      </c>
      <c r="K65" s="36">
        <f t="shared" si="8"/>
        <v>12.019681959999998</v>
      </c>
      <c r="L65" s="36">
        <f t="shared" si="8"/>
        <v>57.135095901399986</v>
      </c>
      <c r="M65" s="36">
        <f t="shared" si="8"/>
        <v>62.067326164139992</v>
      </c>
      <c r="N65" s="36">
        <f t="shared" si="8"/>
        <v>10.255840883958802</v>
      </c>
      <c r="O65" s="36">
        <f t="shared" si="8"/>
        <v>772.68063184399978</v>
      </c>
      <c r="P65" s="36">
        <f t="shared" si="8"/>
        <v>93.43915837519998</v>
      </c>
      <c r="Q65" s="36">
        <f t="shared" si="8"/>
        <v>35.96612449253999</v>
      </c>
      <c r="R65" s="36">
        <f t="shared" si="8"/>
        <v>91.908498107139977</v>
      </c>
      <c r="S65" s="36">
        <f t="shared" si="8"/>
        <v>7.7966129328999987</v>
      </c>
      <c r="T65" s="36">
        <f t="shared" si="5"/>
        <v>8.7836137399999981</v>
      </c>
    </row>
    <row r="66" spans="1:20" x14ac:dyDescent="0.3">
      <c r="A66" s="2" t="s">
        <v>22</v>
      </c>
      <c r="B66" s="2" t="s">
        <v>147</v>
      </c>
      <c r="C66" s="2" t="s">
        <v>148</v>
      </c>
      <c r="D66" s="2" t="s">
        <v>25</v>
      </c>
      <c r="E66" s="2" t="s">
        <v>148</v>
      </c>
      <c r="F66" s="2" t="s">
        <v>149</v>
      </c>
      <c r="G66" s="35">
        <f>1.10597*14.33</f>
        <v>15.848550099999999</v>
      </c>
      <c r="H66" s="32">
        <v>13.506105720000001</v>
      </c>
      <c r="I66" s="36">
        <f t="shared" si="9"/>
        <v>27.338748922499995</v>
      </c>
      <c r="J66" s="36">
        <f t="shared" si="8"/>
        <v>12.38506660078137</v>
      </c>
      <c r="K66" s="36">
        <f t="shared" si="8"/>
        <v>20.603115129999999</v>
      </c>
      <c r="L66" s="36">
        <f t="shared" si="8"/>
        <v>97.936115342949989</v>
      </c>
      <c r="M66" s="36">
        <f t="shared" si="8"/>
        <v>106.39052439379499</v>
      </c>
      <c r="N66" s="36">
        <f t="shared" si="8"/>
        <v>17.579688979321727</v>
      </c>
      <c r="O66" s="36">
        <f t="shared" si="8"/>
        <v>1324.4633318569997</v>
      </c>
      <c r="P66" s="36">
        <f t="shared" si="8"/>
        <v>160.16544731059997</v>
      </c>
      <c r="Q66" s="36">
        <f t="shared" si="8"/>
        <v>61.650067461494992</v>
      </c>
      <c r="R66" s="36">
        <f t="shared" si="8"/>
        <v>157.54171984154499</v>
      </c>
      <c r="S66" s="36">
        <f t="shared" si="8"/>
        <v>13.364289871824999</v>
      </c>
      <c r="T66" s="36">
        <f t="shared" si="5"/>
        <v>15.056122594999998</v>
      </c>
    </row>
    <row r="67" spans="1:20" x14ac:dyDescent="0.3">
      <c r="A67" s="2" t="s">
        <v>22</v>
      </c>
      <c r="B67" s="2" t="s">
        <v>147</v>
      </c>
      <c r="C67" s="2" t="s">
        <v>150</v>
      </c>
      <c r="D67" s="2" t="s">
        <v>25</v>
      </c>
      <c r="E67" s="2" t="s">
        <v>150</v>
      </c>
      <c r="F67" s="2" t="s">
        <v>151</v>
      </c>
      <c r="G67" s="35">
        <f>1.10597*14.33</f>
        <v>15.848550099999999</v>
      </c>
      <c r="H67" s="32">
        <v>13.506105720000001</v>
      </c>
      <c r="I67" s="36">
        <f t="shared" si="9"/>
        <v>27.338748922499995</v>
      </c>
      <c r="J67" s="36">
        <f t="shared" si="8"/>
        <v>12.38506660078137</v>
      </c>
      <c r="K67" s="36">
        <f t="shared" si="8"/>
        <v>20.603115129999999</v>
      </c>
      <c r="L67" s="36">
        <f t="shared" si="8"/>
        <v>97.936115342949989</v>
      </c>
      <c r="M67" s="36">
        <f t="shared" si="8"/>
        <v>106.39052439379499</v>
      </c>
      <c r="N67" s="36">
        <f t="shared" si="8"/>
        <v>17.579688979321727</v>
      </c>
      <c r="O67" s="36">
        <f t="shared" si="8"/>
        <v>1324.4633318569997</v>
      </c>
      <c r="P67" s="36">
        <f t="shared" si="8"/>
        <v>160.16544731059997</v>
      </c>
      <c r="Q67" s="36">
        <f t="shared" si="8"/>
        <v>61.650067461494992</v>
      </c>
      <c r="R67" s="36">
        <f t="shared" si="8"/>
        <v>157.54171984154499</v>
      </c>
      <c r="S67" s="36">
        <f t="shared" si="8"/>
        <v>13.364289871824999</v>
      </c>
      <c r="T67" s="36">
        <f t="shared" si="5"/>
        <v>15.056122594999998</v>
      </c>
    </row>
    <row r="68" spans="1:20" x14ac:dyDescent="0.3">
      <c r="A68" s="2" t="s">
        <v>22</v>
      </c>
      <c r="B68" s="2" t="s">
        <v>147</v>
      </c>
      <c r="C68" s="2" t="s">
        <v>152</v>
      </c>
      <c r="D68" s="2" t="s">
        <v>25</v>
      </c>
      <c r="E68" s="2" t="s">
        <v>152</v>
      </c>
      <c r="F68" s="2" t="s">
        <v>153</v>
      </c>
      <c r="G68" s="35">
        <f t="shared" ref="G68:G78" si="10">1.10597*14.33</f>
        <v>15.848550099999999</v>
      </c>
      <c r="H68" s="32">
        <v>13.506105720000001</v>
      </c>
      <c r="I68" s="36">
        <f t="shared" si="9"/>
        <v>27.338748922499995</v>
      </c>
      <c r="J68" s="36">
        <f t="shared" si="8"/>
        <v>12.38506660078137</v>
      </c>
      <c r="K68" s="36">
        <f t="shared" si="8"/>
        <v>20.603115129999999</v>
      </c>
      <c r="L68" s="36">
        <f t="shared" si="8"/>
        <v>97.936115342949989</v>
      </c>
      <c r="M68" s="36">
        <f t="shared" si="8"/>
        <v>106.39052439379499</v>
      </c>
      <c r="N68" s="36">
        <f t="shared" si="8"/>
        <v>17.579688979321727</v>
      </c>
      <c r="O68" s="36">
        <f t="shared" si="8"/>
        <v>1324.4633318569997</v>
      </c>
      <c r="P68" s="36">
        <f t="shared" si="8"/>
        <v>160.16544731059997</v>
      </c>
      <c r="Q68" s="36">
        <f t="shared" si="8"/>
        <v>61.650067461494992</v>
      </c>
      <c r="R68" s="36">
        <f t="shared" si="8"/>
        <v>157.54171984154499</v>
      </c>
      <c r="S68" s="36">
        <f t="shared" si="8"/>
        <v>13.364289871824999</v>
      </c>
      <c r="T68" s="36">
        <f t="shared" si="5"/>
        <v>15.056122594999998</v>
      </c>
    </row>
    <row r="69" spans="1:20" x14ac:dyDescent="0.3">
      <c r="A69" s="2" t="s">
        <v>22</v>
      </c>
      <c r="B69" s="2" t="s">
        <v>147</v>
      </c>
      <c r="C69" s="2" t="s">
        <v>154</v>
      </c>
      <c r="D69" s="2" t="s">
        <v>25</v>
      </c>
      <c r="E69" s="2" t="s">
        <v>154</v>
      </c>
      <c r="F69" s="2" t="s">
        <v>155</v>
      </c>
      <c r="G69" s="35">
        <f t="shared" si="10"/>
        <v>15.848550099999999</v>
      </c>
      <c r="H69" s="32">
        <v>13.506105720000001</v>
      </c>
      <c r="I69" s="36">
        <f t="shared" si="9"/>
        <v>27.338748922499995</v>
      </c>
      <c r="J69" s="36">
        <f t="shared" si="8"/>
        <v>12.38506660078137</v>
      </c>
      <c r="K69" s="36">
        <f t="shared" si="8"/>
        <v>20.603115129999999</v>
      </c>
      <c r="L69" s="36">
        <f t="shared" si="8"/>
        <v>97.936115342949989</v>
      </c>
      <c r="M69" s="36">
        <f t="shared" si="8"/>
        <v>106.39052439379499</v>
      </c>
      <c r="N69" s="36">
        <f t="shared" si="8"/>
        <v>17.579688979321727</v>
      </c>
      <c r="O69" s="36">
        <f t="shared" si="8"/>
        <v>1324.4633318569997</v>
      </c>
      <c r="P69" s="36">
        <f t="shared" si="8"/>
        <v>160.16544731059997</v>
      </c>
      <c r="Q69" s="36">
        <f t="shared" si="8"/>
        <v>61.650067461494992</v>
      </c>
      <c r="R69" s="36">
        <f t="shared" si="8"/>
        <v>157.54171984154499</v>
      </c>
      <c r="S69" s="36">
        <f t="shared" si="8"/>
        <v>13.364289871824999</v>
      </c>
      <c r="T69" s="36">
        <f t="shared" ref="T69:T100" si="11">$G69*T$1*T$2</f>
        <v>15.056122594999998</v>
      </c>
    </row>
    <row r="70" spans="1:20" x14ac:dyDescent="0.3">
      <c r="A70" s="2" t="s">
        <v>22</v>
      </c>
      <c r="B70" s="2" t="s">
        <v>147</v>
      </c>
      <c r="C70" s="2" t="s">
        <v>156</v>
      </c>
      <c r="D70" s="2" t="s">
        <v>25</v>
      </c>
      <c r="E70" s="2" t="s">
        <v>156</v>
      </c>
      <c r="F70" s="2" t="s">
        <v>157</v>
      </c>
      <c r="G70" s="35">
        <f t="shared" si="10"/>
        <v>15.848550099999999</v>
      </c>
      <c r="H70" s="32">
        <v>13.506105720000001</v>
      </c>
      <c r="I70" s="36">
        <f t="shared" si="9"/>
        <v>27.338748922499995</v>
      </c>
      <c r="J70" s="36">
        <f t="shared" si="8"/>
        <v>12.38506660078137</v>
      </c>
      <c r="K70" s="36">
        <f t="shared" si="8"/>
        <v>20.603115129999999</v>
      </c>
      <c r="L70" s="36">
        <f t="shared" si="8"/>
        <v>97.936115342949989</v>
      </c>
      <c r="M70" s="36">
        <f t="shared" si="8"/>
        <v>106.39052439379499</v>
      </c>
      <c r="N70" s="36">
        <f t="shared" si="8"/>
        <v>17.579688979321727</v>
      </c>
      <c r="O70" s="36">
        <f t="shared" si="8"/>
        <v>1324.4633318569997</v>
      </c>
      <c r="P70" s="36">
        <f t="shared" si="8"/>
        <v>160.16544731059997</v>
      </c>
      <c r="Q70" s="36">
        <f t="shared" si="8"/>
        <v>61.650067461494992</v>
      </c>
      <c r="R70" s="36">
        <f t="shared" si="8"/>
        <v>157.54171984154499</v>
      </c>
      <c r="S70" s="36">
        <f t="shared" si="8"/>
        <v>13.364289871824999</v>
      </c>
      <c r="T70" s="36">
        <f t="shared" si="11"/>
        <v>15.056122594999998</v>
      </c>
    </row>
    <row r="71" spans="1:20" x14ac:dyDescent="0.3">
      <c r="A71" s="2" t="s">
        <v>22</v>
      </c>
      <c r="B71" s="2" t="s">
        <v>147</v>
      </c>
      <c r="C71" s="2" t="s">
        <v>158</v>
      </c>
      <c r="D71" s="2" t="s">
        <v>25</v>
      </c>
      <c r="E71" s="2" t="s">
        <v>158</v>
      </c>
      <c r="F71" s="2" t="s">
        <v>159</v>
      </c>
      <c r="G71" s="35">
        <f t="shared" si="10"/>
        <v>15.848550099999999</v>
      </c>
      <c r="H71" s="32">
        <v>13.506105720000001</v>
      </c>
      <c r="I71" s="36">
        <f t="shared" si="9"/>
        <v>27.338748922499995</v>
      </c>
      <c r="J71" s="36">
        <f t="shared" si="8"/>
        <v>12.38506660078137</v>
      </c>
      <c r="K71" s="36">
        <f t="shared" si="8"/>
        <v>20.603115129999999</v>
      </c>
      <c r="L71" s="36">
        <f t="shared" si="8"/>
        <v>97.936115342949989</v>
      </c>
      <c r="M71" s="36">
        <f t="shared" si="8"/>
        <v>106.39052439379499</v>
      </c>
      <c r="N71" s="36">
        <f t="shared" si="8"/>
        <v>17.579688979321727</v>
      </c>
      <c r="O71" s="36">
        <f t="shared" si="8"/>
        <v>1324.4633318569997</v>
      </c>
      <c r="P71" s="36">
        <f t="shared" si="8"/>
        <v>160.16544731059997</v>
      </c>
      <c r="Q71" s="36">
        <f t="shared" si="8"/>
        <v>61.650067461494992</v>
      </c>
      <c r="R71" s="36">
        <f t="shared" si="8"/>
        <v>157.54171984154499</v>
      </c>
      <c r="S71" s="36">
        <f t="shared" si="8"/>
        <v>13.364289871824999</v>
      </c>
      <c r="T71" s="36">
        <f t="shared" si="11"/>
        <v>15.056122594999998</v>
      </c>
    </row>
    <row r="72" spans="1:20" x14ac:dyDescent="0.3">
      <c r="A72" s="2" t="s">
        <v>22</v>
      </c>
      <c r="B72" s="2" t="s">
        <v>147</v>
      </c>
      <c r="C72" s="2" t="s">
        <v>160</v>
      </c>
      <c r="D72" s="2" t="s">
        <v>25</v>
      </c>
      <c r="E72" s="2" t="s">
        <v>160</v>
      </c>
      <c r="F72" s="2" t="s">
        <v>161</v>
      </c>
      <c r="G72" s="35">
        <f t="shared" si="10"/>
        <v>15.848550099999999</v>
      </c>
      <c r="H72" s="32">
        <v>13.506105720000001</v>
      </c>
      <c r="I72" s="36">
        <f t="shared" si="9"/>
        <v>27.338748922499995</v>
      </c>
      <c r="J72" s="36">
        <f t="shared" si="8"/>
        <v>12.38506660078137</v>
      </c>
      <c r="K72" s="36">
        <f t="shared" si="8"/>
        <v>20.603115129999999</v>
      </c>
      <c r="L72" s="36">
        <f t="shared" si="8"/>
        <v>97.936115342949989</v>
      </c>
      <c r="M72" s="36">
        <f t="shared" si="8"/>
        <v>106.39052439379499</v>
      </c>
      <c r="N72" s="36">
        <f t="shared" si="8"/>
        <v>17.579688979321727</v>
      </c>
      <c r="O72" s="36">
        <f t="shared" si="8"/>
        <v>1324.4633318569997</v>
      </c>
      <c r="P72" s="36">
        <f t="shared" si="8"/>
        <v>160.16544731059997</v>
      </c>
      <c r="Q72" s="36">
        <f t="shared" si="8"/>
        <v>61.650067461494992</v>
      </c>
      <c r="R72" s="36">
        <f t="shared" si="8"/>
        <v>157.54171984154499</v>
      </c>
      <c r="S72" s="36">
        <f t="shared" si="8"/>
        <v>13.364289871824999</v>
      </c>
      <c r="T72" s="36">
        <f t="shared" si="11"/>
        <v>15.056122594999998</v>
      </c>
    </row>
    <row r="73" spans="1:20" x14ac:dyDescent="0.3">
      <c r="A73" s="2" t="s">
        <v>22</v>
      </c>
      <c r="B73" s="2" t="s">
        <v>147</v>
      </c>
      <c r="C73" s="2" t="s">
        <v>162</v>
      </c>
      <c r="D73" s="2" t="s">
        <v>25</v>
      </c>
      <c r="E73" s="2" t="s">
        <v>162</v>
      </c>
      <c r="F73" s="2" t="s">
        <v>163</v>
      </c>
      <c r="G73" s="35">
        <f t="shared" si="10"/>
        <v>15.848550099999999</v>
      </c>
      <c r="H73" s="32">
        <v>13.506105720000001</v>
      </c>
      <c r="I73" s="36">
        <f t="shared" si="9"/>
        <v>27.338748922499995</v>
      </c>
      <c r="J73" s="36">
        <f t="shared" si="8"/>
        <v>12.38506660078137</v>
      </c>
      <c r="K73" s="36">
        <f t="shared" si="8"/>
        <v>20.603115129999999</v>
      </c>
      <c r="L73" s="36">
        <f t="shared" si="8"/>
        <v>97.936115342949989</v>
      </c>
      <c r="M73" s="36">
        <f t="shared" si="8"/>
        <v>106.39052439379499</v>
      </c>
      <c r="N73" s="36">
        <f t="shared" si="8"/>
        <v>17.579688979321727</v>
      </c>
      <c r="O73" s="36">
        <f t="shared" si="8"/>
        <v>1324.4633318569997</v>
      </c>
      <c r="P73" s="36">
        <f t="shared" si="8"/>
        <v>160.16544731059997</v>
      </c>
      <c r="Q73" s="36">
        <f t="shared" si="8"/>
        <v>61.650067461494992</v>
      </c>
      <c r="R73" s="36">
        <f t="shared" si="8"/>
        <v>157.54171984154499</v>
      </c>
      <c r="S73" s="36">
        <f t="shared" si="8"/>
        <v>13.364289871824999</v>
      </c>
      <c r="T73" s="36">
        <f t="shared" si="11"/>
        <v>15.056122594999998</v>
      </c>
    </row>
    <row r="74" spans="1:20" x14ac:dyDescent="0.3">
      <c r="A74" s="2" t="s">
        <v>22</v>
      </c>
      <c r="B74" s="2" t="s">
        <v>147</v>
      </c>
      <c r="C74" s="2" t="s">
        <v>164</v>
      </c>
      <c r="D74" s="2" t="s">
        <v>25</v>
      </c>
      <c r="E74" s="2" t="s">
        <v>164</v>
      </c>
      <c r="F74" s="2" t="s">
        <v>165</v>
      </c>
      <c r="G74" s="35">
        <f t="shared" si="10"/>
        <v>15.848550099999999</v>
      </c>
      <c r="H74" s="32">
        <v>13.506105720000001</v>
      </c>
      <c r="I74" s="36">
        <f t="shared" si="9"/>
        <v>27.338748922499995</v>
      </c>
      <c r="J74" s="36">
        <f t="shared" si="8"/>
        <v>12.38506660078137</v>
      </c>
      <c r="K74" s="36">
        <f t="shared" si="8"/>
        <v>20.603115129999999</v>
      </c>
      <c r="L74" s="36">
        <f t="shared" si="8"/>
        <v>97.936115342949989</v>
      </c>
      <c r="M74" s="36">
        <f t="shared" si="8"/>
        <v>106.39052439379499</v>
      </c>
      <c r="N74" s="36">
        <f t="shared" si="8"/>
        <v>17.579688979321727</v>
      </c>
      <c r="O74" s="36">
        <f t="shared" si="8"/>
        <v>1324.4633318569997</v>
      </c>
      <c r="P74" s="36">
        <f t="shared" si="8"/>
        <v>160.16544731059997</v>
      </c>
      <c r="Q74" s="36">
        <f t="shared" si="8"/>
        <v>61.650067461494992</v>
      </c>
      <c r="R74" s="36">
        <f t="shared" si="8"/>
        <v>157.54171984154499</v>
      </c>
      <c r="S74" s="36">
        <f t="shared" si="8"/>
        <v>13.364289871824999</v>
      </c>
      <c r="T74" s="36">
        <f t="shared" si="11"/>
        <v>15.056122594999998</v>
      </c>
    </row>
    <row r="75" spans="1:20" x14ac:dyDescent="0.3">
      <c r="A75" s="2" t="s">
        <v>22</v>
      </c>
      <c r="B75" s="2" t="s">
        <v>147</v>
      </c>
      <c r="C75" s="2" t="s">
        <v>166</v>
      </c>
      <c r="D75" s="2" t="s">
        <v>25</v>
      </c>
      <c r="E75" s="2" t="s">
        <v>166</v>
      </c>
      <c r="F75" s="2" t="s">
        <v>167</v>
      </c>
      <c r="G75" s="35">
        <f t="shared" si="10"/>
        <v>15.848550099999999</v>
      </c>
      <c r="H75" s="32">
        <v>13.506105720000001</v>
      </c>
      <c r="I75" s="36">
        <f t="shared" si="9"/>
        <v>27.338748922499995</v>
      </c>
      <c r="J75" s="36">
        <f t="shared" si="8"/>
        <v>12.38506660078137</v>
      </c>
      <c r="K75" s="36">
        <f t="shared" si="8"/>
        <v>20.603115129999999</v>
      </c>
      <c r="L75" s="36">
        <f t="shared" si="8"/>
        <v>97.936115342949989</v>
      </c>
      <c r="M75" s="36">
        <f t="shared" si="8"/>
        <v>106.39052439379499</v>
      </c>
      <c r="N75" s="36">
        <f t="shared" si="8"/>
        <v>17.579688979321727</v>
      </c>
      <c r="O75" s="36">
        <f t="shared" si="8"/>
        <v>1324.4633318569997</v>
      </c>
      <c r="P75" s="36">
        <f t="shared" si="8"/>
        <v>160.16544731059997</v>
      </c>
      <c r="Q75" s="36">
        <f t="shared" si="8"/>
        <v>61.650067461494992</v>
      </c>
      <c r="R75" s="36">
        <f t="shared" si="8"/>
        <v>157.54171984154499</v>
      </c>
      <c r="S75" s="36">
        <f t="shared" si="8"/>
        <v>13.364289871824999</v>
      </c>
      <c r="T75" s="36">
        <f t="shared" si="11"/>
        <v>15.056122594999998</v>
      </c>
    </row>
    <row r="76" spans="1:20" x14ac:dyDescent="0.3">
      <c r="A76" s="2" t="s">
        <v>22</v>
      </c>
      <c r="B76" s="2" t="s">
        <v>147</v>
      </c>
      <c r="C76" s="2" t="s">
        <v>168</v>
      </c>
      <c r="D76" s="2" t="s">
        <v>25</v>
      </c>
      <c r="E76" s="2" t="s">
        <v>168</v>
      </c>
      <c r="F76" s="2" t="s">
        <v>169</v>
      </c>
      <c r="G76" s="35">
        <f t="shared" si="10"/>
        <v>15.848550099999999</v>
      </c>
      <c r="H76" s="32">
        <v>13.506105720000001</v>
      </c>
      <c r="I76" s="36">
        <f t="shared" si="9"/>
        <v>27.338748922499995</v>
      </c>
      <c r="J76" s="36">
        <f t="shared" si="8"/>
        <v>12.38506660078137</v>
      </c>
      <c r="K76" s="36">
        <f t="shared" si="8"/>
        <v>20.603115129999999</v>
      </c>
      <c r="L76" s="36">
        <f t="shared" si="8"/>
        <v>97.936115342949989</v>
      </c>
      <c r="M76" s="36">
        <f t="shared" si="8"/>
        <v>106.39052439379499</v>
      </c>
      <c r="N76" s="36">
        <f t="shared" si="8"/>
        <v>17.579688979321727</v>
      </c>
      <c r="O76" s="36">
        <f t="shared" si="8"/>
        <v>1324.4633318569997</v>
      </c>
      <c r="P76" s="36">
        <f t="shared" si="8"/>
        <v>160.16544731059997</v>
      </c>
      <c r="Q76" s="36">
        <f t="shared" si="8"/>
        <v>61.650067461494992</v>
      </c>
      <c r="R76" s="36">
        <f t="shared" si="8"/>
        <v>157.54171984154499</v>
      </c>
      <c r="S76" s="36">
        <f t="shared" si="8"/>
        <v>13.364289871824999</v>
      </c>
      <c r="T76" s="36">
        <f t="shared" si="11"/>
        <v>15.056122594999998</v>
      </c>
    </row>
    <row r="77" spans="1:20" x14ac:dyDescent="0.3">
      <c r="A77" s="2" t="s">
        <v>22</v>
      </c>
      <c r="B77" s="2" t="s">
        <v>147</v>
      </c>
      <c r="C77" s="2" t="s">
        <v>170</v>
      </c>
      <c r="D77" s="2" t="s">
        <v>25</v>
      </c>
      <c r="E77" s="2" t="s">
        <v>170</v>
      </c>
      <c r="F77" s="2" t="s">
        <v>171</v>
      </c>
      <c r="G77" s="35">
        <f t="shared" si="10"/>
        <v>15.848550099999999</v>
      </c>
      <c r="H77" s="32">
        <v>13.506105720000001</v>
      </c>
      <c r="I77" s="36">
        <f t="shared" si="9"/>
        <v>27.338748922499995</v>
      </c>
      <c r="J77" s="36">
        <f t="shared" si="8"/>
        <v>12.38506660078137</v>
      </c>
      <c r="K77" s="36">
        <f t="shared" si="8"/>
        <v>20.603115129999999</v>
      </c>
      <c r="L77" s="36">
        <f t="shared" si="8"/>
        <v>97.936115342949989</v>
      </c>
      <c r="M77" s="36">
        <f t="shared" si="8"/>
        <v>106.39052439379499</v>
      </c>
      <c r="N77" s="36">
        <f t="shared" si="8"/>
        <v>17.579688979321727</v>
      </c>
      <c r="O77" s="36">
        <f t="shared" si="8"/>
        <v>1324.4633318569997</v>
      </c>
      <c r="P77" s="36">
        <f t="shared" si="8"/>
        <v>160.16544731059997</v>
      </c>
      <c r="Q77" s="36">
        <f t="shared" si="8"/>
        <v>61.650067461494992</v>
      </c>
      <c r="R77" s="36">
        <f t="shared" si="8"/>
        <v>157.54171984154499</v>
      </c>
      <c r="S77" s="36">
        <f t="shared" si="8"/>
        <v>13.364289871824999</v>
      </c>
      <c r="T77" s="36">
        <f t="shared" si="11"/>
        <v>15.056122594999998</v>
      </c>
    </row>
    <row r="78" spans="1:20" x14ac:dyDescent="0.3">
      <c r="A78" s="2" t="s">
        <v>22</v>
      </c>
      <c r="B78" s="2" t="s">
        <v>147</v>
      </c>
      <c r="C78" s="2" t="s">
        <v>172</v>
      </c>
      <c r="D78" s="2" t="s">
        <v>25</v>
      </c>
      <c r="E78" s="2" t="s">
        <v>172</v>
      </c>
      <c r="F78" s="2" t="s">
        <v>173</v>
      </c>
      <c r="G78" s="35">
        <f t="shared" si="10"/>
        <v>15.848550099999999</v>
      </c>
      <c r="H78" s="32">
        <v>13.506105720000001</v>
      </c>
      <c r="I78" s="36">
        <f t="shared" si="9"/>
        <v>27.338748922499995</v>
      </c>
      <c r="J78" s="36">
        <f t="shared" si="8"/>
        <v>12.38506660078137</v>
      </c>
      <c r="K78" s="36">
        <f t="shared" si="8"/>
        <v>20.603115129999999</v>
      </c>
      <c r="L78" s="36">
        <f t="shared" si="8"/>
        <v>97.936115342949989</v>
      </c>
      <c r="M78" s="36">
        <f t="shared" si="8"/>
        <v>106.39052439379499</v>
      </c>
      <c r="N78" s="36">
        <f t="shared" si="8"/>
        <v>17.579688979321727</v>
      </c>
      <c r="O78" s="36">
        <f t="shared" si="8"/>
        <v>1324.4633318569997</v>
      </c>
      <c r="P78" s="36">
        <f t="shared" si="8"/>
        <v>160.16544731059997</v>
      </c>
      <c r="Q78" s="36">
        <f t="shared" si="8"/>
        <v>61.650067461494992</v>
      </c>
      <c r="R78" s="36">
        <f t="shared" si="8"/>
        <v>157.54171984154499</v>
      </c>
      <c r="S78" s="36">
        <f t="shared" si="8"/>
        <v>13.364289871824999</v>
      </c>
      <c r="T78" s="36">
        <f t="shared" si="11"/>
        <v>15.056122594999998</v>
      </c>
    </row>
    <row r="79" spans="1:20" x14ac:dyDescent="0.3">
      <c r="A79" s="2" t="s">
        <v>174</v>
      </c>
      <c r="B79" s="2" t="s">
        <v>175</v>
      </c>
      <c r="C79" s="2" t="s">
        <v>176</v>
      </c>
      <c r="D79" s="2" t="s">
        <v>25</v>
      </c>
      <c r="E79" s="2" t="s">
        <v>176</v>
      </c>
      <c r="F79" s="2" t="s">
        <v>177</v>
      </c>
      <c r="G79" s="15">
        <v>0.104</v>
      </c>
      <c r="H79" s="33">
        <v>0.104</v>
      </c>
      <c r="I79" s="36">
        <f t="shared" si="9"/>
        <v>0.17939999999999998</v>
      </c>
      <c r="J79" s="36">
        <f t="shared" si="8"/>
        <v>8.1272224800000001E-2</v>
      </c>
      <c r="K79" s="36">
        <f t="shared" si="8"/>
        <v>0.13519999999999999</v>
      </c>
      <c r="L79" s="36">
        <f t="shared" si="8"/>
        <v>0.64266799999999991</v>
      </c>
      <c r="M79" s="36">
        <f t="shared" si="8"/>
        <v>0.69814679999999996</v>
      </c>
      <c r="N79" s="36">
        <f t="shared" si="8"/>
        <v>0.11535993149616</v>
      </c>
      <c r="O79" s="36">
        <f t="shared" si="8"/>
        <v>8.691279999999999</v>
      </c>
      <c r="P79" s="36">
        <f t="shared" si="8"/>
        <v>1.051024</v>
      </c>
      <c r="Q79" s="36">
        <f t="shared" si="8"/>
        <v>0.40455479999999994</v>
      </c>
      <c r="R79" s="36">
        <f t="shared" si="8"/>
        <v>1.0338068</v>
      </c>
      <c r="S79" s="36">
        <f t="shared" si="8"/>
        <v>8.7697999999999998E-2</v>
      </c>
      <c r="T79" s="36">
        <f t="shared" si="11"/>
        <v>9.8799999999999985E-2</v>
      </c>
    </row>
    <row r="80" spans="1:20" x14ac:dyDescent="0.3">
      <c r="A80" s="2" t="s">
        <v>174</v>
      </c>
      <c r="B80" s="2" t="s">
        <v>175</v>
      </c>
      <c r="C80" s="2" t="s">
        <v>178</v>
      </c>
      <c r="D80" s="2" t="s">
        <v>25</v>
      </c>
      <c r="E80" s="2" t="s">
        <v>178</v>
      </c>
      <c r="F80" s="2" t="s">
        <v>179</v>
      </c>
      <c r="G80" s="15">
        <v>0.17</v>
      </c>
      <c r="H80" s="33">
        <v>0.17</v>
      </c>
      <c r="I80" s="36">
        <f t="shared" si="9"/>
        <v>0.29324999999999996</v>
      </c>
      <c r="J80" s="36">
        <f t="shared" si="8"/>
        <v>0.132848829</v>
      </c>
      <c r="K80" s="36">
        <f t="shared" si="8"/>
        <v>0.22100000000000003</v>
      </c>
      <c r="L80" s="36">
        <f t="shared" si="8"/>
        <v>1.0505149999999999</v>
      </c>
      <c r="M80" s="36">
        <f t="shared" si="8"/>
        <v>1.1412015000000002</v>
      </c>
      <c r="N80" s="36">
        <f t="shared" si="8"/>
        <v>0.18856911879179999</v>
      </c>
      <c r="O80" s="36">
        <f t="shared" si="8"/>
        <v>14.206899999999999</v>
      </c>
      <c r="P80" s="36">
        <f t="shared" si="8"/>
        <v>1.7180200000000001</v>
      </c>
      <c r="Q80" s="36">
        <f t="shared" si="8"/>
        <v>0.66129150000000003</v>
      </c>
      <c r="R80" s="36">
        <f t="shared" si="8"/>
        <v>1.6898765000000002</v>
      </c>
      <c r="S80" s="36">
        <f t="shared" si="8"/>
        <v>0.14335250000000002</v>
      </c>
      <c r="T80" s="36">
        <f t="shared" si="11"/>
        <v>0.1615</v>
      </c>
    </row>
    <row r="81" spans="1:20" x14ac:dyDescent="0.3">
      <c r="A81" s="2" t="s">
        <v>174</v>
      </c>
      <c r="B81" s="2" t="s">
        <v>175</v>
      </c>
      <c r="C81" s="13" t="s">
        <v>180</v>
      </c>
      <c r="D81" s="2" t="s">
        <v>25</v>
      </c>
      <c r="E81" s="13" t="s">
        <v>180</v>
      </c>
      <c r="F81" s="2" t="s">
        <v>181</v>
      </c>
      <c r="G81" s="20">
        <v>0.15770925110129999</v>
      </c>
      <c r="H81" s="34">
        <v>0.15770925110129999</v>
      </c>
      <c r="I81" s="36">
        <f t="shared" si="9"/>
        <v>0.27204845814974249</v>
      </c>
      <c r="J81" s="36">
        <f t="shared" si="8"/>
        <v>0.12324405488985096</v>
      </c>
      <c r="K81" s="36">
        <f t="shared" si="8"/>
        <v>0.20502202643168999</v>
      </c>
      <c r="L81" s="36">
        <f t="shared" si="8"/>
        <v>0.97456431718048331</v>
      </c>
      <c r="M81" s="36">
        <f t="shared" si="8"/>
        <v>1.0586943171804719</v>
      </c>
      <c r="N81" s="36">
        <f t="shared" si="8"/>
        <v>0.1749358500322756</v>
      </c>
      <c r="O81" s="36">
        <f t="shared" si="8"/>
        <v>13.17976211453564</v>
      </c>
      <c r="P81" s="36">
        <f t="shared" si="8"/>
        <v>1.5938096916297377</v>
      </c>
      <c r="Q81" s="36">
        <f t="shared" si="8"/>
        <v>0.61348110132150191</v>
      </c>
      <c r="R81" s="36">
        <f t="shared" si="8"/>
        <v>1.5677009251099174</v>
      </c>
      <c r="S81" s="36">
        <f t="shared" si="8"/>
        <v>0.13298832599117122</v>
      </c>
      <c r="T81" s="36">
        <f t="shared" si="11"/>
        <v>0.14982378854623499</v>
      </c>
    </row>
    <row r="82" spans="1:20" x14ac:dyDescent="0.3">
      <c r="A82" s="2" t="s">
        <v>174</v>
      </c>
      <c r="B82" s="2" t="s">
        <v>175</v>
      </c>
      <c r="C82" s="2" t="s">
        <v>182</v>
      </c>
      <c r="D82" s="2" t="s">
        <v>25</v>
      </c>
      <c r="E82" s="2" t="s">
        <v>182</v>
      </c>
      <c r="F82" s="2" t="s">
        <v>183</v>
      </c>
      <c r="G82" s="15">
        <v>0.55500000000000005</v>
      </c>
      <c r="H82" s="33">
        <v>0.55500000000000005</v>
      </c>
      <c r="I82" s="36">
        <f t="shared" si="9"/>
        <v>0.95737499999999998</v>
      </c>
      <c r="J82" s="36">
        <f t="shared" si="8"/>
        <v>0.43371235350000004</v>
      </c>
      <c r="K82" s="36">
        <f t="shared" si="8"/>
        <v>0.72150000000000014</v>
      </c>
      <c r="L82" s="36">
        <f t="shared" si="8"/>
        <v>3.4296225000000002</v>
      </c>
      <c r="M82" s="36">
        <f t="shared" si="8"/>
        <v>3.7256872500000005</v>
      </c>
      <c r="N82" s="36">
        <f t="shared" si="8"/>
        <v>0.61562271134970004</v>
      </c>
      <c r="O82" s="36">
        <f t="shared" si="8"/>
        <v>46.381349999999998</v>
      </c>
      <c r="P82" s="36">
        <f t="shared" si="8"/>
        <v>5.6088300000000002</v>
      </c>
      <c r="Q82" s="36">
        <f t="shared" si="8"/>
        <v>2.1589222500000003</v>
      </c>
      <c r="R82" s="36">
        <f t="shared" si="8"/>
        <v>5.5169497500000002</v>
      </c>
      <c r="S82" s="36">
        <f t="shared" si="8"/>
        <v>0.46800375000000005</v>
      </c>
      <c r="T82" s="36">
        <f t="shared" si="11"/>
        <v>0.52725</v>
      </c>
    </row>
    <row r="83" spans="1:20" x14ac:dyDescent="0.3">
      <c r="A83" s="2" t="s">
        <v>174</v>
      </c>
      <c r="B83" s="2" t="s">
        <v>175</v>
      </c>
      <c r="C83" s="2" t="s">
        <v>184</v>
      </c>
      <c r="D83" s="2" t="s">
        <v>25</v>
      </c>
      <c r="E83" s="2" t="s">
        <v>184</v>
      </c>
      <c r="F83" s="2" t="s">
        <v>185</v>
      </c>
      <c r="G83" s="15">
        <v>0.17399999999999999</v>
      </c>
      <c r="H83" s="33">
        <v>0.17399999999999999</v>
      </c>
      <c r="I83" s="36">
        <f t="shared" si="9"/>
        <v>0.30014999999999997</v>
      </c>
      <c r="J83" s="36">
        <f t="shared" si="8"/>
        <v>0.1359746838</v>
      </c>
      <c r="K83" s="36">
        <f t="shared" si="8"/>
        <v>0.22619999999999998</v>
      </c>
      <c r="L83" s="36">
        <f t="shared" si="8"/>
        <v>1.0752329999999999</v>
      </c>
      <c r="M83" s="36">
        <f t="shared" si="8"/>
        <v>1.1680533</v>
      </c>
      <c r="N83" s="36">
        <f t="shared" si="8"/>
        <v>0.19300603923396001</v>
      </c>
      <c r="O83" s="36">
        <f t="shared" si="8"/>
        <v>14.541179999999997</v>
      </c>
      <c r="P83" s="36">
        <f t="shared" si="8"/>
        <v>1.7584439999999999</v>
      </c>
      <c r="Q83" s="36">
        <f t="shared" si="8"/>
        <v>0.67685129999999993</v>
      </c>
      <c r="R83" s="36">
        <f t="shared" si="8"/>
        <v>1.7296383</v>
      </c>
      <c r="S83" s="36">
        <f t="shared" si="8"/>
        <v>0.14672550000000001</v>
      </c>
      <c r="T83" s="36">
        <f t="shared" si="11"/>
        <v>0.16529999999999997</v>
      </c>
    </row>
    <row r="84" spans="1:20" x14ac:dyDescent="0.3">
      <c r="A84" s="2" t="s">
        <v>174</v>
      </c>
      <c r="B84" s="2" t="s">
        <v>175</v>
      </c>
      <c r="C84" s="2" t="s">
        <v>186</v>
      </c>
      <c r="D84" s="2" t="s">
        <v>25</v>
      </c>
      <c r="E84" s="2" t="s">
        <v>186</v>
      </c>
      <c r="F84" s="2" t="s">
        <v>187</v>
      </c>
      <c r="G84" s="15">
        <v>0.318</v>
      </c>
      <c r="H84" s="33">
        <v>0.318</v>
      </c>
      <c r="I84" s="36">
        <f t="shared" si="9"/>
        <v>0.54854999999999998</v>
      </c>
      <c r="J84" s="36">
        <f t="shared" si="8"/>
        <v>0.24850545660000001</v>
      </c>
      <c r="K84" s="36">
        <f t="shared" si="8"/>
        <v>0.41340000000000005</v>
      </c>
      <c r="L84" s="36">
        <f t="shared" si="8"/>
        <v>1.9650809999999999</v>
      </c>
      <c r="M84" s="36">
        <f t="shared" si="8"/>
        <v>2.1347181000000002</v>
      </c>
      <c r="N84" s="36">
        <f t="shared" si="8"/>
        <v>0.35273517515171998</v>
      </c>
      <c r="O84" s="36">
        <f t="shared" si="8"/>
        <v>26.575259999999997</v>
      </c>
      <c r="P84" s="36">
        <f t="shared" si="8"/>
        <v>3.213708</v>
      </c>
      <c r="Q84" s="36">
        <f t="shared" si="8"/>
        <v>1.2370041000000001</v>
      </c>
      <c r="R84" s="36">
        <f t="shared" si="8"/>
        <v>3.1610631000000002</v>
      </c>
      <c r="S84" s="36">
        <f t="shared" si="8"/>
        <v>0.26815350000000004</v>
      </c>
      <c r="T84" s="36">
        <f t="shared" si="11"/>
        <v>0.30209999999999998</v>
      </c>
    </row>
    <row r="85" spans="1:20" x14ac:dyDescent="0.3">
      <c r="A85" s="2" t="s">
        <v>174</v>
      </c>
      <c r="B85" s="2" t="s">
        <v>175</v>
      </c>
      <c r="C85" s="13" t="s">
        <v>188</v>
      </c>
      <c r="D85" s="2" t="s">
        <v>25</v>
      </c>
      <c r="E85" s="13" t="s">
        <v>188</v>
      </c>
      <c r="F85" s="2" t="s">
        <v>189</v>
      </c>
      <c r="G85" s="20">
        <v>0.54713656387669996</v>
      </c>
      <c r="H85" s="34">
        <v>0.54713656387669996</v>
      </c>
      <c r="I85" s="36">
        <f t="shared" si="9"/>
        <v>0.94381057268730728</v>
      </c>
      <c r="J85" s="36">
        <f t="shared" si="8"/>
        <v>0.4275673636123723</v>
      </c>
      <c r="K85" s="36">
        <f t="shared" si="8"/>
        <v>0.71127753303970997</v>
      </c>
      <c r="L85" s="36">
        <f t="shared" si="8"/>
        <v>3.3810303964760671</v>
      </c>
      <c r="M85" s="36">
        <f t="shared" si="8"/>
        <v>3.6729003964760931</v>
      </c>
      <c r="N85" s="36">
        <f t="shared" si="8"/>
        <v>0.60690035122942765</v>
      </c>
      <c r="O85" s="36">
        <f t="shared" si="8"/>
        <v>45.724202643175815</v>
      </c>
      <c r="P85" s="36">
        <f t="shared" ref="P85:S104" si="12">$G85*P$1*P$2</f>
        <v>5.5293621145379293</v>
      </c>
      <c r="Q85" s="36">
        <f t="shared" si="12"/>
        <v>2.1283338766521687</v>
      </c>
      <c r="R85" s="36">
        <f t="shared" si="12"/>
        <v>5.438783656388142</v>
      </c>
      <c r="S85" s="36">
        <f t="shared" si="12"/>
        <v>0.46137290748902726</v>
      </c>
      <c r="T85" s="36">
        <f t="shared" si="11"/>
        <v>0.51977973568286495</v>
      </c>
    </row>
    <row r="86" spans="1:20" x14ac:dyDescent="0.3">
      <c r="A86" s="2" t="s">
        <v>174</v>
      </c>
      <c r="B86" s="2" t="s">
        <v>175</v>
      </c>
      <c r="C86" s="2" t="s">
        <v>190</v>
      </c>
      <c r="D86" s="2" t="s">
        <v>25</v>
      </c>
      <c r="E86" s="2" t="s">
        <v>190</v>
      </c>
      <c r="F86" s="2" t="s">
        <v>191</v>
      </c>
      <c r="G86" s="15">
        <v>1.0349999999999999</v>
      </c>
      <c r="H86" s="33">
        <v>1.0349999999999999</v>
      </c>
      <c r="I86" s="36">
        <f t="shared" si="9"/>
        <v>1.7853749999999995</v>
      </c>
      <c r="J86" s="36">
        <f t="shared" ref="J86:O95" si="13">$G86*J$1*J$2</f>
        <v>0.80881492949999989</v>
      </c>
      <c r="K86" s="36">
        <f t="shared" si="13"/>
        <v>1.3454999999999999</v>
      </c>
      <c r="L86" s="36">
        <f t="shared" si="13"/>
        <v>6.3957824999999993</v>
      </c>
      <c r="M86" s="36">
        <f t="shared" si="13"/>
        <v>6.9479032499999995</v>
      </c>
      <c r="N86" s="36">
        <f t="shared" si="13"/>
        <v>1.1480531644088998</v>
      </c>
      <c r="O86" s="36">
        <f t="shared" si="13"/>
        <v>86.494949999999989</v>
      </c>
      <c r="P86" s="36">
        <f t="shared" si="12"/>
        <v>10.459709999999999</v>
      </c>
      <c r="Q86" s="36">
        <f t="shared" si="12"/>
        <v>4.0260982499999995</v>
      </c>
      <c r="R86" s="36">
        <f t="shared" si="12"/>
        <v>10.288365749999999</v>
      </c>
      <c r="S86" s="36">
        <f t="shared" si="12"/>
        <v>0.87276374999999995</v>
      </c>
      <c r="T86" s="36">
        <f t="shared" si="11"/>
        <v>0.98324999999999985</v>
      </c>
    </row>
    <row r="87" spans="1:20" x14ac:dyDescent="0.3">
      <c r="A87" s="2" t="s">
        <v>174</v>
      </c>
      <c r="B87" s="2" t="s">
        <v>175</v>
      </c>
      <c r="C87" s="2" t="s">
        <v>192</v>
      </c>
      <c r="D87" s="2" t="s">
        <v>25</v>
      </c>
      <c r="E87" s="2" t="s">
        <v>192</v>
      </c>
      <c r="F87" s="2" t="s">
        <v>193</v>
      </c>
      <c r="G87" s="15">
        <v>0.41399999999999998</v>
      </c>
      <c r="H87" s="33">
        <v>0.41399999999999998</v>
      </c>
      <c r="I87" s="36">
        <f t="shared" si="9"/>
        <v>0.71414999999999995</v>
      </c>
      <c r="J87" s="36">
        <f t="shared" si="13"/>
        <v>0.32352597179999998</v>
      </c>
      <c r="K87" s="36">
        <f t="shared" si="13"/>
        <v>0.53820000000000001</v>
      </c>
      <c r="L87" s="36">
        <f t="shared" si="13"/>
        <v>2.5583129999999996</v>
      </c>
      <c r="M87" s="36">
        <f t="shared" si="13"/>
        <v>2.7791612999999997</v>
      </c>
      <c r="N87" s="36">
        <f t="shared" si="13"/>
        <v>0.45922126576355998</v>
      </c>
      <c r="O87" s="36">
        <f t="shared" si="13"/>
        <v>34.597979999999993</v>
      </c>
      <c r="P87" s="36">
        <f t="shared" si="12"/>
        <v>4.1838839999999999</v>
      </c>
      <c r="Q87" s="36">
        <f t="shared" si="12"/>
        <v>1.6104392999999999</v>
      </c>
      <c r="R87" s="36">
        <f t="shared" si="12"/>
        <v>4.1153462999999997</v>
      </c>
      <c r="S87" s="36">
        <f t="shared" si="12"/>
        <v>0.34910550000000001</v>
      </c>
      <c r="T87" s="36">
        <f t="shared" si="11"/>
        <v>0.39329999999999998</v>
      </c>
    </row>
    <row r="88" spans="1:20" x14ac:dyDescent="0.3">
      <c r="A88" s="2" t="s">
        <v>174</v>
      </c>
      <c r="B88" s="2" t="s">
        <v>175</v>
      </c>
      <c r="C88" s="2" t="s">
        <v>194</v>
      </c>
      <c r="D88" s="2" t="s">
        <v>25</v>
      </c>
      <c r="E88" s="2" t="s">
        <v>194</v>
      </c>
      <c r="F88" s="2" t="s">
        <v>195</v>
      </c>
      <c r="G88" s="15">
        <v>0.51800000000000002</v>
      </c>
      <c r="H88" s="33">
        <v>0.51800000000000002</v>
      </c>
      <c r="I88" s="36">
        <f t="shared" si="9"/>
        <v>0.89354999999999996</v>
      </c>
      <c r="J88" s="36">
        <f t="shared" si="13"/>
        <v>0.40479819659999999</v>
      </c>
      <c r="K88" s="36">
        <f t="shared" si="13"/>
        <v>0.6734</v>
      </c>
      <c r="L88" s="36">
        <f t="shared" si="13"/>
        <v>3.2009810000000001</v>
      </c>
      <c r="M88" s="36">
        <f t="shared" si="13"/>
        <v>3.4773081000000001</v>
      </c>
      <c r="N88" s="36">
        <f t="shared" si="13"/>
        <v>0.57458119725972001</v>
      </c>
      <c r="O88" s="36">
        <f t="shared" si="13"/>
        <v>43.289259999999999</v>
      </c>
      <c r="P88" s="36">
        <f t="shared" si="12"/>
        <v>5.2349079999999999</v>
      </c>
      <c r="Q88" s="36">
        <f t="shared" si="12"/>
        <v>2.0149941</v>
      </c>
      <c r="R88" s="36">
        <f t="shared" si="12"/>
        <v>5.1491531000000004</v>
      </c>
      <c r="S88" s="36">
        <f t="shared" si="12"/>
        <v>0.43680350000000007</v>
      </c>
      <c r="T88" s="36">
        <f t="shared" si="11"/>
        <v>0.49209999999999998</v>
      </c>
    </row>
    <row r="89" spans="1:20" x14ac:dyDescent="0.3">
      <c r="A89" s="2" t="s">
        <v>174</v>
      </c>
      <c r="B89" s="2" t="s">
        <v>175</v>
      </c>
      <c r="C89" s="13" t="s">
        <v>196</v>
      </c>
      <c r="D89" s="2" t="s">
        <v>25</v>
      </c>
      <c r="E89" s="13" t="s">
        <v>196</v>
      </c>
      <c r="F89" s="2" t="s">
        <v>197</v>
      </c>
      <c r="G89" s="20">
        <v>0.60704845814980002</v>
      </c>
      <c r="H89" s="34">
        <v>0.60704845814980002</v>
      </c>
      <c r="I89" s="36">
        <f t="shared" si="9"/>
        <v>1.0471585903084049</v>
      </c>
      <c r="J89" s="36">
        <f t="shared" si="13"/>
        <v>0.47438633418503789</v>
      </c>
      <c r="K89" s="36">
        <f t="shared" si="13"/>
        <v>0.78916299559474001</v>
      </c>
      <c r="L89" s="36">
        <f t="shared" si="13"/>
        <v>3.7512559471366886</v>
      </c>
      <c r="M89" s="36">
        <f t="shared" si="13"/>
        <v>4.0750859471367002</v>
      </c>
      <c r="N89" s="36">
        <f t="shared" si="13"/>
        <v>0.67335642833663922</v>
      </c>
      <c r="O89" s="36">
        <f t="shared" si="13"/>
        <v>50.731039647578783</v>
      </c>
      <c r="P89" s="36">
        <f t="shared" si="12"/>
        <v>6.1348317180618785</v>
      </c>
      <c r="Q89" s="36">
        <f t="shared" si="12"/>
        <v>2.3613881497798146</v>
      </c>
      <c r="R89" s="36">
        <f t="shared" si="12"/>
        <v>6.03433484581518</v>
      </c>
      <c r="S89" s="36">
        <f t="shared" si="12"/>
        <v>0.51189361233481889</v>
      </c>
      <c r="T89" s="36">
        <f t="shared" si="11"/>
        <v>0.57669603524230995</v>
      </c>
    </row>
    <row r="90" spans="1:20" x14ac:dyDescent="0.3">
      <c r="A90" s="2" t="s">
        <v>174</v>
      </c>
      <c r="B90" s="2" t="s">
        <v>175</v>
      </c>
      <c r="C90" s="2" t="s">
        <v>198</v>
      </c>
      <c r="D90" s="2" t="s">
        <v>25</v>
      </c>
      <c r="E90" s="2" t="s">
        <v>198</v>
      </c>
      <c r="F90" s="2" t="s">
        <v>199</v>
      </c>
      <c r="G90" s="15">
        <v>1.6419999999999999</v>
      </c>
      <c r="H90" s="33">
        <v>1.6419999999999999</v>
      </c>
      <c r="I90" s="36">
        <f t="shared" si="9"/>
        <v>2.8324499999999997</v>
      </c>
      <c r="J90" s="36">
        <f t="shared" si="13"/>
        <v>1.2831633953999999</v>
      </c>
      <c r="K90" s="36">
        <f t="shared" si="13"/>
        <v>2.1345999999999998</v>
      </c>
      <c r="L90" s="36">
        <f t="shared" si="13"/>
        <v>10.146738999999998</v>
      </c>
      <c r="M90" s="36">
        <f t="shared" si="13"/>
        <v>11.0226639</v>
      </c>
      <c r="N90" s="36">
        <f t="shared" si="13"/>
        <v>1.8213558415066797</v>
      </c>
      <c r="O90" s="36">
        <f t="shared" si="13"/>
        <v>137.22193999999999</v>
      </c>
      <c r="P90" s="36">
        <f t="shared" si="12"/>
        <v>16.594051999999998</v>
      </c>
      <c r="Q90" s="36">
        <f t="shared" si="12"/>
        <v>6.3872978999999992</v>
      </c>
      <c r="R90" s="36">
        <f t="shared" si="12"/>
        <v>16.322218899999999</v>
      </c>
      <c r="S90" s="36">
        <f t="shared" si="12"/>
        <v>1.3846164999999999</v>
      </c>
      <c r="T90" s="36">
        <f t="shared" si="11"/>
        <v>1.5598999999999998</v>
      </c>
    </row>
    <row r="91" spans="1:20" x14ac:dyDescent="0.3">
      <c r="A91" s="2" t="s">
        <v>174</v>
      </c>
      <c r="B91" s="2" t="s">
        <v>175</v>
      </c>
      <c r="C91" s="13" t="s">
        <v>200</v>
      </c>
      <c r="D91" s="2" t="s">
        <v>25</v>
      </c>
      <c r="E91" s="13" t="s">
        <v>200</v>
      </c>
      <c r="F91" s="2" t="s">
        <v>201</v>
      </c>
      <c r="G91" s="20">
        <v>1.7224669603524001</v>
      </c>
      <c r="H91" s="34">
        <v>1.7224669603524001</v>
      </c>
      <c r="I91" s="36">
        <f t="shared" si="9"/>
        <v>2.9712555066078901</v>
      </c>
      <c r="J91" s="36">
        <f t="shared" si="13"/>
        <v>1.3460454039647398</v>
      </c>
      <c r="K91" s="36">
        <f t="shared" si="13"/>
        <v>2.2392070484581201</v>
      </c>
      <c r="L91" s="36">
        <f t="shared" si="13"/>
        <v>10.643984581497655</v>
      </c>
      <c r="M91" s="36">
        <f t="shared" si="13"/>
        <v>11.562834581497645</v>
      </c>
      <c r="N91" s="36">
        <f t="shared" si="13"/>
        <v>1.9106122168331907</v>
      </c>
      <c r="O91" s="36">
        <f t="shared" si="13"/>
        <v>143.94656387665006</v>
      </c>
      <c r="P91" s="36">
        <f t="shared" si="12"/>
        <v>17.407251101321354</v>
      </c>
      <c r="Q91" s="36">
        <f t="shared" si="12"/>
        <v>6.700310352422818</v>
      </c>
      <c r="R91" s="36">
        <f t="shared" si="12"/>
        <v>17.122096696035015</v>
      </c>
      <c r="S91" s="36">
        <f t="shared" si="12"/>
        <v>1.4524702643171614</v>
      </c>
      <c r="T91" s="36">
        <f t="shared" si="11"/>
        <v>1.6363436123347801</v>
      </c>
    </row>
    <row r="92" spans="1:20" x14ac:dyDescent="0.3">
      <c r="A92" s="2" t="s">
        <v>174</v>
      </c>
      <c r="B92" s="2" t="s">
        <v>175</v>
      </c>
      <c r="C92" s="2" t="s">
        <v>202</v>
      </c>
      <c r="D92" s="2" t="s">
        <v>25</v>
      </c>
      <c r="E92" s="2" t="s">
        <v>202</v>
      </c>
      <c r="F92" s="2" t="s">
        <v>203</v>
      </c>
      <c r="G92" s="15">
        <v>0.436</v>
      </c>
      <c r="H92" s="33">
        <v>0.436</v>
      </c>
      <c r="I92" s="36">
        <f t="shared" si="9"/>
        <v>0.75209999999999999</v>
      </c>
      <c r="J92" s="36">
        <f t="shared" si="13"/>
        <v>0.34071817319999997</v>
      </c>
      <c r="K92" s="36">
        <f t="shared" si="13"/>
        <v>0.56679999999999997</v>
      </c>
      <c r="L92" s="36">
        <f t="shared" si="13"/>
        <v>2.6942619999999997</v>
      </c>
      <c r="M92" s="36">
        <f t="shared" si="13"/>
        <v>2.9268462</v>
      </c>
      <c r="N92" s="36">
        <f t="shared" si="13"/>
        <v>0.48362432819543999</v>
      </c>
      <c r="O92" s="36">
        <f t="shared" si="13"/>
        <v>36.436519999999994</v>
      </c>
      <c r="P92" s="36">
        <f t="shared" si="12"/>
        <v>4.4062159999999997</v>
      </c>
      <c r="Q92" s="36">
        <f t="shared" si="12"/>
        <v>1.6960181999999999</v>
      </c>
      <c r="R92" s="36">
        <f t="shared" si="12"/>
        <v>4.3340361999999999</v>
      </c>
      <c r="S92" s="36">
        <f t="shared" si="12"/>
        <v>0.36765700000000001</v>
      </c>
      <c r="T92" s="36">
        <f t="shared" si="11"/>
        <v>0.41419999999999996</v>
      </c>
    </row>
    <row r="93" spans="1:20" x14ac:dyDescent="0.3">
      <c r="A93" s="2" t="s">
        <v>174</v>
      </c>
      <c r="B93" s="2" t="s">
        <v>175</v>
      </c>
      <c r="C93" s="2" t="s">
        <v>204</v>
      </c>
      <c r="D93" s="2" t="s">
        <v>25</v>
      </c>
      <c r="E93" s="2" t="s">
        <v>204</v>
      </c>
      <c r="F93" s="2" t="s">
        <v>205</v>
      </c>
      <c r="G93" s="15">
        <v>0.91700000000000004</v>
      </c>
      <c r="H93" s="33">
        <v>0.91700000000000004</v>
      </c>
      <c r="I93" s="36">
        <f t="shared" si="9"/>
        <v>1.581825</v>
      </c>
      <c r="J93" s="36">
        <f t="shared" si="13"/>
        <v>0.71660221290000004</v>
      </c>
      <c r="K93" s="36">
        <f t="shared" si="13"/>
        <v>1.1921000000000002</v>
      </c>
      <c r="L93" s="36">
        <f t="shared" si="13"/>
        <v>5.6666014999999996</v>
      </c>
      <c r="M93" s="36">
        <f t="shared" si="13"/>
        <v>6.1557751500000002</v>
      </c>
      <c r="N93" s="36">
        <f t="shared" si="13"/>
        <v>1.0171640113651801</v>
      </c>
      <c r="O93" s="36">
        <f t="shared" si="13"/>
        <v>76.633690000000001</v>
      </c>
      <c r="P93" s="36">
        <f t="shared" si="12"/>
        <v>9.267202000000001</v>
      </c>
      <c r="Q93" s="36">
        <f t="shared" si="12"/>
        <v>3.5670841499999999</v>
      </c>
      <c r="R93" s="36">
        <f t="shared" si="12"/>
        <v>9.1153926500000004</v>
      </c>
      <c r="S93" s="36">
        <f t="shared" si="12"/>
        <v>0.77326025000000009</v>
      </c>
      <c r="T93" s="36">
        <f t="shared" si="11"/>
        <v>0.87114999999999998</v>
      </c>
    </row>
    <row r="94" spans="1:20" x14ac:dyDescent="0.3">
      <c r="A94" s="2" t="s">
        <v>174</v>
      </c>
      <c r="B94" s="2" t="s">
        <v>175</v>
      </c>
      <c r="C94" s="13" t="s">
        <v>206</v>
      </c>
      <c r="D94" s="2" t="s">
        <v>25</v>
      </c>
      <c r="E94" s="13" t="s">
        <v>206</v>
      </c>
      <c r="F94" s="2" t="s">
        <v>207</v>
      </c>
      <c r="G94" s="20">
        <v>1.3356828193832999</v>
      </c>
      <c r="H94" s="34">
        <v>1.3356828193832999</v>
      </c>
      <c r="I94" s="36">
        <f t="shared" si="9"/>
        <v>2.3040528634361919</v>
      </c>
      <c r="J94" s="36">
        <f t="shared" si="13"/>
        <v>1.0437876380617053</v>
      </c>
      <c r="K94" s="36">
        <f t="shared" si="13"/>
        <v>1.7363876651982899</v>
      </c>
      <c r="L94" s="36">
        <f t="shared" si="13"/>
        <v>8.2538519823791017</v>
      </c>
      <c r="M94" s="36">
        <f t="shared" si="13"/>
        <v>8.9663719823791226</v>
      </c>
      <c r="N94" s="36">
        <f t="shared" si="13"/>
        <v>1.4815796013909168</v>
      </c>
      <c r="O94" s="36">
        <f t="shared" si="13"/>
        <v>111.62301321586236</v>
      </c>
      <c r="P94" s="36">
        <f t="shared" si="12"/>
        <v>13.498410572687629</v>
      </c>
      <c r="Q94" s="36">
        <f t="shared" si="12"/>
        <v>5.1957393832600669</v>
      </c>
      <c r="R94" s="36">
        <f t="shared" si="12"/>
        <v>13.277288281938723</v>
      </c>
      <c r="S94" s="36">
        <f t="shared" si="12"/>
        <v>1.1263145374449677</v>
      </c>
      <c r="T94" s="36">
        <f t="shared" si="11"/>
        <v>1.268898678414135</v>
      </c>
    </row>
    <row r="95" spans="1:20" x14ac:dyDescent="0.3">
      <c r="A95" s="2" t="s">
        <v>174</v>
      </c>
      <c r="B95" s="2" t="s">
        <v>175</v>
      </c>
      <c r="C95" s="2" t="s">
        <v>208</v>
      </c>
      <c r="D95" s="2" t="s">
        <v>25</v>
      </c>
      <c r="E95" s="2" t="s">
        <v>208</v>
      </c>
      <c r="F95" s="2" t="s">
        <v>209</v>
      </c>
      <c r="G95" s="15">
        <v>2.508</v>
      </c>
      <c r="H95" s="33">
        <v>2.508</v>
      </c>
      <c r="I95" s="36">
        <f t="shared" ref="I95:I126" si="14">$G95*I$1*I$2</f>
        <v>4.3262999999999998</v>
      </c>
      <c r="J95" s="36">
        <f t="shared" si="13"/>
        <v>1.9599109595999999</v>
      </c>
      <c r="K95" s="36">
        <f t="shared" si="13"/>
        <v>3.2604000000000002</v>
      </c>
      <c r="L95" s="36">
        <f t="shared" si="13"/>
        <v>15.498185999999999</v>
      </c>
      <c r="M95" s="36">
        <f t="shared" si="13"/>
        <v>16.8360786</v>
      </c>
      <c r="N95" s="36">
        <f t="shared" si="13"/>
        <v>2.78194911723432</v>
      </c>
      <c r="O95" s="36">
        <f t="shared" si="13"/>
        <v>209.59356</v>
      </c>
      <c r="P95" s="36">
        <f t="shared" si="12"/>
        <v>25.345848</v>
      </c>
      <c r="Q95" s="36">
        <f t="shared" si="12"/>
        <v>9.7559945999999993</v>
      </c>
      <c r="R95" s="36">
        <f t="shared" si="12"/>
        <v>24.930648600000001</v>
      </c>
      <c r="S95" s="36">
        <f t="shared" si="12"/>
        <v>2.1148709999999999</v>
      </c>
      <c r="T95" s="36">
        <f t="shared" si="11"/>
        <v>2.3826000000000001</v>
      </c>
    </row>
    <row r="96" spans="1:20" x14ac:dyDescent="0.3">
      <c r="A96" s="2" t="s">
        <v>174</v>
      </c>
      <c r="B96" s="2" t="s">
        <v>175</v>
      </c>
      <c r="C96" s="13" t="s">
        <v>210</v>
      </c>
      <c r="D96" s="2" t="s">
        <v>25</v>
      </c>
      <c r="E96" s="13" t="s">
        <v>210</v>
      </c>
      <c r="F96" s="2" t="s">
        <v>211</v>
      </c>
      <c r="G96" s="20">
        <v>2.7330396475771002</v>
      </c>
      <c r="H96" s="34">
        <v>2.7330396475771002</v>
      </c>
      <c r="I96" s="36">
        <f t="shared" si="14"/>
        <v>4.714493392070497</v>
      </c>
      <c r="J96" s="36">
        <f t="shared" ref="J96:O104" si="15">$G96*J$1*J$2</f>
        <v>2.1357712752422966</v>
      </c>
      <c r="K96" s="36">
        <f t="shared" si="15"/>
        <v>3.5529515418502302</v>
      </c>
      <c r="L96" s="36">
        <f t="shared" si="15"/>
        <v>16.888818502202689</v>
      </c>
      <c r="M96" s="36">
        <f t="shared" si="15"/>
        <v>18.346758502202697</v>
      </c>
      <c r="N96" s="36">
        <f t="shared" si="15"/>
        <v>3.0315698703921496</v>
      </c>
      <c r="O96" s="36">
        <f t="shared" si="15"/>
        <v>228.40012334801824</v>
      </c>
      <c r="P96" s="36">
        <f t="shared" si="12"/>
        <v>27.620098678414173</v>
      </c>
      <c r="Q96" s="36">
        <f t="shared" si="12"/>
        <v>10.631387577092541</v>
      </c>
      <c r="R96" s="36">
        <f t="shared" si="12"/>
        <v>27.167643964757787</v>
      </c>
      <c r="S96" s="36">
        <f t="shared" si="12"/>
        <v>2.3046356828193897</v>
      </c>
      <c r="T96" s="36">
        <f t="shared" si="11"/>
        <v>2.5963876651982449</v>
      </c>
    </row>
    <row r="97" spans="1:20" x14ac:dyDescent="0.3">
      <c r="A97" s="2" t="s">
        <v>174</v>
      </c>
      <c r="B97" s="2" t="s">
        <v>175</v>
      </c>
      <c r="C97" s="13" t="s">
        <v>212</v>
      </c>
      <c r="D97" s="2" t="s">
        <v>25</v>
      </c>
      <c r="E97" s="13" t="s">
        <v>212</v>
      </c>
      <c r="F97" s="2" t="s">
        <v>213</v>
      </c>
      <c r="G97" s="20">
        <v>4.9383259911893997</v>
      </c>
      <c r="H97" s="34">
        <v>4.9383259911893997</v>
      </c>
      <c r="I97" s="36">
        <f t="shared" si="14"/>
        <v>8.5186123348017144</v>
      </c>
      <c r="J97" s="36">
        <f t="shared" si="15"/>
        <v>3.8591225008810355</v>
      </c>
      <c r="K97" s="36">
        <f t="shared" si="15"/>
        <v>6.4198237885462195</v>
      </c>
      <c r="L97" s="36">
        <f t="shared" si="15"/>
        <v>30.516385462554897</v>
      </c>
      <c r="M97" s="36">
        <f t="shared" si="15"/>
        <v>33.150735462554884</v>
      </c>
      <c r="N97" s="36">
        <f t="shared" si="15"/>
        <v>5.4777398850895729</v>
      </c>
      <c r="O97" s="36">
        <f t="shared" si="15"/>
        <v>412.69590308369811</v>
      </c>
      <c r="P97" s="36">
        <f t="shared" si="12"/>
        <v>49.906722466960076</v>
      </c>
      <c r="Q97" s="36">
        <f t="shared" si="12"/>
        <v>19.209841189427205</v>
      </c>
      <c r="R97" s="36">
        <f t="shared" si="12"/>
        <v>49.089182599118672</v>
      </c>
      <c r="S97" s="36">
        <f t="shared" si="12"/>
        <v>4.1642433920704613</v>
      </c>
      <c r="T97" s="36">
        <f t="shared" si="11"/>
        <v>4.6914096916299295</v>
      </c>
    </row>
    <row r="98" spans="1:20" x14ac:dyDescent="0.3">
      <c r="A98" s="2" t="s">
        <v>174</v>
      </c>
      <c r="B98" s="2" t="s">
        <v>175</v>
      </c>
      <c r="C98" s="13" t="s">
        <v>214</v>
      </c>
      <c r="D98" s="2" t="s">
        <v>25</v>
      </c>
      <c r="E98" s="13" t="s">
        <v>214</v>
      </c>
      <c r="F98" s="2" t="s">
        <v>215</v>
      </c>
      <c r="G98" s="19">
        <v>5.609691629956</v>
      </c>
      <c r="H98" s="34">
        <v>5.609691629956</v>
      </c>
      <c r="I98" s="36">
        <f t="shared" si="14"/>
        <v>9.6767180616740998</v>
      </c>
      <c r="J98" s="36">
        <f t="shared" si="15"/>
        <v>4.3837703770044465</v>
      </c>
      <c r="K98" s="36">
        <f t="shared" si="15"/>
        <v>7.2925991189428006</v>
      </c>
      <c r="L98" s="36">
        <f t="shared" si="15"/>
        <v>34.665089427313099</v>
      </c>
      <c r="M98" s="36">
        <f t="shared" si="15"/>
        <v>37.657579427313131</v>
      </c>
      <c r="N98" s="36">
        <f t="shared" si="15"/>
        <v>6.222438866791407</v>
      </c>
      <c r="O98" s="36">
        <f t="shared" si="15"/>
        <v>468.8019295154229</v>
      </c>
      <c r="P98" s="36">
        <f t="shared" si="12"/>
        <v>56.691543612335337</v>
      </c>
      <c r="Q98" s="36">
        <f t="shared" si="12"/>
        <v>21.821419955947341</v>
      </c>
      <c r="R98" s="36">
        <f t="shared" si="12"/>
        <v>55.762859162996122</v>
      </c>
      <c r="S98" s="36">
        <f t="shared" si="12"/>
        <v>4.7303724669603975</v>
      </c>
      <c r="T98" s="36">
        <f t="shared" si="11"/>
        <v>5.3292070484581995</v>
      </c>
    </row>
    <row r="99" spans="1:20" x14ac:dyDescent="0.3">
      <c r="A99" s="2" t="s">
        <v>174</v>
      </c>
      <c r="B99" s="2" t="s">
        <v>175</v>
      </c>
      <c r="C99" s="2" t="s">
        <v>216</v>
      </c>
      <c r="D99" s="2" t="s">
        <v>25</v>
      </c>
      <c r="E99" s="2" t="s">
        <v>216</v>
      </c>
      <c r="F99" s="2" t="s">
        <v>217</v>
      </c>
      <c r="G99" s="15">
        <v>6.76</v>
      </c>
      <c r="H99" s="33">
        <v>6.76</v>
      </c>
      <c r="I99" s="36">
        <f t="shared" si="14"/>
        <v>11.661</v>
      </c>
      <c r="J99" s="36">
        <f t="shared" si="15"/>
        <v>5.2826946119999993</v>
      </c>
      <c r="K99" s="36">
        <f t="shared" si="15"/>
        <v>8.7880000000000003</v>
      </c>
      <c r="L99" s="36">
        <f t="shared" si="15"/>
        <v>41.773419999999994</v>
      </c>
      <c r="M99" s="36">
        <f t="shared" si="15"/>
        <v>45.379542000000001</v>
      </c>
      <c r="N99" s="36">
        <f t="shared" si="15"/>
        <v>7.4983955472504</v>
      </c>
      <c r="O99" s="36">
        <f t="shared" si="15"/>
        <v>564.93319999999994</v>
      </c>
      <c r="P99" s="36">
        <f t="shared" si="12"/>
        <v>68.316559999999996</v>
      </c>
      <c r="Q99" s="36">
        <f t="shared" si="12"/>
        <v>26.296061999999999</v>
      </c>
      <c r="R99" s="36">
        <f t="shared" si="12"/>
        <v>67.197441999999995</v>
      </c>
      <c r="S99" s="36">
        <f t="shared" si="12"/>
        <v>5.7003700000000004</v>
      </c>
      <c r="T99" s="36">
        <f t="shared" si="11"/>
        <v>6.4219999999999997</v>
      </c>
    </row>
    <row r="100" spans="1:20" x14ac:dyDescent="0.3">
      <c r="A100" s="2" t="s">
        <v>174</v>
      </c>
      <c r="B100" s="2" t="s">
        <v>175</v>
      </c>
      <c r="C100" s="13" t="s">
        <v>218</v>
      </c>
      <c r="D100" s="2" t="s">
        <v>25</v>
      </c>
      <c r="E100" s="13" t="s">
        <v>218</v>
      </c>
      <c r="F100" s="2" t="s">
        <v>219</v>
      </c>
      <c r="G100" s="19">
        <v>1.2140969162996</v>
      </c>
      <c r="H100" s="34">
        <v>1.2140969162996</v>
      </c>
      <c r="I100" s="36">
        <f t="shared" si="14"/>
        <v>2.0943171806168097</v>
      </c>
      <c r="J100" s="36">
        <f t="shared" si="15"/>
        <v>0.94877266837007579</v>
      </c>
      <c r="K100" s="36">
        <f t="shared" si="15"/>
        <v>1.57832599118948</v>
      </c>
      <c r="L100" s="36">
        <f t="shared" si="15"/>
        <v>7.5025118942733773</v>
      </c>
      <c r="M100" s="36">
        <f t="shared" si="15"/>
        <v>8.1501718942734005</v>
      </c>
      <c r="N100" s="36">
        <f t="shared" si="15"/>
        <v>1.3467128566732784</v>
      </c>
      <c r="O100" s="36">
        <f t="shared" si="15"/>
        <v>101.46207929515757</v>
      </c>
      <c r="P100" s="36">
        <f t="shared" si="12"/>
        <v>12.269663436123757</v>
      </c>
      <c r="Q100" s="36">
        <f t="shared" si="12"/>
        <v>4.7227762995596292</v>
      </c>
      <c r="R100" s="36">
        <f t="shared" si="12"/>
        <v>12.06866969163036</v>
      </c>
      <c r="S100" s="36">
        <f t="shared" si="12"/>
        <v>1.0237872246696378</v>
      </c>
      <c r="T100" s="36">
        <f t="shared" si="11"/>
        <v>1.1533920704846199</v>
      </c>
    </row>
    <row r="101" spans="1:20" x14ac:dyDescent="0.3">
      <c r="A101" s="2" t="s">
        <v>174</v>
      </c>
      <c r="B101" s="2" t="s">
        <v>220</v>
      </c>
      <c r="C101" s="13" t="s">
        <v>221</v>
      </c>
      <c r="D101" s="2" t="s">
        <v>25</v>
      </c>
      <c r="E101" s="13" t="s">
        <v>221</v>
      </c>
      <c r="F101" s="2" t="s">
        <v>222</v>
      </c>
      <c r="G101" s="20">
        <v>10.8334801762115</v>
      </c>
      <c r="H101" s="34">
        <v>10.8334801762115</v>
      </c>
      <c r="I101" s="36">
        <f t="shared" si="14"/>
        <v>18.687753303964836</v>
      </c>
      <c r="J101" s="36">
        <f t="shared" si="15"/>
        <v>8.4659715023788902</v>
      </c>
      <c r="K101" s="36">
        <f t="shared" si="15"/>
        <v>14.083524229074952</v>
      </c>
      <c r="L101" s="36">
        <f t="shared" si="15"/>
        <v>66.945490748898962</v>
      </c>
      <c r="M101" s="36">
        <f t="shared" si="15"/>
        <v>72.724610748898996</v>
      </c>
      <c r="N101" s="36">
        <f t="shared" si="15"/>
        <v>12.016822413391981</v>
      </c>
      <c r="O101" s="36">
        <f t="shared" si="15"/>
        <v>905.35393832599505</v>
      </c>
      <c r="P101" s="36">
        <f t="shared" si="12"/>
        <v>109.48315066079343</v>
      </c>
      <c r="Q101" s="36">
        <f t="shared" si="12"/>
        <v>42.141696211453926</v>
      </c>
      <c r="R101" s="36">
        <f t="shared" si="12"/>
        <v>107.68966801762161</v>
      </c>
      <c r="S101" s="36">
        <f t="shared" si="12"/>
        <v>9.135332158590348</v>
      </c>
      <c r="T101" s="36">
        <f t="shared" ref="T101:T132" si="16">$G101*T$1*T$2</f>
        <v>10.291806167400924</v>
      </c>
    </row>
    <row r="102" spans="1:20" x14ac:dyDescent="0.3">
      <c r="A102" s="2" t="s">
        <v>174</v>
      </c>
      <c r="B102" s="2" t="s">
        <v>23</v>
      </c>
      <c r="C102" s="2" t="s">
        <v>223</v>
      </c>
      <c r="D102" s="2" t="s">
        <v>25</v>
      </c>
      <c r="E102" s="2" t="s">
        <v>223</v>
      </c>
      <c r="F102" s="2" t="s">
        <v>224</v>
      </c>
      <c r="G102" s="15">
        <v>7.0768499999999998E-2</v>
      </c>
      <c r="H102" s="33">
        <v>7.0768499999999998E-2</v>
      </c>
      <c r="I102" s="36">
        <f t="shared" si="14"/>
        <v>0.12207566249999997</v>
      </c>
      <c r="J102" s="36">
        <f t="shared" si="15"/>
        <v>5.5303013853449996E-2</v>
      </c>
      <c r="K102" s="36">
        <f t="shared" si="15"/>
        <v>9.1999049999999999E-2</v>
      </c>
      <c r="L102" s="36">
        <f t="shared" si="15"/>
        <v>0.43731394574999993</v>
      </c>
      <c r="M102" s="36">
        <f t="shared" si="15"/>
        <v>0.47506540207499998</v>
      </c>
      <c r="N102" s="36">
        <f t="shared" si="15"/>
        <v>7.8498551077749987E-2</v>
      </c>
      <c r="O102" s="36">
        <f t="shared" si="15"/>
        <v>5.9141235449999989</v>
      </c>
      <c r="P102" s="36">
        <f t="shared" si="12"/>
        <v>0.71518646099999994</v>
      </c>
      <c r="Q102" s="36">
        <f t="shared" si="12"/>
        <v>0.27528592657499995</v>
      </c>
      <c r="R102" s="36">
        <f t="shared" si="12"/>
        <v>0.70347073582499997</v>
      </c>
      <c r="S102" s="36">
        <f t="shared" si="12"/>
        <v>5.9675537625000004E-2</v>
      </c>
      <c r="T102" s="36">
        <f t="shared" si="16"/>
        <v>6.7230075E-2</v>
      </c>
    </row>
    <row r="103" spans="1:20" x14ac:dyDescent="0.3">
      <c r="A103" s="2" t="s">
        <v>174</v>
      </c>
      <c r="B103" s="2" t="s">
        <v>23</v>
      </c>
      <c r="C103" s="2" t="s">
        <v>225</v>
      </c>
      <c r="D103" s="2" t="s">
        <v>25</v>
      </c>
      <c r="E103" s="2" t="s">
        <v>225</v>
      </c>
      <c r="F103" s="2" t="s">
        <v>226</v>
      </c>
      <c r="G103" s="15">
        <v>9.4358250000000005E-2</v>
      </c>
      <c r="H103" s="33">
        <v>9.4358250000000005E-2</v>
      </c>
      <c r="I103" s="36">
        <f t="shared" si="14"/>
        <v>0.16276798125</v>
      </c>
      <c r="J103" s="36">
        <f t="shared" si="15"/>
        <v>7.3737547170524997E-2</v>
      </c>
      <c r="K103" s="36">
        <f t="shared" si="15"/>
        <v>0.12266572500000002</v>
      </c>
      <c r="L103" s="36">
        <f t="shared" si="15"/>
        <v>0.58308680587500006</v>
      </c>
      <c r="M103" s="36">
        <f t="shared" si="15"/>
        <v>0.63342221433750001</v>
      </c>
      <c r="N103" s="36">
        <f t="shared" si="15"/>
        <v>0.10466501207786096</v>
      </c>
      <c r="O103" s="36">
        <f t="shared" si="15"/>
        <v>7.8855189525</v>
      </c>
      <c r="P103" s="36">
        <f t="shared" si="12"/>
        <v>0.95358447450000006</v>
      </c>
      <c r="Q103" s="36">
        <f t="shared" si="12"/>
        <v>0.36704887458750002</v>
      </c>
      <c r="R103" s="36">
        <f t="shared" si="12"/>
        <v>0.93796346621250004</v>
      </c>
      <c r="S103" s="36">
        <f t="shared" si="12"/>
        <v>7.9567594312500003E-2</v>
      </c>
      <c r="T103" s="36">
        <f t="shared" si="16"/>
        <v>8.96403375E-2</v>
      </c>
    </row>
    <row r="104" spans="1:20" x14ac:dyDescent="0.3">
      <c r="A104" s="2" t="s">
        <v>174</v>
      </c>
      <c r="B104" s="2" t="s">
        <v>23</v>
      </c>
      <c r="C104" s="2" t="s">
        <v>227</v>
      </c>
      <c r="D104" s="2" t="s">
        <v>25</v>
      </c>
      <c r="E104" s="2" t="s">
        <v>227</v>
      </c>
      <c r="F104" s="2" t="s">
        <v>228</v>
      </c>
      <c r="G104" s="15">
        <v>0.11794775</v>
      </c>
      <c r="H104" s="33">
        <v>0.11794775</v>
      </c>
      <c r="I104" s="36">
        <f t="shared" si="14"/>
        <v>0.20345986874999999</v>
      </c>
      <c r="J104" s="36">
        <f t="shared" si="15"/>
        <v>9.2171885121674998E-2</v>
      </c>
      <c r="K104" s="36">
        <f t="shared" si="15"/>
        <v>0.15333207500000001</v>
      </c>
      <c r="L104" s="36">
        <f t="shared" si="15"/>
        <v>0.72885812112499992</v>
      </c>
      <c r="M104" s="36">
        <f t="shared" si="15"/>
        <v>0.79177734836250002</v>
      </c>
      <c r="N104" s="36">
        <f t="shared" si="15"/>
        <v>0.13083119577044428</v>
      </c>
      <c r="O104" s="36">
        <f t="shared" si="15"/>
        <v>9.8568934674999991</v>
      </c>
      <c r="P104" s="36">
        <f t="shared" si="12"/>
        <v>1.1919799615</v>
      </c>
      <c r="Q104" s="36">
        <f t="shared" si="12"/>
        <v>0.4588108501125</v>
      </c>
      <c r="R104" s="36">
        <f t="shared" si="12"/>
        <v>1.1724537114875</v>
      </c>
      <c r="S104" s="36">
        <f t="shared" si="12"/>
        <v>9.9459440187500012E-2</v>
      </c>
      <c r="T104" s="36">
        <f t="shared" si="16"/>
        <v>0.1120503625</v>
      </c>
    </row>
    <row r="105" spans="1:20" x14ac:dyDescent="0.3">
      <c r="A105" s="2" t="s">
        <v>174</v>
      </c>
      <c r="B105" s="2" t="s">
        <v>23</v>
      </c>
      <c r="C105" s="2" t="s">
        <v>229</v>
      </c>
      <c r="D105" s="2" t="s">
        <v>25</v>
      </c>
      <c r="E105" s="2" t="s">
        <v>229</v>
      </c>
      <c r="F105" s="2" t="s">
        <v>230</v>
      </c>
      <c r="G105" s="15">
        <v>0.14153725</v>
      </c>
      <c r="H105" s="33">
        <v>0.14153725</v>
      </c>
      <c r="I105" s="36">
        <f t="shared" si="14"/>
        <v>0.24415175624999999</v>
      </c>
      <c r="J105" s="36">
        <f>$G105*J$1*J$2</f>
        <v>0.110606223072825</v>
      </c>
      <c r="K105" s="36">
        <f>$G105*K$1*K$2</f>
        <v>0.18399842500000002</v>
      </c>
      <c r="L105" s="36">
        <f>$G105*L$1*L$2</f>
        <v>0.8746294363749999</v>
      </c>
      <c r="M105" s="36">
        <f t="shared" ref="J105:S128" si="17">$G105*M$1*M$2</f>
        <v>0.95013248238750003</v>
      </c>
      <c r="N105" s="36">
        <f t="shared" si="17"/>
        <v>0.15699737946302761</v>
      </c>
      <c r="O105" s="36">
        <f t="shared" si="17"/>
        <v>11.8282679825</v>
      </c>
      <c r="P105" s="36">
        <f t="shared" si="17"/>
        <v>1.4303754485</v>
      </c>
      <c r="Q105" s="36">
        <f t="shared" si="17"/>
        <v>0.55057282563749999</v>
      </c>
      <c r="R105" s="36">
        <f t="shared" si="17"/>
        <v>1.4069439567625002</v>
      </c>
      <c r="S105" s="36">
        <f t="shared" si="17"/>
        <v>0.11935128606250001</v>
      </c>
      <c r="T105" s="36">
        <f t="shared" si="16"/>
        <v>0.1344603875</v>
      </c>
    </row>
    <row r="106" spans="1:20" x14ac:dyDescent="0.3">
      <c r="A106" s="2" t="s">
        <v>174</v>
      </c>
      <c r="B106" s="2" t="s">
        <v>23</v>
      </c>
      <c r="C106" s="2" t="s">
        <v>231</v>
      </c>
      <c r="D106" s="2" t="s">
        <v>25</v>
      </c>
      <c r="E106" s="2" t="s">
        <v>231</v>
      </c>
      <c r="F106" s="2" t="s">
        <v>232</v>
      </c>
      <c r="G106" s="15">
        <v>0.18871625</v>
      </c>
      <c r="H106" s="33">
        <v>0.18871625</v>
      </c>
      <c r="I106" s="36">
        <f t="shared" si="14"/>
        <v>0.32553553124999995</v>
      </c>
      <c r="J106" s="36">
        <f t="shared" si="17"/>
        <v>0.147474898975125</v>
      </c>
      <c r="K106" s="36">
        <f t="shared" si="17"/>
        <v>0.24533112500000001</v>
      </c>
      <c r="L106" s="36">
        <f t="shared" si="17"/>
        <v>1.166172066875</v>
      </c>
      <c r="M106" s="36">
        <f t="shared" si="17"/>
        <v>1.2668427504374999</v>
      </c>
      <c r="N106" s="36">
        <f t="shared" si="17"/>
        <v>0.2093297468481943</v>
      </c>
      <c r="O106" s="36">
        <f t="shared" si="17"/>
        <v>15.7710170125</v>
      </c>
      <c r="P106" s="36">
        <f t="shared" si="17"/>
        <v>1.9071664225</v>
      </c>
      <c r="Q106" s="36">
        <f t="shared" si="17"/>
        <v>0.73409677668749995</v>
      </c>
      <c r="R106" s="36">
        <f t="shared" si="17"/>
        <v>1.8759244473125001</v>
      </c>
      <c r="S106" s="36">
        <f t="shared" si="17"/>
        <v>0.15913497781250002</v>
      </c>
      <c r="T106" s="36">
        <f t="shared" si="16"/>
        <v>0.1792804375</v>
      </c>
    </row>
    <row r="107" spans="1:20" x14ac:dyDescent="0.3">
      <c r="A107" s="2" t="s">
        <v>174</v>
      </c>
      <c r="B107" s="2" t="s">
        <v>23</v>
      </c>
      <c r="C107" s="2" t="s">
        <v>233</v>
      </c>
      <c r="D107" s="2" t="s">
        <v>25</v>
      </c>
      <c r="E107" s="2" t="s">
        <v>233</v>
      </c>
      <c r="F107" s="2" t="s">
        <v>234</v>
      </c>
      <c r="G107" s="15">
        <v>0.23589550000000001</v>
      </c>
      <c r="H107" s="33">
        <v>0.23589550000000001</v>
      </c>
      <c r="I107" s="36">
        <f t="shared" si="14"/>
        <v>0.40691973749999999</v>
      </c>
      <c r="J107" s="36">
        <f t="shared" si="17"/>
        <v>0.18434377024335</v>
      </c>
      <c r="K107" s="36">
        <f t="shared" si="17"/>
        <v>0.30666415000000002</v>
      </c>
      <c r="L107" s="36">
        <f t="shared" si="17"/>
        <v>1.4577162422499998</v>
      </c>
      <c r="M107" s="36">
        <f t="shared" si="17"/>
        <v>1.583554696725</v>
      </c>
      <c r="N107" s="36">
        <f t="shared" si="17"/>
        <v>0.26166239154088855</v>
      </c>
      <c r="O107" s="36">
        <f t="shared" si="17"/>
        <v>19.713786934999998</v>
      </c>
      <c r="P107" s="36">
        <f t="shared" si="17"/>
        <v>2.3839599229999999</v>
      </c>
      <c r="Q107" s="36">
        <f t="shared" si="17"/>
        <v>0.917621700225</v>
      </c>
      <c r="R107" s="36">
        <f t="shared" si="17"/>
        <v>2.344907422975</v>
      </c>
      <c r="S107" s="36">
        <f t="shared" si="17"/>
        <v>0.19891888037500002</v>
      </c>
      <c r="T107" s="36">
        <f t="shared" si="16"/>
        <v>0.224100725</v>
      </c>
    </row>
    <row r="108" spans="1:20" x14ac:dyDescent="0.3">
      <c r="A108" s="2" t="s">
        <v>174</v>
      </c>
      <c r="B108" s="2" t="s">
        <v>23</v>
      </c>
      <c r="C108" s="13" t="s">
        <v>235</v>
      </c>
      <c r="D108" s="2" t="s">
        <v>25</v>
      </c>
      <c r="E108" s="13" t="s">
        <v>235</v>
      </c>
      <c r="F108" s="2" t="s">
        <v>236</v>
      </c>
      <c r="G108" s="18">
        <v>0.19356899999999999</v>
      </c>
      <c r="H108" s="34">
        <v>0.19356899999999999</v>
      </c>
      <c r="I108" s="36">
        <f t="shared" si="14"/>
        <v>0.33390652499999995</v>
      </c>
      <c r="J108" s="36">
        <f t="shared" si="17"/>
        <v>0.1512671469453</v>
      </c>
      <c r="K108" s="36">
        <f t="shared" si="17"/>
        <v>0.25163970000000002</v>
      </c>
      <c r="L108" s="36">
        <f t="shared" si="17"/>
        <v>1.1961596354999999</v>
      </c>
      <c r="M108" s="36">
        <f t="shared" si="17"/>
        <v>1.2994190185500001</v>
      </c>
      <c r="N108" s="36">
        <f t="shared" si="17"/>
        <v>0.21471256326711727</v>
      </c>
      <c r="O108" s="36">
        <f t="shared" si="17"/>
        <v>16.176561329999998</v>
      </c>
      <c r="P108" s="36">
        <f t="shared" si="17"/>
        <v>1.9562083139999999</v>
      </c>
      <c r="Q108" s="36">
        <f t="shared" si="17"/>
        <v>0.75297373154999991</v>
      </c>
      <c r="R108" s="36">
        <f t="shared" si="17"/>
        <v>1.9241629660499999</v>
      </c>
      <c r="S108" s="36">
        <f t="shared" si="17"/>
        <v>0.16322705925</v>
      </c>
      <c r="T108" s="36">
        <f t="shared" si="16"/>
        <v>0.18389054999999999</v>
      </c>
    </row>
    <row r="109" spans="1:20" x14ac:dyDescent="0.3">
      <c r="A109" s="2" t="s">
        <v>174</v>
      </c>
      <c r="B109" s="2" t="s">
        <v>23</v>
      </c>
      <c r="C109" s="2" t="s">
        <v>237</v>
      </c>
      <c r="D109" s="2" t="s">
        <v>25</v>
      </c>
      <c r="E109" s="2" t="s">
        <v>237</v>
      </c>
      <c r="F109" s="2" t="s">
        <v>238</v>
      </c>
      <c r="G109" s="15">
        <v>3.029142857142857E-2</v>
      </c>
      <c r="H109" s="33">
        <v>3.029142857142857E-2</v>
      </c>
      <c r="I109" s="36">
        <f t="shared" si="14"/>
        <v>5.2252714285714284E-2</v>
      </c>
      <c r="J109" s="36">
        <f t="shared" si="17"/>
        <v>2.3671651849714283E-2</v>
      </c>
      <c r="K109" s="36">
        <f t="shared" si="17"/>
        <v>3.9378857142857139E-2</v>
      </c>
      <c r="L109" s="36">
        <f t="shared" si="17"/>
        <v>0.18718588285714283</v>
      </c>
      <c r="M109" s="36">
        <f t="shared" si="17"/>
        <v>0.20334484542857142</v>
      </c>
      <c r="N109" s="36">
        <f t="shared" si="17"/>
        <v>3.360016466270023E-2</v>
      </c>
      <c r="O109" s="36">
        <f t="shared" si="17"/>
        <v>2.5314546857142854</v>
      </c>
      <c r="P109" s="36">
        <f t="shared" si="17"/>
        <v>0.30612517714285714</v>
      </c>
      <c r="Q109" s="36">
        <f t="shared" si="17"/>
        <v>0.11783214257142856</v>
      </c>
      <c r="R109" s="36">
        <f t="shared" si="17"/>
        <v>0.30111043114285713</v>
      </c>
      <c r="S109" s="36">
        <f t="shared" si="17"/>
        <v>2.5543247142857144E-2</v>
      </c>
      <c r="T109" s="36">
        <f t="shared" si="16"/>
        <v>2.8776857142857139E-2</v>
      </c>
    </row>
    <row r="110" spans="1:20" x14ac:dyDescent="0.3">
      <c r="A110" s="2" t="s">
        <v>174</v>
      </c>
      <c r="B110" s="2" t="s">
        <v>23</v>
      </c>
      <c r="C110" s="2" t="s">
        <v>239</v>
      </c>
      <c r="D110" s="2" t="s">
        <v>25</v>
      </c>
      <c r="E110" s="2" t="s">
        <v>239</v>
      </c>
      <c r="F110" s="2" t="s">
        <v>240</v>
      </c>
      <c r="G110" s="15">
        <v>0.28307399999999999</v>
      </c>
      <c r="H110" s="33">
        <v>0.28307399999999999</v>
      </c>
      <c r="I110" s="36">
        <f t="shared" si="14"/>
        <v>0.48830264999999989</v>
      </c>
      <c r="J110" s="36">
        <f t="shared" si="17"/>
        <v>0.22121205541379999</v>
      </c>
      <c r="K110" s="36">
        <f t="shared" si="17"/>
        <v>0.3679962</v>
      </c>
      <c r="L110" s="36">
        <f t="shared" si="17"/>
        <v>1.7492557829999997</v>
      </c>
      <c r="M110" s="36">
        <f t="shared" si="17"/>
        <v>1.9002616082999999</v>
      </c>
      <c r="N110" s="36">
        <f t="shared" si="17"/>
        <v>0.31399420431099995</v>
      </c>
      <c r="O110" s="36">
        <f t="shared" si="17"/>
        <v>23.656494179999996</v>
      </c>
      <c r="P110" s="36">
        <f t="shared" si="17"/>
        <v>2.8607458439999998</v>
      </c>
      <c r="Q110" s="36">
        <f t="shared" si="17"/>
        <v>1.1011437062999998</v>
      </c>
      <c r="R110" s="36">
        <f t="shared" si="17"/>
        <v>2.8138829432999999</v>
      </c>
      <c r="S110" s="36">
        <f t="shared" si="17"/>
        <v>0.23870215050000002</v>
      </c>
      <c r="T110" s="36">
        <f t="shared" si="16"/>
        <v>0.2689203</v>
      </c>
    </row>
    <row r="111" spans="1:20" x14ac:dyDescent="0.3">
      <c r="A111" s="2" t="s">
        <v>174</v>
      </c>
      <c r="B111" s="2" t="s">
        <v>241</v>
      </c>
      <c r="C111" s="2" t="s">
        <v>242</v>
      </c>
      <c r="D111" s="2" t="s">
        <v>25</v>
      </c>
      <c r="E111" s="2" t="s">
        <v>242</v>
      </c>
      <c r="F111" s="2" t="s">
        <v>243</v>
      </c>
      <c r="G111" s="15">
        <v>9.4649999999999999</v>
      </c>
      <c r="H111" s="33">
        <v>9.4649999999999999</v>
      </c>
      <c r="I111" s="36">
        <f t="shared" si="14"/>
        <v>16.327124999999999</v>
      </c>
      <c r="J111" s="36">
        <f t="shared" si="17"/>
        <v>7.3965539204999997</v>
      </c>
      <c r="K111" s="36">
        <f t="shared" si="17"/>
        <v>12.304500000000001</v>
      </c>
      <c r="L111" s="36">
        <f t="shared" si="17"/>
        <v>58.488967499999994</v>
      </c>
      <c r="M111" s="36">
        <f t="shared" si="17"/>
        <v>63.53807175</v>
      </c>
      <c r="N111" s="36">
        <f t="shared" si="17"/>
        <v>10.498862996261101</v>
      </c>
      <c r="O111" s="36">
        <f t="shared" si="17"/>
        <v>790.99004999999988</v>
      </c>
      <c r="P111" s="36">
        <f t="shared" si="17"/>
        <v>95.653289999999998</v>
      </c>
      <c r="Q111" s="36">
        <f t="shared" si="17"/>
        <v>36.818376749999999</v>
      </c>
      <c r="R111" s="36">
        <f t="shared" si="17"/>
        <v>94.086359250000001</v>
      </c>
      <c r="S111" s="36">
        <f t="shared" si="17"/>
        <v>7.98136125</v>
      </c>
      <c r="T111" s="36">
        <f t="shared" si="16"/>
        <v>8.9917499999999997</v>
      </c>
    </row>
    <row r="112" spans="1:20" x14ac:dyDescent="0.3">
      <c r="A112" s="2" t="s">
        <v>174</v>
      </c>
      <c r="B112" s="2" t="s">
        <v>241</v>
      </c>
      <c r="C112" s="2" t="s">
        <v>244</v>
      </c>
      <c r="D112" s="2" t="s">
        <v>25</v>
      </c>
      <c r="E112" s="2" t="s">
        <v>244</v>
      </c>
      <c r="F112" s="2" t="s">
        <v>245</v>
      </c>
      <c r="G112" s="15">
        <v>12.62</v>
      </c>
      <c r="H112" s="33">
        <v>12.62</v>
      </c>
      <c r="I112" s="36">
        <f t="shared" si="14"/>
        <v>21.769499999999997</v>
      </c>
      <c r="J112" s="36">
        <f t="shared" si="17"/>
        <v>9.8620718939999996</v>
      </c>
      <c r="K112" s="36">
        <f t="shared" si="17"/>
        <v>16.405999999999999</v>
      </c>
      <c r="L112" s="36">
        <f t="shared" si="17"/>
        <v>77.985289999999992</v>
      </c>
      <c r="M112" s="36">
        <f t="shared" si="17"/>
        <v>84.717428999999996</v>
      </c>
      <c r="N112" s="36">
        <f t="shared" si="17"/>
        <v>13.9984839950148</v>
      </c>
      <c r="O112" s="36">
        <f t="shared" si="17"/>
        <v>1054.6533999999999</v>
      </c>
      <c r="P112" s="36">
        <f t="shared" si="17"/>
        <v>127.53771999999999</v>
      </c>
      <c r="Q112" s="36">
        <f t="shared" si="17"/>
        <v>49.091168999999994</v>
      </c>
      <c r="R112" s="36">
        <f t="shared" si="17"/>
        <v>125.44847899999999</v>
      </c>
      <c r="S112" s="36">
        <f t="shared" si="17"/>
        <v>10.641814999999999</v>
      </c>
      <c r="T112" s="36">
        <f t="shared" si="16"/>
        <v>11.988999999999999</v>
      </c>
    </row>
    <row r="113" spans="1:20" x14ac:dyDescent="0.3">
      <c r="A113" s="2" t="s">
        <v>174</v>
      </c>
      <c r="B113" s="2" t="s">
        <v>241</v>
      </c>
      <c r="C113" s="2" t="s">
        <v>246</v>
      </c>
      <c r="D113" s="2" t="s">
        <v>25</v>
      </c>
      <c r="E113" s="2" t="s">
        <v>246</v>
      </c>
      <c r="F113" s="2" t="s">
        <v>247</v>
      </c>
      <c r="G113" s="15">
        <v>15.776</v>
      </c>
      <c r="H113" s="33">
        <v>15.776</v>
      </c>
      <c r="I113" s="36">
        <f t="shared" si="14"/>
        <v>27.2136</v>
      </c>
      <c r="J113" s="36">
        <f t="shared" si="17"/>
        <v>12.3283713312</v>
      </c>
      <c r="K113" s="36">
        <f t="shared" si="17"/>
        <v>20.508800000000001</v>
      </c>
      <c r="L113" s="36">
        <f t="shared" si="17"/>
        <v>97.487791999999999</v>
      </c>
      <c r="M113" s="36">
        <f t="shared" si="17"/>
        <v>105.9034992</v>
      </c>
      <c r="N113" s="36">
        <f t="shared" si="17"/>
        <v>17.49921422387904</v>
      </c>
      <c r="O113" s="36">
        <f t="shared" si="17"/>
        <v>1318.40032</v>
      </c>
      <c r="P113" s="36">
        <f t="shared" si="17"/>
        <v>159.432256</v>
      </c>
      <c r="Q113" s="36">
        <f t="shared" si="17"/>
        <v>61.367851199999997</v>
      </c>
      <c r="R113" s="36">
        <f t="shared" si="17"/>
        <v>156.82053920000001</v>
      </c>
      <c r="S113" s="36">
        <f t="shared" si="17"/>
        <v>13.303112</v>
      </c>
      <c r="T113" s="36">
        <f t="shared" si="16"/>
        <v>14.9872</v>
      </c>
    </row>
    <row r="114" spans="1:20" x14ac:dyDescent="0.3">
      <c r="A114" s="2" t="s">
        <v>174</v>
      </c>
      <c r="B114" s="2" t="s">
        <v>241</v>
      </c>
      <c r="C114" s="13" t="s">
        <v>248</v>
      </c>
      <c r="D114" s="2" t="s">
        <v>25</v>
      </c>
      <c r="E114" s="13" t="s">
        <v>248</v>
      </c>
      <c r="F114" s="2" t="s">
        <v>249</v>
      </c>
      <c r="G114" s="19">
        <v>19.049339207048501</v>
      </c>
      <c r="H114" s="34">
        <v>19.049339207048501</v>
      </c>
      <c r="I114" s="36">
        <f>$G114*I$1*I$2</f>
        <v>32.86011013215866</v>
      </c>
      <c r="J114" s="36">
        <f t="shared" si="17"/>
        <v>14.886367099295187</v>
      </c>
      <c r="K114" s="36">
        <f t="shared" si="17"/>
        <v>24.764140969163051</v>
      </c>
      <c r="L114" s="36">
        <f t="shared" si="17"/>
        <v>117.71539162995619</v>
      </c>
      <c r="M114" s="36">
        <f t="shared" si="17"/>
        <v>127.87726162995624</v>
      </c>
      <c r="N114" s="36">
        <f t="shared" si="17"/>
        <v>21.130100634348366</v>
      </c>
      <c r="O114" s="36">
        <f t="shared" si="17"/>
        <v>1591.9532775330431</v>
      </c>
      <c r="P114" s="36">
        <f t="shared" si="17"/>
        <v>192.51262202643215</v>
      </c>
      <c r="Q114" s="36">
        <f t="shared" si="17"/>
        <v>74.100977048458319</v>
      </c>
      <c r="R114" s="36">
        <f t="shared" si="17"/>
        <v>189.35900392070528</v>
      </c>
      <c r="S114" s="36">
        <f t="shared" si="17"/>
        <v>16.063355286343651</v>
      </c>
      <c r="T114" s="36">
        <f t="shared" si="16"/>
        <v>18.096872246696076</v>
      </c>
    </row>
    <row r="115" spans="1:20" x14ac:dyDescent="0.3">
      <c r="A115" s="2" t="s">
        <v>174</v>
      </c>
      <c r="B115" s="2" t="s">
        <v>241</v>
      </c>
      <c r="C115" s="2" t="s">
        <v>250</v>
      </c>
      <c r="D115" s="2" t="s">
        <v>25</v>
      </c>
      <c r="E115" s="2" t="s">
        <v>250</v>
      </c>
      <c r="F115" s="2" t="s">
        <v>251</v>
      </c>
      <c r="G115" s="15">
        <v>14.567</v>
      </c>
      <c r="H115" s="33">
        <v>14.567</v>
      </c>
      <c r="I115" s="36">
        <f t="shared" si="14"/>
        <v>25.128074999999999</v>
      </c>
      <c r="J115" s="36">
        <f t="shared" si="17"/>
        <v>11.3835817179</v>
      </c>
      <c r="K115" s="36">
        <f t="shared" si="17"/>
        <v>18.937100000000001</v>
      </c>
      <c r="L115" s="36">
        <f t="shared" si="17"/>
        <v>90.016776499999992</v>
      </c>
      <c r="M115" s="36">
        <f t="shared" si="17"/>
        <v>97.787542650000006</v>
      </c>
      <c r="N115" s="36">
        <f t="shared" si="17"/>
        <v>16.15815502023618</v>
      </c>
      <c r="O115" s="36">
        <f t="shared" si="17"/>
        <v>1217.36419</v>
      </c>
      <c r="P115" s="36">
        <f t="shared" si="17"/>
        <v>147.214102</v>
      </c>
      <c r="Q115" s="36">
        <f t="shared" si="17"/>
        <v>56.664901649999997</v>
      </c>
      <c r="R115" s="36">
        <f t="shared" si="17"/>
        <v>144.80253515000001</v>
      </c>
      <c r="S115" s="36">
        <f t="shared" si="17"/>
        <v>12.283622750000001</v>
      </c>
      <c r="T115" s="36">
        <f t="shared" si="16"/>
        <v>13.838649999999999</v>
      </c>
    </row>
    <row r="116" spans="1:20" x14ac:dyDescent="0.3">
      <c r="A116" s="2" t="s">
        <v>174</v>
      </c>
      <c r="B116" s="2" t="s">
        <v>241</v>
      </c>
      <c r="C116" s="2" t="s">
        <v>252</v>
      </c>
      <c r="D116" s="2" t="s">
        <v>25</v>
      </c>
      <c r="E116" s="2" t="s">
        <v>252</v>
      </c>
      <c r="F116" s="2" t="s">
        <v>253</v>
      </c>
      <c r="G116" s="15">
        <v>17.722000000000001</v>
      </c>
      <c r="H116" s="33">
        <v>17.722000000000001</v>
      </c>
      <c r="I116" s="36">
        <f t="shared" si="14"/>
        <v>30.570450000000001</v>
      </c>
      <c r="J116" s="36">
        <f t="shared" si="17"/>
        <v>13.849099691400001</v>
      </c>
      <c r="K116" s="36">
        <f t="shared" si="17"/>
        <v>23.038600000000002</v>
      </c>
      <c r="L116" s="36">
        <f t="shared" si="17"/>
        <v>109.513099</v>
      </c>
      <c r="M116" s="36">
        <f t="shared" si="17"/>
        <v>118.96689990000002</v>
      </c>
      <c r="N116" s="36">
        <f t="shared" si="17"/>
        <v>19.657776018989882</v>
      </c>
      <c r="O116" s="36">
        <f t="shared" si="17"/>
        <v>1481.02754</v>
      </c>
      <c r="P116" s="36">
        <f t="shared" si="17"/>
        <v>179.09853200000001</v>
      </c>
      <c r="Q116" s="36">
        <f t="shared" si="17"/>
        <v>68.937693899999999</v>
      </c>
      <c r="R116" s="36">
        <f t="shared" si="17"/>
        <v>176.16465490000002</v>
      </c>
      <c r="S116" s="36">
        <f t="shared" si="17"/>
        <v>14.944076500000001</v>
      </c>
      <c r="T116" s="36">
        <f t="shared" si="16"/>
        <v>16.835899999999999</v>
      </c>
    </row>
    <row r="117" spans="1:20" x14ac:dyDescent="0.3">
      <c r="A117" s="2" t="s">
        <v>174</v>
      </c>
      <c r="B117" s="2" t="s">
        <v>241</v>
      </c>
      <c r="C117" s="2" t="s">
        <v>254</v>
      </c>
      <c r="D117" s="2" t="s">
        <v>25</v>
      </c>
      <c r="E117" s="2" t="s">
        <v>254</v>
      </c>
      <c r="F117" s="2" t="s">
        <v>255</v>
      </c>
      <c r="G117" s="15">
        <v>20.878</v>
      </c>
      <c r="H117" s="33">
        <v>20.878</v>
      </c>
      <c r="I117" s="36">
        <f t="shared" si="14"/>
        <v>36.01455</v>
      </c>
      <c r="J117" s="36">
        <f t="shared" si="17"/>
        <v>16.315399128599999</v>
      </c>
      <c r="K117" s="36">
        <f t="shared" si="17"/>
        <v>27.141400000000001</v>
      </c>
      <c r="L117" s="36">
        <f t="shared" si="17"/>
        <v>129.015601</v>
      </c>
      <c r="M117" s="36">
        <f t="shared" si="17"/>
        <v>140.1529701</v>
      </c>
      <c r="N117" s="36">
        <f t="shared" si="17"/>
        <v>23.15850624785412</v>
      </c>
      <c r="O117" s="36">
        <f t="shared" si="17"/>
        <v>1744.7744599999999</v>
      </c>
      <c r="P117" s="36">
        <f t="shared" si="17"/>
        <v>210.99306799999999</v>
      </c>
      <c r="Q117" s="36">
        <f t="shared" si="17"/>
        <v>81.214376099999996</v>
      </c>
      <c r="R117" s="36">
        <f t="shared" si="17"/>
        <v>207.53671510000001</v>
      </c>
      <c r="S117" s="36">
        <f t="shared" si="17"/>
        <v>17.605373500000002</v>
      </c>
      <c r="T117" s="36">
        <f t="shared" si="16"/>
        <v>19.834099999999999</v>
      </c>
    </row>
    <row r="118" spans="1:20" x14ac:dyDescent="0.3">
      <c r="A118" s="2" t="s">
        <v>174</v>
      </c>
      <c r="B118" s="2" t="s">
        <v>241</v>
      </c>
      <c r="C118" s="2" t="s">
        <v>256</v>
      </c>
      <c r="D118" s="2" t="s">
        <v>25</v>
      </c>
      <c r="E118" s="2" t="s">
        <v>256</v>
      </c>
      <c r="F118" s="2" t="s">
        <v>257</v>
      </c>
      <c r="G118" s="15">
        <v>20.878</v>
      </c>
      <c r="H118" s="33">
        <v>20.878</v>
      </c>
      <c r="I118" s="36">
        <f t="shared" si="14"/>
        <v>36.01455</v>
      </c>
      <c r="J118" s="36">
        <f t="shared" si="17"/>
        <v>16.315399128599999</v>
      </c>
      <c r="K118" s="36">
        <f t="shared" si="17"/>
        <v>27.141400000000001</v>
      </c>
      <c r="L118" s="36">
        <f t="shared" si="17"/>
        <v>129.015601</v>
      </c>
      <c r="M118" s="36">
        <f t="shared" si="17"/>
        <v>140.1529701</v>
      </c>
      <c r="N118" s="36">
        <f t="shared" si="17"/>
        <v>23.15850624785412</v>
      </c>
      <c r="O118" s="36">
        <f t="shared" si="17"/>
        <v>1744.7744599999999</v>
      </c>
      <c r="P118" s="36">
        <f t="shared" si="17"/>
        <v>210.99306799999999</v>
      </c>
      <c r="Q118" s="36">
        <f t="shared" si="17"/>
        <v>81.214376099999996</v>
      </c>
      <c r="R118" s="36">
        <f t="shared" si="17"/>
        <v>207.53671510000001</v>
      </c>
      <c r="S118" s="36">
        <f t="shared" si="17"/>
        <v>17.605373500000002</v>
      </c>
      <c r="T118" s="36">
        <f t="shared" si="16"/>
        <v>19.834099999999999</v>
      </c>
    </row>
    <row r="119" spans="1:20" x14ac:dyDescent="0.3">
      <c r="A119" s="2" t="s">
        <v>174</v>
      </c>
      <c r="B119" s="2" t="s">
        <v>241</v>
      </c>
      <c r="C119" s="2" t="s">
        <v>258</v>
      </c>
      <c r="D119" s="2" t="s">
        <v>25</v>
      </c>
      <c r="E119" s="2" t="s">
        <v>258</v>
      </c>
      <c r="F119" s="2" t="s">
        <v>259</v>
      </c>
      <c r="G119" s="15">
        <v>11.358000000000001</v>
      </c>
      <c r="H119" s="33">
        <v>11.358000000000001</v>
      </c>
      <c r="I119" s="36">
        <f t="shared" si="14"/>
        <v>19.592549999999996</v>
      </c>
      <c r="J119" s="36">
        <f t="shared" si="17"/>
        <v>8.8758647045999997</v>
      </c>
      <c r="K119" s="36">
        <f t="shared" si="17"/>
        <v>14.765400000000001</v>
      </c>
      <c r="L119" s="36">
        <f t="shared" si="17"/>
        <v>70.186761000000004</v>
      </c>
      <c r="M119" s="36">
        <f t="shared" si="17"/>
        <v>76.2456861</v>
      </c>
      <c r="N119" s="36">
        <f t="shared" si="17"/>
        <v>12.59863559551332</v>
      </c>
      <c r="O119" s="36">
        <f t="shared" si="17"/>
        <v>949.18805999999995</v>
      </c>
      <c r="P119" s="36">
        <f t="shared" si="17"/>
        <v>114.78394800000001</v>
      </c>
      <c r="Q119" s="36">
        <f t="shared" si="17"/>
        <v>44.1820521</v>
      </c>
      <c r="R119" s="36">
        <f t="shared" si="17"/>
        <v>112.90363110000001</v>
      </c>
      <c r="S119" s="36">
        <f t="shared" si="17"/>
        <v>9.577633500000001</v>
      </c>
      <c r="T119" s="36">
        <f t="shared" si="16"/>
        <v>10.790100000000001</v>
      </c>
    </row>
    <row r="120" spans="1:20" x14ac:dyDescent="0.3">
      <c r="A120" s="2" t="s">
        <v>174</v>
      </c>
      <c r="B120" s="2" t="s">
        <v>241</v>
      </c>
      <c r="C120" s="2" t="s">
        <v>260</v>
      </c>
      <c r="D120" s="2" t="s">
        <v>25</v>
      </c>
      <c r="E120" s="2" t="s">
        <v>260</v>
      </c>
      <c r="F120" s="2" t="s">
        <v>261</v>
      </c>
      <c r="G120" s="15">
        <v>11.358000000000001</v>
      </c>
      <c r="H120" s="33">
        <v>11.358000000000001</v>
      </c>
      <c r="I120" s="36">
        <f t="shared" si="14"/>
        <v>19.592549999999996</v>
      </c>
      <c r="J120" s="36">
        <f t="shared" si="17"/>
        <v>8.8758647045999997</v>
      </c>
      <c r="K120" s="36">
        <f t="shared" si="17"/>
        <v>14.765400000000001</v>
      </c>
      <c r="L120" s="36">
        <f t="shared" si="17"/>
        <v>70.186761000000004</v>
      </c>
      <c r="M120" s="36">
        <f t="shared" si="17"/>
        <v>76.2456861</v>
      </c>
      <c r="N120" s="36">
        <f t="shared" si="17"/>
        <v>12.59863559551332</v>
      </c>
      <c r="O120" s="36">
        <f t="shared" si="17"/>
        <v>949.18805999999995</v>
      </c>
      <c r="P120" s="36">
        <f t="shared" si="17"/>
        <v>114.78394800000001</v>
      </c>
      <c r="Q120" s="36">
        <f t="shared" si="17"/>
        <v>44.1820521</v>
      </c>
      <c r="R120" s="36">
        <f t="shared" si="17"/>
        <v>112.90363110000001</v>
      </c>
      <c r="S120" s="36">
        <f t="shared" si="17"/>
        <v>9.577633500000001</v>
      </c>
      <c r="T120" s="36">
        <f t="shared" si="16"/>
        <v>10.790100000000001</v>
      </c>
    </row>
    <row r="121" spans="1:20" x14ac:dyDescent="0.3">
      <c r="A121" s="2" t="s">
        <v>174</v>
      </c>
      <c r="B121" s="2" t="s">
        <v>241</v>
      </c>
      <c r="C121" s="2" t="s">
        <v>262</v>
      </c>
      <c r="D121" s="2" t="s">
        <v>25</v>
      </c>
      <c r="E121" s="2" t="s">
        <v>262</v>
      </c>
      <c r="F121" s="2" t="s">
        <v>263</v>
      </c>
      <c r="G121" s="15">
        <v>11.358000000000001</v>
      </c>
      <c r="H121" s="33">
        <v>11.358000000000001</v>
      </c>
      <c r="I121" s="36">
        <f t="shared" si="14"/>
        <v>19.592549999999996</v>
      </c>
      <c r="J121" s="36">
        <f t="shared" si="17"/>
        <v>8.8758647045999997</v>
      </c>
      <c r="K121" s="36">
        <f t="shared" si="17"/>
        <v>14.765400000000001</v>
      </c>
      <c r="L121" s="36">
        <f t="shared" si="17"/>
        <v>70.186761000000004</v>
      </c>
      <c r="M121" s="36">
        <f t="shared" si="17"/>
        <v>76.2456861</v>
      </c>
      <c r="N121" s="36">
        <f t="shared" si="17"/>
        <v>12.59863559551332</v>
      </c>
      <c r="O121" s="36">
        <f t="shared" si="17"/>
        <v>949.18805999999995</v>
      </c>
      <c r="P121" s="36">
        <f t="shared" si="17"/>
        <v>114.78394800000001</v>
      </c>
      <c r="Q121" s="36">
        <f t="shared" si="17"/>
        <v>44.1820521</v>
      </c>
      <c r="R121" s="36">
        <f t="shared" si="17"/>
        <v>112.90363110000001</v>
      </c>
      <c r="S121" s="36">
        <f t="shared" si="17"/>
        <v>9.577633500000001</v>
      </c>
      <c r="T121" s="36">
        <f t="shared" si="16"/>
        <v>10.790100000000001</v>
      </c>
    </row>
    <row r="122" spans="1:20" x14ac:dyDescent="0.3">
      <c r="A122" s="2" t="s">
        <v>174</v>
      </c>
      <c r="B122" s="2" t="s">
        <v>241</v>
      </c>
      <c r="C122" s="2" t="s">
        <v>264</v>
      </c>
      <c r="D122" s="2" t="s">
        <v>25</v>
      </c>
      <c r="E122" s="2" t="s">
        <v>264</v>
      </c>
      <c r="F122" s="2" t="s">
        <v>265</v>
      </c>
      <c r="G122" s="15">
        <v>15.144</v>
      </c>
      <c r="H122" s="33">
        <v>15.144</v>
      </c>
      <c r="I122" s="36">
        <f t="shared" si="14"/>
        <v>26.1234</v>
      </c>
      <c r="J122" s="36">
        <f t="shared" si="17"/>
        <v>11.8344862728</v>
      </c>
      <c r="K122" s="36">
        <f t="shared" si="17"/>
        <v>19.687200000000001</v>
      </c>
      <c r="L122" s="36">
        <f t="shared" si="17"/>
        <v>93.582347999999996</v>
      </c>
      <c r="M122" s="36">
        <f t="shared" si="17"/>
        <v>101.6609148</v>
      </c>
      <c r="N122" s="36">
        <f t="shared" si="17"/>
        <v>16.79818079401776</v>
      </c>
      <c r="O122" s="36">
        <f t="shared" si="17"/>
        <v>1265.5840799999999</v>
      </c>
      <c r="P122" s="36">
        <f t="shared" si="17"/>
        <v>153.045264</v>
      </c>
      <c r="Q122" s="36">
        <f t="shared" si="17"/>
        <v>58.909402799999995</v>
      </c>
      <c r="R122" s="36">
        <f t="shared" si="17"/>
        <v>150.53817480000001</v>
      </c>
      <c r="S122" s="36">
        <f t="shared" si="17"/>
        <v>12.770178000000001</v>
      </c>
      <c r="T122" s="36">
        <f t="shared" si="16"/>
        <v>14.386799999999999</v>
      </c>
    </row>
    <row r="123" spans="1:20" x14ac:dyDescent="0.3">
      <c r="A123" s="2" t="s">
        <v>174</v>
      </c>
      <c r="B123" s="2" t="s">
        <v>241</v>
      </c>
      <c r="C123" s="2" t="s">
        <v>266</v>
      </c>
      <c r="D123" s="2" t="s">
        <v>25</v>
      </c>
      <c r="E123" s="2" t="s">
        <v>266</v>
      </c>
      <c r="F123" s="2" t="s">
        <v>267</v>
      </c>
      <c r="G123" s="15">
        <v>15.144</v>
      </c>
      <c r="H123" s="33">
        <v>15.144</v>
      </c>
      <c r="I123" s="36">
        <f t="shared" si="14"/>
        <v>26.1234</v>
      </c>
      <c r="J123" s="36">
        <f t="shared" si="17"/>
        <v>11.8344862728</v>
      </c>
      <c r="K123" s="36">
        <f t="shared" si="17"/>
        <v>19.687200000000001</v>
      </c>
      <c r="L123" s="36">
        <f t="shared" si="17"/>
        <v>93.582347999999996</v>
      </c>
      <c r="M123" s="36">
        <f t="shared" si="17"/>
        <v>101.6609148</v>
      </c>
      <c r="N123" s="36">
        <f t="shared" si="17"/>
        <v>16.79818079401776</v>
      </c>
      <c r="O123" s="36">
        <f t="shared" si="17"/>
        <v>1265.5840799999999</v>
      </c>
      <c r="P123" s="36">
        <f t="shared" si="17"/>
        <v>153.045264</v>
      </c>
      <c r="Q123" s="36">
        <f t="shared" si="17"/>
        <v>58.909402799999995</v>
      </c>
      <c r="R123" s="36">
        <f t="shared" si="17"/>
        <v>150.53817480000001</v>
      </c>
      <c r="S123" s="36">
        <f t="shared" si="17"/>
        <v>12.770178000000001</v>
      </c>
      <c r="T123" s="36">
        <f t="shared" si="16"/>
        <v>14.386799999999999</v>
      </c>
    </row>
    <row r="124" spans="1:20" x14ac:dyDescent="0.3">
      <c r="A124" s="2" t="s">
        <v>174</v>
      </c>
      <c r="B124" s="2" t="s">
        <v>241</v>
      </c>
      <c r="C124" s="2" t="s">
        <v>268</v>
      </c>
      <c r="D124" s="2" t="s">
        <v>25</v>
      </c>
      <c r="E124" s="2" t="s">
        <v>268</v>
      </c>
      <c r="F124" s="2" t="s">
        <v>269</v>
      </c>
      <c r="G124" s="15">
        <v>15.144</v>
      </c>
      <c r="H124" s="33">
        <v>15.144</v>
      </c>
      <c r="I124" s="36">
        <f t="shared" si="14"/>
        <v>26.1234</v>
      </c>
      <c r="J124" s="36">
        <f t="shared" si="17"/>
        <v>11.8344862728</v>
      </c>
      <c r="K124" s="36">
        <f t="shared" si="17"/>
        <v>19.687200000000001</v>
      </c>
      <c r="L124" s="36">
        <f t="shared" si="17"/>
        <v>93.582347999999996</v>
      </c>
      <c r="M124" s="36">
        <f t="shared" si="17"/>
        <v>101.6609148</v>
      </c>
      <c r="N124" s="36">
        <f t="shared" si="17"/>
        <v>16.79818079401776</v>
      </c>
      <c r="O124" s="36">
        <f t="shared" si="17"/>
        <v>1265.5840799999999</v>
      </c>
      <c r="P124" s="36">
        <f t="shared" si="17"/>
        <v>153.045264</v>
      </c>
      <c r="Q124" s="36">
        <f t="shared" si="17"/>
        <v>58.909402799999995</v>
      </c>
      <c r="R124" s="36">
        <f t="shared" si="17"/>
        <v>150.53817480000001</v>
      </c>
      <c r="S124" s="36">
        <f t="shared" si="17"/>
        <v>12.770178000000001</v>
      </c>
      <c r="T124" s="36">
        <f t="shared" si="16"/>
        <v>14.386799999999999</v>
      </c>
    </row>
    <row r="125" spans="1:20" x14ac:dyDescent="0.3">
      <c r="A125" s="2" t="s">
        <v>174</v>
      </c>
      <c r="B125" s="2" t="s">
        <v>241</v>
      </c>
      <c r="C125" s="2" t="s">
        <v>270</v>
      </c>
      <c r="D125" s="2" t="s">
        <v>25</v>
      </c>
      <c r="E125" s="2" t="s">
        <v>270</v>
      </c>
      <c r="F125" s="2" t="s">
        <v>271</v>
      </c>
      <c r="G125" s="15">
        <v>18.931000000000001</v>
      </c>
      <c r="H125" s="33">
        <v>18.931000000000001</v>
      </c>
      <c r="I125" s="36">
        <f t="shared" si="14"/>
        <v>32.655974999999998</v>
      </c>
      <c r="J125" s="36">
        <f t="shared" si="17"/>
        <v>14.7938893047</v>
      </c>
      <c r="K125" s="36">
        <f t="shared" si="17"/>
        <v>24.610300000000002</v>
      </c>
      <c r="L125" s="36">
        <f t="shared" si="17"/>
        <v>116.98411449999999</v>
      </c>
      <c r="M125" s="36">
        <f t="shared" si="17"/>
        <v>127.08285645000001</v>
      </c>
      <c r="N125" s="36">
        <f t="shared" si="17"/>
        <v>20.998835222632739</v>
      </c>
      <c r="O125" s="36">
        <f t="shared" si="17"/>
        <v>1582.06367</v>
      </c>
      <c r="P125" s="36">
        <f t="shared" si="17"/>
        <v>191.316686</v>
      </c>
      <c r="Q125" s="36">
        <f t="shared" si="17"/>
        <v>73.640643449999999</v>
      </c>
      <c r="R125" s="36">
        <f t="shared" si="17"/>
        <v>188.18265895000002</v>
      </c>
      <c r="S125" s="36">
        <f t="shared" si="17"/>
        <v>15.963565750000003</v>
      </c>
      <c r="T125" s="36">
        <f t="shared" si="16"/>
        <v>17.984449999999999</v>
      </c>
    </row>
    <row r="126" spans="1:20" x14ac:dyDescent="0.3">
      <c r="A126" s="2" t="s">
        <v>174</v>
      </c>
      <c r="B126" s="2" t="s">
        <v>241</v>
      </c>
      <c r="C126" s="2" t="s">
        <v>272</v>
      </c>
      <c r="D126" s="2" t="s">
        <v>25</v>
      </c>
      <c r="E126" s="2" t="s">
        <v>272</v>
      </c>
      <c r="F126" s="2" t="s">
        <v>273</v>
      </c>
      <c r="G126" s="15">
        <v>18.931000000000001</v>
      </c>
      <c r="H126" s="33">
        <v>18.931000000000001</v>
      </c>
      <c r="I126" s="36">
        <f t="shared" si="14"/>
        <v>32.655974999999998</v>
      </c>
      <c r="J126" s="36">
        <f t="shared" si="17"/>
        <v>14.7938893047</v>
      </c>
      <c r="K126" s="36">
        <f t="shared" si="17"/>
        <v>24.610300000000002</v>
      </c>
      <c r="L126" s="36">
        <f t="shared" si="17"/>
        <v>116.98411449999999</v>
      </c>
      <c r="M126" s="36">
        <f t="shared" si="17"/>
        <v>127.08285645000001</v>
      </c>
      <c r="N126" s="36">
        <f t="shared" si="17"/>
        <v>20.998835222632739</v>
      </c>
      <c r="O126" s="36">
        <f t="shared" si="17"/>
        <v>1582.06367</v>
      </c>
      <c r="P126" s="36">
        <f t="shared" si="17"/>
        <v>191.316686</v>
      </c>
      <c r="Q126" s="36">
        <f t="shared" si="17"/>
        <v>73.640643449999999</v>
      </c>
      <c r="R126" s="36">
        <f t="shared" si="17"/>
        <v>188.18265895000002</v>
      </c>
      <c r="S126" s="36">
        <f t="shared" si="17"/>
        <v>15.963565750000003</v>
      </c>
      <c r="T126" s="36">
        <f t="shared" si="16"/>
        <v>17.984449999999999</v>
      </c>
    </row>
    <row r="127" spans="1:20" x14ac:dyDescent="0.3">
      <c r="A127" s="2" t="s">
        <v>174</v>
      </c>
      <c r="B127" s="2" t="s">
        <v>241</v>
      </c>
      <c r="C127" s="2" t="s">
        <v>274</v>
      </c>
      <c r="D127" s="2" t="s">
        <v>25</v>
      </c>
      <c r="E127" s="2" t="s">
        <v>274</v>
      </c>
      <c r="F127" s="2" t="s">
        <v>275</v>
      </c>
      <c r="G127" s="15">
        <v>18.931000000000001</v>
      </c>
      <c r="H127" s="33">
        <v>18.931000000000001</v>
      </c>
      <c r="I127" s="36">
        <f t="shared" ref="I127:I158" si="18">$G127*I$1*I$2</f>
        <v>32.655974999999998</v>
      </c>
      <c r="J127" s="36">
        <f t="shared" si="17"/>
        <v>14.7938893047</v>
      </c>
      <c r="K127" s="36">
        <f t="shared" si="17"/>
        <v>24.610300000000002</v>
      </c>
      <c r="L127" s="36">
        <f t="shared" si="17"/>
        <v>116.98411449999999</v>
      </c>
      <c r="M127" s="36">
        <f t="shared" si="17"/>
        <v>127.08285645000001</v>
      </c>
      <c r="N127" s="36">
        <f t="shared" si="17"/>
        <v>20.998835222632739</v>
      </c>
      <c r="O127" s="36">
        <f t="shared" si="17"/>
        <v>1582.06367</v>
      </c>
      <c r="P127" s="36">
        <f t="shared" si="17"/>
        <v>191.316686</v>
      </c>
      <c r="Q127" s="36">
        <f t="shared" si="17"/>
        <v>73.640643449999999</v>
      </c>
      <c r="R127" s="36">
        <f t="shared" si="17"/>
        <v>188.18265895000002</v>
      </c>
      <c r="S127" s="36">
        <f t="shared" si="17"/>
        <v>15.963565750000003</v>
      </c>
      <c r="T127" s="36">
        <f t="shared" si="16"/>
        <v>17.984449999999999</v>
      </c>
    </row>
    <row r="128" spans="1:20" x14ac:dyDescent="0.3">
      <c r="A128" s="2" t="s">
        <v>174</v>
      </c>
      <c r="B128" s="2" t="s">
        <v>241</v>
      </c>
      <c r="C128" s="2" t="s">
        <v>276</v>
      </c>
      <c r="D128" s="2" t="s">
        <v>25</v>
      </c>
      <c r="E128" s="2" t="s">
        <v>276</v>
      </c>
      <c r="F128" s="2" t="s">
        <v>277</v>
      </c>
      <c r="G128" s="15">
        <v>18.931000000000001</v>
      </c>
      <c r="H128" s="33">
        <v>18.931000000000001</v>
      </c>
      <c r="I128" s="36">
        <f t="shared" si="18"/>
        <v>32.655974999999998</v>
      </c>
      <c r="J128" s="36">
        <f t="shared" si="17"/>
        <v>14.7938893047</v>
      </c>
      <c r="K128" s="36">
        <f t="shared" si="17"/>
        <v>24.610300000000002</v>
      </c>
      <c r="L128" s="36">
        <f t="shared" si="17"/>
        <v>116.98411449999999</v>
      </c>
      <c r="M128" s="36">
        <f t="shared" si="17"/>
        <v>127.08285645000001</v>
      </c>
      <c r="N128" s="36">
        <f t="shared" ref="J128:S151" si="19">$G128*N$1*N$2</f>
        <v>20.998835222632739</v>
      </c>
      <c r="O128" s="36">
        <f t="shared" si="19"/>
        <v>1582.06367</v>
      </c>
      <c r="P128" s="36">
        <f t="shared" si="19"/>
        <v>191.316686</v>
      </c>
      <c r="Q128" s="36">
        <f t="shared" si="19"/>
        <v>73.640643449999999</v>
      </c>
      <c r="R128" s="36">
        <f t="shared" si="19"/>
        <v>188.18265895000002</v>
      </c>
      <c r="S128" s="36">
        <f t="shared" si="19"/>
        <v>15.963565750000003</v>
      </c>
      <c r="T128" s="36">
        <f t="shared" si="16"/>
        <v>17.984449999999999</v>
      </c>
    </row>
    <row r="129" spans="1:20" x14ac:dyDescent="0.3">
      <c r="A129" s="2" t="s">
        <v>174</v>
      </c>
      <c r="B129" s="2" t="s">
        <v>241</v>
      </c>
      <c r="C129" s="2" t="s">
        <v>278</v>
      </c>
      <c r="D129" s="2" t="s">
        <v>25</v>
      </c>
      <c r="E129" s="2" t="s">
        <v>278</v>
      </c>
      <c r="F129" s="2" t="s">
        <v>279</v>
      </c>
      <c r="G129" s="15">
        <v>18.931000000000001</v>
      </c>
      <c r="H129" s="33">
        <v>18.931000000000001</v>
      </c>
      <c r="I129" s="36">
        <f t="shared" si="18"/>
        <v>32.655974999999998</v>
      </c>
      <c r="J129" s="36">
        <f t="shared" si="19"/>
        <v>14.7938893047</v>
      </c>
      <c r="K129" s="36">
        <f t="shared" si="19"/>
        <v>24.610300000000002</v>
      </c>
      <c r="L129" s="36">
        <f t="shared" si="19"/>
        <v>116.98411449999999</v>
      </c>
      <c r="M129" s="36">
        <f t="shared" si="19"/>
        <v>127.08285645000001</v>
      </c>
      <c r="N129" s="36">
        <f t="shared" si="19"/>
        <v>20.998835222632739</v>
      </c>
      <c r="O129" s="36">
        <f t="shared" si="19"/>
        <v>1582.06367</v>
      </c>
      <c r="P129" s="36">
        <f t="shared" si="19"/>
        <v>191.316686</v>
      </c>
      <c r="Q129" s="36">
        <f t="shared" si="19"/>
        <v>73.640643449999999</v>
      </c>
      <c r="R129" s="36">
        <f t="shared" si="19"/>
        <v>188.18265895000002</v>
      </c>
      <c r="S129" s="36">
        <f t="shared" si="19"/>
        <v>15.963565750000003</v>
      </c>
      <c r="T129" s="36">
        <f t="shared" si="16"/>
        <v>17.984449999999999</v>
      </c>
    </row>
    <row r="130" spans="1:20" x14ac:dyDescent="0.3">
      <c r="A130" s="2" t="s">
        <v>174</v>
      </c>
      <c r="B130" s="2" t="s">
        <v>241</v>
      </c>
      <c r="C130" s="2" t="s">
        <v>280</v>
      </c>
      <c r="D130" s="2" t="s">
        <v>25</v>
      </c>
      <c r="E130" s="2" t="s">
        <v>280</v>
      </c>
      <c r="F130" s="2" t="s">
        <v>281</v>
      </c>
      <c r="G130" s="15">
        <v>18.931000000000001</v>
      </c>
      <c r="H130" s="33">
        <v>18.931000000000001</v>
      </c>
      <c r="I130" s="36">
        <f t="shared" si="18"/>
        <v>32.655974999999998</v>
      </c>
      <c r="J130" s="36">
        <f t="shared" si="19"/>
        <v>14.7938893047</v>
      </c>
      <c r="K130" s="36">
        <f t="shared" si="19"/>
        <v>24.610300000000002</v>
      </c>
      <c r="L130" s="36">
        <f t="shared" si="19"/>
        <v>116.98411449999999</v>
      </c>
      <c r="M130" s="36">
        <f t="shared" si="19"/>
        <v>127.08285645000001</v>
      </c>
      <c r="N130" s="36">
        <f t="shared" si="19"/>
        <v>20.998835222632739</v>
      </c>
      <c r="O130" s="36">
        <f t="shared" si="19"/>
        <v>1582.06367</v>
      </c>
      <c r="P130" s="36">
        <f t="shared" si="19"/>
        <v>191.316686</v>
      </c>
      <c r="Q130" s="36">
        <f t="shared" si="19"/>
        <v>73.640643449999999</v>
      </c>
      <c r="R130" s="36">
        <f t="shared" si="19"/>
        <v>188.18265895000002</v>
      </c>
      <c r="S130" s="36">
        <f t="shared" si="19"/>
        <v>15.963565750000003</v>
      </c>
      <c r="T130" s="36">
        <f t="shared" si="16"/>
        <v>17.984449999999999</v>
      </c>
    </row>
    <row r="131" spans="1:20" x14ac:dyDescent="0.3">
      <c r="A131" s="2" t="s">
        <v>174</v>
      </c>
      <c r="B131" s="2" t="s">
        <v>241</v>
      </c>
      <c r="C131" s="2" t="s">
        <v>282</v>
      </c>
      <c r="D131" s="2" t="s">
        <v>25</v>
      </c>
      <c r="E131" s="2" t="s">
        <v>282</v>
      </c>
      <c r="F131" s="2" t="s">
        <v>283</v>
      </c>
      <c r="G131" s="15">
        <v>18.931000000000001</v>
      </c>
      <c r="H131" s="33">
        <v>18.931000000000001</v>
      </c>
      <c r="I131" s="36">
        <f t="shared" si="18"/>
        <v>32.655974999999998</v>
      </c>
      <c r="J131" s="36">
        <f t="shared" si="19"/>
        <v>14.7938893047</v>
      </c>
      <c r="K131" s="36">
        <f t="shared" si="19"/>
        <v>24.610300000000002</v>
      </c>
      <c r="L131" s="36">
        <f t="shared" si="19"/>
        <v>116.98411449999999</v>
      </c>
      <c r="M131" s="36">
        <f t="shared" si="19"/>
        <v>127.08285645000001</v>
      </c>
      <c r="N131" s="36">
        <f t="shared" si="19"/>
        <v>20.998835222632739</v>
      </c>
      <c r="O131" s="36">
        <f t="shared" si="19"/>
        <v>1582.06367</v>
      </c>
      <c r="P131" s="36">
        <f t="shared" si="19"/>
        <v>191.316686</v>
      </c>
      <c r="Q131" s="36">
        <f t="shared" si="19"/>
        <v>73.640643449999999</v>
      </c>
      <c r="R131" s="36">
        <f t="shared" si="19"/>
        <v>188.18265895000002</v>
      </c>
      <c r="S131" s="36">
        <f t="shared" si="19"/>
        <v>15.963565750000003</v>
      </c>
      <c r="T131" s="36">
        <f t="shared" si="16"/>
        <v>17.984449999999999</v>
      </c>
    </row>
    <row r="132" spans="1:20" x14ac:dyDescent="0.3">
      <c r="A132" s="2" t="s">
        <v>174</v>
      </c>
      <c r="B132" s="2" t="s">
        <v>241</v>
      </c>
      <c r="C132" s="2" t="s">
        <v>284</v>
      </c>
      <c r="D132" s="2" t="s">
        <v>25</v>
      </c>
      <c r="E132" s="2" t="s">
        <v>284</v>
      </c>
      <c r="F132" s="2" t="s">
        <v>285</v>
      </c>
      <c r="G132" s="15">
        <v>18.931000000000001</v>
      </c>
      <c r="H132" s="33">
        <v>18.931000000000001</v>
      </c>
      <c r="I132" s="36">
        <f t="shared" si="18"/>
        <v>32.655974999999998</v>
      </c>
      <c r="J132" s="36">
        <f t="shared" si="19"/>
        <v>14.7938893047</v>
      </c>
      <c r="K132" s="36">
        <f t="shared" si="19"/>
        <v>24.610300000000002</v>
      </c>
      <c r="L132" s="36">
        <f t="shared" si="19"/>
        <v>116.98411449999999</v>
      </c>
      <c r="M132" s="36">
        <f t="shared" si="19"/>
        <v>127.08285645000001</v>
      </c>
      <c r="N132" s="36">
        <f t="shared" si="19"/>
        <v>20.998835222632739</v>
      </c>
      <c r="O132" s="36">
        <f t="shared" si="19"/>
        <v>1582.06367</v>
      </c>
      <c r="P132" s="36">
        <f t="shared" si="19"/>
        <v>191.316686</v>
      </c>
      <c r="Q132" s="36">
        <f t="shared" si="19"/>
        <v>73.640643449999999</v>
      </c>
      <c r="R132" s="36">
        <f t="shared" si="19"/>
        <v>188.18265895000002</v>
      </c>
      <c r="S132" s="36">
        <f t="shared" si="19"/>
        <v>15.963565750000003</v>
      </c>
      <c r="T132" s="36">
        <f t="shared" si="16"/>
        <v>17.984449999999999</v>
      </c>
    </row>
    <row r="133" spans="1:20" x14ac:dyDescent="0.3">
      <c r="A133" s="2" t="s">
        <v>174</v>
      </c>
      <c r="B133" s="2" t="s">
        <v>241</v>
      </c>
      <c r="C133" s="2" t="s">
        <v>286</v>
      </c>
      <c r="D133" s="2" t="s">
        <v>25</v>
      </c>
      <c r="E133" s="2" t="s">
        <v>286</v>
      </c>
      <c r="F133" s="2" t="s">
        <v>287</v>
      </c>
      <c r="G133" s="15">
        <v>18.931000000000001</v>
      </c>
      <c r="H133" s="33">
        <v>18.931000000000001</v>
      </c>
      <c r="I133" s="36">
        <f t="shared" si="18"/>
        <v>32.655974999999998</v>
      </c>
      <c r="J133" s="36">
        <f t="shared" si="19"/>
        <v>14.7938893047</v>
      </c>
      <c r="K133" s="36">
        <f t="shared" si="19"/>
        <v>24.610300000000002</v>
      </c>
      <c r="L133" s="36">
        <f t="shared" si="19"/>
        <v>116.98411449999999</v>
      </c>
      <c r="M133" s="36">
        <f t="shared" si="19"/>
        <v>127.08285645000001</v>
      </c>
      <c r="N133" s="36">
        <f t="shared" si="19"/>
        <v>20.998835222632739</v>
      </c>
      <c r="O133" s="36">
        <f t="shared" si="19"/>
        <v>1582.06367</v>
      </c>
      <c r="P133" s="36">
        <f t="shared" si="19"/>
        <v>191.316686</v>
      </c>
      <c r="Q133" s="36">
        <f t="shared" si="19"/>
        <v>73.640643449999999</v>
      </c>
      <c r="R133" s="36">
        <f t="shared" si="19"/>
        <v>188.18265895000002</v>
      </c>
      <c r="S133" s="36">
        <f t="shared" si="19"/>
        <v>15.963565750000003</v>
      </c>
      <c r="T133" s="36">
        <f t="shared" ref="T133:T164" si="20">$G133*T$1*T$2</f>
        <v>17.984449999999999</v>
      </c>
    </row>
    <row r="134" spans="1:20" x14ac:dyDescent="0.3">
      <c r="A134" s="2" t="s">
        <v>174</v>
      </c>
      <c r="B134" s="2" t="s">
        <v>241</v>
      </c>
      <c r="C134" s="2" t="s">
        <v>288</v>
      </c>
      <c r="D134" s="2" t="s">
        <v>25</v>
      </c>
      <c r="E134" s="2" t="s">
        <v>288</v>
      </c>
      <c r="F134" s="2" t="s">
        <v>289</v>
      </c>
      <c r="G134" s="15">
        <v>18.931000000000001</v>
      </c>
      <c r="H134" s="33">
        <v>18.931000000000001</v>
      </c>
      <c r="I134" s="36">
        <f t="shared" si="18"/>
        <v>32.655974999999998</v>
      </c>
      <c r="J134" s="36">
        <f t="shared" si="19"/>
        <v>14.7938893047</v>
      </c>
      <c r="K134" s="36">
        <f t="shared" si="19"/>
        <v>24.610300000000002</v>
      </c>
      <c r="L134" s="36">
        <f t="shared" si="19"/>
        <v>116.98411449999999</v>
      </c>
      <c r="M134" s="36">
        <f t="shared" si="19"/>
        <v>127.08285645000001</v>
      </c>
      <c r="N134" s="36">
        <f t="shared" si="19"/>
        <v>20.998835222632739</v>
      </c>
      <c r="O134" s="36">
        <f t="shared" si="19"/>
        <v>1582.06367</v>
      </c>
      <c r="P134" s="36">
        <f t="shared" si="19"/>
        <v>191.316686</v>
      </c>
      <c r="Q134" s="36">
        <f t="shared" si="19"/>
        <v>73.640643449999999</v>
      </c>
      <c r="R134" s="36">
        <f t="shared" si="19"/>
        <v>188.18265895000002</v>
      </c>
      <c r="S134" s="36">
        <f t="shared" si="19"/>
        <v>15.963565750000003</v>
      </c>
      <c r="T134" s="36">
        <f t="shared" si="20"/>
        <v>17.984449999999999</v>
      </c>
    </row>
    <row r="135" spans="1:20" x14ac:dyDescent="0.3">
      <c r="A135" s="2" t="s">
        <v>174</v>
      </c>
      <c r="B135" s="2" t="s">
        <v>241</v>
      </c>
      <c r="C135" s="2" t="s">
        <v>290</v>
      </c>
      <c r="D135" s="2" t="s">
        <v>25</v>
      </c>
      <c r="E135" s="2" t="s">
        <v>290</v>
      </c>
      <c r="F135" s="2" t="s">
        <v>291</v>
      </c>
      <c r="G135" s="15">
        <v>16.46</v>
      </c>
      <c r="H135" s="33">
        <v>16.46</v>
      </c>
      <c r="I135" s="36">
        <f t="shared" si="18"/>
        <v>28.3935</v>
      </c>
      <c r="J135" s="36">
        <f t="shared" si="19"/>
        <v>12.862892502000001</v>
      </c>
      <c r="K135" s="36">
        <f t="shared" si="19"/>
        <v>21.398000000000003</v>
      </c>
      <c r="L135" s="36">
        <f t="shared" si="19"/>
        <v>101.71456999999999</v>
      </c>
      <c r="M135" s="36">
        <f t="shared" si="19"/>
        <v>110.49515700000001</v>
      </c>
      <c r="N135" s="36">
        <f t="shared" si="19"/>
        <v>18.257927619488399</v>
      </c>
      <c r="O135" s="36">
        <f t="shared" si="19"/>
        <v>1375.5621999999998</v>
      </c>
      <c r="P135" s="36">
        <f t="shared" si="19"/>
        <v>166.34476000000001</v>
      </c>
      <c r="Q135" s="36">
        <f t="shared" si="19"/>
        <v>64.028576999999999</v>
      </c>
      <c r="R135" s="36">
        <f t="shared" si="19"/>
        <v>163.61980700000001</v>
      </c>
      <c r="S135" s="36">
        <f t="shared" si="19"/>
        <v>13.879895000000001</v>
      </c>
      <c r="T135" s="36">
        <f t="shared" si="20"/>
        <v>15.637</v>
      </c>
    </row>
    <row r="136" spans="1:20" x14ac:dyDescent="0.3">
      <c r="A136" s="2" t="s">
        <v>174</v>
      </c>
      <c r="B136" s="2" t="s">
        <v>241</v>
      </c>
      <c r="C136" s="2" t="s">
        <v>292</v>
      </c>
      <c r="D136" s="2" t="s">
        <v>25</v>
      </c>
      <c r="E136" s="2" t="s">
        <v>292</v>
      </c>
      <c r="F136" s="2" t="s">
        <v>293</v>
      </c>
      <c r="G136" s="15">
        <v>16.46</v>
      </c>
      <c r="H136" s="33">
        <v>16.46</v>
      </c>
      <c r="I136" s="36">
        <f t="shared" si="18"/>
        <v>28.3935</v>
      </c>
      <c r="J136" s="36">
        <f t="shared" si="19"/>
        <v>12.862892502000001</v>
      </c>
      <c r="K136" s="36">
        <f t="shared" si="19"/>
        <v>21.398000000000003</v>
      </c>
      <c r="L136" s="36">
        <f t="shared" si="19"/>
        <v>101.71456999999999</v>
      </c>
      <c r="M136" s="36">
        <f t="shared" si="19"/>
        <v>110.49515700000001</v>
      </c>
      <c r="N136" s="36">
        <f t="shared" si="19"/>
        <v>18.257927619488399</v>
      </c>
      <c r="O136" s="36">
        <f t="shared" si="19"/>
        <v>1375.5621999999998</v>
      </c>
      <c r="P136" s="36">
        <f t="shared" si="19"/>
        <v>166.34476000000001</v>
      </c>
      <c r="Q136" s="36">
        <f t="shared" si="19"/>
        <v>64.028576999999999</v>
      </c>
      <c r="R136" s="36">
        <f t="shared" si="19"/>
        <v>163.61980700000001</v>
      </c>
      <c r="S136" s="36">
        <f t="shared" si="19"/>
        <v>13.879895000000001</v>
      </c>
      <c r="T136" s="36">
        <f t="shared" si="20"/>
        <v>15.637</v>
      </c>
    </row>
    <row r="137" spans="1:20" x14ac:dyDescent="0.3">
      <c r="A137" s="2" t="s">
        <v>174</v>
      </c>
      <c r="B137" s="2" t="s">
        <v>241</v>
      </c>
      <c r="C137" s="2" t="s">
        <v>294</v>
      </c>
      <c r="D137" s="2" t="s">
        <v>25</v>
      </c>
      <c r="E137" s="2" t="s">
        <v>294</v>
      </c>
      <c r="F137" s="2" t="s">
        <v>295</v>
      </c>
      <c r="G137" s="15">
        <v>16.46</v>
      </c>
      <c r="H137" s="33">
        <v>16.46</v>
      </c>
      <c r="I137" s="36">
        <f t="shared" si="18"/>
        <v>28.3935</v>
      </c>
      <c r="J137" s="36">
        <f t="shared" si="19"/>
        <v>12.862892502000001</v>
      </c>
      <c r="K137" s="36">
        <f t="shared" si="19"/>
        <v>21.398000000000003</v>
      </c>
      <c r="L137" s="36">
        <f t="shared" si="19"/>
        <v>101.71456999999999</v>
      </c>
      <c r="M137" s="36">
        <f t="shared" si="19"/>
        <v>110.49515700000001</v>
      </c>
      <c r="N137" s="36">
        <f t="shared" si="19"/>
        <v>18.257927619488399</v>
      </c>
      <c r="O137" s="36">
        <f t="shared" si="19"/>
        <v>1375.5621999999998</v>
      </c>
      <c r="P137" s="36">
        <f t="shared" si="19"/>
        <v>166.34476000000001</v>
      </c>
      <c r="Q137" s="36">
        <f t="shared" si="19"/>
        <v>64.028576999999999</v>
      </c>
      <c r="R137" s="36">
        <f t="shared" si="19"/>
        <v>163.61980700000001</v>
      </c>
      <c r="S137" s="36">
        <f t="shared" si="19"/>
        <v>13.879895000000001</v>
      </c>
      <c r="T137" s="36">
        <f t="shared" si="20"/>
        <v>15.637</v>
      </c>
    </row>
    <row r="138" spans="1:20" x14ac:dyDescent="0.3">
      <c r="A138" s="2" t="s">
        <v>174</v>
      </c>
      <c r="B138" s="2" t="s">
        <v>241</v>
      </c>
      <c r="C138" s="2" t="s">
        <v>296</v>
      </c>
      <c r="D138" s="2" t="s">
        <v>25</v>
      </c>
      <c r="E138" s="2" t="s">
        <v>296</v>
      </c>
      <c r="F138" s="2" t="s">
        <v>297</v>
      </c>
      <c r="G138" s="15">
        <v>20.247</v>
      </c>
      <c r="H138" s="33">
        <v>20.247</v>
      </c>
      <c r="I138" s="36">
        <f t="shared" si="18"/>
        <v>34.926074999999997</v>
      </c>
      <c r="J138" s="36">
        <f t="shared" si="19"/>
        <v>15.8222955339</v>
      </c>
      <c r="K138" s="36">
        <f t="shared" si="19"/>
        <v>26.321100000000001</v>
      </c>
      <c r="L138" s="36">
        <f t="shared" si="19"/>
        <v>125.11633649999999</v>
      </c>
      <c r="M138" s="36">
        <f t="shared" si="19"/>
        <v>135.91709865000001</v>
      </c>
      <c r="N138" s="36">
        <f t="shared" si="19"/>
        <v>22.458582048103381</v>
      </c>
      <c r="O138" s="36">
        <f t="shared" si="19"/>
        <v>1692.0417899999998</v>
      </c>
      <c r="P138" s="36">
        <f t="shared" si="19"/>
        <v>204.61618200000001</v>
      </c>
      <c r="Q138" s="36">
        <f t="shared" si="19"/>
        <v>78.759817650000002</v>
      </c>
      <c r="R138" s="36">
        <f t="shared" si="19"/>
        <v>201.26429114999999</v>
      </c>
      <c r="S138" s="36">
        <f t="shared" si="19"/>
        <v>17.073282750000001</v>
      </c>
      <c r="T138" s="36">
        <f t="shared" si="20"/>
        <v>19.234649999999998</v>
      </c>
    </row>
    <row r="139" spans="1:20" x14ac:dyDescent="0.3">
      <c r="A139" s="2" t="s">
        <v>174</v>
      </c>
      <c r="B139" s="2" t="s">
        <v>241</v>
      </c>
      <c r="C139" s="2" t="s">
        <v>298</v>
      </c>
      <c r="D139" s="2" t="s">
        <v>25</v>
      </c>
      <c r="E139" s="2" t="s">
        <v>298</v>
      </c>
      <c r="F139" s="2" t="s">
        <v>299</v>
      </c>
      <c r="G139" s="15">
        <v>20.247</v>
      </c>
      <c r="H139" s="33">
        <v>20.247</v>
      </c>
      <c r="I139" s="36">
        <f t="shared" si="18"/>
        <v>34.926074999999997</v>
      </c>
      <c r="J139" s="36">
        <f t="shared" si="19"/>
        <v>15.8222955339</v>
      </c>
      <c r="K139" s="36">
        <f t="shared" si="19"/>
        <v>26.321100000000001</v>
      </c>
      <c r="L139" s="36">
        <f t="shared" si="19"/>
        <v>125.11633649999999</v>
      </c>
      <c r="M139" s="36">
        <f t="shared" si="19"/>
        <v>135.91709865000001</v>
      </c>
      <c r="N139" s="36">
        <f t="shared" si="19"/>
        <v>22.458582048103381</v>
      </c>
      <c r="O139" s="36">
        <f t="shared" si="19"/>
        <v>1692.0417899999998</v>
      </c>
      <c r="P139" s="36">
        <f t="shared" si="19"/>
        <v>204.61618200000001</v>
      </c>
      <c r="Q139" s="36">
        <f t="shared" si="19"/>
        <v>78.759817650000002</v>
      </c>
      <c r="R139" s="36">
        <f t="shared" si="19"/>
        <v>201.26429114999999</v>
      </c>
      <c r="S139" s="36">
        <f t="shared" si="19"/>
        <v>17.073282750000001</v>
      </c>
      <c r="T139" s="36">
        <f t="shared" si="20"/>
        <v>19.234649999999998</v>
      </c>
    </row>
    <row r="140" spans="1:20" x14ac:dyDescent="0.3">
      <c r="A140" s="2" t="s">
        <v>174</v>
      </c>
      <c r="B140" s="2" t="s">
        <v>241</v>
      </c>
      <c r="C140" s="2" t="s">
        <v>300</v>
      </c>
      <c r="D140" s="2" t="s">
        <v>25</v>
      </c>
      <c r="E140" s="2" t="s">
        <v>300</v>
      </c>
      <c r="F140" s="2" t="s">
        <v>301</v>
      </c>
      <c r="G140" s="15">
        <v>20.247</v>
      </c>
      <c r="H140" s="33">
        <v>20.247</v>
      </c>
      <c r="I140" s="36">
        <f t="shared" si="18"/>
        <v>34.926074999999997</v>
      </c>
      <c r="J140" s="36">
        <f t="shared" si="19"/>
        <v>15.8222955339</v>
      </c>
      <c r="K140" s="36">
        <f t="shared" si="19"/>
        <v>26.321100000000001</v>
      </c>
      <c r="L140" s="36">
        <f t="shared" si="19"/>
        <v>125.11633649999999</v>
      </c>
      <c r="M140" s="36">
        <f t="shared" si="19"/>
        <v>135.91709865000001</v>
      </c>
      <c r="N140" s="36">
        <f t="shared" si="19"/>
        <v>22.458582048103381</v>
      </c>
      <c r="O140" s="36">
        <f t="shared" si="19"/>
        <v>1692.0417899999998</v>
      </c>
      <c r="P140" s="36">
        <f t="shared" si="19"/>
        <v>204.61618200000001</v>
      </c>
      <c r="Q140" s="36">
        <f t="shared" si="19"/>
        <v>78.759817650000002</v>
      </c>
      <c r="R140" s="36">
        <f t="shared" si="19"/>
        <v>201.26429114999999</v>
      </c>
      <c r="S140" s="36">
        <f t="shared" si="19"/>
        <v>17.073282750000001</v>
      </c>
      <c r="T140" s="36">
        <f t="shared" si="20"/>
        <v>19.234649999999998</v>
      </c>
    </row>
    <row r="141" spans="1:20" x14ac:dyDescent="0.3">
      <c r="A141" s="2" t="s">
        <v>174</v>
      </c>
      <c r="B141" s="2" t="s">
        <v>241</v>
      </c>
      <c r="C141" s="2" t="s">
        <v>302</v>
      </c>
      <c r="D141" s="2" t="s">
        <v>25</v>
      </c>
      <c r="E141" s="2" t="s">
        <v>302</v>
      </c>
      <c r="F141" s="2" t="s">
        <v>303</v>
      </c>
      <c r="G141" s="15">
        <v>24.033000000000001</v>
      </c>
      <c r="H141" s="33">
        <v>24.033000000000001</v>
      </c>
      <c r="I141" s="36">
        <f t="shared" si="18"/>
        <v>41.456924999999998</v>
      </c>
      <c r="J141" s="36">
        <f t="shared" si="19"/>
        <v>18.780917102100002</v>
      </c>
      <c r="K141" s="36">
        <f t="shared" si="19"/>
        <v>31.242900000000002</v>
      </c>
      <c r="L141" s="36">
        <f t="shared" si="19"/>
        <v>148.51192349999999</v>
      </c>
      <c r="M141" s="36">
        <f t="shared" si="19"/>
        <v>161.33232735000001</v>
      </c>
      <c r="N141" s="36">
        <f t="shared" si="19"/>
        <v>26.658127246607823</v>
      </c>
      <c r="O141" s="36">
        <f t="shared" si="19"/>
        <v>2008.4378099999999</v>
      </c>
      <c r="P141" s="36">
        <f t="shared" si="19"/>
        <v>242.877498</v>
      </c>
      <c r="Q141" s="36">
        <f t="shared" si="19"/>
        <v>93.487168350000005</v>
      </c>
      <c r="R141" s="36">
        <f t="shared" si="19"/>
        <v>238.89883485000001</v>
      </c>
      <c r="S141" s="36">
        <f t="shared" si="19"/>
        <v>20.265827250000001</v>
      </c>
      <c r="T141" s="36">
        <f t="shared" si="20"/>
        <v>22.83135</v>
      </c>
    </row>
    <row r="142" spans="1:20" x14ac:dyDescent="0.3">
      <c r="A142" s="2" t="s">
        <v>174</v>
      </c>
      <c r="B142" s="2" t="s">
        <v>241</v>
      </c>
      <c r="C142" s="2" t="s">
        <v>304</v>
      </c>
      <c r="D142" s="2" t="s">
        <v>25</v>
      </c>
      <c r="E142" s="2" t="s">
        <v>304</v>
      </c>
      <c r="F142" s="2" t="s">
        <v>305</v>
      </c>
      <c r="G142" s="15">
        <v>24.033000000000001</v>
      </c>
      <c r="H142" s="33">
        <v>24.033000000000001</v>
      </c>
      <c r="I142" s="36">
        <f t="shared" si="18"/>
        <v>41.456924999999998</v>
      </c>
      <c r="J142" s="36">
        <f t="shared" si="19"/>
        <v>18.780917102100002</v>
      </c>
      <c r="K142" s="36">
        <f t="shared" si="19"/>
        <v>31.242900000000002</v>
      </c>
      <c r="L142" s="36">
        <f t="shared" si="19"/>
        <v>148.51192349999999</v>
      </c>
      <c r="M142" s="36">
        <f t="shared" si="19"/>
        <v>161.33232735000001</v>
      </c>
      <c r="N142" s="36">
        <f t="shared" si="19"/>
        <v>26.658127246607823</v>
      </c>
      <c r="O142" s="36">
        <f t="shared" si="19"/>
        <v>2008.4378099999999</v>
      </c>
      <c r="P142" s="36">
        <f t="shared" si="19"/>
        <v>242.877498</v>
      </c>
      <c r="Q142" s="36">
        <f t="shared" si="19"/>
        <v>93.487168350000005</v>
      </c>
      <c r="R142" s="36">
        <f t="shared" si="19"/>
        <v>238.89883485000001</v>
      </c>
      <c r="S142" s="36">
        <f t="shared" si="19"/>
        <v>20.265827250000001</v>
      </c>
      <c r="T142" s="36">
        <f t="shared" si="20"/>
        <v>22.83135</v>
      </c>
    </row>
    <row r="143" spans="1:20" x14ac:dyDescent="0.3">
      <c r="A143" s="2" t="s">
        <v>174</v>
      </c>
      <c r="B143" s="2" t="s">
        <v>241</v>
      </c>
      <c r="C143" s="2" t="s">
        <v>306</v>
      </c>
      <c r="D143" s="2" t="s">
        <v>25</v>
      </c>
      <c r="E143" s="2" t="s">
        <v>306</v>
      </c>
      <c r="F143" s="2" t="s">
        <v>307</v>
      </c>
      <c r="G143" s="15">
        <v>24.033000000000001</v>
      </c>
      <c r="H143" s="33">
        <v>24.033000000000001</v>
      </c>
      <c r="I143" s="36">
        <f t="shared" si="18"/>
        <v>41.456924999999998</v>
      </c>
      <c r="J143" s="36">
        <f t="shared" si="19"/>
        <v>18.780917102100002</v>
      </c>
      <c r="K143" s="36">
        <f t="shared" si="19"/>
        <v>31.242900000000002</v>
      </c>
      <c r="L143" s="36">
        <f t="shared" si="19"/>
        <v>148.51192349999999</v>
      </c>
      <c r="M143" s="36">
        <f t="shared" si="19"/>
        <v>161.33232735000001</v>
      </c>
      <c r="N143" s="36">
        <f t="shared" si="19"/>
        <v>26.658127246607823</v>
      </c>
      <c r="O143" s="36">
        <f t="shared" si="19"/>
        <v>2008.4378099999999</v>
      </c>
      <c r="P143" s="36">
        <f t="shared" si="19"/>
        <v>242.877498</v>
      </c>
      <c r="Q143" s="36">
        <f t="shared" si="19"/>
        <v>93.487168350000005</v>
      </c>
      <c r="R143" s="36">
        <f t="shared" si="19"/>
        <v>238.89883485000001</v>
      </c>
      <c r="S143" s="36">
        <f t="shared" si="19"/>
        <v>20.265827250000001</v>
      </c>
      <c r="T143" s="36">
        <f t="shared" si="20"/>
        <v>22.83135</v>
      </c>
    </row>
    <row r="144" spans="1:20" x14ac:dyDescent="0.3">
      <c r="A144" s="2" t="s">
        <v>174</v>
      </c>
      <c r="B144" s="2" t="s">
        <v>241</v>
      </c>
      <c r="C144" s="2" t="s">
        <v>308</v>
      </c>
      <c r="D144" s="2" t="s">
        <v>25</v>
      </c>
      <c r="E144" s="2" t="s">
        <v>308</v>
      </c>
      <c r="F144" s="2" t="s">
        <v>309</v>
      </c>
      <c r="G144" s="15">
        <v>24.033000000000001</v>
      </c>
      <c r="H144" s="33">
        <v>24.033000000000001</v>
      </c>
      <c r="I144" s="36">
        <f t="shared" si="18"/>
        <v>41.456924999999998</v>
      </c>
      <c r="J144" s="36">
        <f t="shared" si="19"/>
        <v>18.780917102100002</v>
      </c>
      <c r="K144" s="36">
        <f t="shared" si="19"/>
        <v>31.242900000000002</v>
      </c>
      <c r="L144" s="36">
        <f t="shared" si="19"/>
        <v>148.51192349999999</v>
      </c>
      <c r="M144" s="36">
        <f t="shared" si="19"/>
        <v>161.33232735000001</v>
      </c>
      <c r="N144" s="36">
        <f t="shared" si="19"/>
        <v>26.658127246607823</v>
      </c>
      <c r="O144" s="36">
        <f t="shared" si="19"/>
        <v>2008.4378099999999</v>
      </c>
      <c r="P144" s="36">
        <f t="shared" si="19"/>
        <v>242.877498</v>
      </c>
      <c r="Q144" s="36">
        <f t="shared" si="19"/>
        <v>93.487168350000005</v>
      </c>
      <c r="R144" s="36">
        <f t="shared" si="19"/>
        <v>238.89883485000001</v>
      </c>
      <c r="S144" s="36">
        <f t="shared" si="19"/>
        <v>20.265827250000001</v>
      </c>
      <c r="T144" s="36">
        <f t="shared" si="20"/>
        <v>22.83135</v>
      </c>
    </row>
    <row r="145" spans="1:20" x14ac:dyDescent="0.3">
      <c r="A145" s="2" t="s">
        <v>174</v>
      </c>
      <c r="B145" s="2" t="s">
        <v>241</v>
      </c>
      <c r="C145" s="2" t="s">
        <v>310</v>
      </c>
      <c r="D145" s="2" t="s">
        <v>25</v>
      </c>
      <c r="E145" s="2" t="s">
        <v>310</v>
      </c>
      <c r="F145" s="2" t="s">
        <v>311</v>
      </c>
      <c r="G145" s="15">
        <v>24.033000000000001</v>
      </c>
      <c r="H145" s="33">
        <v>24.033000000000001</v>
      </c>
      <c r="I145" s="36">
        <f t="shared" si="18"/>
        <v>41.456924999999998</v>
      </c>
      <c r="J145" s="36">
        <f t="shared" si="19"/>
        <v>18.780917102100002</v>
      </c>
      <c r="K145" s="36">
        <f t="shared" si="19"/>
        <v>31.242900000000002</v>
      </c>
      <c r="L145" s="36">
        <f t="shared" si="19"/>
        <v>148.51192349999999</v>
      </c>
      <c r="M145" s="36">
        <f t="shared" si="19"/>
        <v>161.33232735000001</v>
      </c>
      <c r="N145" s="36">
        <f t="shared" si="19"/>
        <v>26.658127246607823</v>
      </c>
      <c r="O145" s="36">
        <f t="shared" si="19"/>
        <v>2008.4378099999999</v>
      </c>
      <c r="P145" s="36">
        <f t="shared" si="19"/>
        <v>242.877498</v>
      </c>
      <c r="Q145" s="36">
        <f t="shared" si="19"/>
        <v>93.487168350000005</v>
      </c>
      <c r="R145" s="36">
        <f t="shared" si="19"/>
        <v>238.89883485000001</v>
      </c>
      <c r="S145" s="36">
        <f t="shared" si="19"/>
        <v>20.265827250000001</v>
      </c>
      <c r="T145" s="36">
        <f t="shared" si="20"/>
        <v>22.83135</v>
      </c>
    </row>
    <row r="146" spans="1:20" x14ac:dyDescent="0.3">
      <c r="A146" s="2" t="s">
        <v>174</v>
      </c>
      <c r="B146" s="2" t="s">
        <v>241</v>
      </c>
      <c r="C146" s="2" t="s">
        <v>312</v>
      </c>
      <c r="D146" s="2" t="s">
        <v>25</v>
      </c>
      <c r="E146" s="2" t="s">
        <v>312</v>
      </c>
      <c r="F146" s="2" t="s">
        <v>313</v>
      </c>
      <c r="G146" s="15">
        <v>24.033000000000001</v>
      </c>
      <c r="H146" s="33">
        <v>24.033000000000001</v>
      </c>
      <c r="I146" s="36">
        <f t="shared" si="18"/>
        <v>41.456924999999998</v>
      </c>
      <c r="J146" s="36">
        <f t="shared" si="19"/>
        <v>18.780917102100002</v>
      </c>
      <c r="K146" s="36">
        <f t="shared" si="19"/>
        <v>31.242900000000002</v>
      </c>
      <c r="L146" s="36">
        <f t="shared" si="19"/>
        <v>148.51192349999999</v>
      </c>
      <c r="M146" s="36">
        <f t="shared" si="19"/>
        <v>161.33232735000001</v>
      </c>
      <c r="N146" s="36">
        <f t="shared" si="19"/>
        <v>26.658127246607823</v>
      </c>
      <c r="O146" s="36">
        <f t="shared" si="19"/>
        <v>2008.4378099999999</v>
      </c>
      <c r="P146" s="36">
        <f t="shared" si="19"/>
        <v>242.877498</v>
      </c>
      <c r="Q146" s="36">
        <f t="shared" si="19"/>
        <v>93.487168350000005</v>
      </c>
      <c r="R146" s="36">
        <f t="shared" si="19"/>
        <v>238.89883485000001</v>
      </c>
      <c r="S146" s="36">
        <f t="shared" si="19"/>
        <v>20.265827250000001</v>
      </c>
      <c r="T146" s="36">
        <f t="shared" si="20"/>
        <v>22.83135</v>
      </c>
    </row>
    <row r="147" spans="1:20" x14ac:dyDescent="0.3">
      <c r="A147" s="2" t="s">
        <v>174</v>
      </c>
      <c r="B147" s="2" t="s">
        <v>241</v>
      </c>
      <c r="C147" s="2" t="s">
        <v>314</v>
      </c>
      <c r="D147" s="2" t="s">
        <v>25</v>
      </c>
      <c r="E147" s="2" t="s">
        <v>314</v>
      </c>
      <c r="F147" s="2" t="s">
        <v>315</v>
      </c>
      <c r="G147" s="15">
        <v>24.033000000000001</v>
      </c>
      <c r="H147" s="33">
        <v>24.033000000000001</v>
      </c>
      <c r="I147" s="36">
        <f t="shared" si="18"/>
        <v>41.456924999999998</v>
      </c>
      <c r="J147" s="36">
        <f t="shared" si="19"/>
        <v>18.780917102100002</v>
      </c>
      <c r="K147" s="36">
        <f t="shared" si="19"/>
        <v>31.242900000000002</v>
      </c>
      <c r="L147" s="36">
        <f t="shared" si="19"/>
        <v>148.51192349999999</v>
      </c>
      <c r="M147" s="36">
        <f t="shared" si="19"/>
        <v>161.33232735000001</v>
      </c>
      <c r="N147" s="36">
        <f t="shared" si="19"/>
        <v>26.658127246607823</v>
      </c>
      <c r="O147" s="36">
        <f t="shared" si="19"/>
        <v>2008.4378099999999</v>
      </c>
      <c r="P147" s="36">
        <f t="shared" si="19"/>
        <v>242.877498</v>
      </c>
      <c r="Q147" s="36">
        <f t="shared" si="19"/>
        <v>93.487168350000005</v>
      </c>
      <c r="R147" s="36">
        <f t="shared" si="19"/>
        <v>238.89883485000001</v>
      </c>
      <c r="S147" s="36">
        <f t="shared" si="19"/>
        <v>20.265827250000001</v>
      </c>
      <c r="T147" s="36">
        <f t="shared" si="20"/>
        <v>22.83135</v>
      </c>
    </row>
    <row r="148" spans="1:20" x14ac:dyDescent="0.3">
      <c r="A148" s="2" t="s">
        <v>174</v>
      </c>
      <c r="B148" s="2" t="s">
        <v>241</v>
      </c>
      <c r="C148" s="2" t="s">
        <v>316</v>
      </c>
      <c r="D148" s="2" t="s">
        <v>25</v>
      </c>
      <c r="E148" s="2" t="s">
        <v>316</v>
      </c>
      <c r="F148" s="2" t="s">
        <v>317</v>
      </c>
      <c r="G148" s="15">
        <v>24.033000000000001</v>
      </c>
      <c r="H148" s="33">
        <v>24.033000000000001</v>
      </c>
      <c r="I148" s="36">
        <f t="shared" si="18"/>
        <v>41.456924999999998</v>
      </c>
      <c r="J148" s="36">
        <f t="shared" si="19"/>
        <v>18.780917102100002</v>
      </c>
      <c r="K148" s="36">
        <f t="shared" si="19"/>
        <v>31.242900000000002</v>
      </c>
      <c r="L148" s="36">
        <f t="shared" si="19"/>
        <v>148.51192349999999</v>
      </c>
      <c r="M148" s="36">
        <f t="shared" si="19"/>
        <v>161.33232735000001</v>
      </c>
      <c r="N148" s="36">
        <f t="shared" si="19"/>
        <v>26.658127246607823</v>
      </c>
      <c r="O148" s="36">
        <f t="shared" si="19"/>
        <v>2008.4378099999999</v>
      </c>
      <c r="P148" s="36">
        <f t="shared" si="19"/>
        <v>242.877498</v>
      </c>
      <c r="Q148" s="36">
        <f t="shared" si="19"/>
        <v>93.487168350000005</v>
      </c>
      <c r="R148" s="36">
        <f t="shared" si="19"/>
        <v>238.89883485000001</v>
      </c>
      <c r="S148" s="36">
        <f t="shared" si="19"/>
        <v>20.265827250000001</v>
      </c>
      <c r="T148" s="36">
        <f t="shared" si="20"/>
        <v>22.83135</v>
      </c>
    </row>
    <row r="149" spans="1:20" x14ac:dyDescent="0.3">
      <c r="A149" s="2" t="s">
        <v>174</v>
      </c>
      <c r="B149" s="2" t="s">
        <v>241</v>
      </c>
      <c r="C149" s="2" t="s">
        <v>318</v>
      </c>
      <c r="D149" s="2" t="s">
        <v>25</v>
      </c>
      <c r="E149" s="2" t="s">
        <v>318</v>
      </c>
      <c r="F149" s="2" t="s">
        <v>319</v>
      </c>
      <c r="G149" s="15">
        <v>24.033000000000001</v>
      </c>
      <c r="H149" s="33">
        <v>24.033000000000001</v>
      </c>
      <c r="I149" s="36">
        <f t="shared" si="18"/>
        <v>41.456924999999998</v>
      </c>
      <c r="J149" s="36">
        <f t="shared" si="19"/>
        <v>18.780917102100002</v>
      </c>
      <c r="K149" s="36">
        <f t="shared" si="19"/>
        <v>31.242900000000002</v>
      </c>
      <c r="L149" s="36">
        <f t="shared" si="19"/>
        <v>148.51192349999999</v>
      </c>
      <c r="M149" s="36">
        <f t="shared" si="19"/>
        <v>161.33232735000001</v>
      </c>
      <c r="N149" s="36">
        <f t="shared" si="19"/>
        <v>26.658127246607823</v>
      </c>
      <c r="O149" s="36">
        <f t="shared" si="19"/>
        <v>2008.4378099999999</v>
      </c>
      <c r="P149" s="36">
        <f t="shared" si="19"/>
        <v>242.877498</v>
      </c>
      <c r="Q149" s="36">
        <f t="shared" si="19"/>
        <v>93.487168350000005</v>
      </c>
      <c r="R149" s="36">
        <f t="shared" si="19"/>
        <v>238.89883485000001</v>
      </c>
      <c r="S149" s="36">
        <f t="shared" si="19"/>
        <v>20.265827250000001</v>
      </c>
      <c r="T149" s="36">
        <f t="shared" si="20"/>
        <v>22.83135</v>
      </c>
    </row>
    <row r="150" spans="1:20" x14ac:dyDescent="0.3">
      <c r="A150" s="2" t="s">
        <v>174</v>
      </c>
      <c r="B150" s="2" t="s">
        <v>241</v>
      </c>
      <c r="C150" s="2" t="s">
        <v>320</v>
      </c>
      <c r="D150" s="2" t="s">
        <v>25</v>
      </c>
      <c r="E150" s="2" t="s">
        <v>320</v>
      </c>
      <c r="F150" s="2" t="s">
        <v>321</v>
      </c>
      <c r="G150" s="15">
        <v>24.033000000000001</v>
      </c>
      <c r="H150" s="33">
        <v>24.033000000000001</v>
      </c>
      <c r="I150" s="36">
        <f t="shared" si="18"/>
        <v>41.456924999999998</v>
      </c>
      <c r="J150" s="36">
        <f t="shared" si="19"/>
        <v>18.780917102100002</v>
      </c>
      <c r="K150" s="36">
        <f t="shared" si="19"/>
        <v>31.242900000000002</v>
      </c>
      <c r="L150" s="36">
        <f t="shared" si="19"/>
        <v>148.51192349999999</v>
      </c>
      <c r="M150" s="36">
        <f t="shared" si="19"/>
        <v>161.33232735000001</v>
      </c>
      <c r="N150" s="36">
        <f t="shared" si="19"/>
        <v>26.658127246607823</v>
      </c>
      <c r="O150" s="36">
        <f t="shared" si="19"/>
        <v>2008.4378099999999</v>
      </c>
      <c r="P150" s="36">
        <f t="shared" si="19"/>
        <v>242.877498</v>
      </c>
      <c r="Q150" s="36">
        <f t="shared" si="19"/>
        <v>93.487168350000005</v>
      </c>
      <c r="R150" s="36">
        <f t="shared" si="19"/>
        <v>238.89883485000001</v>
      </c>
      <c r="S150" s="36">
        <f t="shared" si="19"/>
        <v>20.265827250000001</v>
      </c>
      <c r="T150" s="36">
        <f t="shared" si="20"/>
        <v>22.83135</v>
      </c>
    </row>
    <row r="151" spans="1:20" x14ac:dyDescent="0.3">
      <c r="A151" s="2" t="s">
        <v>174</v>
      </c>
      <c r="B151" s="2" t="s">
        <v>241</v>
      </c>
      <c r="C151" s="2" t="s">
        <v>322</v>
      </c>
      <c r="D151" s="2" t="s">
        <v>25</v>
      </c>
      <c r="E151" s="2" t="s">
        <v>322</v>
      </c>
      <c r="F151" s="2" t="s">
        <v>323</v>
      </c>
      <c r="G151" s="15">
        <v>15.144</v>
      </c>
      <c r="H151" s="33">
        <v>15.144</v>
      </c>
      <c r="I151" s="36">
        <f t="shared" si="18"/>
        <v>26.1234</v>
      </c>
      <c r="J151" s="36">
        <f t="shared" si="19"/>
        <v>11.8344862728</v>
      </c>
      <c r="K151" s="36">
        <f t="shared" si="19"/>
        <v>19.687200000000001</v>
      </c>
      <c r="L151" s="36">
        <f t="shared" si="19"/>
        <v>93.582347999999996</v>
      </c>
      <c r="M151" s="36">
        <f t="shared" si="19"/>
        <v>101.6609148</v>
      </c>
      <c r="N151" s="36">
        <f t="shared" si="19"/>
        <v>16.79818079401776</v>
      </c>
      <c r="O151" s="36">
        <f t="shared" si="19"/>
        <v>1265.5840799999999</v>
      </c>
      <c r="P151" s="36">
        <f t="shared" ref="P151:S168" si="21">$G151*P$1*P$2</f>
        <v>153.045264</v>
      </c>
      <c r="Q151" s="36">
        <f t="shared" si="21"/>
        <v>58.909402799999995</v>
      </c>
      <c r="R151" s="36">
        <f t="shared" si="21"/>
        <v>150.53817480000001</v>
      </c>
      <c r="S151" s="36">
        <f t="shared" si="21"/>
        <v>12.770178000000001</v>
      </c>
      <c r="T151" s="36">
        <f t="shared" si="20"/>
        <v>14.386799999999999</v>
      </c>
    </row>
    <row r="152" spans="1:20" x14ac:dyDescent="0.3">
      <c r="A152" s="2" t="s">
        <v>174</v>
      </c>
      <c r="B152" s="2" t="s">
        <v>241</v>
      </c>
      <c r="C152" s="2" t="s">
        <v>324</v>
      </c>
      <c r="D152" s="2" t="s">
        <v>25</v>
      </c>
      <c r="E152" s="2" t="s">
        <v>324</v>
      </c>
      <c r="F152" s="2" t="s">
        <v>325</v>
      </c>
      <c r="G152" s="15">
        <v>15.144</v>
      </c>
      <c r="H152" s="33">
        <v>15.144</v>
      </c>
      <c r="I152" s="36">
        <f t="shared" si="18"/>
        <v>26.1234</v>
      </c>
      <c r="J152" s="36">
        <f t="shared" ref="J152:O161" si="22">$G152*J$1*J$2</f>
        <v>11.8344862728</v>
      </c>
      <c r="K152" s="36">
        <f t="shared" si="22"/>
        <v>19.687200000000001</v>
      </c>
      <c r="L152" s="36">
        <f t="shared" si="22"/>
        <v>93.582347999999996</v>
      </c>
      <c r="M152" s="36">
        <f t="shared" si="22"/>
        <v>101.6609148</v>
      </c>
      <c r="N152" s="36">
        <f t="shared" si="22"/>
        <v>16.79818079401776</v>
      </c>
      <c r="O152" s="36">
        <f t="shared" si="22"/>
        <v>1265.5840799999999</v>
      </c>
      <c r="P152" s="36">
        <f t="shared" si="21"/>
        <v>153.045264</v>
      </c>
      <c r="Q152" s="36">
        <f t="shared" si="21"/>
        <v>58.909402799999995</v>
      </c>
      <c r="R152" s="36">
        <f t="shared" si="21"/>
        <v>150.53817480000001</v>
      </c>
      <c r="S152" s="36">
        <f t="shared" si="21"/>
        <v>12.770178000000001</v>
      </c>
      <c r="T152" s="36">
        <f t="shared" si="20"/>
        <v>14.386799999999999</v>
      </c>
    </row>
    <row r="153" spans="1:20" x14ac:dyDescent="0.3">
      <c r="A153" s="2" t="s">
        <v>174</v>
      </c>
      <c r="B153" s="2" t="s">
        <v>241</v>
      </c>
      <c r="C153" s="2" t="s">
        <v>326</v>
      </c>
      <c r="D153" s="2" t="s">
        <v>25</v>
      </c>
      <c r="E153" s="2" t="s">
        <v>326</v>
      </c>
      <c r="F153" s="2" t="s">
        <v>327</v>
      </c>
      <c r="G153" s="15">
        <v>15.144</v>
      </c>
      <c r="H153" s="33">
        <v>15.144</v>
      </c>
      <c r="I153" s="36">
        <f t="shared" si="18"/>
        <v>26.1234</v>
      </c>
      <c r="J153" s="36">
        <f t="shared" si="22"/>
        <v>11.8344862728</v>
      </c>
      <c r="K153" s="36">
        <f t="shared" si="22"/>
        <v>19.687200000000001</v>
      </c>
      <c r="L153" s="36">
        <f t="shared" si="22"/>
        <v>93.582347999999996</v>
      </c>
      <c r="M153" s="36">
        <f t="shared" si="22"/>
        <v>101.6609148</v>
      </c>
      <c r="N153" s="36">
        <f t="shared" si="22"/>
        <v>16.79818079401776</v>
      </c>
      <c r="O153" s="36">
        <f t="shared" si="22"/>
        <v>1265.5840799999999</v>
      </c>
      <c r="P153" s="36">
        <f t="shared" si="21"/>
        <v>153.045264</v>
      </c>
      <c r="Q153" s="36">
        <f t="shared" si="21"/>
        <v>58.909402799999995</v>
      </c>
      <c r="R153" s="36">
        <f t="shared" si="21"/>
        <v>150.53817480000001</v>
      </c>
      <c r="S153" s="36">
        <f t="shared" si="21"/>
        <v>12.770178000000001</v>
      </c>
      <c r="T153" s="36">
        <f t="shared" si="20"/>
        <v>14.386799999999999</v>
      </c>
    </row>
    <row r="154" spans="1:20" x14ac:dyDescent="0.3">
      <c r="A154" s="2" t="s">
        <v>174</v>
      </c>
      <c r="B154" s="2" t="s">
        <v>241</v>
      </c>
      <c r="C154" s="2" t="s">
        <v>328</v>
      </c>
      <c r="D154" s="2" t="s">
        <v>25</v>
      </c>
      <c r="E154" s="2" t="s">
        <v>328</v>
      </c>
      <c r="F154" s="2" t="s">
        <v>329</v>
      </c>
      <c r="G154" s="15">
        <v>20.193000000000001</v>
      </c>
      <c r="H154" s="33">
        <v>20.193000000000001</v>
      </c>
      <c r="I154" s="36">
        <f t="shared" si="18"/>
        <v>34.832925000000003</v>
      </c>
      <c r="J154" s="36">
        <f t="shared" si="22"/>
        <v>15.7800964941</v>
      </c>
      <c r="K154" s="36">
        <f t="shared" si="22"/>
        <v>26.250900000000001</v>
      </c>
      <c r="L154" s="36">
        <f t="shared" si="22"/>
        <v>124.78264350000001</v>
      </c>
      <c r="M154" s="36">
        <f t="shared" si="22"/>
        <v>135.55459935000002</v>
      </c>
      <c r="N154" s="36">
        <f t="shared" si="22"/>
        <v>22.398683622134222</v>
      </c>
      <c r="O154" s="36">
        <f t="shared" si="22"/>
        <v>1687.52901</v>
      </c>
      <c r="P154" s="36">
        <f t="shared" si="21"/>
        <v>204.070458</v>
      </c>
      <c r="Q154" s="36">
        <f t="shared" si="21"/>
        <v>78.54976035</v>
      </c>
      <c r="R154" s="36">
        <f t="shared" si="21"/>
        <v>200.72750685000003</v>
      </c>
      <c r="S154" s="36">
        <f t="shared" si="21"/>
        <v>17.027747250000001</v>
      </c>
      <c r="T154" s="36">
        <f t="shared" si="20"/>
        <v>19.183350000000001</v>
      </c>
    </row>
    <row r="155" spans="1:20" x14ac:dyDescent="0.3">
      <c r="A155" s="2" t="s">
        <v>174</v>
      </c>
      <c r="B155" s="2" t="s">
        <v>241</v>
      </c>
      <c r="C155" s="2" t="s">
        <v>330</v>
      </c>
      <c r="D155" s="2" t="s">
        <v>25</v>
      </c>
      <c r="E155" s="2" t="s">
        <v>330</v>
      </c>
      <c r="F155" s="2" t="s">
        <v>331</v>
      </c>
      <c r="G155" s="15">
        <v>20.193000000000001</v>
      </c>
      <c r="H155" s="33">
        <v>20.193000000000001</v>
      </c>
      <c r="I155" s="36">
        <f t="shared" si="18"/>
        <v>34.832925000000003</v>
      </c>
      <c r="J155" s="36">
        <f t="shared" si="22"/>
        <v>15.7800964941</v>
      </c>
      <c r="K155" s="36">
        <f t="shared" si="22"/>
        <v>26.250900000000001</v>
      </c>
      <c r="L155" s="36">
        <f t="shared" si="22"/>
        <v>124.78264350000001</v>
      </c>
      <c r="M155" s="36">
        <f t="shared" si="22"/>
        <v>135.55459935000002</v>
      </c>
      <c r="N155" s="36">
        <f t="shared" si="22"/>
        <v>22.398683622134222</v>
      </c>
      <c r="O155" s="36">
        <f t="shared" si="22"/>
        <v>1687.52901</v>
      </c>
      <c r="P155" s="36">
        <f t="shared" si="21"/>
        <v>204.070458</v>
      </c>
      <c r="Q155" s="36">
        <f t="shared" si="21"/>
        <v>78.54976035</v>
      </c>
      <c r="R155" s="36">
        <f t="shared" si="21"/>
        <v>200.72750685000003</v>
      </c>
      <c r="S155" s="36">
        <f t="shared" si="21"/>
        <v>17.027747250000001</v>
      </c>
      <c r="T155" s="36">
        <f t="shared" si="20"/>
        <v>19.183350000000001</v>
      </c>
    </row>
    <row r="156" spans="1:20" x14ac:dyDescent="0.3">
      <c r="A156" s="2" t="s">
        <v>174</v>
      </c>
      <c r="B156" s="2" t="s">
        <v>241</v>
      </c>
      <c r="C156" s="2" t="s">
        <v>332</v>
      </c>
      <c r="D156" s="2" t="s">
        <v>25</v>
      </c>
      <c r="E156" s="2" t="s">
        <v>332</v>
      </c>
      <c r="F156" s="2" t="s">
        <v>333</v>
      </c>
      <c r="G156" s="15">
        <v>20.193000000000001</v>
      </c>
      <c r="H156" s="33">
        <v>20.193000000000001</v>
      </c>
      <c r="I156" s="36">
        <f t="shared" si="18"/>
        <v>34.832925000000003</v>
      </c>
      <c r="J156" s="36">
        <f t="shared" si="22"/>
        <v>15.7800964941</v>
      </c>
      <c r="K156" s="36">
        <f t="shared" si="22"/>
        <v>26.250900000000001</v>
      </c>
      <c r="L156" s="36">
        <f t="shared" si="22"/>
        <v>124.78264350000001</v>
      </c>
      <c r="M156" s="36">
        <f t="shared" si="22"/>
        <v>135.55459935000002</v>
      </c>
      <c r="N156" s="36">
        <f t="shared" si="22"/>
        <v>22.398683622134222</v>
      </c>
      <c r="O156" s="36">
        <f t="shared" si="22"/>
        <v>1687.52901</v>
      </c>
      <c r="P156" s="36">
        <f t="shared" si="21"/>
        <v>204.070458</v>
      </c>
      <c r="Q156" s="36">
        <f t="shared" si="21"/>
        <v>78.54976035</v>
      </c>
      <c r="R156" s="36">
        <f t="shared" si="21"/>
        <v>200.72750685000003</v>
      </c>
      <c r="S156" s="36">
        <f t="shared" si="21"/>
        <v>17.027747250000001</v>
      </c>
      <c r="T156" s="36">
        <f t="shared" si="20"/>
        <v>19.183350000000001</v>
      </c>
    </row>
    <row r="157" spans="1:20" x14ac:dyDescent="0.3">
      <c r="A157" s="2" t="s">
        <v>174</v>
      </c>
      <c r="B157" s="2" t="s">
        <v>241</v>
      </c>
      <c r="C157" s="2" t="s">
        <v>334</v>
      </c>
      <c r="D157" s="2" t="s">
        <v>25</v>
      </c>
      <c r="E157" s="2" t="s">
        <v>334</v>
      </c>
      <c r="F157" s="2" t="s">
        <v>335</v>
      </c>
      <c r="G157" s="15">
        <v>25.241</v>
      </c>
      <c r="H157" s="33">
        <v>25.241</v>
      </c>
      <c r="I157" s="36">
        <f t="shared" si="18"/>
        <v>43.540724999999995</v>
      </c>
      <c r="J157" s="36">
        <f t="shared" si="22"/>
        <v>19.7249252517</v>
      </c>
      <c r="K157" s="36">
        <f t="shared" si="22"/>
        <v>32.813299999999998</v>
      </c>
      <c r="L157" s="36">
        <f t="shared" si="22"/>
        <v>155.97675949999999</v>
      </c>
      <c r="M157" s="36">
        <f t="shared" si="22"/>
        <v>169.44157095</v>
      </c>
      <c r="N157" s="36">
        <f t="shared" si="22"/>
        <v>27.998077220140139</v>
      </c>
      <c r="O157" s="36">
        <f t="shared" si="22"/>
        <v>2109.3903699999996</v>
      </c>
      <c r="P157" s="36">
        <f t="shared" si="21"/>
        <v>255.08554599999999</v>
      </c>
      <c r="Q157" s="36">
        <f t="shared" si="21"/>
        <v>98.186227949999989</v>
      </c>
      <c r="R157" s="36">
        <f t="shared" si="21"/>
        <v>250.90689845</v>
      </c>
      <c r="S157" s="36">
        <f t="shared" si="21"/>
        <v>21.284473250000001</v>
      </c>
      <c r="T157" s="36">
        <f t="shared" si="20"/>
        <v>23.978949999999998</v>
      </c>
    </row>
    <row r="158" spans="1:20" x14ac:dyDescent="0.3">
      <c r="A158" s="2" t="s">
        <v>174</v>
      </c>
      <c r="B158" s="2" t="s">
        <v>241</v>
      </c>
      <c r="C158" s="2" t="s">
        <v>336</v>
      </c>
      <c r="D158" s="2" t="s">
        <v>25</v>
      </c>
      <c r="E158" s="2" t="s">
        <v>336</v>
      </c>
      <c r="F158" s="2" t="s">
        <v>337</v>
      </c>
      <c r="G158" s="15">
        <v>25.241</v>
      </c>
      <c r="H158" s="33">
        <v>25.241</v>
      </c>
      <c r="I158" s="36">
        <f t="shared" si="18"/>
        <v>43.540724999999995</v>
      </c>
      <c r="J158" s="36">
        <f t="shared" si="22"/>
        <v>19.7249252517</v>
      </c>
      <c r="K158" s="36">
        <f t="shared" si="22"/>
        <v>32.813299999999998</v>
      </c>
      <c r="L158" s="36">
        <f t="shared" si="22"/>
        <v>155.97675949999999</v>
      </c>
      <c r="M158" s="36">
        <f t="shared" si="22"/>
        <v>169.44157095</v>
      </c>
      <c r="N158" s="36">
        <f t="shared" si="22"/>
        <v>27.998077220140139</v>
      </c>
      <c r="O158" s="36">
        <f t="shared" si="22"/>
        <v>2109.3903699999996</v>
      </c>
      <c r="P158" s="36">
        <f t="shared" si="21"/>
        <v>255.08554599999999</v>
      </c>
      <c r="Q158" s="36">
        <f t="shared" si="21"/>
        <v>98.186227949999989</v>
      </c>
      <c r="R158" s="36">
        <f t="shared" si="21"/>
        <v>250.90689845</v>
      </c>
      <c r="S158" s="36">
        <f t="shared" si="21"/>
        <v>21.284473250000001</v>
      </c>
      <c r="T158" s="36">
        <f t="shared" si="20"/>
        <v>23.978949999999998</v>
      </c>
    </row>
    <row r="159" spans="1:20" x14ac:dyDescent="0.3">
      <c r="A159" s="2" t="s">
        <v>174</v>
      </c>
      <c r="B159" s="2" t="s">
        <v>241</v>
      </c>
      <c r="C159" s="2" t="s">
        <v>338</v>
      </c>
      <c r="D159" s="2" t="s">
        <v>25</v>
      </c>
      <c r="E159" s="2" t="s">
        <v>338</v>
      </c>
      <c r="F159" s="2" t="s">
        <v>339</v>
      </c>
      <c r="G159" s="15">
        <v>25.241</v>
      </c>
      <c r="H159" s="33">
        <v>25.241</v>
      </c>
      <c r="I159" s="36">
        <f t="shared" ref="I159:I169" si="23">$G159*I$1*I$2</f>
        <v>43.540724999999995</v>
      </c>
      <c r="J159" s="36">
        <f t="shared" si="22"/>
        <v>19.7249252517</v>
      </c>
      <c r="K159" s="36">
        <f t="shared" si="22"/>
        <v>32.813299999999998</v>
      </c>
      <c r="L159" s="36">
        <f t="shared" si="22"/>
        <v>155.97675949999999</v>
      </c>
      <c r="M159" s="36">
        <f t="shared" si="22"/>
        <v>169.44157095</v>
      </c>
      <c r="N159" s="36">
        <f t="shared" si="22"/>
        <v>27.998077220140139</v>
      </c>
      <c r="O159" s="36">
        <f t="shared" si="22"/>
        <v>2109.3903699999996</v>
      </c>
      <c r="P159" s="36">
        <f t="shared" si="21"/>
        <v>255.08554599999999</v>
      </c>
      <c r="Q159" s="36">
        <f t="shared" si="21"/>
        <v>98.186227949999989</v>
      </c>
      <c r="R159" s="36">
        <f t="shared" si="21"/>
        <v>250.90689845</v>
      </c>
      <c r="S159" s="36">
        <f t="shared" si="21"/>
        <v>21.284473250000001</v>
      </c>
      <c r="T159" s="36">
        <f t="shared" si="20"/>
        <v>23.978949999999998</v>
      </c>
    </row>
    <row r="160" spans="1:20" x14ac:dyDescent="0.3">
      <c r="A160" s="2" t="s">
        <v>174</v>
      </c>
      <c r="B160" s="2" t="s">
        <v>241</v>
      </c>
      <c r="C160" s="2" t="s">
        <v>340</v>
      </c>
      <c r="D160" s="2" t="s">
        <v>25</v>
      </c>
      <c r="E160" s="2" t="s">
        <v>340</v>
      </c>
      <c r="F160" s="2" t="s">
        <v>341</v>
      </c>
      <c r="G160" s="15">
        <v>25.241</v>
      </c>
      <c r="H160" s="33">
        <v>25.241</v>
      </c>
      <c r="I160" s="36">
        <f t="shared" si="23"/>
        <v>43.540724999999995</v>
      </c>
      <c r="J160" s="36">
        <f t="shared" si="22"/>
        <v>19.7249252517</v>
      </c>
      <c r="K160" s="36">
        <f t="shared" si="22"/>
        <v>32.813299999999998</v>
      </c>
      <c r="L160" s="36">
        <f t="shared" si="22"/>
        <v>155.97675949999999</v>
      </c>
      <c r="M160" s="36">
        <f t="shared" si="22"/>
        <v>169.44157095</v>
      </c>
      <c r="N160" s="36">
        <f t="shared" si="22"/>
        <v>27.998077220140139</v>
      </c>
      <c r="O160" s="36">
        <f t="shared" si="22"/>
        <v>2109.3903699999996</v>
      </c>
      <c r="P160" s="36">
        <f t="shared" si="21"/>
        <v>255.08554599999999</v>
      </c>
      <c r="Q160" s="36">
        <f t="shared" si="21"/>
        <v>98.186227949999989</v>
      </c>
      <c r="R160" s="36">
        <f t="shared" si="21"/>
        <v>250.90689845</v>
      </c>
      <c r="S160" s="36">
        <f t="shared" si="21"/>
        <v>21.284473250000001</v>
      </c>
      <c r="T160" s="36">
        <f t="shared" si="20"/>
        <v>23.978949999999998</v>
      </c>
    </row>
    <row r="161" spans="1:20" x14ac:dyDescent="0.3">
      <c r="A161" s="2" t="s">
        <v>174</v>
      </c>
      <c r="B161" s="2" t="s">
        <v>241</v>
      </c>
      <c r="C161" s="2" t="s">
        <v>342</v>
      </c>
      <c r="D161" s="2" t="s">
        <v>25</v>
      </c>
      <c r="E161" s="2" t="s">
        <v>342</v>
      </c>
      <c r="F161" s="2" t="s">
        <v>343</v>
      </c>
      <c r="G161" s="15">
        <v>25.241</v>
      </c>
      <c r="H161" s="33">
        <v>25.241</v>
      </c>
      <c r="I161" s="36">
        <f t="shared" si="23"/>
        <v>43.540724999999995</v>
      </c>
      <c r="J161" s="36">
        <f t="shared" si="22"/>
        <v>19.7249252517</v>
      </c>
      <c r="K161" s="36">
        <f t="shared" si="22"/>
        <v>32.813299999999998</v>
      </c>
      <c r="L161" s="36">
        <f t="shared" si="22"/>
        <v>155.97675949999999</v>
      </c>
      <c r="M161" s="36">
        <f t="shared" si="22"/>
        <v>169.44157095</v>
      </c>
      <c r="N161" s="36">
        <f t="shared" si="22"/>
        <v>27.998077220140139</v>
      </c>
      <c r="O161" s="36">
        <f t="shared" si="22"/>
        <v>2109.3903699999996</v>
      </c>
      <c r="P161" s="36">
        <f t="shared" si="21"/>
        <v>255.08554599999999</v>
      </c>
      <c r="Q161" s="36">
        <f t="shared" si="21"/>
        <v>98.186227949999989</v>
      </c>
      <c r="R161" s="36">
        <f t="shared" si="21"/>
        <v>250.90689845</v>
      </c>
      <c r="S161" s="36">
        <f t="shared" si="21"/>
        <v>21.284473250000001</v>
      </c>
      <c r="T161" s="36">
        <f t="shared" si="20"/>
        <v>23.978949999999998</v>
      </c>
    </row>
    <row r="162" spans="1:20" x14ac:dyDescent="0.3">
      <c r="A162" s="2" t="s">
        <v>174</v>
      </c>
      <c r="B162" s="2" t="s">
        <v>241</v>
      </c>
      <c r="C162" s="2" t="s">
        <v>344</v>
      </c>
      <c r="D162" s="2" t="s">
        <v>25</v>
      </c>
      <c r="E162" s="2" t="s">
        <v>344</v>
      </c>
      <c r="F162" s="2" t="s">
        <v>345</v>
      </c>
      <c r="G162" s="15">
        <v>25.241</v>
      </c>
      <c r="H162" s="33">
        <v>25.241</v>
      </c>
      <c r="I162" s="36">
        <f t="shared" si="23"/>
        <v>43.540724999999995</v>
      </c>
      <c r="J162" s="36">
        <f t="shared" ref="J162:O168" si="24">$G162*J$1*J$2</f>
        <v>19.7249252517</v>
      </c>
      <c r="K162" s="36">
        <f t="shared" si="24"/>
        <v>32.813299999999998</v>
      </c>
      <c r="L162" s="36">
        <f t="shared" si="24"/>
        <v>155.97675949999999</v>
      </c>
      <c r="M162" s="36">
        <f t="shared" si="24"/>
        <v>169.44157095</v>
      </c>
      <c r="N162" s="36">
        <f t="shared" si="24"/>
        <v>27.998077220140139</v>
      </c>
      <c r="O162" s="36">
        <f t="shared" si="24"/>
        <v>2109.3903699999996</v>
      </c>
      <c r="P162" s="36">
        <f t="shared" si="21"/>
        <v>255.08554599999999</v>
      </c>
      <c r="Q162" s="36">
        <f t="shared" si="21"/>
        <v>98.186227949999989</v>
      </c>
      <c r="R162" s="36">
        <f t="shared" si="21"/>
        <v>250.90689845</v>
      </c>
      <c r="S162" s="36">
        <f t="shared" si="21"/>
        <v>21.284473250000001</v>
      </c>
      <c r="T162" s="36">
        <f t="shared" si="20"/>
        <v>23.978949999999998</v>
      </c>
    </row>
    <row r="163" spans="1:20" x14ac:dyDescent="0.3">
      <c r="A163" s="2" t="s">
        <v>174</v>
      </c>
      <c r="B163" s="2" t="s">
        <v>241</v>
      </c>
      <c r="C163" s="2" t="s">
        <v>346</v>
      </c>
      <c r="D163" s="2" t="s">
        <v>25</v>
      </c>
      <c r="E163" s="2" t="s">
        <v>346</v>
      </c>
      <c r="F163" s="2" t="s">
        <v>347</v>
      </c>
      <c r="G163" s="15">
        <v>25.241</v>
      </c>
      <c r="H163" s="33">
        <v>25.241</v>
      </c>
      <c r="I163" s="36">
        <f t="shared" si="23"/>
        <v>43.540724999999995</v>
      </c>
      <c r="J163" s="36">
        <f t="shared" si="24"/>
        <v>19.7249252517</v>
      </c>
      <c r="K163" s="36">
        <f t="shared" si="24"/>
        <v>32.813299999999998</v>
      </c>
      <c r="L163" s="36">
        <f t="shared" si="24"/>
        <v>155.97675949999999</v>
      </c>
      <c r="M163" s="36">
        <f t="shared" si="24"/>
        <v>169.44157095</v>
      </c>
      <c r="N163" s="36">
        <f t="shared" si="24"/>
        <v>27.998077220140139</v>
      </c>
      <c r="O163" s="36">
        <f t="shared" si="24"/>
        <v>2109.3903699999996</v>
      </c>
      <c r="P163" s="36">
        <f t="shared" si="21"/>
        <v>255.08554599999999</v>
      </c>
      <c r="Q163" s="36">
        <f t="shared" si="21"/>
        <v>98.186227949999989</v>
      </c>
      <c r="R163" s="36">
        <f t="shared" si="21"/>
        <v>250.90689845</v>
      </c>
      <c r="S163" s="36">
        <f t="shared" si="21"/>
        <v>21.284473250000001</v>
      </c>
      <c r="T163" s="36">
        <f t="shared" si="20"/>
        <v>23.978949999999998</v>
      </c>
    </row>
    <row r="164" spans="1:20" x14ac:dyDescent="0.3">
      <c r="A164" s="2" t="s">
        <v>174</v>
      </c>
      <c r="B164" s="2" t="s">
        <v>241</v>
      </c>
      <c r="C164" s="2" t="s">
        <v>348</v>
      </c>
      <c r="D164" s="2" t="s">
        <v>25</v>
      </c>
      <c r="E164" s="2" t="s">
        <v>348</v>
      </c>
      <c r="F164" s="2" t="s">
        <v>349</v>
      </c>
      <c r="G164" s="15">
        <v>25.241</v>
      </c>
      <c r="H164" s="33">
        <v>25.241</v>
      </c>
      <c r="I164" s="36">
        <f t="shared" si="23"/>
        <v>43.540724999999995</v>
      </c>
      <c r="J164" s="36">
        <f t="shared" si="24"/>
        <v>19.7249252517</v>
      </c>
      <c r="K164" s="36">
        <f t="shared" si="24"/>
        <v>32.813299999999998</v>
      </c>
      <c r="L164" s="36">
        <f t="shared" si="24"/>
        <v>155.97675949999999</v>
      </c>
      <c r="M164" s="36">
        <f t="shared" si="24"/>
        <v>169.44157095</v>
      </c>
      <c r="N164" s="36">
        <f t="shared" si="24"/>
        <v>27.998077220140139</v>
      </c>
      <c r="O164" s="36">
        <f t="shared" si="24"/>
        <v>2109.3903699999996</v>
      </c>
      <c r="P164" s="36">
        <f t="shared" si="21"/>
        <v>255.08554599999999</v>
      </c>
      <c r="Q164" s="36">
        <f t="shared" si="21"/>
        <v>98.186227949999989</v>
      </c>
      <c r="R164" s="36">
        <f t="shared" si="21"/>
        <v>250.90689845</v>
      </c>
      <c r="S164" s="36">
        <f t="shared" si="21"/>
        <v>21.284473250000001</v>
      </c>
      <c r="T164" s="36">
        <f t="shared" si="20"/>
        <v>23.978949999999998</v>
      </c>
    </row>
    <row r="165" spans="1:20" x14ac:dyDescent="0.3">
      <c r="A165" s="2" t="s">
        <v>174</v>
      </c>
      <c r="B165" s="2" t="s">
        <v>241</v>
      </c>
      <c r="C165" s="2" t="s">
        <v>350</v>
      </c>
      <c r="D165" s="2" t="s">
        <v>25</v>
      </c>
      <c r="E165" s="2" t="s">
        <v>350</v>
      </c>
      <c r="F165" s="2" t="s">
        <v>351</v>
      </c>
      <c r="G165" s="15">
        <v>25.241</v>
      </c>
      <c r="H165" s="33">
        <v>25.241</v>
      </c>
      <c r="I165" s="36">
        <f t="shared" si="23"/>
        <v>43.540724999999995</v>
      </c>
      <c r="J165" s="36">
        <f t="shared" si="24"/>
        <v>19.7249252517</v>
      </c>
      <c r="K165" s="36">
        <f t="shared" si="24"/>
        <v>32.813299999999998</v>
      </c>
      <c r="L165" s="36">
        <f t="shared" si="24"/>
        <v>155.97675949999999</v>
      </c>
      <c r="M165" s="36">
        <f t="shared" si="24"/>
        <v>169.44157095</v>
      </c>
      <c r="N165" s="36">
        <f t="shared" si="24"/>
        <v>27.998077220140139</v>
      </c>
      <c r="O165" s="36">
        <f t="shared" si="24"/>
        <v>2109.3903699999996</v>
      </c>
      <c r="P165" s="36">
        <f t="shared" si="21"/>
        <v>255.08554599999999</v>
      </c>
      <c r="Q165" s="36">
        <f t="shared" si="21"/>
        <v>98.186227949999989</v>
      </c>
      <c r="R165" s="36">
        <f t="shared" si="21"/>
        <v>250.90689845</v>
      </c>
      <c r="S165" s="36">
        <f t="shared" si="21"/>
        <v>21.284473250000001</v>
      </c>
      <c r="T165" s="36">
        <f t="shared" ref="T165:T183" si="25">$G165*T$1*T$2</f>
        <v>23.978949999999998</v>
      </c>
    </row>
    <row r="166" spans="1:20" x14ac:dyDescent="0.3">
      <c r="A166" s="2" t="s">
        <v>174</v>
      </c>
      <c r="B166" s="2" t="s">
        <v>241</v>
      </c>
      <c r="C166" s="2" t="s">
        <v>352</v>
      </c>
      <c r="D166" s="2" t="s">
        <v>25</v>
      </c>
      <c r="E166" s="2" t="s">
        <v>352</v>
      </c>
      <c r="F166" s="2" t="s">
        <v>353</v>
      </c>
      <c r="G166" s="15">
        <v>25.241</v>
      </c>
      <c r="H166" s="33">
        <v>25.241</v>
      </c>
      <c r="I166" s="36">
        <f t="shared" si="23"/>
        <v>43.540724999999995</v>
      </c>
      <c r="J166" s="36">
        <f t="shared" si="24"/>
        <v>19.7249252517</v>
      </c>
      <c r="K166" s="36">
        <f t="shared" si="24"/>
        <v>32.813299999999998</v>
      </c>
      <c r="L166" s="36">
        <f t="shared" si="24"/>
        <v>155.97675949999999</v>
      </c>
      <c r="M166" s="36">
        <f t="shared" si="24"/>
        <v>169.44157095</v>
      </c>
      <c r="N166" s="36">
        <f t="shared" si="24"/>
        <v>27.998077220140139</v>
      </c>
      <c r="O166" s="36">
        <f t="shared" si="24"/>
        <v>2109.3903699999996</v>
      </c>
      <c r="P166" s="36">
        <f t="shared" si="21"/>
        <v>255.08554599999999</v>
      </c>
      <c r="Q166" s="36">
        <f t="shared" si="21"/>
        <v>98.186227949999989</v>
      </c>
      <c r="R166" s="36">
        <f t="shared" si="21"/>
        <v>250.90689845</v>
      </c>
      <c r="S166" s="36">
        <f t="shared" si="21"/>
        <v>21.284473250000001</v>
      </c>
      <c r="T166" s="36">
        <f t="shared" si="25"/>
        <v>23.978949999999998</v>
      </c>
    </row>
    <row r="167" spans="1:20" x14ac:dyDescent="0.3">
      <c r="A167" s="2" t="s">
        <v>174</v>
      </c>
      <c r="B167" s="2" t="s">
        <v>241</v>
      </c>
      <c r="C167" s="2" t="s">
        <v>354</v>
      </c>
      <c r="D167" s="2" t="s">
        <v>25</v>
      </c>
      <c r="E167" s="2" t="s">
        <v>354</v>
      </c>
      <c r="F167" s="2" t="s">
        <v>355</v>
      </c>
      <c r="G167" s="15">
        <v>20.247</v>
      </c>
      <c r="H167" s="33">
        <v>20.247</v>
      </c>
      <c r="I167" s="36">
        <f t="shared" si="23"/>
        <v>34.926074999999997</v>
      </c>
      <c r="J167" s="36">
        <f t="shared" si="24"/>
        <v>15.8222955339</v>
      </c>
      <c r="K167" s="36">
        <f t="shared" si="24"/>
        <v>26.321100000000001</v>
      </c>
      <c r="L167" s="36">
        <f t="shared" si="24"/>
        <v>125.11633649999999</v>
      </c>
      <c r="M167" s="36">
        <f t="shared" si="24"/>
        <v>135.91709865000001</v>
      </c>
      <c r="N167" s="36">
        <f t="shared" si="24"/>
        <v>22.458582048103381</v>
      </c>
      <c r="O167" s="36">
        <f t="shared" si="24"/>
        <v>1692.0417899999998</v>
      </c>
      <c r="P167" s="36">
        <f t="shared" si="21"/>
        <v>204.61618200000001</v>
      </c>
      <c r="Q167" s="36">
        <f t="shared" si="21"/>
        <v>78.759817650000002</v>
      </c>
      <c r="R167" s="36">
        <f t="shared" si="21"/>
        <v>201.26429114999999</v>
      </c>
      <c r="S167" s="36">
        <f t="shared" si="21"/>
        <v>17.073282750000001</v>
      </c>
      <c r="T167" s="36">
        <f t="shared" si="25"/>
        <v>19.234649999999998</v>
      </c>
    </row>
    <row r="168" spans="1:20" x14ac:dyDescent="0.3">
      <c r="A168" s="2" t="s">
        <v>174</v>
      </c>
      <c r="B168" s="2" t="s">
        <v>241</v>
      </c>
      <c r="C168" s="2" t="s">
        <v>356</v>
      </c>
      <c r="D168" s="2" t="s">
        <v>25</v>
      </c>
      <c r="E168" s="2" t="s">
        <v>356</v>
      </c>
      <c r="F168" s="2" t="s">
        <v>357</v>
      </c>
      <c r="G168" s="15">
        <v>20.247</v>
      </c>
      <c r="H168" s="33">
        <v>20.247</v>
      </c>
      <c r="I168" s="36">
        <f t="shared" si="23"/>
        <v>34.926074999999997</v>
      </c>
      <c r="J168" s="36">
        <f t="shared" si="24"/>
        <v>15.8222955339</v>
      </c>
      <c r="K168" s="36">
        <f t="shared" si="24"/>
        <v>26.321100000000001</v>
      </c>
      <c r="L168" s="36">
        <f t="shared" si="24"/>
        <v>125.11633649999999</v>
      </c>
      <c r="M168" s="36">
        <f t="shared" si="24"/>
        <v>135.91709865000001</v>
      </c>
      <c r="N168" s="36">
        <f t="shared" si="24"/>
        <v>22.458582048103381</v>
      </c>
      <c r="O168" s="36">
        <f t="shared" si="24"/>
        <v>1692.0417899999998</v>
      </c>
      <c r="P168" s="36">
        <f t="shared" si="21"/>
        <v>204.61618200000001</v>
      </c>
      <c r="Q168" s="36">
        <f t="shared" si="21"/>
        <v>78.759817650000002</v>
      </c>
      <c r="R168" s="36">
        <f t="shared" si="21"/>
        <v>201.26429114999999</v>
      </c>
      <c r="S168" s="36">
        <f t="shared" si="21"/>
        <v>17.073282750000001</v>
      </c>
      <c r="T168" s="36">
        <f t="shared" si="25"/>
        <v>19.234649999999998</v>
      </c>
    </row>
    <row r="169" spans="1:20" x14ac:dyDescent="0.3">
      <c r="A169" s="2" t="s">
        <v>174</v>
      </c>
      <c r="B169" s="2" t="s">
        <v>241</v>
      </c>
      <c r="C169" s="2" t="s">
        <v>358</v>
      </c>
      <c r="D169" s="2" t="s">
        <v>25</v>
      </c>
      <c r="E169" s="2" t="s">
        <v>358</v>
      </c>
      <c r="F169" s="2" t="s">
        <v>359</v>
      </c>
      <c r="G169" s="15">
        <v>20.247</v>
      </c>
      <c r="H169" s="33">
        <v>20.247</v>
      </c>
      <c r="I169" s="36">
        <f t="shared" si="23"/>
        <v>34.926074999999997</v>
      </c>
      <c r="J169" s="36">
        <f>$G169*J$1*J$2</f>
        <v>15.8222955339</v>
      </c>
      <c r="K169" s="36">
        <f>$G169*K$1*K$2</f>
        <v>26.321100000000001</v>
      </c>
      <c r="L169" s="36">
        <f>$G169*L$1*L$2</f>
        <v>125.11633649999999</v>
      </c>
      <c r="M169" s="36">
        <f>$G169*M$1*M$2</f>
        <v>135.91709865000001</v>
      </c>
      <c r="N169" s="36">
        <f t="shared" ref="J169:S183" si="26">$G169*N$1*N$2</f>
        <v>22.458582048103381</v>
      </c>
      <c r="O169" s="36">
        <f t="shared" si="26"/>
        <v>1692.0417899999998</v>
      </c>
      <c r="P169" s="36">
        <f t="shared" si="26"/>
        <v>204.61618200000001</v>
      </c>
      <c r="Q169" s="36">
        <f t="shared" si="26"/>
        <v>78.759817650000002</v>
      </c>
      <c r="R169" s="36">
        <f t="shared" si="26"/>
        <v>201.26429114999999</v>
      </c>
      <c r="S169" s="36">
        <f t="shared" si="26"/>
        <v>17.073282750000001</v>
      </c>
      <c r="T169" s="36">
        <f t="shared" si="25"/>
        <v>19.234649999999998</v>
      </c>
    </row>
    <row r="170" spans="1:20" x14ac:dyDescent="0.3">
      <c r="A170" s="2" t="s">
        <v>174</v>
      </c>
      <c r="B170" s="2" t="s">
        <v>241</v>
      </c>
      <c r="C170" s="2" t="s">
        <v>360</v>
      </c>
      <c r="D170" s="2" t="s">
        <v>25</v>
      </c>
      <c r="E170" s="2" t="s">
        <v>360</v>
      </c>
      <c r="F170" s="2" t="s">
        <v>361</v>
      </c>
      <c r="G170" s="15">
        <v>25.295000000000002</v>
      </c>
      <c r="H170" s="33">
        <v>25.295000000000002</v>
      </c>
      <c r="I170" s="36">
        <f t="shared" ref="I170:I183" si="27">$G170*I$1*I$2</f>
        <v>43.633874999999996</v>
      </c>
      <c r="J170" s="36">
        <f t="shared" si="26"/>
        <v>19.7671242915</v>
      </c>
      <c r="K170" s="36">
        <f t="shared" si="26"/>
        <v>32.883500000000005</v>
      </c>
      <c r="L170" s="36">
        <f t="shared" si="26"/>
        <v>156.3104525</v>
      </c>
      <c r="M170" s="36">
        <f t="shared" si="26"/>
        <v>169.80407025000002</v>
      </c>
      <c r="N170" s="36">
        <f t="shared" si="26"/>
        <v>28.057975646109302</v>
      </c>
      <c r="O170" s="36">
        <f t="shared" si="26"/>
        <v>2113.9031500000001</v>
      </c>
      <c r="P170" s="36">
        <f t="shared" si="26"/>
        <v>255.63127</v>
      </c>
      <c r="Q170" s="36">
        <f t="shared" si="26"/>
        <v>98.396285250000005</v>
      </c>
      <c r="R170" s="36">
        <f t="shared" si="26"/>
        <v>251.44368275000002</v>
      </c>
      <c r="S170" s="36">
        <f t="shared" si="26"/>
        <v>21.330008750000001</v>
      </c>
      <c r="T170" s="36">
        <f t="shared" si="25"/>
        <v>24.030249999999999</v>
      </c>
    </row>
    <row r="171" spans="1:20" x14ac:dyDescent="0.3">
      <c r="A171" s="2" t="s">
        <v>174</v>
      </c>
      <c r="B171" s="2" t="s">
        <v>241</v>
      </c>
      <c r="C171" s="2" t="s">
        <v>362</v>
      </c>
      <c r="D171" s="2" t="s">
        <v>25</v>
      </c>
      <c r="E171" s="2" t="s">
        <v>362</v>
      </c>
      <c r="F171" s="2" t="s">
        <v>363</v>
      </c>
      <c r="G171" s="15">
        <v>25.295000000000002</v>
      </c>
      <c r="H171" s="33">
        <v>25.295000000000002</v>
      </c>
      <c r="I171" s="36">
        <f t="shared" si="27"/>
        <v>43.633874999999996</v>
      </c>
      <c r="J171" s="36">
        <f t="shared" si="26"/>
        <v>19.7671242915</v>
      </c>
      <c r="K171" s="36">
        <f t="shared" si="26"/>
        <v>32.883500000000005</v>
      </c>
      <c r="L171" s="36">
        <f t="shared" si="26"/>
        <v>156.3104525</v>
      </c>
      <c r="M171" s="36">
        <f t="shared" si="26"/>
        <v>169.80407025000002</v>
      </c>
      <c r="N171" s="36">
        <f t="shared" si="26"/>
        <v>28.057975646109302</v>
      </c>
      <c r="O171" s="36">
        <f t="shared" si="26"/>
        <v>2113.9031500000001</v>
      </c>
      <c r="P171" s="36">
        <f t="shared" si="26"/>
        <v>255.63127</v>
      </c>
      <c r="Q171" s="36">
        <f t="shared" si="26"/>
        <v>98.396285250000005</v>
      </c>
      <c r="R171" s="36">
        <f t="shared" si="26"/>
        <v>251.44368275000002</v>
      </c>
      <c r="S171" s="36">
        <f t="shared" si="26"/>
        <v>21.330008750000001</v>
      </c>
      <c r="T171" s="36">
        <f t="shared" si="25"/>
        <v>24.030249999999999</v>
      </c>
    </row>
    <row r="172" spans="1:20" x14ac:dyDescent="0.3">
      <c r="A172" s="2" t="s">
        <v>174</v>
      </c>
      <c r="B172" s="2" t="s">
        <v>241</v>
      </c>
      <c r="C172" s="2" t="s">
        <v>364</v>
      </c>
      <c r="D172" s="2" t="s">
        <v>25</v>
      </c>
      <c r="E172" s="2" t="s">
        <v>364</v>
      </c>
      <c r="F172" s="2" t="s">
        <v>365</v>
      </c>
      <c r="G172" s="15">
        <v>25.295000000000002</v>
      </c>
      <c r="H172" s="33">
        <v>25.295000000000002</v>
      </c>
      <c r="I172" s="36">
        <f t="shared" si="27"/>
        <v>43.633874999999996</v>
      </c>
      <c r="J172" s="36">
        <f t="shared" si="26"/>
        <v>19.7671242915</v>
      </c>
      <c r="K172" s="36">
        <f t="shared" si="26"/>
        <v>32.883500000000005</v>
      </c>
      <c r="L172" s="36">
        <f t="shared" si="26"/>
        <v>156.3104525</v>
      </c>
      <c r="M172" s="36">
        <f t="shared" si="26"/>
        <v>169.80407025000002</v>
      </c>
      <c r="N172" s="36">
        <f t="shared" si="26"/>
        <v>28.057975646109302</v>
      </c>
      <c r="O172" s="36">
        <f t="shared" si="26"/>
        <v>2113.9031500000001</v>
      </c>
      <c r="P172" s="36">
        <f t="shared" si="26"/>
        <v>255.63127</v>
      </c>
      <c r="Q172" s="36">
        <f t="shared" si="26"/>
        <v>98.396285250000005</v>
      </c>
      <c r="R172" s="36">
        <f t="shared" si="26"/>
        <v>251.44368275000002</v>
      </c>
      <c r="S172" s="36">
        <f t="shared" si="26"/>
        <v>21.330008750000001</v>
      </c>
      <c r="T172" s="36">
        <f t="shared" si="25"/>
        <v>24.030249999999999</v>
      </c>
    </row>
    <row r="173" spans="1:20" x14ac:dyDescent="0.3">
      <c r="A173" s="2" t="s">
        <v>174</v>
      </c>
      <c r="B173" s="2" t="s">
        <v>241</v>
      </c>
      <c r="C173" s="2" t="s">
        <v>366</v>
      </c>
      <c r="D173" s="2" t="s">
        <v>25</v>
      </c>
      <c r="E173" s="2" t="s">
        <v>366</v>
      </c>
      <c r="F173" s="2" t="s">
        <v>367</v>
      </c>
      <c r="G173" s="15">
        <v>30.343</v>
      </c>
      <c r="H173" s="33">
        <v>30.343</v>
      </c>
      <c r="I173" s="36">
        <f t="shared" si="27"/>
        <v>52.341674999999995</v>
      </c>
      <c r="J173" s="36">
        <f t="shared" si="26"/>
        <v>23.7119530491</v>
      </c>
      <c r="K173" s="36">
        <f t="shared" si="26"/>
        <v>39.445900000000002</v>
      </c>
      <c r="L173" s="36">
        <f t="shared" si="26"/>
        <v>187.50456849999998</v>
      </c>
      <c r="M173" s="36">
        <f t="shared" si="26"/>
        <v>203.69104185</v>
      </c>
      <c r="N173" s="36">
        <f t="shared" si="26"/>
        <v>33.657369244115223</v>
      </c>
      <c r="O173" s="36">
        <f t="shared" si="26"/>
        <v>2535.76451</v>
      </c>
      <c r="P173" s="36">
        <f t="shared" si="26"/>
        <v>306.64635800000002</v>
      </c>
      <c r="Q173" s="36">
        <f t="shared" si="26"/>
        <v>118.03275284999999</v>
      </c>
      <c r="R173" s="36">
        <f t="shared" si="26"/>
        <v>301.62307435000002</v>
      </c>
      <c r="S173" s="36">
        <f t="shared" si="26"/>
        <v>25.586734750000002</v>
      </c>
      <c r="T173" s="36">
        <f t="shared" si="25"/>
        <v>28.825849999999999</v>
      </c>
    </row>
    <row r="174" spans="1:20" x14ac:dyDescent="0.3">
      <c r="A174" s="2" t="s">
        <v>174</v>
      </c>
      <c r="B174" s="2" t="s">
        <v>241</v>
      </c>
      <c r="C174" s="2" t="s">
        <v>368</v>
      </c>
      <c r="D174" s="2" t="s">
        <v>25</v>
      </c>
      <c r="E174" s="2" t="s">
        <v>368</v>
      </c>
      <c r="F174" s="2" t="s">
        <v>369</v>
      </c>
      <c r="G174" s="15">
        <v>30.343</v>
      </c>
      <c r="H174" s="33">
        <v>30.343</v>
      </c>
      <c r="I174" s="36">
        <f t="shared" si="27"/>
        <v>52.341674999999995</v>
      </c>
      <c r="J174" s="36">
        <f t="shared" si="26"/>
        <v>23.7119530491</v>
      </c>
      <c r="K174" s="36">
        <f t="shared" si="26"/>
        <v>39.445900000000002</v>
      </c>
      <c r="L174" s="36">
        <f t="shared" si="26"/>
        <v>187.50456849999998</v>
      </c>
      <c r="M174" s="36">
        <f t="shared" si="26"/>
        <v>203.69104185</v>
      </c>
      <c r="N174" s="36">
        <f t="shared" si="26"/>
        <v>33.657369244115223</v>
      </c>
      <c r="O174" s="36">
        <f t="shared" si="26"/>
        <v>2535.76451</v>
      </c>
      <c r="P174" s="36">
        <f t="shared" si="26"/>
        <v>306.64635800000002</v>
      </c>
      <c r="Q174" s="36">
        <f t="shared" si="26"/>
        <v>118.03275284999999</v>
      </c>
      <c r="R174" s="36">
        <f t="shared" si="26"/>
        <v>301.62307435000002</v>
      </c>
      <c r="S174" s="36">
        <f t="shared" si="26"/>
        <v>25.586734750000002</v>
      </c>
      <c r="T174" s="36">
        <f t="shared" si="25"/>
        <v>28.825849999999999</v>
      </c>
    </row>
    <row r="175" spans="1:20" x14ac:dyDescent="0.3">
      <c r="A175" s="2" t="s">
        <v>174</v>
      </c>
      <c r="B175" s="2" t="s">
        <v>241</v>
      </c>
      <c r="C175" s="2" t="s">
        <v>370</v>
      </c>
      <c r="D175" s="2" t="s">
        <v>25</v>
      </c>
      <c r="E175" s="2" t="s">
        <v>370</v>
      </c>
      <c r="F175" s="2" t="s">
        <v>371</v>
      </c>
      <c r="G175" s="15">
        <v>30.343</v>
      </c>
      <c r="H175" s="33">
        <v>30.343</v>
      </c>
      <c r="I175" s="36">
        <f t="shared" si="27"/>
        <v>52.341674999999995</v>
      </c>
      <c r="J175" s="36">
        <f t="shared" si="26"/>
        <v>23.7119530491</v>
      </c>
      <c r="K175" s="36">
        <f t="shared" si="26"/>
        <v>39.445900000000002</v>
      </c>
      <c r="L175" s="36">
        <f t="shared" si="26"/>
        <v>187.50456849999998</v>
      </c>
      <c r="M175" s="36">
        <f t="shared" si="26"/>
        <v>203.69104185</v>
      </c>
      <c r="N175" s="36">
        <f t="shared" si="26"/>
        <v>33.657369244115223</v>
      </c>
      <c r="O175" s="36">
        <f t="shared" si="26"/>
        <v>2535.76451</v>
      </c>
      <c r="P175" s="36">
        <f t="shared" si="26"/>
        <v>306.64635800000002</v>
      </c>
      <c r="Q175" s="36">
        <f t="shared" si="26"/>
        <v>118.03275284999999</v>
      </c>
      <c r="R175" s="36">
        <f t="shared" si="26"/>
        <v>301.62307435000002</v>
      </c>
      <c r="S175" s="36">
        <f t="shared" si="26"/>
        <v>25.586734750000002</v>
      </c>
      <c r="T175" s="36">
        <f t="shared" si="25"/>
        <v>28.825849999999999</v>
      </c>
    </row>
    <row r="176" spans="1:20" x14ac:dyDescent="0.3">
      <c r="A176" s="2" t="s">
        <v>174</v>
      </c>
      <c r="B176" s="2" t="s">
        <v>241</v>
      </c>
      <c r="C176" s="2" t="s">
        <v>372</v>
      </c>
      <c r="D176" s="2" t="s">
        <v>25</v>
      </c>
      <c r="E176" s="2" t="s">
        <v>372</v>
      </c>
      <c r="F176" s="2" t="s">
        <v>373</v>
      </c>
      <c r="G176" s="15">
        <v>30.343</v>
      </c>
      <c r="H176" s="33">
        <v>30.343</v>
      </c>
      <c r="I176" s="36">
        <f t="shared" si="27"/>
        <v>52.341674999999995</v>
      </c>
      <c r="J176" s="36">
        <f t="shared" si="26"/>
        <v>23.7119530491</v>
      </c>
      <c r="K176" s="36">
        <f t="shared" si="26"/>
        <v>39.445900000000002</v>
      </c>
      <c r="L176" s="36">
        <f t="shared" si="26"/>
        <v>187.50456849999998</v>
      </c>
      <c r="M176" s="36">
        <f t="shared" si="26"/>
        <v>203.69104185</v>
      </c>
      <c r="N176" s="36">
        <f t="shared" si="26"/>
        <v>33.657369244115223</v>
      </c>
      <c r="O176" s="36">
        <f t="shared" si="26"/>
        <v>2535.76451</v>
      </c>
      <c r="P176" s="36">
        <f t="shared" si="26"/>
        <v>306.64635800000002</v>
      </c>
      <c r="Q176" s="36">
        <f t="shared" si="26"/>
        <v>118.03275284999999</v>
      </c>
      <c r="R176" s="36">
        <f t="shared" si="26"/>
        <v>301.62307435000002</v>
      </c>
      <c r="S176" s="36">
        <f t="shared" si="26"/>
        <v>25.586734750000002</v>
      </c>
      <c r="T176" s="36">
        <f t="shared" si="25"/>
        <v>28.825849999999999</v>
      </c>
    </row>
    <row r="177" spans="1:20" x14ac:dyDescent="0.3">
      <c r="A177" s="2" t="s">
        <v>174</v>
      </c>
      <c r="B177" s="2" t="s">
        <v>241</v>
      </c>
      <c r="C177" s="2" t="s">
        <v>374</v>
      </c>
      <c r="D177" s="2" t="s">
        <v>25</v>
      </c>
      <c r="E177" s="2" t="s">
        <v>374</v>
      </c>
      <c r="F177" s="2" t="s">
        <v>375</v>
      </c>
      <c r="G177" s="15">
        <v>30.343</v>
      </c>
      <c r="H177" s="33">
        <v>30.343</v>
      </c>
      <c r="I177" s="36">
        <f t="shared" si="27"/>
        <v>52.341674999999995</v>
      </c>
      <c r="J177" s="36">
        <f t="shared" si="26"/>
        <v>23.7119530491</v>
      </c>
      <c r="K177" s="36">
        <f t="shared" si="26"/>
        <v>39.445900000000002</v>
      </c>
      <c r="L177" s="36">
        <f t="shared" si="26"/>
        <v>187.50456849999998</v>
      </c>
      <c r="M177" s="36">
        <f t="shared" si="26"/>
        <v>203.69104185</v>
      </c>
      <c r="N177" s="36">
        <f t="shared" si="26"/>
        <v>33.657369244115223</v>
      </c>
      <c r="O177" s="36">
        <f t="shared" si="26"/>
        <v>2535.76451</v>
      </c>
      <c r="P177" s="36">
        <f t="shared" si="26"/>
        <v>306.64635800000002</v>
      </c>
      <c r="Q177" s="36">
        <f t="shared" si="26"/>
        <v>118.03275284999999</v>
      </c>
      <c r="R177" s="36">
        <f t="shared" si="26"/>
        <v>301.62307435000002</v>
      </c>
      <c r="S177" s="36">
        <f t="shared" si="26"/>
        <v>25.586734750000002</v>
      </c>
      <c r="T177" s="36">
        <f t="shared" si="25"/>
        <v>28.825849999999999</v>
      </c>
    </row>
    <row r="178" spans="1:20" x14ac:dyDescent="0.3">
      <c r="A178" s="2" t="s">
        <v>174</v>
      </c>
      <c r="B178" s="2" t="s">
        <v>241</v>
      </c>
      <c r="C178" s="2" t="s">
        <v>376</v>
      </c>
      <c r="D178" s="2" t="s">
        <v>25</v>
      </c>
      <c r="E178" s="2" t="s">
        <v>376</v>
      </c>
      <c r="F178" s="2" t="s">
        <v>377</v>
      </c>
      <c r="G178" s="15">
        <v>30.343</v>
      </c>
      <c r="H178" s="33">
        <v>30.343</v>
      </c>
      <c r="I178" s="36">
        <f t="shared" si="27"/>
        <v>52.341674999999995</v>
      </c>
      <c r="J178" s="36">
        <f t="shared" si="26"/>
        <v>23.7119530491</v>
      </c>
      <c r="K178" s="36">
        <f t="shared" si="26"/>
        <v>39.445900000000002</v>
      </c>
      <c r="L178" s="36">
        <f t="shared" si="26"/>
        <v>187.50456849999998</v>
      </c>
      <c r="M178" s="36">
        <f t="shared" si="26"/>
        <v>203.69104185</v>
      </c>
      <c r="N178" s="36">
        <f t="shared" si="26"/>
        <v>33.657369244115223</v>
      </c>
      <c r="O178" s="36">
        <f t="shared" si="26"/>
        <v>2535.76451</v>
      </c>
      <c r="P178" s="36">
        <f t="shared" si="26"/>
        <v>306.64635800000002</v>
      </c>
      <c r="Q178" s="36">
        <f t="shared" si="26"/>
        <v>118.03275284999999</v>
      </c>
      <c r="R178" s="36">
        <f t="shared" si="26"/>
        <v>301.62307435000002</v>
      </c>
      <c r="S178" s="36">
        <f t="shared" si="26"/>
        <v>25.586734750000002</v>
      </c>
      <c r="T178" s="36">
        <f t="shared" si="25"/>
        <v>28.825849999999999</v>
      </c>
    </row>
    <row r="179" spans="1:20" x14ac:dyDescent="0.3">
      <c r="A179" s="2" t="s">
        <v>174</v>
      </c>
      <c r="B179" s="2" t="s">
        <v>241</v>
      </c>
      <c r="C179" s="2" t="s">
        <v>378</v>
      </c>
      <c r="D179" s="2" t="s">
        <v>25</v>
      </c>
      <c r="E179" s="2" t="s">
        <v>378</v>
      </c>
      <c r="F179" s="2" t="s">
        <v>379</v>
      </c>
      <c r="G179" s="15">
        <v>30.343</v>
      </c>
      <c r="H179" s="33">
        <v>30.343</v>
      </c>
      <c r="I179" s="36">
        <f t="shared" si="27"/>
        <v>52.341674999999995</v>
      </c>
      <c r="J179" s="36">
        <f t="shared" si="26"/>
        <v>23.7119530491</v>
      </c>
      <c r="K179" s="36">
        <f t="shared" si="26"/>
        <v>39.445900000000002</v>
      </c>
      <c r="L179" s="36">
        <f t="shared" si="26"/>
        <v>187.50456849999998</v>
      </c>
      <c r="M179" s="36">
        <f t="shared" si="26"/>
        <v>203.69104185</v>
      </c>
      <c r="N179" s="36">
        <f t="shared" si="26"/>
        <v>33.657369244115223</v>
      </c>
      <c r="O179" s="36">
        <f t="shared" si="26"/>
        <v>2535.76451</v>
      </c>
      <c r="P179" s="36">
        <f t="shared" si="26"/>
        <v>306.64635800000002</v>
      </c>
      <c r="Q179" s="36">
        <f t="shared" si="26"/>
        <v>118.03275284999999</v>
      </c>
      <c r="R179" s="36">
        <f t="shared" si="26"/>
        <v>301.62307435000002</v>
      </c>
      <c r="S179" s="36">
        <f t="shared" si="26"/>
        <v>25.586734750000002</v>
      </c>
      <c r="T179" s="36">
        <f t="shared" si="25"/>
        <v>28.825849999999999</v>
      </c>
    </row>
    <row r="180" spans="1:20" x14ac:dyDescent="0.3">
      <c r="A180" s="2" t="s">
        <v>174</v>
      </c>
      <c r="B180" s="2" t="s">
        <v>241</v>
      </c>
      <c r="C180" s="2" t="s">
        <v>380</v>
      </c>
      <c r="D180" s="2" t="s">
        <v>25</v>
      </c>
      <c r="E180" s="2" t="s">
        <v>380</v>
      </c>
      <c r="F180" s="2" t="s">
        <v>381</v>
      </c>
      <c r="G180" s="15">
        <v>30.343</v>
      </c>
      <c r="H180" s="33">
        <v>30.343</v>
      </c>
      <c r="I180" s="36">
        <f t="shared" si="27"/>
        <v>52.341674999999995</v>
      </c>
      <c r="J180" s="36">
        <f t="shared" si="26"/>
        <v>23.7119530491</v>
      </c>
      <c r="K180" s="36">
        <f t="shared" si="26"/>
        <v>39.445900000000002</v>
      </c>
      <c r="L180" s="36">
        <f t="shared" si="26"/>
        <v>187.50456849999998</v>
      </c>
      <c r="M180" s="36">
        <f t="shared" si="26"/>
        <v>203.69104185</v>
      </c>
      <c r="N180" s="36">
        <f t="shared" si="26"/>
        <v>33.657369244115223</v>
      </c>
      <c r="O180" s="36">
        <f t="shared" si="26"/>
        <v>2535.76451</v>
      </c>
      <c r="P180" s="36">
        <f t="shared" si="26"/>
        <v>306.64635800000002</v>
      </c>
      <c r="Q180" s="36">
        <f t="shared" si="26"/>
        <v>118.03275284999999</v>
      </c>
      <c r="R180" s="36">
        <f t="shared" si="26"/>
        <v>301.62307435000002</v>
      </c>
      <c r="S180" s="36">
        <f t="shared" si="26"/>
        <v>25.586734750000002</v>
      </c>
      <c r="T180" s="36">
        <f t="shared" si="25"/>
        <v>28.825849999999999</v>
      </c>
    </row>
    <row r="181" spans="1:20" x14ac:dyDescent="0.3">
      <c r="A181" s="2" t="s">
        <v>174</v>
      </c>
      <c r="B181" s="2" t="s">
        <v>241</v>
      </c>
      <c r="C181" s="2" t="s">
        <v>382</v>
      </c>
      <c r="D181" s="2" t="s">
        <v>25</v>
      </c>
      <c r="E181" s="2" t="s">
        <v>382</v>
      </c>
      <c r="F181" s="2" t="s">
        <v>383</v>
      </c>
      <c r="G181" s="15">
        <v>30.343</v>
      </c>
      <c r="H181" s="33">
        <v>30.343</v>
      </c>
      <c r="I181" s="36">
        <f t="shared" si="27"/>
        <v>52.341674999999995</v>
      </c>
      <c r="J181" s="36">
        <f t="shared" si="26"/>
        <v>23.7119530491</v>
      </c>
      <c r="K181" s="36">
        <f t="shared" si="26"/>
        <v>39.445900000000002</v>
      </c>
      <c r="L181" s="36">
        <f t="shared" si="26"/>
        <v>187.50456849999998</v>
      </c>
      <c r="M181" s="36">
        <f t="shared" si="26"/>
        <v>203.69104185</v>
      </c>
      <c r="N181" s="36">
        <f t="shared" si="26"/>
        <v>33.657369244115223</v>
      </c>
      <c r="O181" s="36">
        <f t="shared" si="26"/>
        <v>2535.76451</v>
      </c>
      <c r="P181" s="36">
        <f t="shared" si="26"/>
        <v>306.64635800000002</v>
      </c>
      <c r="Q181" s="36">
        <f t="shared" si="26"/>
        <v>118.03275284999999</v>
      </c>
      <c r="R181" s="36">
        <f t="shared" si="26"/>
        <v>301.62307435000002</v>
      </c>
      <c r="S181" s="36">
        <f t="shared" si="26"/>
        <v>25.586734750000002</v>
      </c>
      <c r="T181" s="36">
        <f t="shared" si="25"/>
        <v>28.825849999999999</v>
      </c>
    </row>
    <row r="182" spans="1:20" x14ac:dyDescent="0.3">
      <c r="A182" s="2" t="s">
        <v>174</v>
      </c>
      <c r="B182" s="2" t="s">
        <v>241</v>
      </c>
      <c r="C182" s="2" t="s">
        <v>384</v>
      </c>
      <c r="D182" s="2" t="s">
        <v>25</v>
      </c>
      <c r="E182" s="2" t="s">
        <v>384</v>
      </c>
      <c r="F182" s="2" t="s">
        <v>385</v>
      </c>
      <c r="G182" s="15">
        <v>30.343</v>
      </c>
      <c r="H182" s="33">
        <v>30.343</v>
      </c>
      <c r="I182" s="36">
        <f t="shared" si="27"/>
        <v>52.341674999999995</v>
      </c>
      <c r="J182" s="36">
        <f t="shared" si="26"/>
        <v>23.7119530491</v>
      </c>
      <c r="K182" s="36">
        <f t="shared" si="26"/>
        <v>39.445900000000002</v>
      </c>
      <c r="L182" s="36">
        <f t="shared" si="26"/>
        <v>187.50456849999998</v>
      </c>
      <c r="M182" s="36">
        <f t="shared" si="26"/>
        <v>203.69104185</v>
      </c>
      <c r="N182" s="36">
        <f t="shared" si="26"/>
        <v>33.657369244115223</v>
      </c>
      <c r="O182" s="36">
        <f t="shared" si="26"/>
        <v>2535.76451</v>
      </c>
      <c r="P182" s="36">
        <f t="shared" si="26"/>
        <v>306.64635800000002</v>
      </c>
      <c r="Q182" s="36">
        <f t="shared" si="26"/>
        <v>118.03275284999999</v>
      </c>
      <c r="R182" s="36">
        <f t="shared" si="26"/>
        <v>301.62307435000002</v>
      </c>
      <c r="S182" s="36">
        <f t="shared" si="26"/>
        <v>25.586734750000002</v>
      </c>
      <c r="T182" s="36">
        <f t="shared" si="25"/>
        <v>28.825849999999999</v>
      </c>
    </row>
    <row r="183" spans="1:20" x14ac:dyDescent="0.3">
      <c r="A183" s="2" t="s">
        <v>174</v>
      </c>
      <c r="C183" s="14" t="s">
        <v>386</v>
      </c>
      <c r="D183" s="2" t="s">
        <v>25</v>
      </c>
      <c r="E183" s="14" t="s">
        <v>386</v>
      </c>
      <c r="F183" s="2" t="s">
        <v>387</v>
      </c>
      <c r="G183" s="16">
        <v>0</v>
      </c>
      <c r="H183" s="33">
        <v>0</v>
      </c>
      <c r="I183" s="10">
        <f t="shared" si="27"/>
        <v>0</v>
      </c>
      <c r="J183" s="10">
        <f t="shared" si="26"/>
        <v>0</v>
      </c>
      <c r="K183" s="10">
        <f t="shared" si="26"/>
        <v>0</v>
      </c>
      <c r="L183" s="10">
        <f t="shared" si="26"/>
        <v>0</v>
      </c>
      <c r="M183" s="10">
        <f t="shared" si="26"/>
        <v>0</v>
      </c>
      <c r="N183" s="10">
        <f t="shared" si="26"/>
        <v>0</v>
      </c>
      <c r="O183" s="10">
        <f t="shared" si="26"/>
        <v>0</v>
      </c>
      <c r="P183" s="10">
        <f t="shared" si="26"/>
        <v>0</v>
      </c>
      <c r="Q183" s="10">
        <f t="shared" si="26"/>
        <v>0</v>
      </c>
      <c r="R183" s="11">
        <f t="shared" si="26"/>
        <v>0</v>
      </c>
      <c r="S183" s="10">
        <f t="shared" si="26"/>
        <v>0</v>
      </c>
      <c r="T183" s="2">
        <f t="shared" si="25"/>
        <v>0</v>
      </c>
    </row>
    <row r="184" spans="1:20" x14ac:dyDescent="0.3">
      <c r="F184" s="2" t="s">
        <v>388</v>
      </c>
      <c r="G184" s="15">
        <f>G108*0.05</f>
        <v>9.6784499999999999E-3</v>
      </c>
      <c r="H184" s="33">
        <f>H108*0.05</f>
        <v>9.6784499999999999E-3</v>
      </c>
      <c r="I184" s="15">
        <f t="shared" ref="I184:L184" si="28">I108*0.05</f>
        <v>1.669532625E-2</v>
      </c>
      <c r="J184" s="15">
        <f t="shared" si="28"/>
        <v>7.5633573472650003E-3</v>
      </c>
      <c r="K184" s="15">
        <f t="shared" si="28"/>
        <v>1.2581985000000002E-2</v>
      </c>
      <c r="L184" s="15">
        <f t="shared" si="28"/>
        <v>5.9807981774999998E-2</v>
      </c>
    </row>
    <row r="189" spans="1:20" x14ac:dyDescent="0.3">
      <c r="C189" s="1" t="s">
        <v>389</v>
      </c>
      <c r="F189" s="2" t="s">
        <v>390</v>
      </c>
      <c r="G189" s="15">
        <f>G108*0.15</f>
        <v>2.9035349999999998E-2</v>
      </c>
      <c r="H189" s="33">
        <f>H108*0.15</f>
        <v>2.9035349999999998E-2</v>
      </c>
      <c r="I189" s="15">
        <f t="shared" ref="I189:T189" si="29">I108*0.15</f>
        <v>5.0085978749999989E-2</v>
      </c>
      <c r="J189" s="15">
        <f t="shared" si="29"/>
        <v>2.2690072041795E-2</v>
      </c>
      <c r="K189" s="15">
        <f t="shared" si="29"/>
        <v>3.7745955000000005E-2</v>
      </c>
      <c r="L189" s="15">
        <f t="shared" si="29"/>
        <v>0.17942394532499997</v>
      </c>
      <c r="M189" s="15">
        <f t="shared" si="29"/>
        <v>0.19491285278250001</v>
      </c>
      <c r="N189" s="15">
        <f t="shared" si="29"/>
        <v>3.2206884490067589E-2</v>
      </c>
      <c r="O189" s="15">
        <f t="shared" si="29"/>
        <v>2.4264841994999995</v>
      </c>
      <c r="P189" s="15">
        <f t="shared" si="29"/>
        <v>0.29343124709999996</v>
      </c>
      <c r="Q189" s="15">
        <f t="shared" si="29"/>
        <v>0.11294605973249998</v>
      </c>
      <c r="R189" s="15">
        <f t="shared" si="29"/>
        <v>0.2886244449075</v>
      </c>
      <c r="S189" s="15">
        <f t="shared" si="29"/>
        <v>2.44840588875E-2</v>
      </c>
      <c r="T189" s="15">
        <f t="shared" si="29"/>
        <v>2.7583582499999999E-2</v>
      </c>
    </row>
  </sheetData>
  <autoFilter ref="A4:T184" xr:uid="{C45C4A37-C060-43F5-A5F0-FB97A4C63B3B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ADAE5-4D19-430A-8D56-B4780788FFC5}">
  <sheetPr codeName="Sheet2"/>
  <dimension ref="A1:D75"/>
  <sheetViews>
    <sheetView workbookViewId="0">
      <selection activeCell="F19" sqref="F19"/>
    </sheetView>
  </sheetViews>
  <sheetFormatPr defaultRowHeight="14.4" x14ac:dyDescent="0.3"/>
  <cols>
    <col min="2" max="3" width="11.88671875" bestFit="1" customWidth="1"/>
    <col min="4" max="4" width="9.109375" style="27"/>
  </cols>
  <sheetData>
    <row r="1" spans="1:4" ht="24.6" x14ac:dyDescent="0.3">
      <c r="A1" s="21" t="s">
        <v>5</v>
      </c>
      <c r="B1" s="21" t="s">
        <v>393</v>
      </c>
      <c r="C1" s="22" t="s">
        <v>391</v>
      </c>
      <c r="D1" s="28" t="s">
        <v>392</v>
      </c>
    </row>
    <row r="2" spans="1:4" x14ac:dyDescent="0.3">
      <c r="A2" s="23" t="s">
        <v>24</v>
      </c>
      <c r="B2" s="24">
        <v>5.4636350000000009</v>
      </c>
      <c r="C2" s="25">
        <v>5.6275440500000009</v>
      </c>
      <c r="D2" s="26">
        <f t="shared" ref="D2:D33" si="0">B2*1.036</f>
        <v>5.6603258600000013</v>
      </c>
    </row>
    <row r="3" spans="1:4" x14ac:dyDescent="0.3">
      <c r="A3" s="23" t="s">
        <v>27</v>
      </c>
      <c r="B3" s="24">
        <v>7.6490890000000009</v>
      </c>
      <c r="C3" s="25">
        <v>7.8785616700000007</v>
      </c>
      <c r="D3" s="26">
        <f t="shared" si="0"/>
        <v>7.9244562040000011</v>
      </c>
    </row>
    <row r="4" spans="1:4" x14ac:dyDescent="0.3">
      <c r="A4" s="23" t="s">
        <v>29</v>
      </c>
      <c r="B4" s="24">
        <v>9.834543</v>
      </c>
      <c r="C4" s="25">
        <v>10.129579290000001</v>
      </c>
      <c r="D4" s="26">
        <f t="shared" si="0"/>
        <v>10.188586548</v>
      </c>
    </row>
    <row r="5" spans="1:4" x14ac:dyDescent="0.3">
      <c r="A5" s="23" t="s">
        <v>31</v>
      </c>
      <c r="B5" s="24">
        <v>12.019997</v>
      </c>
      <c r="C5" s="25">
        <v>12.38059691</v>
      </c>
      <c r="D5" s="26">
        <f t="shared" si="0"/>
        <v>12.452716892</v>
      </c>
    </row>
    <row r="6" spans="1:4" x14ac:dyDescent="0.3">
      <c r="A6" s="23" t="s">
        <v>33</v>
      </c>
      <c r="B6" s="24">
        <v>16.390905</v>
      </c>
      <c r="C6" s="25">
        <v>16.882632149999999</v>
      </c>
      <c r="D6" s="26">
        <f t="shared" si="0"/>
        <v>16.980977580000001</v>
      </c>
    </row>
    <row r="7" spans="1:4" x14ac:dyDescent="0.3">
      <c r="A7" s="23" t="s">
        <v>35</v>
      </c>
      <c r="B7" s="24">
        <v>18.576359000000004</v>
      </c>
      <c r="C7" s="25">
        <v>19.133649770000005</v>
      </c>
      <c r="D7" s="26">
        <f t="shared" si="0"/>
        <v>19.245107924000003</v>
      </c>
    </row>
    <row r="8" spans="1:4" x14ac:dyDescent="0.3">
      <c r="A8" s="23" t="s">
        <v>37</v>
      </c>
      <c r="B8" s="24">
        <v>6.9661346250000005</v>
      </c>
      <c r="C8" s="25">
        <v>7.1751186637500011</v>
      </c>
      <c r="D8" s="26">
        <f t="shared" si="0"/>
        <v>7.216915471500001</v>
      </c>
    </row>
    <row r="9" spans="1:4" x14ac:dyDescent="0.3">
      <c r="A9" s="23" t="s">
        <v>39</v>
      </c>
      <c r="B9" s="24">
        <v>8.1954525</v>
      </c>
      <c r="C9" s="25">
        <v>8.4413160749999996</v>
      </c>
      <c r="D9" s="26">
        <f t="shared" si="0"/>
        <v>8.4904887900000006</v>
      </c>
    </row>
    <row r="10" spans="1:4" x14ac:dyDescent="0.3">
      <c r="A10" s="23" t="s">
        <v>41</v>
      </c>
      <c r="B10" s="24">
        <v>10.654088250000001</v>
      </c>
      <c r="C10" s="25">
        <v>10.973710897500002</v>
      </c>
      <c r="D10" s="26">
        <f t="shared" si="0"/>
        <v>11.037635427000001</v>
      </c>
    </row>
    <row r="11" spans="1:4" x14ac:dyDescent="0.3">
      <c r="A11" s="23" t="s">
        <v>43</v>
      </c>
      <c r="B11" s="24">
        <v>13.112724</v>
      </c>
      <c r="C11" s="25">
        <v>13.506105720000001</v>
      </c>
      <c r="D11" s="26">
        <f t="shared" si="0"/>
        <v>13.584782064000001</v>
      </c>
    </row>
    <row r="12" spans="1:4" x14ac:dyDescent="0.3">
      <c r="A12" s="23" t="s">
        <v>45</v>
      </c>
      <c r="B12" s="24">
        <v>17.483632</v>
      </c>
      <c r="C12" s="25">
        <v>18.008140960000002</v>
      </c>
      <c r="D12" s="26">
        <f t="shared" si="0"/>
        <v>18.113042752000002</v>
      </c>
    </row>
    <row r="13" spans="1:4" x14ac:dyDescent="0.3">
      <c r="A13" s="23" t="s">
        <v>47</v>
      </c>
      <c r="B13" s="24">
        <v>21.854540000000004</v>
      </c>
      <c r="C13" s="25">
        <v>22.510176200000004</v>
      </c>
      <c r="D13" s="26">
        <f t="shared" si="0"/>
        <v>22.641303440000005</v>
      </c>
    </row>
    <row r="14" spans="1:4" x14ac:dyDescent="0.3">
      <c r="A14" s="23" t="s">
        <v>49</v>
      </c>
      <c r="B14" s="24">
        <v>26.225448</v>
      </c>
      <c r="C14" s="25">
        <v>27.012211440000002</v>
      </c>
      <c r="D14" s="26">
        <f t="shared" si="0"/>
        <v>27.169564128000001</v>
      </c>
    </row>
    <row r="15" spans="1:4" x14ac:dyDescent="0.3">
      <c r="A15" s="23" t="s">
        <v>51</v>
      </c>
      <c r="B15" s="24">
        <v>16.390905</v>
      </c>
      <c r="C15" s="25">
        <v>16.882632149999999</v>
      </c>
      <c r="D15" s="26">
        <f t="shared" si="0"/>
        <v>16.980977580000001</v>
      </c>
    </row>
    <row r="16" spans="1:4" x14ac:dyDescent="0.3">
      <c r="A16" s="23" t="s">
        <v>53</v>
      </c>
      <c r="B16" s="24">
        <v>17.483632</v>
      </c>
      <c r="C16" s="25">
        <v>18.008140960000002</v>
      </c>
      <c r="D16" s="26">
        <f t="shared" si="0"/>
        <v>18.113042752000002</v>
      </c>
    </row>
    <row r="17" spans="1:4" x14ac:dyDescent="0.3">
      <c r="A17" s="23" t="s">
        <v>55</v>
      </c>
      <c r="B17" s="24">
        <v>18.576359000000004</v>
      </c>
      <c r="C17" s="25">
        <v>19.133649770000005</v>
      </c>
      <c r="D17" s="26">
        <f t="shared" si="0"/>
        <v>19.245107924000003</v>
      </c>
    </row>
    <row r="18" spans="1:4" x14ac:dyDescent="0.3">
      <c r="A18" s="23" t="s">
        <v>57</v>
      </c>
      <c r="B18" s="24">
        <v>19.669086</v>
      </c>
      <c r="C18" s="25">
        <v>20.259158580000001</v>
      </c>
      <c r="D18" s="26">
        <f t="shared" si="0"/>
        <v>20.377173096</v>
      </c>
    </row>
    <row r="19" spans="1:4" x14ac:dyDescent="0.3">
      <c r="A19" s="23" t="s">
        <v>59</v>
      </c>
      <c r="B19" s="24">
        <v>21.854540000000004</v>
      </c>
      <c r="C19" s="25">
        <v>22.510176200000004</v>
      </c>
      <c r="D19" s="26">
        <f t="shared" si="0"/>
        <v>22.641303440000005</v>
      </c>
    </row>
    <row r="20" spans="1:4" x14ac:dyDescent="0.3">
      <c r="A20" s="23" t="s">
        <v>61</v>
      </c>
      <c r="B20" s="24">
        <v>27.318175</v>
      </c>
      <c r="C20" s="25">
        <v>28.137720250000001</v>
      </c>
      <c r="D20" s="26">
        <f t="shared" si="0"/>
        <v>28.301629300000002</v>
      </c>
    </row>
    <row r="21" spans="1:4" x14ac:dyDescent="0.3">
      <c r="A21" s="23" t="s">
        <v>63</v>
      </c>
      <c r="B21" s="24">
        <v>7.6490890000000009</v>
      </c>
      <c r="C21" s="25">
        <v>7.8785616700000007</v>
      </c>
      <c r="D21" s="26">
        <f t="shared" si="0"/>
        <v>7.9244562040000011</v>
      </c>
    </row>
    <row r="22" spans="1:4" x14ac:dyDescent="0.3">
      <c r="A22" s="23" t="s">
        <v>65</v>
      </c>
      <c r="B22" s="24">
        <v>9.834543</v>
      </c>
      <c r="C22" s="25">
        <v>10.129579290000001</v>
      </c>
      <c r="D22" s="26">
        <f t="shared" si="0"/>
        <v>10.188586548</v>
      </c>
    </row>
    <row r="23" spans="1:4" x14ac:dyDescent="0.3">
      <c r="A23" s="23" t="s">
        <v>67</v>
      </c>
      <c r="B23" s="24">
        <v>12.019997</v>
      </c>
      <c r="C23" s="25">
        <v>12.38059691</v>
      </c>
      <c r="D23" s="26">
        <f t="shared" si="0"/>
        <v>12.452716892</v>
      </c>
    </row>
    <row r="24" spans="1:4" x14ac:dyDescent="0.3">
      <c r="A24" s="23" t="s">
        <v>69</v>
      </c>
      <c r="B24" s="24">
        <v>14.205451</v>
      </c>
      <c r="C24" s="25">
        <v>14.63161453</v>
      </c>
      <c r="D24" s="26">
        <f t="shared" si="0"/>
        <v>14.716847236000001</v>
      </c>
    </row>
    <row r="25" spans="1:4" x14ac:dyDescent="0.3">
      <c r="A25" s="23" t="s">
        <v>72</v>
      </c>
      <c r="B25" s="24">
        <v>9.834543</v>
      </c>
      <c r="C25" s="25">
        <v>10.129579290000001</v>
      </c>
      <c r="D25" s="26">
        <f t="shared" si="0"/>
        <v>10.188586548</v>
      </c>
    </row>
    <row r="26" spans="1:4" x14ac:dyDescent="0.3">
      <c r="A26" s="23" t="s">
        <v>74</v>
      </c>
      <c r="B26" s="24">
        <v>9.834543</v>
      </c>
      <c r="C26" s="25">
        <v>10.129579290000001</v>
      </c>
      <c r="D26" s="26">
        <f t="shared" si="0"/>
        <v>10.188586548</v>
      </c>
    </row>
    <row r="27" spans="1:4" x14ac:dyDescent="0.3">
      <c r="A27" s="23" t="s">
        <v>76</v>
      </c>
      <c r="B27" s="24">
        <v>9.834543</v>
      </c>
      <c r="C27" s="25">
        <v>10.129579290000001</v>
      </c>
      <c r="D27" s="26">
        <f t="shared" si="0"/>
        <v>10.188586548</v>
      </c>
    </row>
    <row r="28" spans="1:4" x14ac:dyDescent="0.3">
      <c r="A28" s="23" t="s">
        <v>78</v>
      </c>
      <c r="B28" s="24">
        <v>9.834543</v>
      </c>
      <c r="C28" s="25">
        <v>10.129579290000001</v>
      </c>
      <c r="D28" s="26">
        <f t="shared" si="0"/>
        <v>10.188586548</v>
      </c>
    </row>
    <row r="29" spans="1:4" x14ac:dyDescent="0.3">
      <c r="A29" s="23" t="s">
        <v>79</v>
      </c>
      <c r="B29" s="24">
        <v>19.669086</v>
      </c>
      <c r="C29" s="25">
        <v>20.259158580000001</v>
      </c>
      <c r="D29" s="26">
        <f t="shared" si="0"/>
        <v>20.377173096</v>
      </c>
    </row>
    <row r="30" spans="1:4" x14ac:dyDescent="0.3">
      <c r="A30" s="23" t="s">
        <v>81</v>
      </c>
      <c r="B30" s="24">
        <v>9.834543</v>
      </c>
      <c r="C30" s="25">
        <v>10.129579290000001</v>
      </c>
      <c r="D30" s="26">
        <f t="shared" si="0"/>
        <v>10.188586548</v>
      </c>
    </row>
    <row r="31" spans="1:4" x14ac:dyDescent="0.3">
      <c r="A31" s="23" t="s">
        <v>83</v>
      </c>
      <c r="B31" s="24">
        <v>9.834543</v>
      </c>
      <c r="C31" s="25">
        <v>10.129579290000001</v>
      </c>
      <c r="D31" s="26">
        <f t="shared" si="0"/>
        <v>10.188586548</v>
      </c>
    </row>
    <row r="32" spans="1:4" x14ac:dyDescent="0.3">
      <c r="A32" s="23" t="s">
        <v>85</v>
      </c>
      <c r="B32" s="24">
        <v>19.669086</v>
      </c>
      <c r="C32" s="25">
        <v>20.259158580000001</v>
      </c>
      <c r="D32" s="26">
        <f t="shared" si="0"/>
        <v>20.377173096</v>
      </c>
    </row>
    <row r="33" spans="1:4" x14ac:dyDescent="0.3">
      <c r="A33" s="23" t="s">
        <v>87</v>
      </c>
      <c r="B33" s="24">
        <v>7.6490890000000009</v>
      </c>
      <c r="C33" s="25">
        <v>7.8785616700000007</v>
      </c>
      <c r="D33" s="26">
        <f t="shared" si="0"/>
        <v>7.9244562040000011</v>
      </c>
    </row>
    <row r="34" spans="1:4" x14ac:dyDescent="0.3">
      <c r="A34" s="23" t="s">
        <v>89</v>
      </c>
      <c r="B34" s="24">
        <v>7.6490890000000009</v>
      </c>
      <c r="C34" s="25">
        <v>7.8785616700000007</v>
      </c>
      <c r="D34" s="26">
        <f t="shared" ref="D34:D65" si="1">B34*1.036</f>
        <v>7.9244562040000011</v>
      </c>
    </row>
    <row r="35" spans="1:4" x14ac:dyDescent="0.3">
      <c r="A35" s="23" t="s">
        <v>91</v>
      </c>
      <c r="B35" s="24">
        <v>10.927270000000002</v>
      </c>
      <c r="C35" s="25">
        <v>11.255088100000002</v>
      </c>
      <c r="D35" s="26">
        <f t="shared" si="1"/>
        <v>11.320651720000003</v>
      </c>
    </row>
    <row r="36" spans="1:4" x14ac:dyDescent="0.3">
      <c r="A36" s="23" t="s">
        <v>93</v>
      </c>
      <c r="B36" s="24">
        <v>7.6490890000000009</v>
      </c>
      <c r="C36" s="25">
        <v>7.8785616700000007</v>
      </c>
      <c r="D36" s="26">
        <f t="shared" si="1"/>
        <v>7.9244562040000011</v>
      </c>
    </row>
    <row r="37" spans="1:4" x14ac:dyDescent="0.3">
      <c r="A37" s="23" t="s">
        <v>95</v>
      </c>
      <c r="B37" s="24">
        <v>7.6490890000000009</v>
      </c>
      <c r="C37" s="25">
        <v>7.8785616700000007</v>
      </c>
      <c r="D37" s="26">
        <f t="shared" si="1"/>
        <v>7.9244562040000011</v>
      </c>
    </row>
    <row r="38" spans="1:4" x14ac:dyDescent="0.3">
      <c r="A38" s="23" t="s">
        <v>97</v>
      </c>
      <c r="B38" s="24">
        <v>10.927270000000002</v>
      </c>
      <c r="C38" s="25">
        <v>11.255088100000002</v>
      </c>
      <c r="D38" s="26">
        <f t="shared" si="1"/>
        <v>11.320651720000003</v>
      </c>
    </row>
    <row r="39" spans="1:4" x14ac:dyDescent="0.3">
      <c r="A39" s="23" t="s">
        <v>99</v>
      </c>
      <c r="B39" s="24">
        <v>5.4636350000000009</v>
      </c>
      <c r="C39" s="25">
        <v>5.6275440500000009</v>
      </c>
      <c r="D39" s="26">
        <f t="shared" si="1"/>
        <v>5.6603258600000013</v>
      </c>
    </row>
    <row r="40" spans="1:4" x14ac:dyDescent="0.3">
      <c r="A40" s="23" t="s">
        <v>101</v>
      </c>
      <c r="B40" s="24">
        <v>10.927270000000002</v>
      </c>
      <c r="C40" s="25">
        <v>11.255088100000002</v>
      </c>
      <c r="D40" s="26">
        <f t="shared" si="1"/>
        <v>11.320651720000003</v>
      </c>
    </row>
    <row r="41" spans="1:4" x14ac:dyDescent="0.3">
      <c r="A41" s="23" t="s">
        <v>103</v>
      </c>
      <c r="B41" s="24">
        <v>5.4636350000000009</v>
      </c>
      <c r="C41" s="25">
        <v>5.6275440500000009</v>
      </c>
      <c r="D41" s="26">
        <f t="shared" si="1"/>
        <v>5.6603258600000013</v>
      </c>
    </row>
    <row r="42" spans="1:4" x14ac:dyDescent="0.3">
      <c r="A42" s="23" t="s">
        <v>105</v>
      </c>
      <c r="B42" s="24">
        <v>10.927270000000002</v>
      </c>
      <c r="C42" s="25">
        <v>11.255088100000002</v>
      </c>
      <c r="D42" s="26">
        <f t="shared" si="1"/>
        <v>11.320651720000003</v>
      </c>
    </row>
    <row r="43" spans="1:4" x14ac:dyDescent="0.3">
      <c r="A43" s="23" t="s">
        <v>108</v>
      </c>
      <c r="B43" s="24">
        <v>13.112724</v>
      </c>
      <c r="C43" s="25">
        <v>13.506105720000001</v>
      </c>
      <c r="D43" s="26">
        <f t="shared" si="1"/>
        <v>13.584782064000001</v>
      </c>
    </row>
    <row r="44" spans="1:4" x14ac:dyDescent="0.3">
      <c r="A44" s="23" t="s">
        <v>110</v>
      </c>
      <c r="B44" s="24">
        <v>13.112724</v>
      </c>
      <c r="C44" s="25">
        <v>13.506105720000001</v>
      </c>
      <c r="D44" s="26">
        <f t="shared" si="1"/>
        <v>13.584782064000001</v>
      </c>
    </row>
    <row r="45" spans="1:4" x14ac:dyDescent="0.3">
      <c r="A45" s="23" t="s">
        <v>112</v>
      </c>
      <c r="B45" s="24">
        <v>13.112724</v>
      </c>
      <c r="C45" s="25">
        <v>13.506105720000001</v>
      </c>
      <c r="D45" s="26">
        <f t="shared" si="1"/>
        <v>13.584782064000001</v>
      </c>
    </row>
    <row r="46" spans="1:4" x14ac:dyDescent="0.3">
      <c r="A46" s="23" t="s">
        <v>114</v>
      </c>
      <c r="B46" s="24">
        <v>13.112724</v>
      </c>
      <c r="C46" s="25">
        <v>13.506105720000001</v>
      </c>
      <c r="D46" s="26">
        <f t="shared" si="1"/>
        <v>13.584782064000001</v>
      </c>
    </row>
    <row r="47" spans="1:4" x14ac:dyDescent="0.3">
      <c r="A47" s="23" t="s">
        <v>115</v>
      </c>
      <c r="B47" s="24">
        <v>26.225448</v>
      </c>
      <c r="C47" s="25">
        <v>27.012211440000002</v>
      </c>
      <c r="D47" s="26">
        <f t="shared" si="1"/>
        <v>27.169564128000001</v>
      </c>
    </row>
    <row r="48" spans="1:4" x14ac:dyDescent="0.3">
      <c r="A48" s="23" t="s">
        <v>117</v>
      </c>
      <c r="B48" s="24">
        <v>13.112724</v>
      </c>
      <c r="C48" s="25">
        <v>13.506105720000001</v>
      </c>
      <c r="D48" s="26">
        <f t="shared" si="1"/>
        <v>13.584782064000001</v>
      </c>
    </row>
    <row r="49" spans="1:4" x14ac:dyDescent="0.3">
      <c r="A49" s="23" t="s">
        <v>119</v>
      </c>
      <c r="B49" s="24">
        <v>13.112724</v>
      </c>
      <c r="C49" s="25">
        <v>13.506105720000001</v>
      </c>
      <c r="D49" s="26">
        <f t="shared" si="1"/>
        <v>13.584782064000001</v>
      </c>
    </row>
    <row r="50" spans="1:4" x14ac:dyDescent="0.3">
      <c r="A50" s="23" t="s">
        <v>121</v>
      </c>
      <c r="B50" s="24">
        <v>26.225448</v>
      </c>
      <c r="C50" s="25">
        <v>27.012211440000002</v>
      </c>
      <c r="D50" s="26">
        <f t="shared" si="1"/>
        <v>27.169564128000001</v>
      </c>
    </row>
    <row r="51" spans="1:4" x14ac:dyDescent="0.3">
      <c r="A51" s="23">
        <v>559640</v>
      </c>
      <c r="B51" s="24">
        <v>2.185454</v>
      </c>
      <c r="C51" s="25">
        <v>2.2510176200000003</v>
      </c>
      <c r="D51" s="26">
        <f t="shared" si="1"/>
        <v>2.2641303440000002</v>
      </c>
    </row>
    <row r="52" spans="1:4" x14ac:dyDescent="0.3">
      <c r="A52" s="23">
        <v>559660</v>
      </c>
      <c r="B52" s="24">
        <v>2.185454</v>
      </c>
      <c r="C52" s="25">
        <v>2.2510176200000003</v>
      </c>
      <c r="D52" s="26">
        <f t="shared" si="1"/>
        <v>2.2641303440000002</v>
      </c>
    </row>
    <row r="53" spans="1:4" x14ac:dyDescent="0.3">
      <c r="A53" s="23" t="s">
        <v>127</v>
      </c>
      <c r="B53" s="24">
        <v>1.092727</v>
      </c>
      <c r="C53" s="25">
        <v>1.1255088100000001</v>
      </c>
      <c r="D53" s="26">
        <f t="shared" si="1"/>
        <v>1.1320651720000001</v>
      </c>
    </row>
    <row r="54" spans="1:4" x14ac:dyDescent="0.3">
      <c r="A54" s="23" t="s">
        <v>129</v>
      </c>
      <c r="B54" s="24">
        <v>1.092727</v>
      </c>
      <c r="C54" s="25">
        <v>1.1255088100000001</v>
      </c>
      <c r="D54" s="26">
        <f t="shared" si="1"/>
        <v>1.1320651720000001</v>
      </c>
    </row>
    <row r="55" spans="1:4" x14ac:dyDescent="0.3">
      <c r="A55" s="23" t="s">
        <v>131</v>
      </c>
      <c r="B55" s="24">
        <v>2.185454</v>
      </c>
      <c r="C55" s="25">
        <v>2.2510176200000003</v>
      </c>
      <c r="D55" s="26">
        <f t="shared" si="1"/>
        <v>2.2641303440000002</v>
      </c>
    </row>
    <row r="56" spans="1:4" x14ac:dyDescent="0.3">
      <c r="A56" s="23" t="s">
        <v>133</v>
      </c>
      <c r="B56" s="24">
        <v>2.185454</v>
      </c>
      <c r="C56" s="25">
        <v>2.2510176200000003</v>
      </c>
      <c r="D56" s="26">
        <f t="shared" si="1"/>
        <v>2.2641303440000002</v>
      </c>
    </row>
    <row r="57" spans="1:4" x14ac:dyDescent="0.3">
      <c r="A57" s="23" t="s">
        <v>135</v>
      </c>
      <c r="B57" s="24">
        <v>2.7318175000000005</v>
      </c>
      <c r="C57" s="25">
        <v>2.8137720250000005</v>
      </c>
      <c r="D57" s="26">
        <f t="shared" si="1"/>
        <v>2.8301629300000006</v>
      </c>
    </row>
    <row r="58" spans="1:4" x14ac:dyDescent="0.3">
      <c r="A58" s="23" t="s">
        <v>137</v>
      </c>
      <c r="B58" s="24">
        <v>3.278181</v>
      </c>
      <c r="C58" s="25">
        <v>3.3765264300000002</v>
      </c>
      <c r="D58" s="26">
        <f t="shared" si="1"/>
        <v>3.3961955160000001</v>
      </c>
    </row>
    <row r="59" spans="1:4" x14ac:dyDescent="0.3">
      <c r="A59" s="23" t="s">
        <v>139</v>
      </c>
      <c r="B59" s="24">
        <v>2.185454</v>
      </c>
      <c r="C59" s="25">
        <v>2.2510176200000003</v>
      </c>
      <c r="D59" s="26">
        <f t="shared" si="1"/>
        <v>2.2641303440000002</v>
      </c>
    </row>
    <row r="60" spans="1:4" x14ac:dyDescent="0.3">
      <c r="A60" s="23" t="s">
        <v>141</v>
      </c>
      <c r="B60" s="24">
        <v>4.370908</v>
      </c>
      <c r="C60" s="25">
        <v>4.5020352400000005</v>
      </c>
      <c r="D60" s="26">
        <f t="shared" si="1"/>
        <v>4.5282606880000005</v>
      </c>
    </row>
    <row r="61" spans="1:4" x14ac:dyDescent="0.3">
      <c r="A61" s="23" t="s">
        <v>143</v>
      </c>
      <c r="B61" s="24">
        <v>2.185454</v>
      </c>
      <c r="C61" s="25">
        <v>2.2510176200000003</v>
      </c>
      <c r="D61" s="26">
        <f t="shared" si="1"/>
        <v>2.2641303440000002</v>
      </c>
    </row>
    <row r="62" spans="1:4" x14ac:dyDescent="0.3">
      <c r="A62" s="23" t="s">
        <v>145</v>
      </c>
      <c r="B62" s="24">
        <v>7.6490890000000009</v>
      </c>
      <c r="C62" s="25">
        <v>7.8785616700000007</v>
      </c>
      <c r="D62" s="26">
        <f t="shared" si="1"/>
        <v>7.9244562040000011</v>
      </c>
    </row>
    <row r="63" spans="1:4" x14ac:dyDescent="0.3">
      <c r="A63" s="23" t="s">
        <v>148</v>
      </c>
      <c r="B63" s="24">
        <v>13.112724</v>
      </c>
      <c r="C63" s="25">
        <v>13.506105720000001</v>
      </c>
      <c r="D63" s="26">
        <f t="shared" si="1"/>
        <v>13.584782064000001</v>
      </c>
    </row>
    <row r="64" spans="1:4" x14ac:dyDescent="0.3">
      <c r="A64" s="23" t="s">
        <v>150</v>
      </c>
      <c r="B64" s="24">
        <v>13.112724</v>
      </c>
      <c r="C64" s="25">
        <v>13.506105720000001</v>
      </c>
      <c r="D64" s="26">
        <f t="shared" si="1"/>
        <v>13.584782064000001</v>
      </c>
    </row>
    <row r="65" spans="1:4" x14ac:dyDescent="0.3">
      <c r="A65" s="23" t="s">
        <v>152</v>
      </c>
      <c r="B65" s="24">
        <v>13.112724</v>
      </c>
      <c r="C65" s="25">
        <v>13.506105720000001</v>
      </c>
      <c r="D65" s="26">
        <f t="shared" si="1"/>
        <v>13.584782064000001</v>
      </c>
    </row>
    <row r="66" spans="1:4" x14ac:dyDescent="0.3">
      <c r="A66" s="23" t="s">
        <v>154</v>
      </c>
      <c r="B66" s="24">
        <v>13.112724</v>
      </c>
      <c r="C66" s="25">
        <v>13.506105720000001</v>
      </c>
      <c r="D66" s="26">
        <f t="shared" ref="D66:D75" si="2">B66*1.036</f>
        <v>13.584782064000001</v>
      </c>
    </row>
    <row r="67" spans="1:4" x14ac:dyDescent="0.3">
      <c r="A67" s="23" t="s">
        <v>156</v>
      </c>
      <c r="B67" s="24">
        <v>13.112724</v>
      </c>
      <c r="C67" s="25">
        <v>13.506105720000001</v>
      </c>
      <c r="D67" s="26">
        <f t="shared" si="2"/>
        <v>13.584782064000001</v>
      </c>
    </row>
    <row r="68" spans="1:4" x14ac:dyDescent="0.3">
      <c r="A68" s="23" t="s">
        <v>158</v>
      </c>
      <c r="B68" s="24">
        <v>13.112724</v>
      </c>
      <c r="C68" s="25">
        <v>13.506105720000001</v>
      </c>
      <c r="D68" s="26">
        <f t="shared" si="2"/>
        <v>13.584782064000001</v>
      </c>
    </row>
    <row r="69" spans="1:4" x14ac:dyDescent="0.3">
      <c r="A69" s="23" t="s">
        <v>160</v>
      </c>
      <c r="B69" s="24">
        <v>13.112724</v>
      </c>
      <c r="C69" s="25">
        <v>13.506105720000001</v>
      </c>
      <c r="D69" s="26">
        <f t="shared" si="2"/>
        <v>13.584782064000001</v>
      </c>
    </row>
    <row r="70" spans="1:4" x14ac:dyDescent="0.3">
      <c r="A70" s="23" t="s">
        <v>162</v>
      </c>
      <c r="B70" s="24">
        <v>13.112724</v>
      </c>
      <c r="C70" s="25">
        <v>13.506105720000001</v>
      </c>
      <c r="D70" s="26">
        <f t="shared" si="2"/>
        <v>13.584782064000001</v>
      </c>
    </row>
    <row r="71" spans="1:4" x14ac:dyDescent="0.3">
      <c r="A71" s="23" t="s">
        <v>164</v>
      </c>
      <c r="B71" s="24">
        <v>13.112724</v>
      </c>
      <c r="C71" s="25">
        <v>13.506105720000001</v>
      </c>
      <c r="D71" s="26">
        <f t="shared" si="2"/>
        <v>13.584782064000001</v>
      </c>
    </row>
    <row r="72" spans="1:4" x14ac:dyDescent="0.3">
      <c r="A72" s="23" t="s">
        <v>166</v>
      </c>
      <c r="B72" s="24">
        <v>13.112724</v>
      </c>
      <c r="C72" s="25">
        <v>13.506105720000001</v>
      </c>
      <c r="D72" s="26">
        <f t="shared" si="2"/>
        <v>13.584782064000001</v>
      </c>
    </row>
    <row r="73" spans="1:4" x14ac:dyDescent="0.3">
      <c r="A73" s="23" t="s">
        <v>168</v>
      </c>
      <c r="B73" s="24">
        <v>13.112724</v>
      </c>
      <c r="C73" s="25">
        <v>13.506105720000001</v>
      </c>
      <c r="D73" s="26">
        <f t="shared" si="2"/>
        <v>13.584782064000001</v>
      </c>
    </row>
    <row r="74" spans="1:4" x14ac:dyDescent="0.3">
      <c r="A74" s="23" t="s">
        <v>170</v>
      </c>
      <c r="B74" s="24">
        <v>13.112724</v>
      </c>
      <c r="C74" s="25">
        <v>13.506105720000001</v>
      </c>
      <c r="D74" s="26">
        <f t="shared" si="2"/>
        <v>13.584782064000001</v>
      </c>
    </row>
    <row r="75" spans="1:4" x14ac:dyDescent="0.3">
      <c r="A75" s="23" t="s">
        <v>172</v>
      </c>
      <c r="B75" s="24">
        <v>13.112724</v>
      </c>
      <c r="C75" s="25">
        <v>13.506105720000001</v>
      </c>
      <c r="D75" s="26">
        <f t="shared" si="2"/>
        <v>13.584782064000001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0E628-367E-46A8-8F00-91FB1FF88CBD}">
  <sheetPr codeName="Sheet3"/>
  <dimension ref="A1:K581"/>
  <sheetViews>
    <sheetView topLeftCell="A151" workbookViewId="0">
      <selection activeCell="K132" sqref="K132"/>
    </sheetView>
  </sheetViews>
  <sheetFormatPr defaultRowHeight="14.4" x14ac:dyDescent="0.3"/>
  <cols>
    <col min="1" max="1" width="17.44140625" bestFit="1" customWidth="1"/>
    <col min="2" max="2" width="9.44140625" bestFit="1" customWidth="1"/>
    <col min="3" max="3" width="8.77734375" bestFit="1" customWidth="1"/>
    <col min="4" max="4" width="4" bestFit="1" customWidth="1"/>
    <col min="5" max="5" width="6" bestFit="1" customWidth="1"/>
    <col min="6" max="6" width="14.109375" bestFit="1" customWidth="1"/>
    <col min="7" max="7" width="2" bestFit="1" customWidth="1"/>
    <col min="8" max="8" width="7" bestFit="1" customWidth="1"/>
    <col min="9" max="9" width="9.33203125" bestFit="1" customWidth="1"/>
    <col min="10" max="10" width="3" bestFit="1" customWidth="1"/>
    <col min="11" max="11" width="6" bestFit="1" customWidth="1"/>
  </cols>
  <sheetData>
    <row r="1" spans="1:8" x14ac:dyDescent="0.3">
      <c r="A1" t="s">
        <v>395</v>
      </c>
      <c r="B1" s="39">
        <v>1555.97</v>
      </c>
      <c r="C1" t="s">
        <v>27</v>
      </c>
      <c r="D1">
        <v>144</v>
      </c>
      <c r="E1">
        <v>10.26</v>
      </c>
      <c r="F1" t="s">
        <v>72</v>
      </c>
      <c r="G1">
        <v>6</v>
      </c>
      <c r="H1">
        <v>13.19</v>
      </c>
    </row>
    <row r="2" spans="1:8" x14ac:dyDescent="0.3">
      <c r="A2" t="s">
        <v>396</v>
      </c>
      <c r="B2" s="39">
        <v>2400.37</v>
      </c>
      <c r="C2" t="s">
        <v>31</v>
      </c>
      <c r="D2">
        <v>144</v>
      </c>
      <c r="E2">
        <v>16.12</v>
      </c>
      <c r="F2" t="s">
        <v>74</v>
      </c>
      <c r="G2">
        <v>6</v>
      </c>
      <c r="H2">
        <v>13.19</v>
      </c>
    </row>
    <row r="3" spans="1:8" x14ac:dyDescent="0.3">
      <c r="A3" t="s">
        <v>397</v>
      </c>
      <c r="B3" s="39">
        <v>1296.6400000000001</v>
      </c>
      <c r="C3" t="s">
        <v>27</v>
      </c>
      <c r="D3">
        <v>120</v>
      </c>
      <c r="E3">
        <v>10.26</v>
      </c>
      <c r="F3" t="s">
        <v>72</v>
      </c>
      <c r="G3">
        <v>5</v>
      </c>
      <c r="H3">
        <v>13.19</v>
      </c>
    </row>
    <row r="4" spans="1:8" x14ac:dyDescent="0.3">
      <c r="A4" t="s">
        <v>398</v>
      </c>
      <c r="B4" s="39">
        <v>1296.6400000000001</v>
      </c>
      <c r="C4" t="s">
        <v>27</v>
      </c>
      <c r="D4">
        <v>120</v>
      </c>
      <c r="E4">
        <v>10.26</v>
      </c>
      <c r="F4" t="s">
        <v>72</v>
      </c>
      <c r="G4">
        <v>5</v>
      </c>
      <c r="H4">
        <v>13.19</v>
      </c>
    </row>
    <row r="5" spans="1:8" x14ac:dyDescent="0.3">
      <c r="A5" t="s">
        <v>404</v>
      </c>
      <c r="B5" s="39">
        <v>2769.14</v>
      </c>
      <c r="C5" t="s">
        <v>33</v>
      </c>
      <c r="D5">
        <v>120</v>
      </c>
      <c r="E5">
        <v>21.98</v>
      </c>
      <c r="F5" t="s">
        <v>79</v>
      </c>
      <c r="G5">
        <v>5</v>
      </c>
      <c r="H5">
        <v>26.36</v>
      </c>
    </row>
    <row r="6" spans="1:8" x14ac:dyDescent="0.3">
      <c r="A6" t="s">
        <v>400</v>
      </c>
      <c r="B6" s="39">
        <v>2351.5700000000002</v>
      </c>
      <c r="C6" t="s">
        <v>69</v>
      </c>
      <c r="D6">
        <v>120</v>
      </c>
      <c r="E6">
        <v>19.05</v>
      </c>
      <c r="F6" t="s">
        <v>74</v>
      </c>
      <c r="G6">
        <v>5</v>
      </c>
      <c r="H6">
        <v>13.19</v>
      </c>
    </row>
    <row r="7" spans="1:8" x14ac:dyDescent="0.3">
      <c r="A7" t="s">
        <v>402</v>
      </c>
      <c r="B7" s="39">
        <v>2175.7199999999998</v>
      </c>
      <c r="C7" t="s">
        <v>43</v>
      </c>
      <c r="D7">
        <v>120</v>
      </c>
      <c r="E7">
        <v>17.579999999999998</v>
      </c>
      <c r="F7" t="s">
        <v>74</v>
      </c>
      <c r="G7">
        <v>5</v>
      </c>
      <c r="H7">
        <v>13.19</v>
      </c>
    </row>
    <row r="8" spans="1:8" x14ac:dyDescent="0.3">
      <c r="A8" t="s">
        <v>399</v>
      </c>
      <c r="B8" s="39">
        <v>2000.31</v>
      </c>
      <c r="C8" t="s">
        <v>67</v>
      </c>
      <c r="D8">
        <v>120</v>
      </c>
      <c r="E8">
        <v>16.12</v>
      </c>
      <c r="F8" t="s">
        <v>74</v>
      </c>
      <c r="G8">
        <v>5</v>
      </c>
      <c r="H8">
        <v>13.19</v>
      </c>
    </row>
    <row r="9" spans="1:8" x14ac:dyDescent="0.3">
      <c r="A9" t="s">
        <v>401</v>
      </c>
      <c r="B9" s="39">
        <v>2000.31</v>
      </c>
      <c r="C9" t="s">
        <v>31</v>
      </c>
      <c r="D9">
        <v>120</v>
      </c>
      <c r="E9">
        <v>16.12</v>
      </c>
      <c r="F9" t="s">
        <v>74</v>
      </c>
      <c r="G9">
        <v>5</v>
      </c>
      <c r="H9">
        <v>13.19</v>
      </c>
    </row>
    <row r="10" spans="1:8" x14ac:dyDescent="0.3">
      <c r="A10" t="s">
        <v>405</v>
      </c>
      <c r="B10" s="39">
        <v>2175.7199999999998</v>
      </c>
      <c r="C10" t="s">
        <v>43</v>
      </c>
      <c r="D10">
        <v>120</v>
      </c>
      <c r="E10">
        <v>17.579999999999998</v>
      </c>
      <c r="F10" t="s">
        <v>74</v>
      </c>
      <c r="G10">
        <v>5</v>
      </c>
      <c r="H10">
        <v>13.19</v>
      </c>
    </row>
    <row r="11" spans="1:8" x14ac:dyDescent="0.3">
      <c r="A11" t="s">
        <v>403</v>
      </c>
      <c r="B11" s="39">
        <v>1037.31</v>
      </c>
      <c r="C11" t="s">
        <v>27</v>
      </c>
      <c r="D11">
        <v>96</v>
      </c>
      <c r="E11">
        <v>10.26</v>
      </c>
      <c r="F11" t="s">
        <v>72</v>
      </c>
      <c r="G11">
        <v>4</v>
      </c>
      <c r="H11">
        <v>13.19</v>
      </c>
    </row>
    <row r="12" spans="1:8" x14ac:dyDescent="0.3">
      <c r="A12" t="s">
        <v>409</v>
      </c>
      <c r="B12" s="39">
        <v>1037.31</v>
      </c>
      <c r="C12" t="s">
        <v>27</v>
      </c>
      <c r="D12">
        <v>96</v>
      </c>
      <c r="E12">
        <v>10.26</v>
      </c>
      <c r="F12" t="s">
        <v>72</v>
      </c>
      <c r="G12">
        <v>4</v>
      </c>
      <c r="H12">
        <v>13.19</v>
      </c>
    </row>
    <row r="13" spans="1:8" x14ac:dyDescent="0.3">
      <c r="A13" t="s">
        <v>410</v>
      </c>
      <c r="B13">
        <v>984.56</v>
      </c>
      <c r="C13" t="s">
        <v>27</v>
      </c>
      <c r="D13">
        <v>96</v>
      </c>
      <c r="E13">
        <v>10.26</v>
      </c>
    </row>
    <row r="14" spans="1:8" x14ac:dyDescent="0.3">
      <c r="A14" t="s">
        <v>411</v>
      </c>
      <c r="B14" s="39">
        <v>1600.25</v>
      </c>
      <c r="C14" t="s">
        <v>31</v>
      </c>
      <c r="D14">
        <v>96</v>
      </c>
      <c r="E14">
        <v>16.12</v>
      </c>
      <c r="F14" t="s">
        <v>74</v>
      </c>
      <c r="G14">
        <v>4</v>
      </c>
      <c r="H14">
        <v>13.19</v>
      </c>
    </row>
    <row r="15" spans="1:8" x14ac:dyDescent="0.3">
      <c r="A15" t="s">
        <v>412</v>
      </c>
      <c r="B15" s="39">
        <v>1600.25</v>
      </c>
      <c r="C15" t="s">
        <v>31</v>
      </c>
      <c r="D15">
        <v>96</v>
      </c>
      <c r="E15">
        <v>16.12</v>
      </c>
      <c r="F15" t="s">
        <v>74</v>
      </c>
      <c r="G15">
        <v>4</v>
      </c>
      <c r="H15">
        <v>13.19</v>
      </c>
    </row>
    <row r="16" spans="1:8" x14ac:dyDescent="0.3">
      <c r="A16" t="s">
        <v>406</v>
      </c>
      <c r="B16" s="39">
        <v>1318.79</v>
      </c>
      <c r="C16" t="s">
        <v>29</v>
      </c>
      <c r="D16">
        <v>96</v>
      </c>
      <c r="E16">
        <v>13.19</v>
      </c>
      <c r="F16" t="s">
        <v>74</v>
      </c>
      <c r="G16">
        <v>4</v>
      </c>
      <c r="H16">
        <v>13.19</v>
      </c>
    </row>
    <row r="17" spans="1:8" x14ac:dyDescent="0.3">
      <c r="A17" t="s">
        <v>408</v>
      </c>
      <c r="B17" s="39">
        <v>1318.79</v>
      </c>
      <c r="C17" t="s">
        <v>29</v>
      </c>
      <c r="D17">
        <v>96</v>
      </c>
      <c r="E17">
        <v>13.19</v>
      </c>
      <c r="F17" t="s">
        <v>74</v>
      </c>
      <c r="G17">
        <v>4</v>
      </c>
      <c r="H17">
        <v>13.19</v>
      </c>
    </row>
    <row r="18" spans="1:8" x14ac:dyDescent="0.3">
      <c r="A18" t="s">
        <v>413</v>
      </c>
      <c r="B18" s="39">
        <v>1600.25</v>
      </c>
      <c r="C18" t="s">
        <v>31</v>
      </c>
      <c r="D18">
        <v>96</v>
      </c>
      <c r="E18">
        <v>16.12</v>
      </c>
      <c r="F18" t="s">
        <v>74</v>
      </c>
      <c r="G18">
        <v>4</v>
      </c>
      <c r="H18">
        <v>13.19</v>
      </c>
    </row>
    <row r="19" spans="1:8" x14ac:dyDescent="0.3">
      <c r="A19" t="s">
        <v>415</v>
      </c>
      <c r="B19" s="39">
        <v>890.79</v>
      </c>
      <c r="C19" t="s">
        <v>27</v>
      </c>
      <c r="D19">
        <v>84</v>
      </c>
      <c r="E19">
        <v>10.26</v>
      </c>
      <c r="F19" t="s">
        <v>99</v>
      </c>
      <c r="G19">
        <v>4</v>
      </c>
      <c r="H19">
        <v>7.32</v>
      </c>
    </row>
    <row r="20" spans="1:8" x14ac:dyDescent="0.3">
      <c r="A20" t="s">
        <v>414</v>
      </c>
      <c r="B20" s="39">
        <v>1406.81</v>
      </c>
      <c r="C20" t="s">
        <v>67</v>
      </c>
      <c r="D20">
        <v>84</v>
      </c>
      <c r="E20">
        <v>16.12</v>
      </c>
      <c r="F20" t="s">
        <v>74</v>
      </c>
      <c r="G20">
        <v>4</v>
      </c>
      <c r="H20">
        <v>13.19</v>
      </c>
    </row>
    <row r="21" spans="1:8" x14ac:dyDescent="0.3">
      <c r="A21" t="s">
        <v>419</v>
      </c>
      <c r="B21">
        <v>989.09</v>
      </c>
      <c r="C21" t="s">
        <v>29</v>
      </c>
      <c r="D21">
        <v>72</v>
      </c>
      <c r="E21">
        <v>13.19</v>
      </c>
      <c r="F21" t="s">
        <v>74</v>
      </c>
      <c r="G21">
        <v>3</v>
      </c>
      <c r="H21">
        <v>13.19</v>
      </c>
    </row>
    <row r="22" spans="1:8" x14ac:dyDescent="0.3">
      <c r="A22" t="s">
        <v>418</v>
      </c>
      <c r="B22" s="39">
        <v>1200.19</v>
      </c>
      <c r="C22" t="s">
        <v>31</v>
      </c>
      <c r="D22">
        <v>72</v>
      </c>
      <c r="E22">
        <v>16.12</v>
      </c>
      <c r="F22" t="s">
        <v>74</v>
      </c>
      <c r="G22">
        <v>3</v>
      </c>
      <c r="H22">
        <v>13.19</v>
      </c>
    </row>
    <row r="23" spans="1:8" x14ac:dyDescent="0.3">
      <c r="A23" t="s">
        <v>417</v>
      </c>
      <c r="B23">
        <v>566.88</v>
      </c>
      <c r="C23" t="s">
        <v>24</v>
      </c>
      <c r="D23">
        <v>72</v>
      </c>
      <c r="E23">
        <v>7.32</v>
      </c>
      <c r="F23" t="s">
        <v>72</v>
      </c>
      <c r="G23">
        <v>3</v>
      </c>
      <c r="H23">
        <v>13.19</v>
      </c>
    </row>
    <row r="24" spans="1:8" x14ac:dyDescent="0.3">
      <c r="A24" t="s">
        <v>416</v>
      </c>
      <c r="B24" s="39">
        <v>1342.33</v>
      </c>
      <c r="C24" t="s">
        <v>31</v>
      </c>
      <c r="D24">
        <v>80</v>
      </c>
      <c r="E24">
        <v>16.12</v>
      </c>
      <c r="F24" t="s">
        <v>74</v>
      </c>
      <c r="G24">
        <v>4</v>
      </c>
      <c r="H24">
        <v>13.19</v>
      </c>
    </row>
    <row r="25" spans="1:8" x14ac:dyDescent="0.3">
      <c r="A25" t="s">
        <v>420</v>
      </c>
      <c r="B25">
        <v>777.98</v>
      </c>
      <c r="C25" t="s">
        <v>27</v>
      </c>
      <c r="D25">
        <v>72</v>
      </c>
      <c r="E25">
        <v>10.26</v>
      </c>
      <c r="F25" t="s">
        <v>72</v>
      </c>
      <c r="G25">
        <v>3</v>
      </c>
      <c r="H25">
        <v>13.19</v>
      </c>
    </row>
    <row r="26" spans="1:8" x14ac:dyDescent="0.3">
      <c r="A26" t="s">
        <v>421</v>
      </c>
      <c r="B26" s="39">
        <v>1200.19</v>
      </c>
      <c r="C26" t="s">
        <v>31</v>
      </c>
      <c r="D26">
        <v>72</v>
      </c>
      <c r="E26">
        <v>16.12</v>
      </c>
      <c r="F26" t="s">
        <v>74</v>
      </c>
      <c r="G26">
        <v>3</v>
      </c>
      <c r="H26">
        <v>13.19</v>
      </c>
    </row>
    <row r="27" spans="1:8" x14ac:dyDescent="0.3">
      <c r="A27" t="s">
        <v>423</v>
      </c>
      <c r="B27" s="39">
        <v>1200.19</v>
      </c>
      <c r="C27" t="s">
        <v>31</v>
      </c>
      <c r="D27">
        <v>72</v>
      </c>
      <c r="E27">
        <v>16.12</v>
      </c>
      <c r="F27" t="s">
        <v>74</v>
      </c>
      <c r="G27">
        <v>3</v>
      </c>
      <c r="H27">
        <v>13.19</v>
      </c>
    </row>
    <row r="28" spans="1:8" x14ac:dyDescent="0.3">
      <c r="A28" t="s">
        <v>427</v>
      </c>
      <c r="B28">
        <v>654.91</v>
      </c>
      <c r="C28" t="s">
        <v>27</v>
      </c>
      <c r="D28">
        <v>60</v>
      </c>
      <c r="E28">
        <v>10.26</v>
      </c>
      <c r="F28" t="s">
        <v>72</v>
      </c>
      <c r="G28">
        <v>3</v>
      </c>
      <c r="H28">
        <v>13.19</v>
      </c>
    </row>
    <row r="29" spans="1:8" x14ac:dyDescent="0.3">
      <c r="A29" t="s">
        <v>426</v>
      </c>
      <c r="B29">
        <v>654.91</v>
      </c>
      <c r="C29" t="s">
        <v>27</v>
      </c>
      <c r="D29">
        <v>60</v>
      </c>
      <c r="E29">
        <v>10.26</v>
      </c>
      <c r="F29" t="s">
        <v>72</v>
      </c>
      <c r="G29">
        <v>3</v>
      </c>
      <c r="H29">
        <v>13.19</v>
      </c>
    </row>
    <row r="30" spans="1:8" x14ac:dyDescent="0.3">
      <c r="A30" t="s">
        <v>425</v>
      </c>
      <c r="B30" s="39">
        <v>654.91</v>
      </c>
      <c r="C30" t="s">
        <v>27</v>
      </c>
      <c r="D30">
        <v>60</v>
      </c>
      <c r="E30">
        <v>10.26</v>
      </c>
      <c r="F30" t="s">
        <v>72</v>
      </c>
      <c r="G30">
        <v>3</v>
      </c>
      <c r="H30">
        <v>13.19</v>
      </c>
    </row>
    <row r="31" spans="1:8" x14ac:dyDescent="0.3">
      <c r="A31" t="s">
        <v>424</v>
      </c>
      <c r="B31" s="39">
        <v>1621.92</v>
      </c>
      <c r="C31" t="s">
        <v>57</v>
      </c>
      <c r="D31">
        <v>60</v>
      </c>
      <c r="E31">
        <v>26.37</v>
      </c>
      <c r="F31" t="s">
        <v>83</v>
      </c>
      <c r="G31">
        <v>3</v>
      </c>
      <c r="H31">
        <v>13.19</v>
      </c>
    </row>
    <row r="32" spans="1:8" x14ac:dyDescent="0.3">
      <c r="A32" t="s">
        <v>428</v>
      </c>
      <c r="B32" s="39">
        <v>1006.75</v>
      </c>
      <c r="C32" t="s">
        <v>67</v>
      </c>
      <c r="D32">
        <v>60</v>
      </c>
      <c r="E32">
        <v>16.12</v>
      </c>
      <c r="F32" t="s">
        <v>74</v>
      </c>
      <c r="G32">
        <v>3</v>
      </c>
      <c r="H32">
        <v>13.19</v>
      </c>
    </row>
    <row r="33" spans="1:8" x14ac:dyDescent="0.3">
      <c r="A33" t="s">
        <v>429</v>
      </c>
      <c r="B33" s="39">
        <v>1006.75</v>
      </c>
      <c r="C33" t="s">
        <v>31</v>
      </c>
      <c r="D33">
        <v>60</v>
      </c>
      <c r="E33">
        <v>16.12</v>
      </c>
      <c r="F33" t="s">
        <v>74</v>
      </c>
      <c r="G33">
        <v>3</v>
      </c>
      <c r="H33">
        <v>13.19</v>
      </c>
    </row>
    <row r="34" spans="1:8" x14ac:dyDescent="0.3">
      <c r="A34" t="s">
        <v>431</v>
      </c>
      <c r="B34" s="39">
        <v>1006.75</v>
      </c>
      <c r="C34" t="s">
        <v>31</v>
      </c>
      <c r="D34">
        <v>60</v>
      </c>
      <c r="E34">
        <v>16.12</v>
      </c>
      <c r="F34" t="s">
        <v>74</v>
      </c>
      <c r="G34">
        <v>3</v>
      </c>
      <c r="H34">
        <v>13.19</v>
      </c>
    </row>
    <row r="35" spans="1:8" x14ac:dyDescent="0.3">
      <c r="A35" t="s">
        <v>430</v>
      </c>
      <c r="B35" s="39">
        <v>1182.3800000000001</v>
      </c>
      <c r="C35" t="s">
        <v>69</v>
      </c>
      <c r="D35">
        <v>60</v>
      </c>
      <c r="E35">
        <v>19.05</v>
      </c>
      <c r="F35" t="s">
        <v>74</v>
      </c>
      <c r="G35">
        <v>3</v>
      </c>
      <c r="H35">
        <v>13.19</v>
      </c>
    </row>
    <row r="36" spans="1:8" x14ac:dyDescent="0.3">
      <c r="A36" t="s">
        <v>432</v>
      </c>
      <c r="B36" s="39">
        <v>1397.75</v>
      </c>
      <c r="C36" t="s">
        <v>33</v>
      </c>
      <c r="D36">
        <v>60</v>
      </c>
      <c r="E36">
        <v>21.98</v>
      </c>
      <c r="F36" t="s">
        <v>79</v>
      </c>
      <c r="G36">
        <v>3</v>
      </c>
      <c r="H36">
        <v>26.36</v>
      </c>
    </row>
    <row r="37" spans="1:8" x14ac:dyDescent="0.3">
      <c r="A37" t="s">
        <v>434</v>
      </c>
      <c r="B37" s="39">
        <v>1094.45</v>
      </c>
      <c r="C37" t="s">
        <v>43</v>
      </c>
      <c r="D37">
        <v>60</v>
      </c>
      <c r="E37">
        <v>17.579999999999998</v>
      </c>
      <c r="F37" t="s">
        <v>74</v>
      </c>
      <c r="G37">
        <v>3</v>
      </c>
      <c r="H37">
        <v>13.19</v>
      </c>
    </row>
    <row r="38" spans="1:8" x14ac:dyDescent="0.3">
      <c r="A38" t="s">
        <v>433</v>
      </c>
      <c r="B38" s="39">
        <v>1094.45</v>
      </c>
      <c r="C38" t="s">
        <v>43</v>
      </c>
      <c r="D38">
        <v>60</v>
      </c>
      <c r="E38">
        <v>17.579999999999998</v>
      </c>
      <c r="F38" t="s">
        <v>74</v>
      </c>
      <c r="G38">
        <v>3</v>
      </c>
      <c r="H38">
        <v>13.19</v>
      </c>
    </row>
    <row r="39" spans="1:8" x14ac:dyDescent="0.3">
      <c r="A39" t="s">
        <v>437</v>
      </c>
      <c r="B39">
        <v>751.71</v>
      </c>
      <c r="C39" t="s">
        <v>29</v>
      </c>
      <c r="D39">
        <v>54</v>
      </c>
      <c r="E39">
        <v>13.19</v>
      </c>
      <c r="F39" t="s">
        <v>74</v>
      </c>
      <c r="G39">
        <v>3</v>
      </c>
      <c r="H39">
        <v>13.19</v>
      </c>
    </row>
    <row r="40" spans="1:8" x14ac:dyDescent="0.3">
      <c r="A40" t="s">
        <v>435</v>
      </c>
      <c r="B40">
        <v>613.89</v>
      </c>
      <c r="C40" t="s">
        <v>27</v>
      </c>
      <c r="D40">
        <v>56</v>
      </c>
      <c r="E40">
        <v>10.26</v>
      </c>
      <c r="F40" t="s">
        <v>72</v>
      </c>
      <c r="G40">
        <v>3</v>
      </c>
      <c r="H40">
        <v>13.19</v>
      </c>
    </row>
    <row r="41" spans="1:8" x14ac:dyDescent="0.3">
      <c r="A41" t="s">
        <v>436</v>
      </c>
      <c r="B41">
        <v>552.36</v>
      </c>
      <c r="C41" t="s">
        <v>27</v>
      </c>
      <c r="D41">
        <v>50</v>
      </c>
      <c r="E41">
        <v>10.26</v>
      </c>
      <c r="F41" t="s">
        <v>72</v>
      </c>
      <c r="G41">
        <v>3</v>
      </c>
      <c r="H41">
        <v>13.19</v>
      </c>
    </row>
    <row r="42" spans="1:8" x14ac:dyDescent="0.3">
      <c r="A42" t="s">
        <v>438</v>
      </c>
      <c r="B42" s="39">
        <v>1305.45</v>
      </c>
      <c r="C42" t="s">
        <v>57</v>
      </c>
      <c r="D42">
        <v>48</v>
      </c>
      <c r="E42">
        <v>26.37</v>
      </c>
      <c r="F42" t="s">
        <v>83</v>
      </c>
      <c r="G42">
        <v>3</v>
      </c>
      <c r="H42">
        <v>13.19</v>
      </c>
    </row>
    <row r="43" spans="1:8" x14ac:dyDescent="0.3">
      <c r="A43" t="s">
        <v>439</v>
      </c>
      <c r="B43">
        <v>845.55</v>
      </c>
      <c r="C43" t="s">
        <v>31</v>
      </c>
      <c r="D43">
        <v>50</v>
      </c>
      <c r="E43">
        <v>16.12</v>
      </c>
      <c r="F43" t="s">
        <v>74</v>
      </c>
      <c r="G43">
        <v>3</v>
      </c>
      <c r="H43">
        <v>13.19</v>
      </c>
    </row>
    <row r="44" spans="1:8" x14ac:dyDescent="0.3">
      <c r="A44" t="s">
        <v>440</v>
      </c>
      <c r="B44" s="39">
        <v>531.84</v>
      </c>
      <c r="C44" t="s">
        <v>27</v>
      </c>
      <c r="D44">
        <v>48</v>
      </c>
      <c r="E44">
        <v>10.26</v>
      </c>
      <c r="F44" t="s">
        <v>72</v>
      </c>
      <c r="G44">
        <v>3</v>
      </c>
      <c r="H44">
        <v>13.19</v>
      </c>
    </row>
    <row r="45" spans="1:8" x14ac:dyDescent="0.3">
      <c r="A45" t="s">
        <v>443</v>
      </c>
      <c r="B45">
        <v>531.84</v>
      </c>
      <c r="C45" t="s">
        <v>27</v>
      </c>
      <c r="D45">
        <v>48</v>
      </c>
      <c r="E45">
        <v>10.26</v>
      </c>
      <c r="F45" t="s">
        <v>72</v>
      </c>
      <c r="G45">
        <v>3</v>
      </c>
      <c r="H45">
        <v>13.19</v>
      </c>
    </row>
    <row r="46" spans="1:8" x14ac:dyDescent="0.3">
      <c r="A46" t="s">
        <v>441</v>
      </c>
      <c r="B46">
        <v>391.11</v>
      </c>
      <c r="C46" t="s">
        <v>24</v>
      </c>
      <c r="D46">
        <v>48</v>
      </c>
      <c r="E46">
        <v>7.32</v>
      </c>
      <c r="F46" t="s">
        <v>72</v>
      </c>
      <c r="G46">
        <v>3</v>
      </c>
      <c r="H46">
        <v>13.19</v>
      </c>
    </row>
    <row r="47" spans="1:8" x14ac:dyDescent="0.3">
      <c r="A47" t="s">
        <v>442</v>
      </c>
      <c r="B47">
        <v>531.84</v>
      </c>
      <c r="C47" t="s">
        <v>27</v>
      </c>
      <c r="D47">
        <v>48</v>
      </c>
      <c r="E47">
        <v>10.26</v>
      </c>
      <c r="F47" t="s">
        <v>72</v>
      </c>
      <c r="G47">
        <v>3</v>
      </c>
      <c r="H47">
        <v>13.19</v>
      </c>
    </row>
    <row r="48" spans="1:8" x14ac:dyDescent="0.3">
      <c r="A48" t="s">
        <v>444</v>
      </c>
      <c r="B48">
        <v>531.84</v>
      </c>
      <c r="C48" t="s">
        <v>27</v>
      </c>
      <c r="D48">
        <v>48</v>
      </c>
      <c r="E48">
        <v>10.26</v>
      </c>
      <c r="F48" t="s">
        <v>72</v>
      </c>
      <c r="G48">
        <v>3</v>
      </c>
      <c r="H48">
        <v>13.19</v>
      </c>
    </row>
    <row r="49" spans="1:8" x14ac:dyDescent="0.3">
      <c r="A49" t="s">
        <v>445</v>
      </c>
      <c r="B49">
        <v>672.58</v>
      </c>
      <c r="C49" t="s">
        <v>29</v>
      </c>
      <c r="D49">
        <v>48</v>
      </c>
      <c r="E49">
        <v>13.19</v>
      </c>
      <c r="F49" t="s">
        <v>74</v>
      </c>
      <c r="G49">
        <v>3</v>
      </c>
      <c r="H49">
        <v>13.19</v>
      </c>
    </row>
    <row r="50" spans="1:8" x14ac:dyDescent="0.3">
      <c r="A50" t="s">
        <v>447</v>
      </c>
      <c r="B50">
        <v>813.31</v>
      </c>
      <c r="C50" t="s">
        <v>67</v>
      </c>
      <c r="D50">
        <v>48</v>
      </c>
      <c r="E50">
        <v>16.12</v>
      </c>
      <c r="F50" t="s">
        <v>74</v>
      </c>
      <c r="G50">
        <v>3</v>
      </c>
      <c r="H50">
        <v>13.19</v>
      </c>
    </row>
    <row r="51" spans="1:8" x14ac:dyDescent="0.3">
      <c r="A51" t="s">
        <v>446</v>
      </c>
      <c r="B51">
        <v>672.58</v>
      </c>
      <c r="C51" t="s">
        <v>29</v>
      </c>
      <c r="D51">
        <v>48</v>
      </c>
      <c r="E51">
        <v>13.19</v>
      </c>
      <c r="F51" t="s">
        <v>74</v>
      </c>
      <c r="G51">
        <v>3</v>
      </c>
      <c r="H51">
        <v>13.19</v>
      </c>
    </row>
    <row r="52" spans="1:8" x14ac:dyDescent="0.3">
      <c r="A52" t="s">
        <v>448</v>
      </c>
      <c r="B52">
        <v>813.31</v>
      </c>
      <c r="C52" t="s">
        <v>31</v>
      </c>
      <c r="D52">
        <v>48</v>
      </c>
      <c r="E52">
        <v>16.12</v>
      </c>
      <c r="F52" t="s">
        <v>74</v>
      </c>
      <c r="G52">
        <v>3</v>
      </c>
      <c r="H52">
        <v>13.19</v>
      </c>
    </row>
    <row r="53" spans="1:8" x14ac:dyDescent="0.3">
      <c r="A53" t="s">
        <v>449</v>
      </c>
      <c r="B53">
        <v>813.31</v>
      </c>
      <c r="C53" t="s">
        <v>31</v>
      </c>
      <c r="D53">
        <v>48</v>
      </c>
      <c r="E53">
        <v>16.12</v>
      </c>
      <c r="F53" t="s">
        <v>74</v>
      </c>
      <c r="G53">
        <v>3</v>
      </c>
      <c r="H53">
        <v>13.19</v>
      </c>
    </row>
    <row r="54" spans="1:8" x14ac:dyDescent="0.3">
      <c r="A54" t="s">
        <v>450</v>
      </c>
      <c r="B54">
        <v>813.31</v>
      </c>
      <c r="C54" t="s">
        <v>31</v>
      </c>
      <c r="D54">
        <v>48</v>
      </c>
      <c r="E54">
        <v>16.12</v>
      </c>
      <c r="F54" t="s">
        <v>74</v>
      </c>
      <c r="G54">
        <v>3</v>
      </c>
      <c r="H54">
        <v>13.19</v>
      </c>
    </row>
    <row r="55" spans="1:8" x14ac:dyDescent="0.3">
      <c r="A55" t="s">
        <v>569</v>
      </c>
      <c r="B55">
        <v>813.31</v>
      </c>
      <c r="C55" t="s">
        <v>31</v>
      </c>
      <c r="D55">
        <v>48</v>
      </c>
      <c r="E55">
        <v>16.12</v>
      </c>
      <c r="F55" t="s">
        <v>74</v>
      </c>
      <c r="G55">
        <v>3</v>
      </c>
      <c r="H55">
        <v>13.19</v>
      </c>
    </row>
    <row r="56" spans="1:8" x14ac:dyDescent="0.3">
      <c r="A56" t="s">
        <v>451</v>
      </c>
      <c r="B56">
        <v>953.82</v>
      </c>
      <c r="C56" t="s">
        <v>69</v>
      </c>
      <c r="D56">
        <v>48</v>
      </c>
      <c r="E56">
        <v>19.05</v>
      </c>
      <c r="F56" t="s">
        <v>74</v>
      </c>
      <c r="G56">
        <v>3</v>
      </c>
      <c r="H56">
        <v>13.19</v>
      </c>
    </row>
    <row r="57" spans="1:8" x14ac:dyDescent="0.3">
      <c r="A57" t="s">
        <v>452</v>
      </c>
      <c r="B57">
        <v>813.31</v>
      </c>
      <c r="C57" t="s">
        <v>31</v>
      </c>
      <c r="D57">
        <v>48</v>
      </c>
      <c r="E57">
        <v>16.12</v>
      </c>
      <c r="F57" t="s">
        <v>74</v>
      </c>
      <c r="G57">
        <v>3</v>
      </c>
      <c r="H57">
        <v>13.19</v>
      </c>
    </row>
    <row r="58" spans="1:8" x14ac:dyDescent="0.3">
      <c r="A58" t="s">
        <v>454</v>
      </c>
      <c r="B58">
        <v>813.31</v>
      </c>
      <c r="C58" t="s">
        <v>31</v>
      </c>
      <c r="D58">
        <v>48</v>
      </c>
      <c r="E58">
        <v>16.12</v>
      </c>
      <c r="F58" t="s">
        <v>74</v>
      </c>
      <c r="G58">
        <v>3</v>
      </c>
      <c r="H58">
        <v>13.19</v>
      </c>
    </row>
    <row r="59" spans="1:8" x14ac:dyDescent="0.3">
      <c r="A59" t="s">
        <v>453</v>
      </c>
      <c r="B59">
        <v>813.31</v>
      </c>
      <c r="C59" t="s">
        <v>31</v>
      </c>
      <c r="D59">
        <v>48</v>
      </c>
      <c r="E59">
        <v>16.12</v>
      </c>
      <c r="F59" t="s">
        <v>74</v>
      </c>
      <c r="G59">
        <v>3</v>
      </c>
      <c r="H59">
        <v>13.19</v>
      </c>
    </row>
    <row r="60" spans="1:8" x14ac:dyDescent="0.3">
      <c r="A60" t="s">
        <v>455</v>
      </c>
      <c r="B60">
        <v>813.31</v>
      </c>
      <c r="C60" t="s">
        <v>31</v>
      </c>
      <c r="D60">
        <v>48</v>
      </c>
      <c r="E60">
        <v>16.12</v>
      </c>
      <c r="F60" t="s">
        <v>74</v>
      </c>
      <c r="G60">
        <v>3</v>
      </c>
      <c r="H60">
        <v>13.19</v>
      </c>
    </row>
    <row r="61" spans="1:8" x14ac:dyDescent="0.3">
      <c r="A61" t="s">
        <v>456</v>
      </c>
      <c r="B61">
        <v>953.82</v>
      </c>
      <c r="C61" t="s">
        <v>69</v>
      </c>
      <c r="D61">
        <v>48</v>
      </c>
      <c r="E61">
        <v>19.05</v>
      </c>
      <c r="F61" t="s">
        <v>74</v>
      </c>
      <c r="G61">
        <v>3</v>
      </c>
      <c r="H61">
        <v>13.19</v>
      </c>
    </row>
    <row r="62" spans="1:8" x14ac:dyDescent="0.3">
      <c r="A62" t="s">
        <v>458</v>
      </c>
      <c r="B62">
        <v>813.31</v>
      </c>
      <c r="C62" t="s">
        <v>31</v>
      </c>
      <c r="D62">
        <v>48</v>
      </c>
      <c r="E62">
        <v>16.12</v>
      </c>
      <c r="F62" t="s">
        <v>74</v>
      </c>
      <c r="G62">
        <v>3</v>
      </c>
      <c r="H62">
        <v>13.19</v>
      </c>
    </row>
    <row r="63" spans="1:8" x14ac:dyDescent="0.3">
      <c r="A63" t="s">
        <v>457</v>
      </c>
      <c r="B63" s="39">
        <v>1134.02</v>
      </c>
      <c r="C63" t="s">
        <v>33</v>
      </c>
      <c r="D63">
        <v>48</v>
      </c>
      <c r="E63">
        <v>21.98</v>
      </c>
      <c r="F63" t="s">
        <v>79</v>
      </c>
      <c r="G63">
        <v>3</v>
      </c>
      <c r="H63">
        <v>26.36</v>
      </c>
    </row>
    <row r="64" spans="1:8" x14ac:dyDescent="0.3">
      <c r="A64" t="s">
        <v>460</v>
      </c>
      <c r="B64" s="39">
        <v>1134.02</v>
      </c>
      <c r="C64" t="s">
        <v>33</v>
      </c>
      <c r="D64">
        <v>48</v>
      </c>
      <c r="E64">
        <v>21.98</v>
      </c>
      <c r="F64" t="s">
        <v>79</v>
      </c>
      <c r="G64">
        <v>3</v>
      </c>
      <c r="H64">
        <v>26.36</v>
      </c>
    </row>
    <row r="65" spans="1:11" x14ac:dyDescent="0.3">
      <c r="A65" t="s">
        <v>459</v>
      </c>
      <c r="B65" s="39">
        <v>1134.02</v>
      </c>
      <c r="C65" t="s">
        <v>33</v>
      </c>
      <c r="D65">
        <v>48</v>
      </c>
      <c r="E65">
        <v>21.98</v>
      </c>
      <c r="F65" t="s">
        <v>79</v>
      </c>
      <c r="G65">
        <v>3</v>
      </c>
      <c r="H65">
        <v>26.36</v>
      </c>
    </row>
    <row r="66" spans="1:11" x14ac:dyDescent="0.3">
      <c r="A66" t="s">
        <v>461</v>
      </c>
      <c r="B66">
        <v>883.48</v>
      </c>
      <c r="C66" t="s">
        <v>43</v>
      </c>
      <c r="D66">
        <v>48</v>
      </c>
      <c r="E66">
        <v>17.579999999999998</v>
      </c>
      <c r="F66" t="s">
        <v>74</v>
      </c>
      <c r="G66">
        <v>3</v>
      </c>
      <c r="H66">
        <v>13.19</v>
      </c>
    </row>
    <row r="67" spans="1:11" x14ac:dyDescent="0.3">
      <c r="A67" t="s">
        <v>462</v>
      </c>
      <c r="B67">
        <v>567.02</v>
      </c>
      <c r="C67" t="s">
        <v>39</v>
      </c>
      <c r="D67">
        <v>48</v>
      </c>
      <c r="E67">
        <v>10.99</v>
      </c>
      <c r="F67" t="s">
        <v>72</v>
      </c>
      <c r="G67">
        <v>3</v>
      </c>
      <c r="H67">
        <v>13.19</v>
      </c>
    </row>
    <row r="68" spans="1:11" x14ac:dyDescent="0.3">
      <c r="A68" t="s">
        <v>463</v>
      </c>
      <c r="B68">
        <v>883.48</v>
      </c>
      <c r="C68" t="s">
        <v>43</v>
      </c>
      <c r="D68">
        <v>48</v>
      </c>
      <c r="E68">
        <v>17.579999999999998</v>
      </c>
      <c r="F68" t="s">
        <v>74</v>
      </c>
      <c r="G68">
        <v>3</v>
      </c>
      <c r="H68">
        <v>13.19</v>
      </c>
    </row>
    <row r="69" spans="1:11" x14ac:dyDescent="0.3">
      <c r="A69" t="s">
        <v>465</v>
      </c>
      <c r="B69">
        <v>883.48</v>
      </c>
      <c r="C69" t="s">
        <v>43</v>
      </c>
      <c r="D69">
        <v>48</v>
      </c>
      <c r="E69">
        <v>17.579999999999998</v>
      </c>
      <c r="F69" t="s">
        <v>74</v>
      </c>
      <c r="G69">
        <v>3</v>
      </c>
      <c r="H69">
        <v>13.19</v>
      </c>
    </row>
    <row r="70" spans="1:11" x14ac:dyDescent="0.3">
      <c r="A70" t="s">
        <v>464</v>
      </c>
      <c r="B70">
        <v>883.48</v>
      </c>
      <c r="C70" t="s">
        <v>43</v>
      </c>
      <c r="D70">
        <v>48</v>
      </c>
      <c r="E70">
        <v>17.579999999999998</v>
      </c>
      <c r="F70" t="s">
        <v>74</v>
      </c>
      <c r="G70">
        <v>3</v>
      </c>
      <c r="H70">
        <v>13.19</v>
      </c>
    </row>
    <row r="71" spans="1:11" x14ac:dyDescent="0.3">
      <c r="A71" t="s">
        <v>466</v>
      </c>
      <c r="B71">
        <v>883.48</v>
      </c>
      <c r="C71" t="s">
        <v>43</v>
      </c>
      <c r="D71">
        <v>48</v>
      </c>
      <c r="E71">
        <v>17.579999999999998</v>
      </c>
      <c r="F71" t="s">
        <v>74</v>
      </c>
      <c r="G71">
        <v>3</v>
      </c>
      <c r="H71">
        <v>13.19</v>
      </c>
    </row>
    <row r="72" spans="1:11" x14ac:dyDescent="0.3">
      <c r="A72" t="s">
        <v>470</v>
      </c>
      <c r="B72">
        <v>492.28</v>
      </c>
      <c r="C72" t="s">
        <v>27</v>
      </c>
      <c r="D72">
        <v>48</v>
      </c>
      <c r="E72">
        <v>10.26</v>
      </c>
    </row>
    <row r="73" spans="1:11" x14ac:dyDescent="0.3">
      <c r="A73" t="s">
        <v>467</v>
      </c>
      <c r="B73">
        <v>883.48</v>
      </c>
      <c r="C73" t="s">
        <v>43</v>
      </c>
      <c r="D73">
        <v>48</v>
      </c>
      <c r="E73">
        <v>17.579999999999998</v>
      </c>
      <c r="F73" t="s">
        <v>74</v>
      </c>
      <c r="G73">
        <v>3</v>
      </c>
      <c r="H73">
        <v>13.19</v>
      </c>
    </row>
    <row r="74" spans="1:11" x14ac:dyDescent="0.3">
      <c r="A74" t="s">
        <v>468</v>
      </c>
      <c r="B74">
        <v>773.75</v>
      </c>
      <c r="C74" t="s">
        <v>31</v>
      </c>
      <c r="D74">
        <v>48</v>
      </c>
      <c r="E74">
        <v>16.12</v>
      </c>
    </row>
    <row r="75" spans="1:11" x14ac:dyDescent="0.3">
      <c r="A75" t="s">
        <v>472</v>
      </c>
      <c r="B75" s="39">
        <v>1538.22</v>
      </c>
      <c r="C75" t="s">
        <v>57</v>
      </c>
      <c r="D75">
        <v>48</v>
      </c>
      <c r="E75">
        <v>26.37</v>
      </c>
      <c r="F75" t="s">
        <v>119</v>
      </c>
      <c r="G75">
        <v>3</v>
      </c>
      <c r="H75">
        <v>17.579999999999998</v>
      </c>
      <c r="I75" t="s">
        <v>137</v>
      </c>
      <c r="J75">
        <v>50</v>
      </c>
      <c r="K75">
        <v>4.3899999999999997</v>
      </c>
    </row>
    <row r="76" spans="1:11" x14ac:dyDescent="0.3">
      <c r="A76" t="s">
        <v>469</v>
      </c>
      <c r="B76" s="39">
        <v>1538.22</v>
      </c>
      <c r="C76" t="s">
        <v>57</v>
      </c>
      <c r="D76">
        <v>48</v>
      </c>
      <c r="E76">
        <v>26.37</v>
      </c>
      <c r="F76" t="s">
        <v>119</v>
      </c>
      <c r="G76">
        <v>3</v>
      </c>
      <c r="H76">
        <v>17.579999999999998</v>
      </c>
      <c r="I76" t="s">
        <v>137</v>
      </c>
      <c r="J76">
        <v>50</v>
      </c>
      <c r="K76">
        <v>4.3899999999999997</v>
      </c>
    </row>
    <row r="77" spans="1:11" x14ac:dyDescent="0.3">
      <c r="A77" t="s">
        <v>471</v>
      </c>
      <c r="B77" s="39">
        <v>1046.08</v>
      </c>
      <c r="C77" t="s">
        <v>31</v>
      </c>
      <c r="D77">
        <v>48</v>
      </c>
      <c r="E77">
        <v>16.12</v>
      </c>
      <c r="F77" t="s">
        <v>110</v>
      </c>
      <c r="G77">
        <v>3</v>
      </c>
      <c r="H77">
        <v>17.579999999999998</v>
      </c>
      <c r="I77" t="s">
        <v>137</v>
      </c>
      <c r="J77">
        <v>50</v>
      </c>
      <c r="K77">
        <v>4.3899999999999997</v>
      </c>
    </row>
    <row r="78" spans="1:11" x14ac:dyDescent="0.3">
      <c r="A78" t="s">
        <v>474</v>
      </c>
      <c r="B78" s="39">
        <v>1186.58</v>
      </c>
      <c r="C78" t="s">
        <v>69</v>
      </c>
      <c r="D78">
        <v>48</v>
      </c>
      <c r="E78">
        <v>19.05</v>
      </c>
      <c r="F78" t="s">
        <v>110</v>
      </c>
      <c r="G78">
        <v>3</v>
      </c>
      <c r="H78">
        <v>17.579999999999998</v>
      </c>
      <c r="I78" t="s">
        <v>137</v>
      </c>
      <c r="J78">
        <v>50</v>
      </c>
      <c r="K78">
        <v>4.3899999999999997</v>
      </c>
    </row>
    <row r="79" spans="1:11" x14ac:dyDescent="0.3">
      <c r="A79" t="s">
        <v>473</v>
      </c>
      <c r="B79" s="39">
        <v>1617.51</v>
      </c>
      <c r="C79" t="s">
        <v>61</v>
      </c>
      <c r="D79">
        <v>42</v>
      </c>
      <c r="E79">
        <v>36.630000000000003</v>
      </c>
      <c r="F79" t="s">
        <v>85</v>
      </c>
      <c r="G79">
        <v>3</v>
      </c>
      <c r="H79">
        <v>26.36</v>
      </c>
    </row>
    <row r="80" spans="1:11" x14ac:dyDescent="0.3">
      <c r="A80" t="s">
        <v>475</v>
      </c>
      <c r="B80">
        <v>716.59</v>
      </c>
      <c r="C80" t="s">
        <v>31</v>
      </c>
      <c r="D80">
        <v>42</v>
      </c>
      <c r="E80">
        <v>16.12</v>
      </c>
      <c r="F80" t="s">
        <v>74</v>
      </c>
      <c r="G80">
        <v>3</v>
      </c>
      <c r="H80">
        <v>13.19</v>
      </c>
    </row>
    <row r="81" spans="1:11" x14ac:dyDescent="0.3">
      <c r="A81" t="s">
        <v>477</v>
      </c>
      <c r="B81" s="39">
        <v>1309.83</v>
      </c>
      <c r="C81" t="s">
        <v>47</v>
      </c>
      <c r="D81">
        <v>42</v>
      </c>
      <c r="E81">
        <v>29.3</v>
      </c>
      <c r="F81" t="s">
        <v>79</v>
      </c>
      <c r="G81">
        <v>3</v>
      </c>
      <c r="H81">
        <v>26.36</v>
      </c>
    </row>
    <row r="82" spans="1:11" x14ac:dyDescent="0.3">
      <c r="A82" t="s">
        <v>476</v>
      </c>
      <c r="B82">
        <v>716.59</v>
      </c>
      <c r="C82" t="s">
        <v>31</v>
      </c>
      <c r="D82">
        <v>42</v>
      </c>
      <c r="E82">
        <v>16.12</v>
      </c>
      <c r="F82" t="s">
        <v>74</v>
      </c>
      <c r="G82">
        <v>3</v>
      </c>
      <c r="H82">
        <v>13.19</v>
      </c>
    </row>
    <row r="83" spans="1:11" x14ac:dyDescent="0.3">
      <c r="A83" t="s">
        <v>478</v>
      </c>
      <c r="B83" s="39">
        <v>567.08000000000004</v>
      </c>
      <c r="C83" t="s">
        <v>65</v>
      </c>
      <c r="D83">
        <v>40</v>
      </c>
      <c r="E83">
        <v>13.19</v>
      </c>
      <c r="F83" t="s">
        <v>72</v>
      </c>
      <c r="G83">
        <v>3</v>
      </c>
      <c r="H83">
        <v>13.19</v>
      </c>
    </row>
    <row r="84" spans="1:11" x14ac:dyDescent="0.3">
      <c r="A84" t="s">
        <v>479</v>
      </c>
      <c r="B84">
        <v>684.35</v>
      </c>
      <c r="C84" t="s">
        <v>31</v>
      </c>
      <c r="D84">
        <v>40</v>
      </c>
      <c r="E84">
        <v>16.12</v>
      </c>
      <c r="F84" t="s">
        <v>74</v>
      </c>
      <c r="G84">
        <v>3</v>
      </c>
      <c r="H84">
        <v>13.19</v>
      </c>
    </row>
    <row r="85" spans="1:11" x14ac:dyDescent="0.3">
      <c r="A85" t="s">
        <v>480</v>
      </c>
      <c r="B85">
        <v>441</v>
      </c>
      <c r="C85" t="s">
        <v>27</v>
      </c>
      <c r="D85">
        <v>40</v>
      </c>
      <c r="E85">
        <v>10.26</v>
      </c>
      <c r="F85" t="s">
        <v>87</v>
      </c>
      <c r="G85">
        <v>3</v>
      </c>
      <c r="H85">
        <v>10.26</v>
      </c>
    </row>
    <row r="86" spans="1:11" x14ac:dyDescent="0.3">
      <c r="A86" t="s">
        <v>481</v>
      </c>
      <c r="B86">
        <v>881.99</v>
      </c>
      <c r="C86" t="s">
        <v>31</v>
      </c>
      <c r="D86">
        <v>40</v>
      </c>
      <c r="E86">
        <v>16.12</v>
      </c>
      <c r="F86" t="s">
        <v>110</v>
      </c>
      <c r="G86">
        <v>3</v>
      </c>
      <c r="H86">
        <v>17.579999999999998</v>
      </c>
      <c r="I86" t="s">
        <v>137</v>
      </c>
      <c r="J86">
        <v>42</v>
      </c>
      <c r="K86">
        <v>4.3899999999999997</v>
      </c>
    </row>
    <row r="87" spans="1:11" x14ac:dyDescent="0.3">
      <c r="A87" t="s">
        <v>482</v>
      </c>
      <c r="B87">
        <v>975.79</v>
      </c>
      <c r="C87" t="s">
        <v>57</v>
      </c>
      <c r="D87">
        <v>36</v>
      </c>
      <c r="E87">
        <v>26.37</v>
      </c>
      <c r="F87" t="s">
        <v>83</v>
      </c>
      <c r="G87">
        <v>2</v>
      </c>
      <c r="H87">
        <v>13.19</v>
      </c>
    </row>
    <row r="88" spans="1:11" x14ac:dyDescent="0.3">
      <c r="A88" t="s">
        <v>483</v>
      </c>
      <c r="B88" s="39">
        <v>1107.6500000000001</v>
      </c>
      <c r="C88" t="s">
        <v>59</v>
      </c>
      <c r="D88">
        <v>36</v>
      </c>
      <c r="E88">
        <v>29.3</v>
      </c>
      <c r="F88" t="s">
        <v>85</v>
      </c>
      <c r="G88">
        <v>2</v>
      </c>
      <c r="H88">
        <v>26.36</v>
      </c>
    </row>
    <row r="89" spans="1:11" x14ac:dyDescent="0.3">
      <c r="A89" t="s">
        <v>484</v>
      </c>
      <c r="B89" s="39">
        <v>1107.6500000000001</v>
      </c>
      <c r="C89" t="s">
        <v>59</v>
      </c>
      <c r="D89">
        <v>36</v>
      </c>
      <c r="E89">
        <v>29.3</v>
      </c>
      <c r="F89" t="s">
        <v>85</v>
      </c>
      <c r="G89">
        <v>2</v>
      </c>
      <c r="H89">
        <v>26.36</v>
      </c>
    </row>
    <row r="90" spans="1:11" x14ac:dyDescent="0.3">
      <c r="A90" t="s">
        <v>485</v>
      </c>
      <c r="B90">
        <v>395.59</v>
      </c>
      <c r="C90" t="s">
        <v>27</v>
      </c>
      <c r="D90">
        <v>36</v>
      </c>
      <c r="E90">
        <v>10.26</v>
      </c>
      <c r="F90" t="s">
        <v>72</v>
      </c>
      <c r="G90">
        <v>2</v>
      </c>
      <c r="H90">
        <v>13.19</v>
      </c>
    </row>
    <row r="91" spans="1:11" x14ac:dyDescent="0.3">
      <c r="A91" t="s">
        <v>487</v>
      </c>
      <c r="B91">
        <v>395.59</v>
      </c>
      <c r="C91" t="s">
        <v>27</v>
      </c>
      <c r="D91">
        <v>36</v>
      </c>
      <c r="E91">
        <v>10.26</v>
      </c>
      <c r="F91" t="s">
        <v>72</v>
      </c>
      <c r="G91">
        <v>2</v>
      </c>
      <c r="H91">
        <v>13.19</v>
      </c>
    </row>
    <row r="92" spans="1:11" x14ac:dyDescent="0.3">
      <c r="A92" t="s">
        <v>486</v>
      </c>
      <c r="B92">
        <v>395.59</v>
      </c>
      <c r="C92" t="s">
        <v>27</v>
      </c>
      <c r="D92">
        <v>36</v>
      </c>
      <c r="E92">
        <v>10.26</v>
      </c>
      <c r="F92" t="s">
        <v>72</v>
      </c>
      <c r="G92">
        <v>2</v>
      </c>
      <c r="H92">
        <v>13.19</v>
      </c>
    </row>
    <row r="93" spans="1:11" x14ac:dyDescent="0.3">
      <c r="A93" t="s">
        <v>489</v>
      </c>
      <c r="B93">
        <v>395.59</v>
      </c>
      <c r="C93" t="s">
        <v>27</v>
      </c>
      <c r="D93">
        <v>36</v>
      </c>
      <c r="E93">
        <v>10.26</v>
      </c>
      <c r="F93" t="s">
        <v>72</v>
      </c>
      <c r="G93">
        <v>2</v>
      </c>
      <c r="H93">
        <v>13.19</v>
      </c>
    </row>
    <row r="94" spans="1:11" x14ac:dyDescent="0.3">
      <c r="A94" t="s">
        <v>488</v>
      </c>
      <c r="B94">
        <v>395.59</v>
      </c>
      <c r="C94" t="s">
        <v>27</v>
      </c>
      <c r="D94">
        <v>36</v>
      </c>
      <c r="E94">
        <v>10.26</v>
      </c>
      <c r="F94" t="s">
        <v>72</v>
      </c>
      <c r="G94">
        <v>2</v>
      </c>
      <c r="H94">
        <v>13.19</v>
      </c>
    </row>
    <row r="95" spans="1:11" x14ac:dyDescent="0.3">
      <c r="A95" t="s">
        <v>490</v>
      </c>
      <c r="B95">
        <v>395.59</v>
      </c>
      <c r="C95" t="s">
        <v>27</v>
      </c>
      <c r="D95">
        <v>36</v>
      </c>
      <c r="E95">
        <v>10.26</v>
      </c>
      <c r="F95" t="s">
        <v>72</v>
      </c>
      <c r="G95">
        <v>2</v>
      </c>
      <c r="H95">
        <v>13.19</v>
      </c>
    </row>
    <row r="96" spans="1:11" x14ac:dyDescent="0.3">
      <c r="A96" t="s">
        <v>493</v>
      </c>
      <c r="B96">
        <v>501.14</v>
      </c>
      <c r="C96" t="s">
        <v>29</v>
      </c>
      <c r="D96">
        <v>36</v>
      </c>
      <c r="E96">
        <v>13.19</v>
      </c>
      <c r="F96" t="s">
        <v>74</v>
      </c>
      <c r="G96">
        <v>2</v>
      </c>
      <c r="H96">
        <v>13.19</v>
      </c>
    </row>
    <row r="97" spans="1:8" x14ac:dyDescent="0.3">
      <c r="A97" t="s">
        <v>491</v>
      </c>
      <c r="B97">
        <v>501.14</v>
      </c>
      <c r="C97" t="s">
        <v>65</v>
      </c>
      <c r="D97">
        <v>36</v>
      </c>
      <c r="E97">
        <v>13.19</v>
      </c>
      <c r="F97" t="s">
        <v>72</v>
      </c>
      <c r="G97">
        <v>2</v>
      </c>
      <c r="H97">
        <v>13.19</v>
      </c>
    </row>
    <row r="98" spans="1:8" x14ac:dyDescent="0.3">
      <c r="A98" t="s">
        <v>494</v>
      </c>
      <c r="B98">
        <v>501.14</v>
      </c>
      <c r="C98" t="s">
        <v>29</v>
      </c>
      <c r="D98">
        <v>36</v>
      </c>
      <c r="E98">
        <v>13.19</v>
      </c>
      <c r="F98" t="s">
        <v>74</v>
      </c>
      <c r="G98">
        <v>2</v>
      </c>
      <c r="H98">
        <v>13.19</v>
      </c>
    </row>
    <row r="99" spans="1:8" x14ac:dyDescent="0.3">
      <c r="A99" t="s">
        <v>492</v>
      </c>
      <c r="B99">
        <v>606.69000000000005</v>
      </c>
      <c r="C99" t="s">
        <v>67</v>
      </c>
      <c r="D99">
        <v>36</v>
      </c>
      <c r="E99">
        <v>16.12</v>
      </c>
      <c r="F99" t="s">
        <v>74</v>
      </c>
      <c r="G99">
        <v>2</v>
      </c>
      <c r="H99">
        <v>13.19</v>
      </c>
    </row>
    <row r="100" spans="1:8" x14ac:dyDescent="0.3">
      <c r="A100" t="s">
        <v>495</v>
      </c>
      <c r="B100">
        <v>606.69000000000005</v>
      </c>
      <c r="C100" t="s">
        <v>67</v>
      </c>
      <c r="D100">
        <v>36</v>
      </c>
      <c r="E100">
        <v>16.12</v>
      </c>
      <c r="F100" t="s">
        <v>74</v>
      </c>
      <c r="G100">
        <v>2</v>
      </c>
      <c r="H100">
        <v>13.19</v>
      </c>
    </row>
    <row r="101" spans="1:8" x14ac:dyDescent="0.3">
      <c r="A101" t="s">
        <v>497</v>
      </c>
      <c r="B101">
        <v>501.14</v>
      </c>
      <c r="C101" t="s">
        <v>29</v>
      </c>
      <c r="D101">
        <v>36</v>
      </c>
      <c r="E101">
        <v>13.19</v>
      </c>
      <c r="F101" t="s">
        <v>74</v>
      </c>
      <c r="G101">
        <v>2</v>
      </c>
      <c r="H101">
        <v>13.19</v>
      </c>
    </row>
    <row r="102" spans="1:8" x14ac:dyDescent="0.3">
      <c r="A102" t="s">
        <v>496</v>
      </c>
      <c r="B102">
        <v>606.69000000000005</v>
      </c>
      <c r="C102" t="s">
        <v>31</v>
      </c>
      <c r="D102">
        <v>36</v>
      </c>
      <c r="E102">
        <v>16.12</v>
      </c>
      <c r="F102" t="s">
        <v>74</v>
      </c>
      <c r="G102">
        <v>2</v>
      </c>
      <c r="H102">
        <v>13.19</v>
      </c>
    </row>
    <row r="103" spans="1:8" x14ac:dyDescent="0.3">
      <c r="A103" t="s">
        <v>498</v>
      </c>
      <c r="B103">
        <v>712.06</v>
      </c>
      <c r="C103" t="s">
        <v>69</v>
      </c>
      <c r="D103">
        <v>36</v>
      </c>
      <c r="E103">
        <v>19.05</v>
      </c>
      <c r="F103" t="s">
        <v>74</v>
      </c>
      <c r="G103">
        <v>2</v>
      </c>
      <c r="H103">
        <v>13.19</v>
      </c>
    </row>
    <row r="104" spans="1:8" x14ac:dyDescent="0.3">
      <c r="A104" t="s">
        <v>567</v>
      </c>
      <c r="B104">
        <v>606.69000000000005</v>
      </c>
      <c r="C104" t="s">
        <v>31</v>
      </c>
      <c r="D104">
        <v>36</v>
      </c>
      <c r="E104">
        <v>16.12</v>
      </c>
      <c r="F104" t="s">
        <v>74</v>
      </c>
      <c r="G104">
        <v>2</v>
      </c>
      <c r="H104">
        <v>13.19</v>
      </c>
    </row>
    <row r="105" spans="1:8" x14ac:dyDescent="0.3">
      <c r="A105" t="s">
        <v>499</v>
      </c>
      <c r="B105">
        <v>606.69000000000005</v>
      </c>
      <c r="C105" t="s">
        <v>31</v>
      </c>
      <c r="D105">
        <v>36</v>
      </c>
      <c r="E105">
        <v>16.12</v>
      </c>
      <c r="F105" t="s">
        <v>74</v>
      </c>
      <c r="G105">
        <v>2</v>
      </c>
      <c r="H105">
        <v>13.19</v>
      </c>
    </row>
    <row r="106" spans="1:8" x14ac:dyDescent="0.3">
      <c r="A106" t="s">
        <v>500</v>
      </c>
      <c r="B106">
        <v>606.69000000000005</v>
      </c>
      <c r="C106" t="s">
        <v>31</v>
      </c>
      <c r="D106">
        <v>36</v>
      </c>
      <c r="E106">
        <v>16.12</v>
      </c>
      <c r="F106" t="s">
        <v>74</v>
      </c>
      <c r="G106">
        <v>2</v>
      </c>
      <c r="H106">
        <v>13.19</v>
      </c>
    </row>
    <row r="107" spans="1:8" x14ac:dyDescent="0.3">
      <c r="A107" t="s">
        <v>501</v>
      </c>
      <c r="B107">
        <v>712.06</v>
      </c>
      <c r="C107" t="s">
        <v>69</v>
      </c>
      <c r="D107">
        <v>36</v>
      </c>
      <c r="E107">
        <v>19.05</v>
      </c>
      <c r="F107" t="s">
        <v>74</v>
      </c>
      <c r="G107">
        <v>2</v>
      </c>
      <c r="H107">
        <v>13.19</v>
      </c>
    </row>
    <row r="108" spans="1:8" x14ac:dyDescent="0.3">
      <c r="A108" t="s">
        <v>503</v>
      </c>
      <c r="B108">
        <v>606.69000000000005</v>
      </c>
      <c r="C108" t="s">
        <v>31</v>
      </c>
      <c r="D108">
        <v>36</v>
      </c>
      <c r="E108">
        <v>16.12</v>
      </c>
      <c r="F108" t="s">
        <v>74</v>
      </c>
      <c r="G108">
        <v>2</v>
      </c>
      <c r="H108">
        <v>13.19</v>
      </c>
    </row>
    <row r="109" spans="1:8" x14ac:dyDescent="0.3">
      <c r="A109" t="s">
        <v>502</v>
      </c>
      <c r="B109">
        <v>606.69000000000005</v>
      </c>
      <c r="C109" t="s">
        <v>31</v>
      </c>
      <c r="D109">
        <v>36</v>
      </c>
      <c r="E109">
        <v>16.12</v>
      </c>
      <c r="F109" t="s">
        <v>74</v>
      </c>
      <c r="G109">
        <v>2</v>
      </c>
      <c r="H109">
        <v>13.19</v>
      </c>
    </row>
    <row r="110" spans="1:8" x14ac:dyDescent="0.3">
      <c r="A110" t="s">
        <v>504</v>
      </c>
      <c r="B110">
        <v>606.69000000000005</v>
      </c>
      <c r="C110" t="s">
        <v>31</v>
      </c>
      <c r="D110">
        <v>36</v>
      </c>
      <c r="E110">
        <v>16.12</v>
      </c>
      <c r="F110" t="s">
        <v>74</v>
      </c>
      <c r="G110">
        <v>2</v>
      </c>
      <c r="H110">
        <v>13.19</v>
      </c>
    </row>
    <row r="111" spans="1:8" x14ac:dyDescent="0.3">
      <c r="A111" t="s">
        <v>505</v>
      </c>
      <c r="B111">
        <v>606.69000000000005</v>
      </c>
      <c r="C111" t="s">
        <v>31</v>
      </c>
      <c r="D111">
        <v>36</v>
      </c>
      <c r="E111">
        <v>16.12</v>
      </c>
      <c r="F111" t="s">
        <v>74</v>
      </c>
      <c r="G111">
        <v>2</v>
      </c>
      <c r="H111">
        <v>13.19</v>
      </c>
    </row>
    <row r="112" spans="1:8" x14ac:dyDescent="0.3">
      <c r="A112" t="s">
        <v>507</v>
      </c>
      <c r="B112">
        <v>712.06</v>
      </c>
      <c r="C112" t="s">
        <v>69</v>
      </c>
      <c r="D112">
        <v>36</v>
      </c>
      <c r="E112">
        <v>19.05</v>
      </c>
      <c r="F112" t="s">
        <v>74</v>
      </c>
      <c r="G112">
        <v>2</v>
      </c>
      <c r="H112">
        <v>13.19</v>
      </c>
    </row>
    <row r="113" spans="1:8" x14ac:dyDescent="0.3">
      <c r="A113" t="s">
        <v>508</v>
      </c>
      <c r="B113">
        <v>606.69000000000005</v>
      </c>
      <c r="C113" t="s">
        <v>31</v>
      </c>
      <c r="D113">
        <v>36</v>
      </c>
      <c r="E113">
        <v>16.12</v>
      </c>
      <c r="F113" t="s">
        <v>74</v>
      </c>
      <c r="G113">
        <v>2</v>
      </c>
      <c r="H113">
        <v>13.19</v>
      </c>
    </row>
    <row r="114" spans="1:8" x14ac:dyDescent="0.3">
      <c r="A114" t="s">
        <v>509</v>
      </c>
      <c r="B114">
        <v>606.69000000000005</v>
      </c>
      <c r="C114" t="s">
        <v>31</v>
      </c>
      <c r="D114">
        <v>36</v>
      </c>
      <c r="E114">
        <v>16.12</v>
      </c>
      <c r="F114" t="s">
        <v>74</v>
      </c>
      <c r="G114">
        <v>2</v>
      </c>
      <c r="H114">
        <v>13.19</v>
      </c>
    </row>
    <row r="115" spans="1:8" x14ac:dyDescent="0.3">
      <c r="A115" t="s">
        <v>511</v>
      </c>
      <c r="B115">
        <v>606.69000000000005</v>
      </c>
      <c r="C115" t="s">
        <v>31</v>
      </c>
      <c r="D115">
        <v>36</v>
      </c>
      <c r="E115">
        <v>16.12</v>
      </c>
      <c r="F115" t="s">
        <v>74</v>
      </c>
      <c r="G115">
        <v>2</v>
      </c>
      <c r="H115">
        <v>13.19</v>
      </c>
    </row>
    <row r="116" spans="1:8" x14ac:dyDescent="0.3">
      <c r="A116" t="s">
        <v>510</v>
      </c>
      <c r="B116">
        <v>712.06</v>
      </c>
      <c r="C116" t="s">
        <v>69</v>
      </c>
      <c r="D116">
        <v>36</v>
      </c>
      <c r="E116">
        <v>19.05</v>
      </c>
      <c r="F116" t="s">
        <v>74</v>
      </c>
      <c r="G116">
        <v>2</v>
      </c>
      <c r="H116">
        <v>13.19</v>
      </c>
    </row>
    <row r="117" spans="1:8" x14ac:dyDescent="0.3">
      <c r="A117" t="s">
        <v>512</v>
      </c>
      <c r="B117">
        <v>606.69000000000005</v>
      </c>
      <c r="C117" t="s">
        <v>31</v>
      </c>
      <c r="D117">
        <v>36</v>
      </c>
      <c r="E117">
        <v>16.12</v>
      </c>
      <c r="F117" t="s">
        <v>74</v>
      </c>
      <c r="G117">
        <v>2</v>
      </c>
      <c r="H117">
        <v>13.19</v>
      </c>
    </row>
    <row r="118" spans="1:8" x14ac:dyDescent="0.3">
      <c r="A118" t="s">
        <v>513</v>
      </c>
      <c r="B118">
        <v>843.93</v>
      </c>
      <c r="C118" t="s">
        <v>33</v>
      </c>
      <c r="D118">
        <v>36</v>
      </c>
      <c r="E118">
        <v>21.98</v>
      </c>
      <c r="F118" t="s">
        <v>79</v>
      </c>
      <c r="G118">
        <v>2</v>
      </c>
      <c r="H118">
        <v>26.36</v>
      </c>
    </row>
    <row r="119" spans="1:8" x14ac:dyDescent="0.3">
      <c r="A119" t="s">
        <v>514</v>
      </c>
      <c r="B119">
        <v>843.93</v>
      </c>
      <c r="C119" t="s">
        <v>33</v>
      </c>
      <c r="D119">
        <v>36</v>
      </c>
      <c r="E119">
        <v>21.98</v>
      </c>
      <c r="F119" t="s">
        <v>79</v>
      </c>
      <c r="G119">
        <v>2</v>
      </c>
      <c r="H119">
        <v>26.36</v>
      </c>
    </row>
    <row r="120" spans="1:8" x14ac:dyDescent="0.3">
      <c r="A120" t="s">
        <v>515</v>
      </c>
      <c r="B120">
        <v>843.93</v>
      </c>
      <c r="C120" t="s">
        <v>33</v>
      </c>
      <c r="D120">
        <v>36</v>
      </c>
      <c r="E120">
        <v>21.98</v>
      </c>
      <c r="F120" t="s">
        <v>79</v>
      </c>
      <c r="G120">
        <v>2</v>
      </c>
      <c r="H120">
        <v>26.36</v>
      </c>
    </row>
    <row r="121" spans="1:8" x14ac:dyDescent="0.3">
      <c r="A121" t="s">
        <v>516</v>
      </c>
      <c r="B121">
        <v>843.93</v>
      </c>
      <c r="C121" t="s">
        <v>33</v>
      </c>
      <c r="D121">
        <v>36</v>
      </c>
      <c r="E121">
        <v>21.98</v>
      </c>
      <c r="F121" t="s">
        <v>79</v>
      </c>
      <c r="G121">
        <v>2</v>
      </c>
      <c r="H121">
        <v>26.36</v>
      </c>
    </row>
    <row r="122" spans="1:8" x14ac:dyDescent="0.3">
      <c r="A122" t="s">
        <v>517</v>
      </c>
      <c r="B122">
        <v>843.93</v>
      </c>
      <c r="C122" t="s">
        <v>33</v>
      </c>
      <c r="D122">
        <v>36</v>
      </c>
      <c r="E122">
        <v>21.98</v>
      </c>
      <c r="F122" t="s">
        <v>79</v>
      </c>
      <c r="G122">
        <v>2</v>
      </c>
      <c r="H122">
        <v>26.36</v>
      </c>
    </row>
    <row r="123" spans="1:8" x14ac:dyDescent="0.3">
      <c r="A123" t="s">
        <v>518</v>
      </c>
      <c r="B123">
        <v>843.93</v>
      </c>
      <c r="C123" t="s">
        <v>33</v>
      </c>
      <c r="D123">
        <v>36</v>
      </c>
      <c r="E123">
        <v>21.98</v>
      </c>
      <c r="F123" t="s">
        <v>79</v>
      </c>
      <c r="G123">
        <v>2</v>
      </c>
      <c r="H123">
        <v>26.36</v>
      </c>
    </row>
    <row r="124" spans="1:8" x14ac:dyDescent="0.3">
      <c r="A124" t="s">
        <v>519</v>
      </c>
      <c r="B124">
        <v>949.41</v>
      </c>
      <c r="C124" t="s">
        <v>35</v>
      </c>
      <c r="D124">
        <v>36</v>
      </c>
      <c r="E124">
        <v>24.91</v>
      </c>
      <c r="F124" t="s">
        <v>79</v>
      </c>
      <c r="G124">
        <v>2</v>
      </c>
      <c r="H124">
        <v>26.36</v>
      </c>
    </row>
    <row r="125" spans="1:8" x14ac:dyDescent="0.3">
      <c r="A125" t="s">
        <v>520</v>
      </c>
      <c r="B125">
        <v>949.41</v>
      </c>
      <c r="C125" t="s">
        <v>35</v>
      </c>
      <c r="D125">
        <v>36</v>
      </c>
      <c r="E125">
        <v>24.91</v>
      </c>
      <c r="F125" t="s">
        <v>79</v>
      </c>
      <c r="G125">
        <v>2</v>
      </c>
      <c r="H125">
        <v>26.36</v>
      </c>
    </row>
    <row r="126" spans="1:8" x14ac:dyDescent="0.3">
      <c r="A126" t="s">
        <v>521</v>
      </c>
      <c r="B126">
        <v>949.41</v>
      </c>
      <c r="C126" t="s">
        <v>35</v>
      </c>
      <c r="D126">
        <v>36</v>
      </c>
      <c r="E126">
        <v>24.91</v>
      </c>
      <c r="F126" t="s">
        <v>79</v>
      </c>
      <c r="G126">
        <v>2</v>
      </c>
      <c r="H126">
        <v>26.36</v>
      </c>
    </row>
    <row r="127" spans="1:8" x14ac:dyDescent="0.3">
      <c r="A127" t="s">
        <v>522</v>
      </c>
      <c r="B127">
        <v>421.96</v>
      </c>
      <c r="C127" t="s">
        <v>39</v>
      </c>
      <c r="D127">
        <v>36</v>
      </c>
      <c r="E127">
        <v>10.99</v>
      </c>
      <c r="F127" t="s">
        <v>72</v>
      </c>
      <c r="G127">
        <v>2</v>
      </c>
      <c r="H127">
        <v>13.19</v>
      </c>
    </row>
    <row r="128" spans="1:8" x14ac:dyDescent="0.3">
      <c r="A128" t="s">
        <v>523</v>
      </c>
      <c r="B128">
        <v>659.31</v>
      </c>
      <c r="C128" t="s">
        <v>43</v>
      </c>
      <c r="D128">
        <v>36</v>
      </c>
      <c r="E128">
        <v>17.579999999999998</v>
      </c>
      <c r="F128" t="s">
        <v>74</v>
      </c>
      <c r="G128">
        <v>2</v>
      </c>
      <c r="H128">
        <v>13.19</v>
      </c>
    </row>
    <row r="129" spans="1:11" x14ac:dyDescent="0.3">
      <c r="A129" t="s">
        <v>525</v>
      </c>
      <c r="B129">
        <v>369.21</v>
      </c>
      <c r="C129" t="s">
        <v>27</v>
      </c>
      <c r="D129">
        <v>36</v>
      </c>
      <c r="E129">
        <v>10.26</v>
      </c>
    </row>
    <row r="130" spans="1:11" x14ac:dyDescent="0.3">
      <c r="A130" t="s">
        <v>524</v>
      </c>
      <c r="B130" s="39">
        <v>1107.6500000000001</v>
      </c>
      <c r="C130" t="s">
        <v>47</v>
      </c>
      <c r="D130">
        <v>36</v>
      </c>
      <c r="E130">
        <v>29.3</v>
      </c>
      <c r="F130" t="s">
        <v>79</v>
      </c>
      <c r="G130">
        <v>2</v>
      </c>
      <c r="H130">
        <v>26.36</v>
      </c>
    </row>
    <row r="131" spans="1:11" x14ac:dyDescent="0.3">
      <c r="A131" t="s">
        <v>527</v>
      </c>
      <c r="B131">
        <v>665.21</v>
      </c>
      <c r="C131" t="s">
        <v>29</v>
      </c>
      <c r="D131">
        <v>36</v>
      </c>
      <c r="E131">
        <v>13.19</v>
      </c>
      <c r="F131" t="s">
        <v>99</v>
      </c>
      <c r="G131">
        <v>2</v>
      </c>
      <c r="H131">
        <v>7.32</v>
      </c>
      <c r="I131" t="s">
        <v>164</v>
      </c>
      <c r="J131">
        <v>10</v>
      </c>
      <c r="K131">
        <v>17.579999999999998</v>
      </c>
    </row>
    <row r="132" spans="1:11" x14ac:dyDescent="0.3">
      <c r="A132" t="s">
        <v>526</v>
      </c>
      <c r="B132" s="39">
        <v>1151.46</v>
      </c>
      <c r="C132" t="s">
        <v>57</v>
      </c>
      <c r="D132">
        <v>36</v>
      </c>
      <c r="E132">
        <v>26.37</v>
      </c>
      <c r="F132" t="s">
        <v>119</v>
      </c>
      <c r="G132">
        <v>2</v>
      </c>
      <c r="H132">
        <v>17.579999999999998</v>
      </c>
      <c r="I132" t="s">
        <v>137</v>
      </c>
      <c r="J132">
        <v>38</v>
      </c>
      <c r="K132">
        <v>4.3899999999999997</v>
      </c>
    </row>
    <row r="133" spans="1:11" x14ac:dyDescent="0.3">
      <c r="A133" t="s">
        <v>528</v>
      </c>
      <c r="B133" s="39">
        <v>1151.46</v>
      </c>
      <c r="C133" t="s">
        <v>57</v>
      </c>
      <c r="D133">
        <v>36</v>
      </c>
      <c r="E133">
        <v>26.37</v>
      </c>
      <c r="F133" t="s">
        <v>119</v>
      </c>
      <c r="G133">
        <v>2</v>
      </c>
      <c r="H133">
        <v>17.579999999999998</v>
      </c>
      <c r="I133" t="s">
        <v>137</v>
      </c>
      <c r="J133">
        <v>38</v>
      </c>
      <c r="K133">
        <v>4.3899999999999997</v>
      </c>
    </row>
    <row r="134" spans="1:11" x14ac:dyDescent="0.3">
      <c r="A134" t="s">
        <v>529</v>
      </c>
      <c r="B134">
        <v>782.36</v>
      </c>
      <c r="C134" t="s">
        <v>31</v>
      </c>
      <c r="D134">
        <v>36</v>
      </c>
      <c r="E134">
        <v>16.12</v>
      </c>
      <c r="F134" t="s">
        <v>110</v>
      </c>
      <c r="G134">
        <v>2</v>
      </c>
      <c r="H134">
        <v>17.579999999999998</v>
      </c>
      <c r="I134" t="s">
        <v>137</v>
      </c>
      <c r="J134">
        <v>38</v>
      </c>
      <c r="K134">
        <v>4.3899999999999997</v>
      </c>
    </row>
    <row r="135" spans="1:11" x14ac:dyDescent="0.3">
      <c r="A135" t="s">
        <v>531</v>
      </c>
      <c r="B135">
        <v>574.45000000000005</v>
      </c>
      <c r="C135" t="s">
        <v>31</v>
      </c>
      <c r="D135">
        <v>34</v>
      </c>
      <c r="E135">
        <v>16.12</v>
      </c>
      <c r="F135" t="s">
        <v>74</v>
      </c>
      <c r="G135">
        <v>2</v>
      </c>
      <c r="H135">
        <v>13.19</v>
      </c>
    </row>
    <row r="136" spans="1:11" x14ac:dyDescent="0.3">
      <c r="A136" t="s">
        <v>530</v>
      </c>
      <c r="B136">
        <v>574.45000000000005</v>
      </c>
      <c r="C136" t="s">
        <v>31</v>
      </c>
      <c r="D136">
        <v>34</v>
      </c>
      <c r="E136">
        <v>16.12</v>
      </c>
      <c r="F136" t="s">
        <v>74</v>
      </c>
      <c r="G136">
        <v>2</v>
      </c>
      <c r="H136">
        <v>13.19</v>
      </c>
    </row>
    <row r="137" spans="1:11" x14ac:dyDescent="0.3">
      <c r="A137" t="s">
        <v>532</v>
      </c>
      <c r="B137">
        <v>654.91999999999996</v>
      </c>
      <c r="C137" t="s">
        <v>69</v>
      </c>
      <c r="D137">
        <v>33</v>
      </c>
      <c r="E137">
        <v>19.05</v>
      </c>
      <c r="F137" t="s">
        <v>74</v>
      </c>
      <c r="G137">
        <v>2</v>
      </c>
      <c r="H137">
        <v>13.19</v>
      </c>
    </row>
    <row r="138" spans="1:11" x14ac:dyDescent="0.3">
      <c r="A138" t="s">
        <v>533</v>
      </c>
      <c r="B138">
        <v>649.05999999999995</v>
      </c>
      <c r="C138" t="s">
        <v>69</v>
      </c>
      <c r="D138">
        <v>33</v>
      </c>
      <c r="E138">
        <v>19.05</v>
      </c>
      <c r="F138" t="s">
        <v>89</v>
      </c>
      <c r="G138">
        <v>2</v>
      </c>
      <c r="H138">
        <v>10.26</v>
      </c>
    </row>
    <row r="139" spans="1:11" x14ac:dyDescent="0.3">
      <c r="A139" t="s">
        <v>535</v>
      </c>
      <c r="B139">
        <v>542.21</v>
      </c>
      <c r="C139" t="s">
        <v>31</v>
      </c>
      <c r="D139">
        <v>32</v>
      </c>
      <c r="E139">
        <v>16.12</v>
      </c>
      <c r="F139" t="s">
        <v>74</v>
      </c>
      <c r="G139">
        <v>2</v>
      </c>
      <c r="H139">
        <v>13.19</v>
      </c>
    </row>
    <row r="140" spans="1:11" x14ac:dyDescent="0.3">
      <c r="A140" t="s">
        <v>534</v>
      </c>
      <c r="B140">
        <v>542.21</v>
      </c>
      <c r="C140" t="s">
        <v>31</v>
      </c>
      <c r="D140">
        <v>32</v>
      </c>
      <c r="E140">
        <v>16.12</v>
      </c>
      <c r="F140" t="s">
        <v>74</v>
      </c>
      <c r="G140">
        <v>2</v>
      </c>
      <c r="H140">
        <v>13.19</v>
      </c>
    </row>
    <row r="141" spans="1:11" x14ac:dyDescent="0.3">
      <c r="A141" t="s">
        <v>536</v>
      </c>
      <c r="B141">
        <v>542.21</v>
      </c>
      <c r="C141" t="s">
        <v>31</v>
      </c>
      <c r="D141">
        <v>32</v>
      </c>
      <c r="E141">
        <v>16.12</v>
      </c>
      <c r="F141" t="s">
        <v>74</v>
      </c>
      <c r="G141">
        <v>2</v>
      </c>
      <c r="H141">
        <v>13.19</v>
      </c>
    </row>
    <row r="142" spans="1:11" x14ac:dyDescent="0.3">
      <c r="A142" t="s">
        <v>537</v>
      </c>
      <c r="B142">
        <v>334.05</v>
      </c>
      <c r="C142" t="s">
        <v>27</v>
      </c>
      <c r="D142">
        <v>30</v>
      </c>
      <c r="E142">
        <v>10.26</v>
      </c>
      <c r="F142" t="s">
        <v>72</v>
      </c>
      <c r="G142">
        <v>2</v>
      </c>
      <c r="H142">
        <v>13.19</v>
      </c>
    </row>
    <row r="143" spans="1:11" x14ac:dyDescent="0.3">
      <c r="A143" t="s">
        <v>538</v>
      </c>
      <c r="B143">
        <v>334.05</v>
      </c>
      <c r="C143" t="s">
        <v>27</v>
      </c>
      <c r="D143">
        <v>30</v>
      </c>
      <c r="E143">
        <v>10.26</v>
      </c>
      <c r="F143" t="s">
        <v>72</v>
      </c>
      <c r="G143">
        <v>2</v>
      </c>
      <c r="H143">
        <v>13.19</v>
      </c>
    </row>
    <row r="144" spans="1:11" x14ac:dyDescent="0.3">
      <c r="A144" t="s">
        <v>539</v>
      </c>
      <c r="B144">
        <v>422.01</v>
      </c>
      <c r="C144" t="s">
        <v>65</v>
      </c>
      <c r="D144">
        <v>30</v>
      </c>
      <c r="E144">
        <v>13.19</v>
      </c>
      <c r="F144" t="s">
        <v>72</v>
      </c>
      <c r="G144">
        <v>2</v>
      </c>
      <c r="H144">
        <v>13.19</v>
      </c>
    </row>
    <row r="145" spans="1:8" x14ac:dyDescent="0.3">
      <c r="A145" t="s">
        <v>540</v>
      </c>
      <c r="B145">
        <v>334.05</v>
      </c>
      <c r="C145" t="s">
        <v>27</v>
      </c>
      <c r="D145">
        <v>30</v>
      </c>
      <c r="E145">
        <v>10.26</v>
      </c>
      <c r="F145" t="s">
        <v>72</v>
      </c>
      <c r="G145">
        <v>2</v>
      </c>
      <c r="H145">
        <v>13.19</v>
      </c>
    </row>
    <row r="146" spans="1:8" x14ac:dyDescent="0.3">
      <c r="A146" t="s">
        <v>541</v>
      </c>
      <c r="B146">
        <v>422.01</v>
      </c>
      <c r="C146" t="s">
        <v>29</v>
      </c>
      <c r="D146">
        <v>30</v>
      </c>
      <c r="E146">
        <v>13.19</v>
      </c>
      <c r="F146" t="s">
        <v>74</v>
      </c>
      <c r="G146">
        <v>2</v>
      </c>
      <c r="H146">
        <v>13.19</v>
      </c>
    </row>
    <row r="147" spans="1:8" x14ac:dyDescent="0.3">
      <c r="A147" t="s">
        <v>543</v>
      </c>
      <c r="B147">
        <v>509.97</v>
      </c>
      <c r="C147" t="s">
        <v>31</v>
      </c>
      <c r="D147">
        <v>30</v>
      </c>
      <c r="E147">
        <v>16.12</v>
      </c>
      <c r="F147" t="s">
        <v>74</v>
      </c>
      <c r="G147">
        <v>2</v>
      </c>
      <c r="H147">
        <v>13.19</v>
      </c>
    </row>
    <row r="148" spans="1:8" x14ac:dyDescent="0.3">
      <c r="A148" t="s">
        <v>542</v>
      </c>
      <c r="B148">
        <v>509.97</v>
      </c>
      <c r="C148" t="s">
        <v>31</v>
      </c>
      <c r="D148">
        <v>30</v>
      </c>
      <c r="E148">
        <v>16.12</v>
      </c>
      <c r="F148" t="s">
        <v>74</v>
      </c>
      <c r="G148">
        <v>2</v>
      </c>
      <c r="H148">
        <v>13.19</v>
      </c>
    </row>
    <row r="149" spans="1:8" x14ac:dyDescent="0.3">
      <c r="A149" t="s">
        <v>544</v>
      </c>
      <c r="B149">
        <v>597.78</v>
      </c>
      <c r="C149" t="s">
        <v>69</v>
      </c>
      <c r="D149">
        <v>30</v>
      </c>
      <c r="E149">
        <v>19.05</v>
      </c>
      <c r="F149" t="s">
        <v>74</v>
      </c>
      <c r="G149">
        <v>2</v>
      </c>
      <c r="H149">
        <v>13.19</v>
      </c>
    </row>
    <row r="150" spans="1:8" x14ac:dyDescent="0.3">
      <c r="A150" t="s">
        <v>545</v>
      </c>
      <c r="B150">
        <v>509.97</v>
      </c>
      <c r="C150" t="s">
        <v>31</v>
      </c>
      <c r="D150">
        <v>30</v>
      </c>
      <c r="E150">
        <v>16.12</v>
      </c>
      <c r="F150" t="s">
        <v>74</v>
      </c>
      <c r="G150">
        <v>2</v>
      </c>
      <c r="H150">
        <v>13.19</v>
      </c>
    </row>
    <row r="151" spans="1:8" x14ac:dyDescent="0.3">
      <c r="A151" t="s">
        <v>547</v>
      </c>
      <c r="B151">
        <v>712.06</v>
      </c>
      <c r="C151" t="s">
        <v>33</v>
      </c>
      <c r="D151">
        <v>30</v>
      </c>
      <c r="E151">
        <v>21.98</v>
      </c>
      <c r="F151" t="s">
        <v>79</v>
      </c>
      <c r="G151">
        <v>2</v>
      </c>
      <c r="H151">
        <v>26.36</v>
      </c>
    </row>
    <row r="152" spans="1:8" x14ac:dyDescent="0.3">
      <c r="A152" t="s">
        <v>546</v>
      </c>
      <c r="B152">
        <v>509.97</v>
      </c>
      <c r="C152" t="s">
        <v>31</v>
      </c>
      <c r="D152">
        <v>30</v>
      </c>
      <c r="E152">
        <v>16.12</v>
      </c>
      <c r="F152" t="s">
        <v>74</v>
      </c>
      <c r="G152">
        <v>2</v>
      </c>
      <c r="H152">
        <v>13.19</v>
      </c>
    </row>
    <row r="153" spans="1:8" x14ac:dyDescent="0.3">
      <c r="A153" t="s">
        <v>548</v>
      </c>
      <c r="B153">
        <v>712.06</v>
      </c>
      <c r="C153" t="s">
        <v>33</v>
      </c>
      <c r="D153">
        <v>30</v>
      </c>
      <c r="E153">
        <v>21.98</v>
      </c>
      <c r="F153" t="s">
        <v>79</v>
      </c>
      <c r="G153">
        <v>2</v>
      </c>
      <c r="H153">
        <v>26.36</v>
      </c>
    </row>
    <row r="154" spans="1:8" x14ac:dyDescent="0.3">
      <c r="A154" t="s">
        <v>549</v>
      </c>
      <c r="B154">
        <v>799.96</v>
      </c>
      <c r="C154" t="s">
        <v>35</v>
      </c>
      <c r="D154">
        <v>30</v>
      </c>
      <c r="E154">
        <v>24.91</v>
      </c>
      <c r="F154" t="s">
        <v>79</v>
      </c>
      <c r="G154">
        <v>2</v>
      </c>
      <c r="H154">
        <v>26.36</v>
      </c>
    </row>
    <row r="155" spans="1:8" x14ac:dyDescent="0.3">
      <c r="A155" t="s">
        <v>550</v>
      </c>
      <c r="B155">
        <v>553.82000000000005</v>
      </c>
      <c r="C155" t="s">
        <v>43</v>
      </c>
      <c r="D155">
        <v>30</v>
      </c>
      <c r="E155">
        <v>17.579999999999998</v>
      </c>
      <c r="F155" t="s">
        <v>74</v>
      </c>
      <c r="G155">
        <v>2</v>
      </c>
      <c r="H155">
        <v>13.19</v>
      </c>
    </row>
    <row r="156" spans="1:8" x14ac:dyDescent="0.3">
      <c r="A156" t="s">
        <v>551</v>
      </c>
      <c r="B156">
        <v>553.82000000000005</v>
      </c>
      <c r="C156" t="s">
        <v>43</v>
      </c>
      <c r="D156">
        <v>30</v>
      </c>
      <c r="E156">
        <v>17.579999999999998</v>
      </c>
      <c r="F156" t="s">
        <v>74</v>
      </c>
      <c r="G156">
        <v>2</v>
      </c>
      <c r="H156">
        <v>13.19</v>
      </c>
    </row>
    <row r="157" spans="1:8" x14ac:dyDescent="0.3">
      <c r="A157" t="s">
        <v>552</v>
      </c>
      <c r="B157">
        <v>931.83</v>
      </c>
      <c r="C157" t="s">
        <v>47</v>
      </c>
      <c r="D157">
        <v>30</v>
      </c>
      <c r="E157">
        <v>29.3</v>
      </c>
      <c r="F157" t="s">
        <v>79</v>
      </c>
      <c r="G157">
        <v>2</v>
      </c>
      <c r="H157">
        <v>26.36</v>
      </c>
    </row>
    <row r="158" spans="1:8" x14ac:dyDescent="0.3">
      <c r="A158" t="s">
        <v>553</v>
      </c>
      <c r="B158">
        <v>416.15</v>
      </c>
      <c r="C158" t="s">
        <v>65</v>
      </c>
      <c r="D158">
        <v>30</v>
      </c>
      <c r="E158">
        <v>13.19</v>
      </c>
      <c r="F158" t="s">
        <v>87</v>
      </c>
      <c r="G158">
        <v>2</v>
      </c>
      <c r="H158">
        <v>10.26</v>
      </c>
    </row>
    <row r="159" spans="1:8" x14ac:dyDescent="0.3">
      <c r="A159" t="s">
        <v>554</v>
      </c>
      <c r="B159">
        <v>703.27</v>
      </c>
      <c r="C159" t="s">
        <v>53</v>
      </c>
      <c r="D159">
        <v>30</v>
      </c>
      <c r="E159">
        <v>23.44</v>
      </c>
    </row>
    <row r="160" spans="1:8" x14ac:dyDescent="0.3">
      <c r="A160" t="s">
        <v>555</v>
      </c>
      <c r="B160">
        <v>416.15</v>
      </c>
      <c r="C160" t="s">
        <v>29</v>
      </c>
      <c r="D160">
        <v>30</v>
      </c>
      <c r="E160">
        <v>13.19</v>
      </c>
      <c r="F160" t="s">
        <v>89</v>
      </c>
      <c r="G160">
        <v>2</v>
      </c>
      <c r="H160">
        <v>10.26</v>
      </c>
    </row>
    <row r="161" spans="1:11" x14ac:dyDescent="0.3">
      <c r="A161" t="s">
        <v>556</v>
      </c>
      <c r="B161">
        <v>559.69000000000005</v>
      </c>
      <c r="C161" t="s">
        <v>69</v>
      </c>
      <c r="D161">
        <v>28</v>
      </c>
      <c r="E161">
        <v>19.05</v>
      </c>
      <c r="F161" t="s">
        <v>74</v>
      </c>
      <c r="G161">
        <v>2</v>
      </c>
      <c r="H161">
        <v>13.19</v>
      </c>
    </row>
    <row r="162" spans="1:11" x14ac:dyDescent="0.3">
      <c r="A162" t="s">
        <v>557</v>
      </c>
      <c r="B162">
        <v>477.73</v>
      </c>
      <c r="C162" t="s">
        <v>31</v>
      </c>
      <c r="D162">
        <v>28</v>
      </c>
      <c r="E162">
        <v>16.12</v>
      </c>
      <c r="F162" t="s">
        <v>74</v>
      </c>
      <c r="G162">
        <v>2</v>
      </c>
      <c r="H162">
        <v>13.19</v>
      </c>
    </row>
    <row r="163" spans="1:11" x14ac:dyDescent="0.3">
      <c r="A163" t="s">
        <v>559</v>
      </c>
      <c r="B163">
        <v>477.73</v>
      </c>
      <c r="C163" t="s">
        <v>31</v>
      </c>
      <c r="D163">
        <v>28</v>
      </c>
      <c r="E163">
        <v>16.12</v>
      </c>
      <c r="F163" t="s">
        <v>74</v>
      </c>
      <c r="G163">
        <v>2</v>
      </c>
      <c r="H163">
        <v>13.19</v>
      </c>
    </row>
    <row r="164" spans="1:11" x14ac:dyDescent="0.3">
      <c r="A164" t="s">
        <v>558</v>
      </c>
      <c r="B164">
        <v>451.35</v>
      </c>
      <c r="C164" t="s">
        <v>31</v>
      </c>
      <c r="D164">
        <v>28</v>
      </c>
      <c r="E164">
        <v>16.12</v>
      </c>
    </row>
    <row r="165" spans="1:11" x14ac:dyDescent="0.3">
      <c r="A165" t="s">
        <v>560</v>
      </c>
      <c r="B165">
        <v>843.82</v>
      </c>
      <c r="C165" t="s">
        <v>57</v>
      </c>
      <c r="D165">
        <v>26</v>
      </c>
      <c r="E165">
        <v>26.37</v>
      </c>
      <c r="F165" t="s">
        <v>119</v>
      </c>
      <c r="G165">
        <v>2</v>
      </c>
      <c r="H165">
        <v>17.579999999999998</v>
      </c>
      <c r="I165" t="s">
        <v>137</v>
      </c>
      <c r="J165">
        <v>28</v>
      </c>
      <c r="K165">
        <v>4.3899999999999997</v>
      </c>
    </row>
    <row r="166" spans="1:11" x14ac:dyDescent="0.3">
      <c r="A166" t="s">
        <v>561</v>
      </c>
      <c r="B166">
        <v>588.99</v>
      </c>
      <c r="C166" t="s">
        <v>53</v>
      </c>
      <c r="D166">
        <v>24</v>
      </c>
      <c r="E166">
        <v>23.44</v>
      </c>
      <c r="F166" t="s">
        <v>81</v>
      </c>
      <c r="G166">
        <v>2</v>
      </c>
      <c r="H166">
        <v>13.19</v>
      </c>
    </row>
    <row r="167" spans="1:11" x14ac:dyDescent="0.3">
      <c r="A167" t="s">
        <v>563</v>
      </c>
      <c r="B167">
        <v>588.99</v>
      </c>
      <c r="C167" t="s">
        <v>53</v>
      </c>
      <c r="D167">
        <v>24</v>
      </c>
      <c r="E167">
        <v>23.44</v>
      </c>
      <c r="F167" t="s">
        <v>81</v>
      </c>
      <c r="G167">
        <v>2</v>
      </c>
      <c r="H167">
        <v>13.19</v>
      </c>
    </row>
    <row r="168" spans="1:11" x14ac:dyDescent="0.3">
      <c r="A168" t="s">
        <v>562</v>
      </c>
      <c r="B168">
        <v>659.32</v>
      </c>
      <c r="C168" t="s">
        <v>57</v>
      </c>
      <c r="D168">
        <v>24</v>
      </c>
      <c r="E168">
        <v>26.37</v>
      </c>
      <c r="F168" t="s">
        <v>83</v>
      </c>
      <c r="G168">
        <v>2</v>
      </c>
      <c r="H168">
        <v>13.19</v>
      </c>
    </row>
    <row r="169" spans="1:11" x14ac:dyDescent="0.3">
      <c r="A169" t="s">
        <v>565</v>
      </c>
      <c r="B169">
        <v>756.01</v>
      </c>
      <c r="C169" t="s">
        <v>59</v>
      </c>
      <c r="D169">
        <v>24</v>
      </c>
      <c r="E169">
        <v>29.3</v>
      </c>
      <c r="F169" t="s">
        <v>85</v>
      </c>
      <c r="G169">
        <v>2</v>
      </c>
      <c r="H169">
        <v>26.36</v>
      </c>
    </row>
    <row r="170" spans="1:11" x14ac:dyDescent="0.3">
      <c r="A170" t="s">
        <v>564</v>
      </c>
      <c r="B170">
        <v>659.32</v>
      </c>
      <c r="C170" t="s">
        <v>57</v>
      </c>
      <c r="D170">
        <v>24</v>
      </c>
      <c r="E170">
        <v>26.37</v>
      </c>
      <c r="F170" t="s">
        <v>83</v>
      </c>
      <c r="G170">
        <v>2</v>
      </c>
      <c r="H170">
        <v>13.19</v>
      </c>
    </row>
    <row r="171" spans="1:11" x14ac:dyDescent="0.3">
      <c r="A171" t="s">
        <v>570</v>
      </c>
      <c r="B171">
        <v>756.01</v>
      </c>
      <c r="C171" t="s">
        <v>59</v>
      </c>
      <c r="D171">
        <v>24</v>
      </c>
      <c r="E171">
        <v>29.3</v>
      </c>
      <c r="F171" t="s">
        <v>85</v>
      </c>
      <c r="G171">
        <v>2</v>
      </c>
      <c r="H171">
        <v>26.36</v>
      </c>
    </row>
    <row r="172" spans="1:11" x14ac:dyDescent="0.3">
      <c r="A172" t="s">
        <v>566</v>
      </c>
      <c r="B172">
        <v>756.01</v>
      </c>
      <c r="C172" t="s">
        <v>59</v>
      </c>
      <c r="D172">
        <v>24</v>
      </c>
      <c r="E172">
        <v>29.3</v>
      </c>
      <c r="F172" t="s">
        <v>85</v>
      </c>
      <c r="G172">
        <v>2</v>
      </c>
      <c r="H172">
        <v>26.36</v>
      </c>
    </row>
    <row r="173" spans="1:11" x14ac:dyDescent="0.3">
      <c r="A173" t="s">
        <v>568</v>
      </c>
      <c r="B173">
        <v>931.83</v>
      </c>
      <c r="C173" t="s">
        <v>61</v>
      </c>
      <c r="D173">
        <v>24</v>
      </c>
      <c r="E173">
        <v>36.630000000000003</v>
      </c>
      <c r="F173" t="s">
        <v>85</v>
      </c>
      <c r="G173">
        <v>2</v>
      </c>
      <c r="H173">
        <v>26.36</v>
      </c>
    </row>
    <row r="174" spans="1:11" x14ac:dyDescent="0.3">
      <c r="A174" t="s">
        <v>571</v>
      </c>
      <c r="B174">
        <v>202.15</v>
      </c>
      <c r="C174" t="s">
        <v>24</v>
      </c>
      <c r="D174">
        <v>24</v>
      </c>
      <c r="E174">
        <v>7.32</v>
      </c>
      <c r="F174" t="s">
        <v>72</v>
      </c>
      <c r="G174">
        <v>2</v>
      </c>
      <c r="H174">
        <v>13.19</v>
      </c>
    </row>
    <row r="175" spans="1:11" x14ac:dyDescent="0.3">
      <c r="A175" t="s">
        <v>572</v>
      </c>
      <c r="B175">
        <v>272.52</v>
      </c>
      <c r="C175" t="s">
        <v>27</v>
      </c>
      <c r="D175">
        <v>24</v>
      </c>
      <c r="E175">
        <v>10.26</v>
      </c>
      <c r="F175" t="s">
        <v>72</v>
      </c>
      <c r="G175">
        <v>2</v>
      </c>
      <c r="H175">
        <v>13.19</v>
      </c>
    </row>
    <row r="176" spans="1:11" x14ac:dyDescent="0.3">
      <c r="A176" t="s">
        <v>574</v>
      </c>
      <c r="B176">
        <v>342.88</v>
      </c>
      <c r="C176" t="s">
        <v>65</v>
      </c>
      <c r="D176">
        <v>24</v>
      </c>
      <c r="E176">
        <v>13.19</v>
      </c>
      <c r="F176" t="s">
        <v>72</v>
      </c>
      <c r="G176">
        <v>2</v>
      </c>
      <c r="H176">
        <v>13.19</v>
      </c>
    </row>
    <row r="177" spans="1:8" x14ac:dyDescent="0.3">
      <c r="A177" t="s">
        <v>573</v>
      </c>
      <c r="B177">
        <v>272.52</v>
      </c>
      <c r="C177" t="s">
        <v>27</v>
      </c>
      <c r="D177">
        <v>24</v>
      </c>
      <c r="E177">
        <v>10.26</v>
      </c>
      <c r="F177" t="s">
        <v>72</v>
      </c>
      <c r="G177">
        <v>2</v>
      </c>
      <c r="H177">
        <v>13.19</v>
      </c>
    </row>
    <row r="178" spans="1:8" x14ac:dyDescent="0.3">
      <c r="A178" t="s">
        <v>576</v>
      </c>
      <c r="B178">
        <v>272.52</v>
      </c>
      <c r="C178" t="s">
        <v>27</v>
      </c>
      <c r="D178">
        <v>24</v>
      </c>
      <c r="E178">
        <v>10.26</v>
      </c>
      <c r="F178" t="s">
        <v>72</v>
      </c>
      <c r="G178">
        <v>2</v>
      </c>
      <c r="H178">
        <v>13.19</v>
      </c>
    </row>
    <row r="179" spans="1:8" x14ac:dyDescent="0.3">
      <c r="A179" t="s">
        <v>575</v>
      </c>
      <c r="B179">
        <v>272.52</v>
      </c>
      <c r="C179" t="s">
        <v>27</v>
      </c>
      <c r="D179">
        <v>24</v>
      </c>
      <c r="E179">
        <v>10.26</v>
      </c>
      <c r="F179" t="s">
        <v>72</v>
      </c>
      <c r="G179">
        <v>2</v>
      </c>
      <c r="H179">
        <v>13.19</v>
      </c>
    </row>
    <row r="180" spans="1:8" x14ac:dyDescent="0.3">
      <c r="A180" t="s">
        <v>577</v>
      </c>
      <c r="B180">
        <v>342.88</v>
      </c>
      <c r="C180" t="s">
        <v>65</v>
      </c>
      <c r="D180">
        <v>24</v>
      </c>
      <c r="E180">
        <v>13.19</v>
      </c>
      <c r="F180" t="s">
        <v>72</v>
      </c>
      <c r="G180">
        <v>2</v>
      </c>
      <c r="H180">
        <v>13.19</v>
      </c>
    </row>
    <row r="181" spans="1:8" x14ac:dyDescent="0.3">
      <c r="A181" t="s">
        <v>578</v>
      </c>
      <c r="B181">
        <v>272.52</v>
      </c>
      <c r="C181" t="s">
        <v>27</v>
      </c>
      <c r="D181">
        <v>24</v>
      </c>
      <c r="E181">
        <v>10.26</v>
      </c>
      <c r="F181" t="s">
        <v>72</v>
      </c>
      <c r="G181">
        <v>2</v>
      </c>
      <c r="H181">
        <v>13.19</v>
      </c>
    </row>
    <row r="182" spans="1:8" x14ac:dyDescent="0.3">
      <c r="A182" t="s">
        <v>581</v>
      </c>
      <c r="B182">
        <v>342.88</v>
      </c>
      <c r="C182" t="s">
        <v>65</v>
      </c>
      <c r="D182">
        <v>24</v>
      </c>
      <c r="E182">
        <v>13.19</v>
      </c>
      <c r="F182" t="s">
        <v>72</v>
      </c>
      <c r="G182">
        <v>2</v>
      </c>
      <c r="H182">
        <v>13.19</v>
      </c>
    </row>
    <row r="183" spans="1:8" x14ac:dyDescent="0.3">
      <c r="A183" t="s">
        <v>579</v>
      </c>
      <c r="B183">
        <v>272.52</v>
      </c>
      <c r="C183" t="s">
        <v>27</v>
      </c>
      <c r="D183">
        <v>24</v>
      </c>
      <c r="E183">
        <v>10.26</v>
      </c>
      <c r="F183" t="s">
        <v>72</v>
      </c>
      <c r="G183">
        <v>2</v>
      </c>
      <c r="H183">
        <v>13.19</v>
      </c>
    </row>
    <row r="184" spans="1:8" x14ac:dyDescent="0.3">
      <c r="A184" t="s">
        <v>580</v>
      </c>
      <c r="B184">
        <v>272.52</v>
      </c>
      <c r="C184" t="s">
        <v>27</v>
      </c>
      <c r="D184">
        <v>24</v>
      </c>
      <c r="E184">
        <v>10.26</v>
      </c>
      <c r="F184" t="s">
        <v>72</v>
      </c>
      <c r="G184">
        <v>2</v>
      </c>
      <c r="H184">
        <v>13.19</v>
      </c>
    </row>
    <row r="185" spans="1:8" x14ac:dyDescent="0.3">
      <c r="A185" t="s">
        <v>582</v>
      </c>
      <c r="B185">
        <v>272.52</v>
      </c>
      <c r="C185" t="s">
        <v>27</v>
      </c>
      <c r="D185">
        <v>24</v>
      </c>
      <c r="E185">
        <v>10.26</v>
      </c>
      <c r="F185" t="s">
        <v>72</v>
      </c>
      <c r="G185">
        <v>2</v>
      </c>
      <c r="H185">
        <v>13.19</v>
      </c>
    </row>
    <row r="186" spans="1:8" x14ac:dyDescent="0.3">
      <c r="A186" t="s">
        <v>583</v>
      </c>
      <c r="B186">
        <v>272.52</v>
      </c>
      <c r="C186" t="s">
        <v>27</v>
      </c>
      <c r="D186">
        <v>24</v>
      </c>
      <c r="E186">
        <v>10.26</v>
      </c>
      <c r="F186" t="s">
        <v>72</v>
      </c>
      <c r="G186">
        <v>2</v>
      </c>
      <c r="H186">
        <v>13.19</v>
      </c>
    </row>
    <row r="187" spans="1:8" x14ac:dyDescent="0.3">
      <c r="A187" t="s">
        <v>601</v>
      </c>
      <c r="B187">
        <v>342.88</v>
      </c>
      <c r="C187" t="s">
        <v>29</v>
      </c>
      <c r="D187">
        <v>24</v>
      </c>
      <c r="E187">
        <v>13.19</v>
      </c>
      <c r="F187" t="s">
        <v>74</v>
      </c>
      <c r="G187">
        <v>2</v>
      </c>
      <c r="H187">
        <v>13.19</v>
      </c>
    </row>
    <row r="188" spans="1:8" x14ac:dyDescent="0.3">
      <c r="A188" t="s">
        <v>584</v>
      </c>
      <c r="B188">
        <v>342.88</v>
      </c>
      <c r="C188" t="s">
        <v>29</v>
      </c>
      <c r="D188">
        <v>24</v>
      </c>
      <c r="E188">
        <v>13.19</v>
      </c>
      <c r="F188" t="s">
        <v>74</v>
      </c>
      <c r="G188">
        <v>2</v>
      </c>
      <c r="H188">
        <v>13.19</v>
      </c>
    </row>
    <row r="189" spans="1:8" x14ac:dyDescent="0.3">
      <c r="A189" t="s">
        <v>586</v>
      </c>
      <c r="B189">
        <v>413.25</v>
      </c>
      <c r="C189" t="s">
        <v>67</v>
      </c>
      <c r="D189">
        <v>24</v>
      </c>
      <c r="E189">
        <v>16.12</v>
      </c>
      <c r="F189" t="s">
        <v>74</v>
      </c>
      <c r="G189">
        <v>2</v>
      </c>
      <c r="H189">
        <v>13.19</v>
      </c>
    </row>
    <row r="190" spans="1:8" x14ac:dyDescent="0.3">
      <c r="A190" t="s">
        <v>585</v>
      </c>
      <c r="B190">
        <v>342.88</v>
      </c>
      <c r="C190" t="s">
        <v>29</v>
      </c>
      <c r="D190">
        <v>24</v>
      </c>
      <c r="E190">
        <v>13.19</v>
      </c>
      <c r="F190" t="s">
        <v>74</v>
      </c>
      <c r="G190">
        <v>2</v>
      </c>
      <c r="H190">
        <v>13.19</v>
      </c>
    </row>
    <row r="191" spans="1:8" x14ac:dyDescent="0.3">
      <c r="A191" t="s">
        <v>602</v>
      </c>
      <c r="B191">
        <v>413.25</v>
      </c>
      <c r="C191" t="s">
        <v>67</v>
      </c>
      <c r="D191">
        <v>24</v>
      </c>
      <c r="E191">
        <v>16.12</v>
      </c>
      <c r="F191" t="s">
        <v>74</v>
      </c>
      <c r="G191">
        <v>2</v>
      </c>
      <c r="H191">
        <v>13.19</v>
      </c>
    </row>
    <row r="192" spans="1:8" x14ac:dyDescent="0.3">
      <c r="A192" t="s">
        <v>587</v>
      </c>
      <c r="B192">
        <v>342.88</v>
      </c>
      <c r="C192" t="s">
        <v>29</v>
      </c>
      <c r="D192">
        <v>24</v>
      </c>
      <c r="E192">
        <v>13.19</v>
      </c>
      <c r="F192" t="s">
        <v>74</v>
      </c>
      <c r="G192">
        <v>2</v>
      </c>
      <c r="H192">
        <v>13.19</v>
      </c>
    </row>
    <row r="193" spans="1:8" x14ac:dyDescent="0.3">
      <c r="A193" t="s">
        <v>588</v>
      </c>
      <c r="B193">
        <v>413.25</v>
      </c>
      <c r="C193" t="s">
        <v>67</v>
      </c>
      <c r="D193">
        <v>24</v>
      </c>
      <c r="E193">
        <v>16.12</v>
      </c>
      <c r="F193" t="s">
        <v>74</v>
      </c>
      <c r="G193">
        <v>2</v>
      </c>
      <c r="H193">
        <v>13.19</v>
      </c>
    </row>
    <row r="194" spans="1:8" x14ac:dyDescent="0.3">
      <c r="A194" t="s">
        <v>589</v>
      </c>
      <c r="B194">
        <v>342.88</v>
      </c>
      <c r="C194" t="s">
        <v>29</v>
      </c>
      <c r="D194">
        <v>24</v>
      </c>
      <c r="E194">
        <v>13.19</v>
      </c>
      <c r="F194" t="s">
        <v>74</v>
      </c>
      <c r="G194">
        <v>2</v>
      </c>
      <c r="H194">
        <v>13.19</v>
      </c>
    </row>
    <row r="195" spans="1:8" x14ac:dyDescent="0.3">
      <c r="A195" t="s">
        <v>591</v>
      </c>
      <c r="B195">
        <v>342.88</v>
      </c>
      <c r="C195" t="s">
        <v>29</v>
      </c>
      <c r="D195">
        <v>24</v>
      </c>
      <c r="E195">
        <v>13.19</v>
      </c>
      <c r="F195" t="s">
        <v>74</v>
      </c>
      <c r="G195">
        <v>2</v>
      </c>
      <c r="H195">
        <v>13.19</v>
      </c>
    </row>
    <row r="196" spans="1:8" x14ac:dyDescent="0.3">
      <c r="A196" t="s">
        <v>590</v>
      </c>
      <c r="B196">
        <v>342.88</v>
      </c>
      <c r="C196" t="s">
        <v>29</v>
      </c>
      <c r="D196">
        <v>24</v>
      </c>
      <c r="E196">
        <v>13.19</v>
      </c>
      <c r="F196" t="s">
        <v>74</v>
      </c>
      <c r="G196">
        <v>2</v>
      </c>
      <c r="H196">
        <v>13.19</v>
      </c>
    </row>
    <row r="197" spans="1:8" x14ac:dyDescent="0.3">
      <c r="A197" t="s">
        <v>592</v>
      </c>
      <c r="B197">
        <v>413.25</v>
      </c>
      <c r="C197" t="s">
        <v>67</v>
      </c>
      <c r="D197">
        <v>24</v>
      </c>
      <c r="E197">
        <v>16.12</v>
      </c>
      <c r="F197" t="s">
        <v>74</v>
      </c>
      <c r="G197">
        <v>2</v>
      </c>
      <c r="H197">
        <v>13.19</v>
      </c>
    </row>
    <row r="198" spans="1:8" x14ac:dyDescent="0.3">
      <c r="A198" t="s">
        <v>593</v>
      </c>
      <c r="B198">
        <v>342.88</v>
      </c>
      <c r="C198" t="s">
        <v>29</v>
      </c>
      <c r="D198">
        <v>24</v>
      </c>
      <c r="E198">
        <v>13.19</v>
      </c>
      <c r="F198" t="s">
        <v>74</v>
      </c>
      <c r="G198">
        <v>2</v>
      </c>
      <c r="H198">
        <v>13.19</v>
      </c>
    </row>
    <row r="199" spans="1:8" x14ac:dyDescent="0.3">
      <c r="A199" t="s">
        <v>595</v>
      </c>
      <c r="B199">
        <v>413.25</v>
      </c>
      <c r="C199" t="s">
        <v>31</v>
      </c>
      <c r="D199">
        <v>24</v>
      </c>
      <c r="E199">
        <v>16.12</v>
      </c>
      <c r="F199" t="s">
        <v>74</v>
      </c>
      <c r="G199">
        <v>2</v>
      </c>
      <c r="H199">
        <v>13.19</v>
      </c>
    </row>
    <row r="200" spans="1:8" x14ac:dyDescent="0.3">
      <c r="A200" t="s">
        <v>594</v>
      </c>
      <c r="B200" s="37">
        <v>483.5</v>
      </c>
      <c r="C200" t="s">
        <v>69</v>
      </c>
      <c r="D200">
        <v>24</v>
      </c>
      <c r="E200">
        <v>19.05</v>
      </c>
      <c r="F200" t="s">
        <v>74</v>
      </c>
      <c r="G200">
        <v>2</v>
      </c>
      <c r="H200" s="37">
        <v>13.19</v>
      </c>
    </row>
    <row r="201" spans="1:8" x14ac:dyDescent="0.3">
      <c r="A201" t="s">
        <v>596</v>
      </c>
      <c r="B201" s="37">
        <v>413.25</v>
      </c>
      <c r="C201" t="s">
        <v>31</v>
      </c>
      <c r="D201">
        <v>24</v>
      </c>
      <c r="E201">
        <v>16.12</v>
      </c>
      <c r="F201" t="s">
        <v>74</v>
      </c>
      <c r="G201">
        <v>2</v>
      </c>
      <c r="H201" s="37">
        <v>13.19</v>
      </c>
    </row>
    <row r="202" spans="1:8" x14ac:dyDescent="0.3">
      <c r="A202" t="s">
        <v>598</v>
      </c>
      <c r="B202" s="37">
        <v>483.5</v>
      </c>
      <c r="C202" t="s">
        <v>69</v>
      </c>
      <c r="D202">
        <v>24</v>
      </c>
      <c r="E202">
        <v>19.05</v>
      </c>
      <c r="F202" t="s">
        <v>74</v>
      </c>
      <c r="G202">
        <v>2</v>
      </c>
      <c r="H202" s="37">
        <v>13.19</v>
      </c>
    </row>
    <row r="203" spans="1:8" x14ac:dyDescent="0.3">
      <c r="A203" t="s">
        <v>597</v>
      </c>
      <c r="B203" s="37">
        <v>413.25</v>
      </c>
      <c r="C203" t="s">
        <v>31</v>
      </c>
      <c r="D203">
        <v>24</v>
      </c>
      <c r="E203">
        <v>16.12</v>
      </c>
      <c r="F203" t="s">
        <v>74</v>
      </c>
      <c r="G203">
        <v>2</v>
      </c>
      <c r="H203" s="37">
        <v>13.19</v>
      </c>
    </row>
    <row r="204" spans="1:8" x14ac:dyDescent="0.3">
      <c r="A204" t="s">
        <v>599</v>
      </c>
      <c r="B204" s="37">
        <v>413.25</v>
      </c>
      <c r="C204" t="s">
        <v>31</v>
      </c>
      <c r="D204">
        <v>24</v>
      </c>
      <c r="E204">
        <v>16.12</v>
      </c>
      <c r="F204" t="s">
        <v>74</v>
      </c>
      <c r="G204">
        <v>2</v>
      </c>
      <c r="H204" s="37">
        <v>13.19</v>
      </c>
    </row>
    <row r="205" spans="1:8" x14ac:dyDescent="0.3">
      <c r="A205" t="s">
        <v>605</v>
      </c>
      <c r="B205" s="37">
        <v>483.5</v>
      </c>
      <c r="C205" t="s">
        <v>69</v>
      </c>
      <c r="D205">
        <v>24</v>
      </c>
      <c r="E205">
        <v>19.05</v>
      </c>
      <c r="F205" t="s">
        <v>74</v>
      </c>
      <c r="G205">
        <v>2</v>
      </c>
      <c r="H205" s="37">
        <v>13.19</v>
      </c>
    </row>
    <row r="206" spans="1:8" x14ac:dyDescent="0.3">
      <c r="A206" t="s">
        <v>604</v>
      </c>
      <c r="B206" s="37">
        <v>413.25</v>
      </c>
      <c r="C206" t="s">
        <v>31</v>
      </c>
      <c r="D206">
        <v>24</v>
      </c>
      <c r="E206">
        <v>16.12</v>
      </c>
      <c r="F206" t="s">
        <v>74</v>
      </c>
      <c r="G206">
        <v>2</v>
      </c>
      <c r="H206" s="37">
        <v>13.19</v>
      </c>
    </row>
    <row r="207" spans="1:8" x14ac:dyDescent="0.3">
      <c r="A207" t="s">
        <v>607</v>
      </c>
      <c r="B207" s="37">
        <v>413.25</v>
      </c>
      <c r="C207" t="s">
        <v>31</v>
      </c>
      <c r="D207">
        <v>24</v>
      </c>
      <c r="E207">
        <v>16.12</v>
      </c>
      <c r="F207" t="s">
        <v>74</v>
      </c>
      <c r="G207">
        <v>2</v>
      </c>
      <c r="H207" s="37">
        <v>13.19</v>
      </c>
    </row>
    <row r="208" spans="1:8" x14ac:dyDescent="0.3">
      <c r="A208" t="s">
        <v>606</v>
      </c>
      <c r="B208" s="37">
        <v>483.5</v>
      </c>
      <c r="C208" t="s">
        <v>69</v>
      </c>
      <c r="D208">
        <v>24</v>
      </c>
      <c r="E208">
        <v>19.05</v>
      </c>
      <c r="F208" t="s">
        <v>74</v>
      </c>
      <c r="G208">
        <v>2</v>
      </c>
      <c r="H208" s="37">
        <v>13.19</v>
      </c>
    </row>
    <row r="209" spans="1:8" x14ac:dyDescent="0.3">
      <c r="A209" t="s">
        <v>603</v>
      </c>
      <c r="B209" s="37">
        <v>483.5</v>
      </c>
      <c r="C209" t="s">
        <v>69</v>
      </c>
      <c r="D209">
        <v>24</v>
      </c>
      <c r="E209">
        <v>19.05</v>
      </c>
      <c r="F209" t="s">
        <v>74</v>
      </c>
      <c r="G209">
        <v>2</v>
      </c>
      <c r="H209" s="37">
        <v>13.19</v>
      </c>
    </row>
    <row r="210" spans="1:8" x14ac:dyDescent="0.3">
      <c r="A210" t="s">
        <v>600</v>
      </c>
      <c r="B210" s="37">
        <v>413.25</v>
      </c>
      <c r="C210" t="s">
        <v>31</v>
      </c>
      <c r="D210">
        <v>24</v>
      </c>
      <c r="E210">
        <v>16.12</v>
      </c>
      <c r="F210" t="s">
        <v>74</v>
      </c>
      <c r="G210">
        <v>2</v>
      </c>
      <c r="H210" s="37">
        <v>13.19</v>
      </c>
    </row>
    <row r="211" spans="1:8" x14ac:dyDescent="0.3">
      <c r="A211" t="s">
        <v>615</v>
      </c>
      <c r="B211" s="37">
        <v>483.5</v>
      </c>
      <c r="C211" t="s">
        <v>69</v>
      </c>
      <c r="D211">
        <v>24</v>
      </c>
      <c r="E211">
        <v>19.05</v>
      </c>
      <c r="F211" t="s">
        <v>74</v>
      </c>
      <c r="G211">
        <v>2</v>
      </c>
      <c r="H211" s="37">
        <v>13.19</v>
      </c>
    </row>
    <row r="212" spans="1:8" x14ac:dyDescent="0.3">
      <c r="A212" t="s">
        <v>610</v>
      </c>
      <c r="B212" s="37">
        <v>413.25</v>
      </c>
      <c r="C212" t="s">
        <v>31</v>
      </c>
      <c r="D212">
        <v>24</v>
      </c>
      <c r="E212">
        <v>16.12</v>
      </c>
      <c r="F212" t="s">
        <v>74</v>
      </c>
      <c r="G212">
        <v>2</v>
      </c>
      <c r="H212" s="37">
        <v>13.19</v>
      </c>
    </row>
    <row r="213" spans="1:8" x14ac:dyDescent="0.3">
      <c r="A213" t="s">
        <v>608</v>
      </c>
      <c r="B213" s="37">
        <v>413.25</v>
      </c>
      <c r="C213" t="s">
        <v>31</v>
      </c>
      <c r="D213">
        <v>24</v>
      </c>
      <c r="E213">
        <v>16.12</v>
      </c>
      <c r="F213" t="s">
        <v>74</v>
      </c>
      <c r="G213">
        <v>2</v>
      </c>
      <c r="H213" s="37">
        <v>13.19</v>
      </c>
    </row>
    <row r="214" spans="1:8" x14ac:dyDescent="0.3">
      <c r="A214" t="s">
        <v>612</v>
      </c>
      <c r="B214" s="37">
        <v>483.5</v>
      </c>
      <c r="C214" t="s">
        <v>69</v>
      </c>
      <c r="D214">
        <v>24</v>
      </c>
      <c r="E214">
        <v>19.05</v>
      </c>
      <c r="F214" t="s">
        <v>74</v>
      </c>
      <c r="G214">
        <v>2</v>
      </c>
      <c r="H214" s="37">
        <v>13.19</v>
      </c>
    </row>
    <row r="215" spans="1:8" x14ac:dyDescent="0.3">
      <c r="A215" t="s">
        <v>609</v>
      </c>
      <c r="B215" s="37">
        <v>413.25</v>
      </c>
      <c r="C215" t="s">
        <v>31</v>
      </c>
      <c r="D215">
        <v>24</v>
      </c>
      <c r="E215">
        <v>16.12</v>
      </c>
      <c r="F215" t="s">
        <v>74</v>
      </c>
      <c r="G215">
        <v>2</v>
      </c>
      <c r="H215" s="37">
        <v>13.19</v>
      </c>
    </row>
    <row r="216" spans="1:8" x14ac:dyDescent="0.3">
      <c r="A216" t="s">
        <v>613</v>
      </c>
      <c r="B216" s="37">
        <v>483.5</v>
      </c>
      <c r="C216" t="s">
        <v>69</v>
      </c>
      <c r="D216">
        <v>24</v>
      </c>
      <c r="E216">
        <v>19.05</v>
      </c>
      <c r="F216" t="s">
        <v>74</v>
      </c>
      <c r="G216">
        <v>2</v>
      </c>
      <c r="H216" s="37">
        <v>13.19</v>
      </c>
    </row>
    <row r="217" spans="1:8" x14ac:dyDescent="0.3">
      <c r="A217" t="s">
        <v>614</v>
      </c>
      <c r="B217" s="37">
        <v>413.25</v>
      </c>
      <c r="C217" t="s">
        <v>31</v>
      </c>
      <c r="D217">
        <v>24</v>
      </c>
      <c r="E217">
        <v>16.12</v>
      </c>
      <c r="F217" t="s">
        <v>74</v>
      </c>
      <c r="G217">
        <v>2</v>
      </c>
      <c r="H217" s="37">
        <v>13.19</v>
      </c>
    </row>
    <row r="218" spans="1:8" x14ac:dyDescent="0.3">
      <c r="A218" t="s">
        <v>611</v>
      </c>
      <c r="B218" s="37">
        <v>483.5</v>
      </c>
      <c r="C218" t="s">
        <v>69</v>
      </c>
      <c r="D218">
        <v>24</v>
      </c>
      <c r="E218">
        <v>19.05</v>
      </c>
      <c r="F218" t="s">
        <v>74</v>
      </c>
      <c r="G218">
        <v>2</v>
      </c>
      <c r="H218" s="37">
        <v>13.19</v>
      </c>
    </row>
    <row r="219" spans="1:8" x14ac:dyDescent="0.3">
      <c r="A219" t="s">
        <v>616</v>
      </c>
      <c r="B219" s="37">
        <v>413.25</v>
      </c>
      <c r="C219" t="s">
        <v>31</v>
      </c>
      <c r="D219">
        <v>24</v>
      </c>
      <c r="E219">
        <v>16.12</v>
      </c>
      <c r="F219" t="s">
        <v>74</v>
      </c>
      <c r="G219">
        <v>2</v>
      </c>
      <c r="H219" s="37">
        <v>13.19</v>
      </c>
    </row>
    <row r="220" spans="1:8" x14ac:dyDescent="0.3">
      <c r="A220" t="s">
        <v>622</v>
      </c>
      <c r="B220" s="37">
        <v>483.5</v>
      </c>
      <c r="C220" t="s">
        <v>69</v>
      </c>
      <c r="D220">
        <v>24</v>
      </c>
      <c r="E220">
        <v>19.05</v>
      </c>
      <c r="F220" t="s">
        <v>74</v>
      </c>
      <c r="G220">
        <v>2</v>
      </c>
      <c r="H220" s="37">
        <v>13.19</v>
      </c>
    </row>
    <row r="221" spans="1:8" x14ac:dyDescent="0.3">
      <c r="A221" t="s">
        <v>618</v>
      </c>
      <c r="B221" s="37">
        <v>413.25</v>
      </c>
      <c r="C221" t="s">
        <v>31</v>
      </c>
      <c r="D221">
        <v>24</v>
      </c>
      <c r="E221">
        <v>16.12</v>
      </c>
      <c r="F221" t="s">
        <v>74</v>
      </c>
      <c r="G221">
        <v>2</v>
      </c>
      <c r="H221" s="37">
        <v>13.19</v>
      </c>
    </row>
    <row r="222" spans="1:8" x14ac:dyDescent="0.3">
      <c r="A222" t="s">
        <v>623</v>
      </c>
      <c r="B222" s="37">
        <v>483.5</v>
      </c>
      <c r="C222" t="s">
        <v>69</v>
      </c>
      <c r="D222">
        <v>24</v>
      </c>
      <c r="E222">
        <v>19.05</v>
      </c>
      <c r="F222" t="s">
        <v>74</v>
      </c>
      <c r="G222">
        <v>2</v>
      </c>
      <c r="H222" s="37">
        <v>13.19</v>
      </c>
    </row>
    <row r="223" spans="1:8" x14ac:dyDescent="0.3">
      <c r="A223" t="s">
        <v>617</v>
      </c>
      <c r="B223" s="37">
        <v>413.25</v>
      </c>
      <c r="C223" t="s">
        <v>31</v>
      </c>
      <c r="D223">
        <v>24</v>
      </c>
      <c r="E223">
        <v>16.12</v>
      </c>
      <c r="F223" t="s">
        <v>74</v>
      </c>
      <c r="G223">
        <v>2</v>
      </c>
      <c r="H223" s="37">
        <v>13.19</v>
      </c>
    </row>
    <row r="224" spans="1:8" x14ac:dyDescent="0.3">
      <c r="A224" t="s">
        <v>621</v>
      </c>
      <c r="B224" s="37">
        <v>483.5</v>
      </c>
      <c r="C224" t="s">
        <v>69</v>
      </c>
      <c r="D224">
        <v>24</v>
      </c>
      <c r="E224">
        <v>19.05</v>
      </c>
      <c r="F224" t="s">
        <v>74</v>
      </c>
      <c r="G224">
        <v>2</v>
      </c>
      <c r="H224" s="37">
        <v>13.19</v>
      </c>
    </row>
    <row r="225" spans="1:8" x14ac:dyDescent="0.3">
      <c r="A225" t="s">
        <v>620</v>
      </c>
      <c r="B225" s="37">
        <v>413.25</v>
      </c>
      <c r="C225" t="s">
        <v>31</v>
      </c>
      <c r="D225">
        <v>24</v>
      </c>
      <c r="E225">
        <v>16.12</v>
      </c>
      <c r="F225" t="s">
        <v>74</v>
      </c>
      <c r="G225">
        <v>2</v>
      </c>
      <c r="H225" s="37">
        <v>13.19</v>
      </c>
    </row>
    <row r="226" spans="1:8" x14ac:dyDescent="0.3">
      <c r="A226" t="s">
        <v>619</v>
      </c>
      <c r="B226" s="37">
        <v>483.5</v>
      </c>
      <c r="C226" t="s">
        <v>69</v>
      </c>
      <c r="D226">
        <v>24</v>
      </c>
      <c r="E226">
        <v>19.05</v>
      </c>
      <c r="F226" t="s">
        <v>74</v>
      </c>
      <c r="G226">
        <v>2</v>
      </c>
      <c r="H226" s="37">
        <v>13.19</v>
      </c>
    </row>
    <row r="227" spans="1:8" x14ac:dyDescent="0.3">
      <c r="A227" t="s">
        <v>624</v>
      </c>
      <c r="B227" s="37">
        <v>650.52</v>
      </c>
      <c r="C227" t="s">
        <v>35</v>
      </c>
      <c r="D227">
        <v>24</v>
      </c>
      <c r="E227">
        <v>24.91</v>
      </c>
      <c r="F227" t="s">
        <v>79</v>
      </c>
      <c r="G227">
        <v>2</v>
      </c>
      <c r="H227" s="37">
        <v>26.36</v>
      </c>
    </row>
    <row r="228" spans="1:8" x14ac:dyDescent="0.3">
      <c r="A228" t="s">
        <v>625</v>
      </c>
      <c r="B228" s="37">
        <v>650.52</v>
      </c>
      <c r="C228" t="s">
        <v>35</v>
      </c>
      <c r="D228">
        <v>24</v>
      </c>
      <c r="E228">
        <v>24.91</v>
      </c>
      <c r="F228" t="s">
        <v>79</v>
      </c>
      <c r="G228">
        <v>2</v>
      </c>
      <c r="H228" s="37">
        <v>26.36</v>
      </c>
    </row>
    <row r="229" spans="1:8" x14ac:dyDescent="0.3">
      <c r="A229" t="s">
        <v>626</v>
      </c>
      <c r="B229" s="37">
        <v>650.52</v>
      </c>
      <c r="C229" t="s">
        <v>35</v>
      </c>
      <c r="D229">
        <v>24</v>
      </c>
      <c r="E229">
        <v>24.91</v>
      </c>
      <c r="F229" t="s">
        <v>79</v>
      </c>
      <c r="G229">
        <v>2</v>
      </c>
      <c r="H229" s="37">
        <v>26.36</v>
      </c>
    </row>
    <row r="230" spans="1:8" x14ac:dyDescent="0.3">
      <c r="A230" t="s">
        <v>629</v>
      </c>
      <c r="B230" s="37">
        <v>650.52</v>
      </c>
      <c r="C230" t="s">
        <v>35</v>
      </c>
      <c r="D230">
        <v>24</v>
      </c>
      <c r="E230">
        <v>24.91</v>
      </c>
      <c r="F230" t="s">
        <v>79</v>
      </c>
      <c r="G230">
        <v>2</v>
      </c>
      <c r="H230" s="37">
        <v>26.36</v>
      </c>
    </row>
    <row r="231" spans="1:8" x14ac:dyDescent="0.3">
      <c r="A231" t="s">
        <v>630</v>
      </c>
      <c r="B231" s="37">
        <v>448.33</v>
      </c>
      <c r="C231" t="s">
        <v>43</v>
      </c>
      <c r="D231">
        <v>24</v>
      </c>
      <c r="E231">
        <v>17.579999999999998</v>
      </c>
      <c r="F231" t="s">
        <v>74</v>
      </c>
      <c r="G231">
        <v>2</v>
      </c>
      <c r="H231" s="37">
        <v>13.19</v>
      </c>
    </row>
    <row r="232" spans="1:8" x14ac:dyDescent="0.3">
      <c r="A232" t="s">
        <v>627</v>
      </c>
      <c r="B232" s="37">
        <v>448.33</v>
      </c>
      <c r="C232" t="s">
        <v>43</v>
      </c>
      <c r="D232">
        <v>24</v>
      </c>
      <c r="E232">
        <v>17.579999999999998</v>
      </c>
      <c r="F232" t="s">
        <v>74</v>
      </c>
      <c r="G232">
        <v>2</v>
      </c>
      <c r="H232" s="37">
        <v>13.19</v>
      </c>
    </row>
    <row r="233" spans="1:8" x14ac:dyDescent="0.3">
      <c r="A233" t="s">
        <v>631</v>
      </c>
      <c r="B233" s="37">
        <v>448.33</v>
      </c>
      <c r="C233" t="s">
        <v>43</v>
      </c>
      <c r="D233">
        <v>24</v>
      </c>
      <c r="E233">
        <v>17.579999999999998</v>
      </c>
      <c r="F233" t="s">
        <v>74</v>
      </c>
      <c r="G233">
        <v>2</v>
      </c>
      <c r="H233" s="37">
        <v>13.19</v>
      </c>
    </row>
    <row r="234" spans="1:8" x14ac:dyDescent="0.3">
      <c r="A234" t="s">
        <v>628</v>
      </c>
      <c r="B234" s="37">
        <v>756.01</v>
      </c>
      <c r="C234" t="s">
        <v>47</v>
      </c>
      <c r="D234">
        <v>24</v>
      </c>
      <c r="E234">
        <v>29.3</v>
      </c>
      <c r="F234" t="s">
        <v>79</v>
      </c>
      <c r="G234">
        <v>2</v>
      </c>
      <c r="H234" s="37">
        <v>26.36</v>
      </c>
    </row>
    <row r="235" spans="1:8" x14ac:dyDescent="0.3">
      <c r="A235" t="s">
        <v>632</v>
      </c>
      <c r="B235" s="37">
        <v>756.01</v>
      </c>
      <c r="C235" t="s">
        <v>47</v>
      </c>
      <c r="D235">
        <v>24</v>
      </c>
      <c r="E235">
        <v>29.3</v>
      </c>
      <c r="F235" t="s">
        <v>79</v>
      </c>
      <c r="G235">
        <v>2</v>
      </c>
      <c r="H235" s="37">
        <v>26.36</v>
      </c>
    </row>
    <row r="236" spans="1:8" x14ac:dyDescent="0.3">
      <c r="A236" t="s">
        <v>634</v>
      </c>
      <c r="B236" s="37">
        <v>337.02</v>
      </c>
      <c r="C236" t="s">
        <v>29</v>
      </c>
      <c r="D236">
        <v>24</v>
      </c>
      <c r="E236">
        <v>13.19</v>
      </c>
      <c r="F236" t="s">
        <v>89</v>
      </c>
      <c r="G236">
        <v>2</v>
      </c>
      <c r="H236" s="37">
        <v>10.26</v>
      </c>
    </row>
    <row r="237" spans="1:8" x14ac:dyDescent="0.3">
      <c r="A237" t="s">
        <v>633</v>
      </c>
      <c r="B237" s="37">
        <v>407.39</v>
      </c>
      <c r="C237" t="s">
        <v>31</v>
      </c>
      <c r="D237">
        <v>24</v>
      </c>
      <c r="E237">
        <v>16.12</v>
      </c>
      <c r="F237" t="s">
        <v>89</v>
      </c>
      <c r="G237">
        <v>2</v>
      </c>
      <c r="H237" s="37">
        <v>10.26</v>
      </c>
    </row>
    <row r="238" spans="1:8" x14ac:dyDescent="0.3">
      <c r="A238" t="s">
        <v>636</v>
      </c>
      <c r="B238" s="37">
        <v>407.39</v>
      </c>
      <c r="C238" t="s">
        <v>31</v>
      </c>
      <c r="D238">
        <v>24</v>
      </c>
      <c r="E238">
        <v>16.12</v>
      </c>
      <c r="F238" t="s">
        <v>89</v>
      </c>
      <c r="G238">
        <v>2</v>
      </c>
      <c r="H238" s="37">
        <v>10.26</v>
      </c>
    </row>
    <row r="239" spans="1:8" x14ac:dyDescent="0.3">
      <c r="A239" t="s">
        <v>637</v>
      </c>
      <c r="B239" s="37">
        <v>363.34</v>
      </c>
      <c r="C239" t="s">
        <v>41</v>
      </c>
      <c r="D239">
        <v>24</v>
      </c>
      <c r="E239">
        <v>14.28</v>
      </c>
      <c r="F239" t="s">
        <v>89</v>
      </c>
      <c r="G239">
        <v>2</v>
      </c>
      <c r="H239" s="37">
        <v>10.26</v>
      </c>
    </row>
    <row r="240" spans="1:8" x14ac:dyDescent="0.3">
      <c r="A240" t="s">
        <v>635</v>
      </c>
      <c r="B240" s="37">
        <v>407.39</v>
      </c>
      <c r="C240" t="s">
        <v>31</v>
      </c>
      <c r="D240">
        <v>24</v>
      </c>
      <c r="E240">
        <v>16.12</v>
      </c>
      <c r="F240" t="s">
        <v>89</v>
      </c>
      <c r="G240">
        <v>2</v>
      </c>
      <c r="H240" s="37">
        <v>10.26</v>
      </c>
    </row>
    <row r="241" spans="1:11" x14ac:dyDescent="0.3">
      <c r="A241" t="s">
        <v>638</v>
      </c>
      <c r="B241" s="37">
        <v>175.77</v>
      </c>
      <c r="C241" t="s">
        <v>24</v>
      </c>
      <c r="D241">
        <v>24</v>
      </c>
      <c r="E241">
        <v>7.32</v>
      </c>
      <c r="H241" s="37"/>
    </row>
    <row r="242" spans="1:11" x14ac:dyDescent="0.3">
      <c r="A242" t="s">
        <v>640</v>
      </c>
      <c r="B242" s="37">
        <v>386.87</v>
      </c>
      <c r="C242" t="s">
        <v>31</v>
      </c>
      <c r="D242">
        <v>24</v>
      </c>
      <c r="E242">
        <v>16.12</v>
      </c>
      <c r="H242" s="37"/>
    </row>
    <row r="243" spans="1:11" x14ac:dyDescent="0.3">
      <c r="A243" t="s">
        <v>639</v>
      </c>
      <c r="B243" s="37">
        <v>246.14</v>
      </c>
      <c r="C243" t="s">
        <v>27</v>
      </c>
      <c r="D243">
        <v>24</v>
      </c>
      <c r="E243">
        <v>10.26</v>
      </c>
      <c r="H243" s="37"/>
    </row>
    <row r="244" spans="1:11" x14ac:dyDescent="0.3">
      <c r="A244" t="s">
        <v>642</v>
      </c>
      <c r="B244" s="37">
        <v>260.79000000000002</v>
      </c>
      <c r="C244" t="s">
        <v>27</v>
      </c>
      <c r="D244">
        <v>24</v>
      </c>
      <c r="E244">
        <v>10.26</v>
      </c>
      <c r="F244" t="s">
        <v>99</v>
      </c>
      <c r="G244">
        <v>2</v>
      </c>
      <c r="H244">
        <v>7.32</v>
      </c>
    </row>
    <row r="245" spans="1:11" x14ac:dyDescent="0.3">
      <c r="A245" t="s">
        <v>641</v>
      </c>
      <c r="B245" s="37">
        <v>782.29</v>
      </c>
      <c r="C245" t="s">
        <v>57</v>
      </c>
      <c r="D245">
        <v>24</v>
      </c>
      <c r="E245">
        <v>26.37</v>
      </c>
      <c r="F245" t="s">
        <v>119</v>
      </c>
      <c r="G245">
        <v>2</v>
      </c>
      <c r="H245">
        <v>17.579999999999998</v>
      </c>
      <c r="I245" t="s">
        <v>137</v>
      </c>
      <c r="J245">
        <v>26</v>
      </c>
      <c r="K245">
        <v>4.3899999999999997</v>
      </c>
    </row>
    <row r="246" spans="1:11" x14ac:dyDescent="0.3">
      <c r="A246" t="s">
        <v>643</v>
      </c>
      <c r="B246" s="37">
        <v>782.29</v>
      </c>
      <c r="C246" t="s">
        <v>57</v>
      </c>
      <c r="D246">
        <v>24</v>
      </c>
      <c r="E246">
        <v>26.37</v>
      </c>
      <c r="F246" t="s">
        <v>119</v>
      </c>
      <c r="G246">
        <v>2</v>
      </c>
      <c r="H246">
        <v>17.579999999999998</v>
      </c>
      <c r="I246" t="s">
        <v>137</v>
      </c>
      <c r="J246">
        <v>26</v>
      </c>
      <c r="K246">
        <v>4.3899999999999997</v>
      </c>
    </row>
    <row r="247" spans="1:11" x14ac:dyDescent="0.3">
      <c r="A247" t="s">
        <v>644</v>
      </c>
      <c r="B247" s="37">
        <v>536.22</v>
      </c>
      <c r="C247" t="s">
        <v>31</v>
      </c>
      <c r="D247">
        <v>24</v>
      </c>
      <c r="E247">
        <v>16.12</v>
      </c>
      <c r="F247" t="s">
        <v>110</v>
      </c>
      <c r="G247">
        <v>2</v>
      </c>
      <c r="H247" s="37">
        <v>17.579999999999998</v>
      </c>
      <c r="I247" t="s">
        <v>137</v>
      </c>
      <c r="J247">
        <v>26</v>
      </c>
      <c r="K247" s="37">
        <v>4.3899999999999997</v>
      </c>
    </row>
    <row r="248" spans="1:11" x14ac:dyDescent="0.3">
      <c r="A248" t="s">
        <v>646</v>
      </c>
      <c r="B248" s="37">
        <v>536.22</v>
      </c>
      <c r="C248" t="s">
        <v>31</v>
      </c>
      <c r="D248">
        <v>24</v>
      </c>
      <c r="E248">
        <v>16.12</v>
      </c>
      <c r="F248" t="s">
        <v>110</v>
      </c>
      <c r="G248">
        <v>2</v>
      </c>
      <c r="H248" s="37">
        <v>17.579999999999998</v>
      </c>
      <c r="I248" t="s">
        <v>137</v>
      </c>
      <c r="J248">
        <v>26</v>
      </c>
      <c r="K248">
        <v>4.3899999999999997</v>
      </c>
    </row>
    <row r="249" spans="1:11" x14ac:dyDescent="0.3">
      <c r="A249" t="s">
        <v>645</v>
      </c>
      <c r="B249" s="37">
        <v>536.22</v>
      </c>
      <c r="C249" t="s">
        <v>31</v>
      </c>
      <c r="D249">
        <v>24</v>
      </c>
      <c r="E249">
        <v>16.12</v>
      </c>
      <c r="F249" t="s">
        <v>110</v>
      </c>
      <c r="G249">
        <v>2</v>
      </c>
      <c r="H249" s="37">
        <v>17.579999999999998</v>
      </c>
      <c r="I249" t="s">
        <v>137</v>
      </c>
      <c r="J249">
        <v>26</v>
      </c>
      <c r="K249" s="37">
        <v>4.3899999999999997</v>
      </c>
    </row>
    <row r="250" spans="1:11" x14ac:dyDescent="0.3">
      <c r="A250" t="s">
        <v>649</v>
      </c>
      <c r="B250" s="37">
        <v>316.51</v>
      </c>
      <c r="C250" t="s">
        <v>65</v>
      </c>
      <c r="D250">
        <v>22</v>
      </c>
      <c r="E250">
        <v>13.19</v>
      </c>
      <c r="F250" t="s">
        <v>72</v>
      </c>
      <c r="G250">
        <v>2</v>
      </c>
      <c r="H250" s="37">
        <v>13.19</v>
      </c>
      <c r="K250" s="37"/>
    </row>
    <row r="251" spans="1:11" x14ac:dyDescent="0.3">
      <c r="A251" t="s">
        <v>647</v>
      </c>
      <c r="B251" s="37">
        <v>536.22</v>
      </c>
      <c r="C251" t="s">
        <v>31</v>
      </c>
      <c r="D251">
        <v>24</v>
      </c>
      <c r="E251">
        <v>16.12</v>
      </c>
      <c r="F251" t="s">
        <v>110</v>
      </c>
      <c r="G251">
        <v>2</v>
      </c>
      <c r="H251" s="37">
        <v>17.579999999999998</v>
      </c>
      <c r="I251" t="s">
        <v>137</v>
      </c>
      <c r="J251">
        <v>26</v>
      </c>
      <c r="K251" s="37">
        <v>4.3899999999999997</v>
      </c>
    </row>
    <row r="252" spans="1:11" x14ac:dyDescent="0.3">
      <c r="A252" t="s">
        <v>648</v>
      </c>
      <c r="B252" s="37">
        <v>381.01</v>
      </c>
      <c r="C252" t="s">
        <v>31</v>
      </c>
      <c r="D252">
        <v>22</v>
      </c>
      <c r="E252">
        <v>16.12</v>
      </c>
      <c r="F252" t="s">
        <v>74</v>
      </c>
      <c r="G252">
        <v>2</v>
      </c>
      <c r="H252" s="37">
        <v>13.19</v>
      </c>
      <c r="K252" s="37"/>
    </row>
    <row r="253" spans="1:11" x14ac:dyDescent="0.3">
      <c r="A253" t="s">
        <v>650</v>
      </c>
      <c r="B253" s="37">
        <v>364.89</v>
      </c>
      <c r="C253" t="s">
        <v>31</v>
      </c>
      <c r="D253">
        <v>21</v>
      </c>
      <c r="E253">
        <v>16.12</v>
      </c>
      <c r="F253" t="s">
        <v>74</v>
      </c>
      <c r="G253">
        <v>2</v>
      </c>
      <c r="H253" s="37">
        <v>13.19</v>
      </c>
      <c r="K253" s="37"/>
    </row>
    <row r="254" spans="1:11" x14ac:dyDescent="0.3">
      <c r="A254" t="s">
        <v>651</v>
      </c>
      <c r="B254" s="37">
        <v>553.83000000000004</v>
      </c>
      <c r="C254" t="s">
        <v>57</v>
      </c>
      <c r="D254">
        <v>20</v>
      </c>
      <c r="E254">
        <v>26.37</v>
      </c>
      <c r="F254" t="s">
        <v>83</v>
      </c>
      <c r="G254">
        <v>2</v>
      </c>
      <c r="H254" s="37">
        <v>13.19</v>
      </c>
    </row>
    <row r="255" spans="1:11" x14ac:dyDescent="0.3">
      <c r="A255" t="s">
        <v>652</v>
      </c>
      <c r="B255" s="37">
        <v>231.49</v>
      </c>
      <c r="C255" t="s">
        <v>27</v>
      </c>
      <c r="D255">
        <v>20</v>
      </c>
      <c r="E255">
        <v>10.26</v>
      </c>
      <c r="F255" t="s">
        <v>72</v>
      </c>
      <c r="G255">
        <v>2</v>
      </c>
      <c r="H255" s="37">
        <v>13.19</v>
      </c>
    </row>
    <row r="256" spans="1:11" x14ac:dyDescent="0.3">
      <c r="A256" t="s">
        <v>655</v>
      </c>
      <c r="B256" s="37">
        <v>231.49</v>
      </c>
      <c r="C256" t="s">
        <v>27</v>
      </c>
      <c r="D256">
        <v>20</v>
      </c>
      <c r="E256">
        <v>10.26</v>
      </c>
      <c r="F256" t="s">
        <v>72</v>
      </c>
      <c r="G256">
        <v>2</v>
      </c>
      <c r="H256" s="37">
        <v>13.19</v>
      </c>
    </row>
    <row r="257" spans="1:11" x14ac:dyDescent="0.3">
      <c r="A257" t="s">
        <v>653</v>
      </c>
      <c r="B257" s="37">
        <v>290.13</v>
      </c>
      <c r="C257" t="s">
        <v>65</v>
      </c>
      <c r="D257">
        <v>20</v>
      </c>
      <c r="E257">
        <v>13.19</v>
      </c>
      <c r="F257" t="s">
        <v>72</v>
      </c>
      <c r="G257">
        <v>2</v>
      </c>
      <c r="H257" s="37">
        <v>13.19</v>
      </c>
    </row>
    <row r="258" spans="1:11" x14ac:dyDescent="0.3">
      <c r="A258" t="s">
        <v>656</v>
      </c>
      <c r="B258" s="37">
        <v>231.49</v>
      </c>
      <c r="C258" t="s">
        <v>27</v>
      </c>
      <c r="D258">
        <v>20</v>
      </c>
      <c r="E258">
        <v>10.26</v>
      </c>
      <c r="F258" t="s">
        <v>72</v>
      </c>
      <c r="G258">
        <v>2</v>
      </c>
      <c r="H258" s="37">
        <v>13.19</v>
      </c>
    </row>
    <row r="259" spans="1:11" x14ac:dyDescent="0.3">
      <c r="A259" t="s">
        <v>657</v>
      </c>
      <c r="B259" s="37">
        <v>231.49</v>
      </c>
      <c r="C259" t="s">
        <v>27</v>
      </c>
      <c r="D259">
        <v>20</v>
      </c>
      <c r="E259">
        <v>10.26</v>
      </c>
      <c r="F259" t="s">
        <v>72</v>
      </c>
      <c r="G259">
        <v>2</v>
      </c>
      <c r="H259" s="37">
        <v>13.19</v>
      </c>
    </row>
    <row r="260" spans="1:11" x14ac:dyDescent="0.3">
      <c r="A260" t="s">
        <v>654</v>
      </c>
      <c r="B260" s="37">
        <v>231.49</v>
      </c>
      <c r="C260" t="s">
        <v>27</v>
      </c>
      <c r="D260">
        <v>20</v>
      </c>
      <c r="E260">
        <v>10.26</v>
      </c>
      <c r="F260" t="s">
        <v>72</v>
      </c>
      <c r="G260">
        <v>2</v>
      </c>
      <c r="H260" s="37">
        <v>13.19</v>
      </c>
    </row>
    <row r="261" spans="1:11" x14ac:dyDescent="0.3">
      <c r="A261" t="s">
        <v>658</v>
      </c>
      <c r="B261" s="37">
        <v>231.49</v>
      </c>
      <c r="C261" t="s">
        <v>27</v>
      </c>
      <c r="D261">
        <v>20</v>
      </c>
      <c r="E261">
        <v>10.26</v>
      </c>
      <c r="F261" t="s">
        <v>72</v>
      </c>
      <c r="G261">
        <v>2</v>
      </c>
      <c r="H261" s="37">
        <v>13.19</v>
      </c>
    </row>
    <row r="262" spans="1:11" x14ac:dyDescent="0.3">
      <c r="A262" t="s">
        <v>659</v>
      </c>
      <c r="B262" s="37">
        <v>290.13</v>
      </c>
      <c r="C262" t="s">
        <v>29</v>
      </c>
      <c r="D262">
        <v>20</v>
      </c>
      <c r="E262">
        <v>13.19</v>
      </c>
      <c r="F262" t="s">
        <v>74</v>
      </c>
      <c r="G262">
        <v>2</v>
      </c>
      <c r="H262" s="37">
        <v>13.19</v>
      </c>
    </row>
    <row r="263" spans="1:11" x14ac:dyDescent="0.3">
      <c r="A263" t="s">
        <v>660</v>
      </c>
      <c r="B263" s="37">
        <v>290.13</v>
      </c>
      <c r="C263" t="s">
        <v>29</v>
      </c>
      <c r="D263">
        <v>20</v>
      </c>
      <c r="E263">
        <v>13.19</v>
      </c>
      <c r="F263" t="s">
        <v>74</v>
      </c>
      <c r="G263">
        <v>2</v>
      </c>
      <c r="H263" s="37">
        <v>13.19</v>
      </c>
    </row>
    <row r="264" spans="1:11" x14ac:dyDescent="0.3">
      <c r="A264" t="s">
        <v>661</v>
      </c>
      <c r="B264" s="37">
        <v>436.67</v>
      </c>
      <c r="C264" t="s">
        <v>31</v>
      </c>
      <c r="D264">
        <v>20</v>
      </c>
      <c r="E264">
        <v>16.12</v>
      </c>
      <c r="F264" t="s">
        <v>74</v>
      </c>
      <c r="G264">
        <v>2</v>
      </c>
      <c r="H264" s="37">
        <v>13.19</v>
      </c>
      <c r="I264" t="s">
        <v>150</v>
      </c>
      <c r="J264">
        <v>5</v>
      </c>
      <c r="K264">
        <v>17.579999999999998</v>
      </c>
    </row>
    <row r="265" spans="1:11" x14ac:dyDescent="0.3">
      <c r="A265" t="s">
        <v>662</v>
      </c>
      <c r="B265" s="37">
        <v>348.77</v>
      </c>
      <c r="C265" t="s">
        <v>31</v>
      </c>
      <c r="D265">
        <v>20</v>
      </c>
      <c r="E265">
        <v>16.12</v>
      </c>
      <c r="F265" t="s">
        <v>74</v>
      </c>
      <c r="G265">
        <v>2</v>
      </c>
      <c r="H265" s="37">
        <v>13.19</v>
      </c>
    </row>
    <row r="266" spans="1:11" x14ac:dyDescent="0.3">
      <c r="A266" t="s">
        <v>664</v>
      </c>
      <c r="B266" s="37">
        <v>348.77</v>
      </c>
      <c r="C266" t="s">
        <v>31</v>
      </c>
      <c r="D266">
        <v>20</v>
      </c>
      <c r="E266">
        <v>16.12</v>
      </c>
      <c r="F266" t="s">
        <v>74</v>
      </c>
      <c r="G266">
        <v>2</v>
      </c>
      <c r="H266" s="37">
        <v>13.19</v>
      </c>
    </row>
    <row r="267" spans="1:11" x14ac:dyDescent="0.3">
      <c r="A267" t="s">
        <v>666</v>
      </c>
      <c r="B267" s="37">
        <v>348.77</v>
      </c>
      <c r="C267" t="s">
        <v>31</v>
      </c>
      <c r="D267">
        <v>20</v>
      </c>
      <c r="E267">
        <v>16.12</v>
      </c>
      <c r="F267" t="s">
        <v>74</v>
      </c>
      <c r="G267">
        <v>2</v>
      </c>
      <c r="H267" s="37">
        <v>13.19</v>
      </c>
      <c r="K267" s="37"/>
    </row>
    <row r="268" spans="1:11" x14ac:dyDescent="0.3">
      <c r="A268" t="s">
        <v>665</v>
      </c>
      <c r="B268" s="37">
        <v>407.31</v>
      </c>
      <c r="C268" t="s">
        <v>69</v>
      </c>
      <c r="D268">
        <v>20</v>
      </c>
      <c r="E268">
        <v>19.05</v>
      </c>
      <c r="F268" t="s">
        <v>74</v>
      </c>
      <c r="G268">
        <v>2</v>
      </c>
      <c r="H268" s="37">
        <v>13.19</v>
      </c>
    </row>
    <row r="269" spans="1:11" x14ac:dyDescent="0.3">
      <c r="A269" t="s">
        <v>667</v>
      </c>
      <c r="B269" s="37">
        <v>348.77</v>
      </c>
      <c r="C269" t="s">
        <v>31</v>
      </c>
      <c r="D269">
        <v>20</v>
      </c>
      <c r="E269">
        <v>16.12</v>
      </c>
      <c r="F269" t="s">
        <v>74</v>
      </c>
      <c r="G269">
        <v>2</v>
      </c>
      <c r="H269" s="37">
        <v>13.19</v>
      </c>
      <c r="K269" s="37"/>
    </row>
    <row r="270" spans="1:11" x14ac:dyDescent="0.3">
      <c r="A270" t="s">
        <v>668</v>
      </c>
      <c r="B270" s="37">
        <v>407.31</v>
      </c>
      <c r="C270" t="s">
        <v>69</v>
      </c>
      <c r="D270">
        <v>20</v>
      </c>
      <c r="E270">
        <v>19.05</v>
      </c>
      <c r="F270" t="s">
        <v>74</v>
      </c>
      <c r="G270">
        <v>2</v>
      </c>
      <c r="H270" s="37">
        <v>13.19</v>
      </c>
    </row>
    <row r="271" spans="1:11" x14ac:dyDescent="0.3">
      <c r="A271" t="s">
        <v>669</v>
      </c>
      <c r="B271" s="37">
        <v>348.77</v>
      </c>
      <c r="C271" t="s">
        <v>31</v>
      </c>
      <c r="D271">
        <v>20</v>
      </c>
      <c r="E271">
        <v>16.12</v>
      </c>
      <c r="F271" t="s">
        <v>74</v>
      </c>
      <c r="G271">
        <v>2</v>
      </c>
      <c r="H271" s="37">
        <v>13.19</v>
      </c>
    </row>
    <row r="272" spans="1:11" x14ac:dyDescent="0.3">
      <c r="A272" t="s">
        <v>670</v>
      </c>
      <c r="B272" s="37">
        <v>348.77</v>
      </c>
      <c r="C272" t="s">
        <v>31</v>
      </c>
      <c r="D272">
        <v>20</v>
      </c>
      <c r="E272">
        <v>16.12</v>
      </c>
      <c r="F272" t="s">
        <v>74</v>
      </c>
      <c r="G272">
        <v>2</v>
      </c>
      <c r="H272" s="37">
        <v>13.19</v>
      </c>
    </row>
    <row r="273" spans="1:11" x14ac:dyDescent="0.3">
      <c r="A273" t="s">
        <v>671</v>
      </c>
      <c r="B273" s="37">
        <v>348.77</v>
      </c>
      <c r="C273" t="s">
        <v>31</v>
      </c>
      <c r="D273">
        <v>20</v>
      </c>
      <c r="E273">
        <v>16.12</v>
      </c>
      <c r="F273" t="s">
        <v>74</v>
      </c>
      <c r="G273">
        <v>2</v>
      </c>
      <c r="H273" s="37">
        <v>13.19</v>
      </c>
    </row>
    <row r="274" spans="1:11" x14ac:dyDescent="0.3">
      <c r="A274" t="s">
        <v>674</v>
      </c>
      <c r="B274" s="37">
        <v>348.77</v>
      </c>
      <c r="C274" t="s">
        <v>31</v>
      </c>
      <c r="D274">
        <v>20</v>
      </c>
      <c r="E274">
        <v>16.12</v>
      </c>
      <c r="F274" t="s">
        <v>74</v>
      </c>
      <c r="G274">
        <v>2</v>
      </c>
      <c r="H274" s="37">
        <v>13.19</v>
      </c>
    </row>
    <row r="275" spans="1:11" x14ac:dyDescent="0.3">
      <c r="A275" t="s">
        <v>673</v>
      </c>
      <c r="B275" s="37">
        <v>348.77</v>
      </c>
      <c r="C275" t="s">
        <v>31</v>
      </c>
      <c r="D275">
        <v>20</v>
      </c>
      <c r="E275">
        <v>16.12</v>
      </c>
      <c r="F275" t="s">
        <v>74</v>
      </c>
      <c r="G275">
        <v>2</v>
      </c>
      <c r="H275" s="37">
        <v>13.19</v>
      </c>
    </row>
    <row r="276" spans="1:11" x14ac:dyDescent="0.3">
      <c r="A276" t="s">
        <v>675</v>
      </c>
      <c r="B276" s="37">
        <v>407.31</v>
      </c>
      <c r="C276" t="s">
        <v>69</v>
      </c>
      <c r="D276">
        <v>20</v>
      </c>
      <c r="E276">
        <v>19.05</v>
      </c>
      <c r="F276" t="s">
        <v>74</v>
      </c>
      <c r="G276">
        <v>2</v>
      </c>
      <c r="H276" s="37">
        <v>13.19</v>
      </c>
    </row>
    <row r="277" spans="1:11" x14ac:dyDescent="0.3">
      <c r="A277" t="s">
        <v>676</v>
      </c>
      <c r="B277" s="37">
        <v>348.77</v>
      </c>
      <c r="C277" t="s">
        <v>31</v>
      </c>
      <c r="D277">
        <v>20</v>
      </c>
      <c r="E277">
        <v>16.12</v>
      </c>
      <c r="F277" t="s">
        <v>74</v>
      </c>
      <c r="G277">
        <v>2</v>
      </c>
      <c r="H277" s="37">
        <v>13.19</v>
      </c>
    </row>
    <row r="278" spans="1:11" x14ac:dyDescent="0.3">
      <c r="A278" t="s">
        <v>679</v>
      </c>
      <c r="B278" s="37">
        <v>312.06</v>
      </c>
      <c r="C278" t="s">
        <v>41</v>
      </c>
      <c r="D278">
        <v>20</v>
      </c>
      <c r="E278">
        <v>14.28</v>
      </c>
      <c r="F278" t="s">
        <v>74</v>
      </c>
      <c r="G278">
        <v>2</v>
      </c>
      <c r="H278" s="37">
        <v>13.19</v>
      </c>
    </row>
    <row r="279" spans="1:11" x14ac:dyDescent="0.3">
      <c r="A279" t="s">
        <v>678</v>
      </c>
      <c r="B279" s="37">
        <v>378.01</v>
      </c>
      <c r="C279" t="s">
        <v>43</v>
      </c>
      <c r="D279">
        <v>20</v>
      </c>
      <c r="E279">
        <v>17.579999999999998</v>
      </c>
      <c r="F279" t="s">
        <v>74</v>
      </c>
      <c r="G279">
        <v>2</v>
      </c>
      <c r="H279" s="37">
        <v>13.19</v>
      </c>
    </row>
    <row r="280" spans="1:11" x14ac:dyDescent="0.3">
      <c r="A280" t="s">
        <v>681</v>
      </c>
      <c r="B280" s="37">
        <v>454.18</v>
      </c>
      <c r="C280" t="s">
        <v>31</v>
      </c>
      <c r="D280">
        <v>20</v>
      </c>
      <c r="E280">
        <v>16.12</v>
      </c>
      <c r="F280" t="s">
        <v>110</v>
      </c>
      <c r="G280">
        <v>2</v>
      </c>
      <c r="H280" s="37">
        <v>17.579999999999998</v>
      </c>
      <c r="I280" t="s">
        <v>137</v>
      </c>
      <c r="J280">
        <v>22</v>
      </c>
      <c r="K280">
        <v>4.3899999999999997</v>
      </c>
    </row>
    <row r="281" spans="1:11" x14ac:dyDescent="0.3">
      <c r="A281" t="s">
        <v>685</v>
      </c>
      <c r="B281" s="37">
        <v>501.08</v>
      </c>
      <c r="C281" t="s">
        <v>57</v>
      </c>
      <c r="D281">
        <v>18</v>
      </c>
      <c r="E281">
        <v>26.37</v>
      </c>
      <c r="F281" t="s">
        <v>83</v>
      </c>
      <c r="G281">
        <v>2</v>
      </c>
      <c r="H281" s="37">
        <v>13.19</v>
      </c>
    </row>
    <row r="282" spans="1:11" x14ac:dyDescent="0.3">
      <c r="A282" t="s">
        <v>684</v>
      </c>
      <c r="B282" s="37">
        <v>454.18</v>
      </c>
      <c r="C282" t="s">
        <v>31</v>
      </c>
      <c r="D282">
        <v>20</v>
      </c>
      <c r="E282">
        <v>16.12</v>
      </c>
      <c r="F282" t="s">
        <v>110</v>
      </c>
      <c r="G282">
        <v>2</v>
      </c>
      <c r="H282" s="37">
        <v>17.579999999999998</v>
      </c>
      <c r="I282" t="s">
        <v>137</v>
      </c>
      <c r="J282">
        <v>22</v>
      </c>
      <c r="K282">
        <v>4.3899999999999997</v>
      </c>
    </row>
    <row r="283" spans="1:11" x14ac:dyDescent="0.3">
      <c r="A283" t="s">
        <v>682</v>
      </c>
      <c r="B283" s="37">
        <v>512.72</v>
      </c>
      <c r="C283" t="s">
        <v>69</v>
      </c>
      <c r="D283">
        <v>20</v>
      </c>
      <c r="E283">
        <v>19.05</v>
      </c>
      <c r="F283" t="s">
        <v>110</v>
      </c>
      <c r="G283">
        <v>2</v>
      </c>
      <c r="H283" s="37">
        <v>17.579999999999998</v>
      </c>
      <c r="I283" t="s">
        <v>137</v>
      </c>
      <c r="J283">
        <v>22</v>
      </c>
      <c r="K283">
        <v>4.3899999999999997</v>
      </c>
    </row>
    <row r="284" spans="1:11" x14ac:dyDescent="0.3">
      <c r="A284" t="s">
        <v>683</v>
      </c>
      <c r="B284" s="37">
        <v>501.08</v>
      </c>
      <c r="C284" t="s">
        <v>57</v>
      </c>
      <c r="D284">
        <v>18</v>
      </c>
      <c r="E284">
        <v>26.37</v>
      </c>
      <c r="F284" t="s">
        <v>83</v>
      </c>
      <c r="G284">
        <v>2</v>
      </c>
      <c r="H284" s="37">
        <v>13.19</v>
      </c>
    </row>
    <row r="285" spans="1:11" x14ac:dyDescent="0.3">
      <c r="A285" t="s">
        <v>686</v>
      </c>
      <c r="B285" s="37">
        <v>501.08</v>
      </c>
      <c r="C285" t="s">
        <v>57</v>
      </c>
      <c r="D285">
        <v>18</v>
      </c>
      <c r="E285">
        <v>26.37</v>
      </c>
      <c r="F285" t="s">
        <v>83</v>
      </c>
      <c r="G285">
        <v>2</v>
      </c>
      <c r="H285" s="37">
        <v>13.19</v>
      </c>
    </row>
    <row r="286" spans="1:11" x14ac:dyDescent="0.3">
      <c r="A286" t="s">
        <v>688</v>
      </c>
      <c r="B286" s="37">
        <v>210.98</v>
      </c>
      <c r="C286" t="s">
        <v>27</v>
      </c>
      <c r="D286">
        <v>18</v>
      </c>
      <c r="E286">
        <v>10.26</v>
      </c>
      <c r="F286" t="s">
        <v>72</v>
      </c>
      <c r="G286">
        <v>2</v>
      </c>
      <c r="H286" s="37">
        <v>13.19</v>
      </c>
    </row>
    <row r="287" spans="1:11" x14ac:dyDescent="0.3">
      <c r="A287" t="s">
        <v>687</v>
      </c>
      <c r="B287" s="37">
        <v>158.19999999999999</v>
      </c>
      <c r="C287" t="s">
        <v>24</v>
      </c>
      <c r="D287">
        <v>18</v>
      </c>
      <c r="E287">
        <v>7.32</v>
      </c>
      <c r="F287" t="s">
        <v>72</v>
      </c>
      <c r="G287">
        <v>2</v>
      </c>
      <c r="H287" s="37">
        <v>13.19</v>
      </c>
      <c r="K287" s="37"/>
    </row>
    <row r="288" spans="1:11" x14ac:dyDescent="0.3">
      <c r="A288" t="s">
        <v>689</v>
      </c>
      <c r="B288" s="37">
        <v>210.98</v>
      </c>
      <c r="C288" t="s">
        <v>27</v>
      </c>
      <c r="D288">
        <v>18</v>
      </c>
      <c r="E288">
        <v>10.26</v>
      </c>
      <c r="F288" t="s">
        <v>72</v>
      </c>
      <c r="G288">
        <v>2</v>
      </c>
      <c r="H288" s="37">
        <v>13.19</v>
      </c>
      <c r="K288" s="37"/>
    </row>
    <row r="289" spans="1:11" x14ac:dyDescent="0.3">
      <c r="A289" t="s">
        <v>690</v>
      </c>
      <c r="B289" s="37">
        <v>210.98</v>
      </c>
      <c r="C289" t="s">
        <v>27</v>
      </c>
      <c r="D289">
        <v>18</v>
      </c>
      <c r="E289">
        <v>10.26</v>
      </c>
      <c r="F289" t="s">
        <v>72</v>
      </c>
      <c r="G289">
        <v>2</v>
      </c>
      <c r="H289" s="37">
        <v>13.19</v>
      </c>
    </row>
    <row r="290" spans="1:11" x14ac:dyDescent="0.3">
      <c r="A290" t="s">
        <v>691</v>
      </c>
      <c r="B290" s="37">
        <v>210.98</v>
      </c>
      <c r="C290" t="s">
        <v>27</v>
      </c>
      <c r="D290">
        <v>18</v>
      </c>
      <c r="E290">
        <v>10.26</v>
      </c>
      <c r="F290" t="s">
        <v>72</v>
      </c>
      <c r="G290">
        <v>2</v>
      </c>
      <c r="H290" s="37">
        <v>13.19</v>
      </c>
      <c r="K290" s="37"/>
    </row>
    <row r="291" spans="1:11" x14ac:dyDescent="0.3">
      <c r="A291" t="s">
        <v>692</v>
      </c>
      <c r="B291" s="37">
        <v>263.76</v>
      </c>
      <c r="C291" t="s">
        <v>65</v>
      </c>
      <c r="D291">
        <v>18</v>
      </c>
      <c r="E291">
        <v>13.19</v>
      </c>
      <c r="F291" t="s">
        <v>72</v>
      </c>
      <c r="G291">
        <v>2</v>
      </c>
      <c r="H291" s="37">
        <v>13.19</v>
      </c>
    </row>
    <row r="292" spans="1:11" x14ac:dyDescent="0.3">
      <c r="A292" t="s">
        <v>693</v>
      </c>
      <c r="B292" s="37">
        <v>210.98</v>
      </c>
      <c r="C292" t="s">
        <v>27</v>
      </c>
      <c r="D292">
        <v>18</v>
      </c>
      <c r="E292">
        <v>10.26</v>
      </c>
      <c r="F292" t="s">
        <v>72</v>
      </c>
      <c r="G292">
        <v>2</v>
      </c>
      <c r="H292" s="37">
        <v>13.19</v>
      </c>
    </row>
    <row r="293" spans="1:11" x14ac:dyDescent="0.3">
      <c r="A293" t="s">
        <v>696</v>
      </c>
      <c r="B293" s="37">
        <v>263.76</v>
      </c>
      <c r="C293" t="s">
        <v>29</v>
      </c>
      <c r="D293">
        <v>18</v>
      </c>
      <c r="E293">
        <v>13.19</v>
      </c>
      <c r="F293" t="s">
        <v>74</v>
      </c>
      <c r="G293">
        <v>2</v>
      </c>
      <c r="H293" s="37">
        <v>13.19</v>
      </c>
    </row>
    <row r="294" spans="1:11" x14ac:dyDescent="0.3">
      <c r="A294" t="s">
        <v>694</v>
      </c>
      <c r="B294" s="37">
        <v>263.76</v>
      </c>
      <c r="C294" t="s">
        <v>29</v>
      </c>
      <c r="D294">
        <v>18</v>
      </c>
      <c r="E294">
        <v>13.19</v>
      </c>
      <c r="F294" t="s">
        <v>74</v>
      </c>
      <c r="G294">
        <v>2</v>
      </c>
      <c r="H294" s="37">
        <v>13.19</v>
      </c>
    </row>
    <row r="295" spans="1:11" x14ac:dyDescent="0.3">
      <c r="A295" t="s">
        <v>695</v>
      </c>
      <c r="B295" s="37">
        <v>263.76</v>
      </c>
      <c r="C295" t="s">
        <v>29</v>
      </c>
      <c r="D295">
        <v>18</v>
      </c>
      <c r="E295">
        <v>13.19</v>
      </c>
      <c r="F295" t="s">
        <v>74</v>
      </c>
      <c r="G295">
        <v>2</v>
      </c>
      <c r="H295" s="37">
        <v>13.19</v>
      </c>
    </row>
    <row r="296" spans="1:11" x14ac:dyDescent="0.3">
      <c r="A296" t="s">
        <v>697</v>
      </c>
      <c r="B296" s="37">
        <v>316.52999999999997</v>
      </c>
      <c r="C296" t="s">
        <v>31</v>
      </c>
      <c r="D296">
        <v>18</v>
      </c>
      <c r="E296">
        <v>16.12</v>
      </c>
      <c r="F296" t="s">
        <v>74</v>
      </c>
      <c r="G296">
        <v>2</v>
      </c>
      <c r="H296" s="37">
        <v>13.19</v>
      </c>
    </row>
    <row r="297" spans="1:11" x14ac:dyDescent="0.3">
      <c r="A297" t="s">
        <v>699</v>
      </c>
      <c r="B297" s="37">
        <v>316.52999999999997</v>
      </c>
      <c r="C297" t="s">
        <v>31</v>
      </c>
      <c r="D297">
        <v>18</v>
      </c>
      <c r="E297">
        <v>16.12</v>
      </c>
      <c r="F297" t="s">
        <v>74</v>
      </c>
      <c r="G297">
        <v>2</v>
      </c>
      <c r="H297" s="37">
        <v>13.19</v>
      </c>
    </row>
    <row r="298" spans="1:11" x14ac:dyDescent="0.3">
      <c r="A298" t="s">
        <v>698</v>
      </c>
      <c r="B298" s="37">
        <v>316.52999999999997</v>
      </c>
      <c r="C298" t="s">
        <v>31</v>
      </c>
      <c r="D298">
        <v>18</v>
      </c>
      <c r="E298">
        <v>16.12</v>
      </c>
      <c r="F298" t="s">
        <v>74</v>
      </c>
      <c r="G298">
        <v>2</v>
      </c>
      <c r="H298" s="37">
        <v>13.19</v>
      </c>
    </row>
    <row r="299" spans="1:11" x14ac:dyDescent="0.3">
      <c r="A299" t="s">
        <v>700</v>
      </c>
      <c r="B299" s="37">
        <v>316.52999999999997</v>
      </c>
      <c r="C299" t="s">
        <v>31</v>
      </c>
      <c r="D299">
        <v>18</v>
      </c>
      <c r="E299">
        <v>16.12</v>
      </c>
      <c r="F299" t="s">
        <v>74</v>
      </c>
      <c r="G299">
        <v>2</v>
      </c>
      <c r="H299" s="37">
        <v>13.19</v>
      </c>
    </row>
    <row r="300" spans="1:11" x14ac:dyDescent="0.3">
      <c r="A300" t="s">
        <v>701</v>
      </c>
      <c r="B300" s="37">
        <v>316.52999999999997</v>
      </c>
      <c r="C300" t="s">
        <v>31</v>
      </c>
      <c r="D300">
        <v>18</v>
      </c>
      <c r="E300">
        <v>16.12</v>
      </c>
      <c r="F300" t="s">
        <v>74</v>
      </c>
      <c r="G300">
        <v>2</v>
      </c>
      <c r="H300" s="37">
        <v>13.19</v>
      </c>
    </row>
    <row r="301" spans="1:11" x14ac:dyDescent="0.3">
      <c r="A301" t="s">
        <v>703</v>
      </c>
      <c r="B301" s="37">
        <v>369.22</v>
      </c>
      <c r="C301" t="s">
        <v>69</v>
      </c>
      <c r="D301">
        <v>18</v>
      </c>
      <c r="E301">
        <v>19.05</v>
      </c>
      <c r="F301" t="s">
        <v>74</v>
      </c>
      <c r="G301">
        <v>2</v>
      </c>
      <c r="H301" s="37">
        <v>13.19</v>
      </c>
    </row>
    <row r="302" spans="1:11" x14ac:dyDescent="0.3">
      <c r="A302" t="s">
        <v>702</v>
      </c>
      <c r="B302" s="37">
        <v>316.52999999999997</v>
      </c>
      <c r="C302" t="s">
        <v>31</v>
      </c>
      <c r="D302">
        <v>18</v>
      </c>
      <c r="E302">
        <v>16.12</v>
      </c>
      <c r="F302" t="s">
        <v>74</v>
      </c>
      <c r="G302">
        <v>2</v>
      </c>
      <c r="H302" s="37">
        <v>13.19</v>
      </c>
    </row>
    <row r="303" spans="1:11" x14ac:dyDescent="0.3">
      <c r="A303" t="s">
        <v>704</v>
      </c>
      <c r="B303" s="37">
        <v>316.52999999999997</v>
      </c>
      <c r="C303" t="s">
        <v>31</v>
      </c>
      <c r="D303">
        <v>18</v>
      </c>
      <c r="E303">
        <v>16.12</v>
      </c>
      <c r="F303" t="s">
        <v>74</v>
      </c>
      <c r="G303">
        <v>2</v>
      </c>
      <c r="H303" s="37">
        <v>13.19</v>
      </c>
    </row>
    <row r="304" spans="1:11" x14ac:dyDescent="0.3">
      <c r="A304" t="s">
        <v>706</v>
      </c>
      <c r="B304" s="37">
        <v>316.52999999999997</v>
      </c>
      <c r="C304" t="s">
        <v>31</v>
      </c>
      <c r="D304">
        <v>18</v>
      </c>
      <c r="E304">
        <v>16.12</v>
      </c>
      <c r="F304" t="s">
        <v>74</v>
      </c>
      <c r="G304">
        <v>2</v>
      </c>
      <c r="H304" s="37">
        <v>13.19</v>
      </c>
    </row>
    <row r="305" spans="1:11" x14ac:dyDescent="0.3">
      <c r="A305" t="s">
        <v>705</v>
      </c>
      <c r="B305" s="37">
        <v>316.52999999999997</v>
      </c>
      <c r="C305" t="s">
        <v>31</v>
      </c>
      <c r="D305">
        <v>18</v>
      </c>
      <c r="E305">
        <v>16.12</v>
      </c>
      <c r="F305" t="s">
        <v>74</v>
      </c>
      <c r="G305">
        <v>2</v>
      </c>
      <c r="H305" s="37">
        <v>13.19</v>
      </c>
    </row>
    <row r="306" spans="1:11" x14ac:dyDescent="0.3">
      <c r="A306" t="s">
        <v>708</v>
      </c>
      <c r="B306" s="37">
        <v>369.22</v>
      </c>
      <c r="C306" t="s">
        <v>69</v>
      </c>
      <c r="D306">
        <v>18</v>
      </c>
      <c r="E306">
        <v>19.05</v>
      </c>
      <c r="F306" t="s">
        <v>74</v>
      </c>
      <c r="G306">
        <v>2</v>
      </c>
      <c r="H306" s="37">
        <v>13.19</v>
      </c>
    </row>
    <row r="307" spans="1:11" x14ac:dyDescent="0.3">
      <c r="A307" t="s">
        <v>707</v>
      </c>
      <c r="B307" s="37">
        <v>316.52999999999997</v>
      </c>
      <c r="C307" t="s">
        <v>31</v>
      </c>
      <c r="D307">
        <v>18</v>
      </c>
      <c r="E307">
        <v>16.12</v>
      </c>
      <c r="F307" t="s">
        <v>74</v>
      </c>
      <c r="G307">
        <v>2</v>
      </c>
      <c r="H307" s="37">
        <v>13.19</v>
      </c>
    </row>
    <row r="308" spans="1:11" x14ac:dyDescent="0.3">
      <c r="A308" t="s">
        <v>709</v>
      </c>
      <c r="B308" s="37">
        <v>316.52999999999997</v>
      </c>
      <c r="C308" t="s">
        <v>31</v>
      </c>
      <c r="D308">
        <v>18</v>
      </c>
      <c r="E308">
        <v>16.12</v>
      </c>
      <c r="F308" t="s">
        <v>74</v>
      </c>
      <c r="G308">
        <v>2</v>
      </c>
      <c r="H308" s="37">
        <v>13.19</v>
      </c>
    </row>
    <row r="309" spans="1:11" x14ac:dyDescent="0.3">
      <c r="A309" t="s">
        <v>711</v>
      </c>
      <c r="B309" s="37">
        <v>316.52999999999997</v>
      </c>
      <c r="C309" t="s">
        <v>31</v>
      </c>
      <c r="D309">
        <v>18</v>
      </c>
      <c r="E309">
        <v>16.12</v>
      </c>
      <c r="F309" t="s">
        <v>74</v>
      </c>
      <c r="G309">
        <v>2</v>
      </c>
      <c r="H309" s="37">
        <v>13.19</v>
      </c>
    </row>
    <row r="310" spans="1:11" x14ac:dyDescent="0.3">
      <c r="A310" t="s">
        <v>710</v>
      </c>
      <c r="B310" s="37">
        <v>342.84</v>
      </c>
      <c r="C310" t="s">
        <v>43</v>
      </c>
      <c r="D310">
        <v>18</v>
      </c>
      <c r="E310">
        <v>17.579999999999998</v>
      </c>
      <c r="F310" t="s">
        <v>74</v>
      </c>
      <c r="G310">
        <v>2</v>
      </c>
      <c r="H310" s="37">
        <v>13.19</v>
      </c>
    </row>
    <row r="311" spans="1:11" x14ac:dyDescent="0.3">
      <c r="A311" t="s">
        <v>712</v>
      </c>
      <c r="B311" s="37">
        <v>342.84</v>
      </c>
      <c r="C311" t="s">
        <v>43</v>
      </c>
      <c r="D311">
        <v>18</v>
      </c>
      <c r="E311">
        <v>17.579999999999998</v>
      </c>
      <c r="F311" t="s">
        <v>74</v>
      </c>
      <c r="G311">
        <v>2</v>
      </c>
      <c r="H311" s="37">
        <v>13.19</v>
      </c>
    </row>
    <row r="312" spans="1:11" x14ac:dyDescent="0.3">
      <c r="A312" t="s">
        <v>715</v>
      </c>
      <c r="B312" s="37">
        <v>342.84</v>
      </c>
      <c r="C312" t="s">
        <v>43</v>
      </c>
      <c r="D312">
        <v>18</v>
      </c>
      <c r="E312">
        <v>17.579999999999998</v>
      </c>
      <c r="F312" t="s">
        <v>74</v>
      </c>
      <c r="G312">
        <v>2</v>
      </c>
      <c r="H312" s="37">
        <v>13.19</v>
      </c>
    </row>
    <row r="313" spans="1:11" x14ac:dyDescent="0.3">
      <c r="A313" t="s">
        <v>714</v>
      </c>
      <c r="B313" s="37">
        <v>257.89</v>
      </c>
      <c r="C313" t="s">
        <v>29</v>
      </c>
      <c r="D313">
        <v>18</v>
      </c>
      <c r="E313">
        <v>13.19</v>
      </c>
      <c r="F313" t="s">
        <v>89</v>
      </c>
      <c r="G313">
        <v>2</v>
      </c>
      <c r="H313" s="37">
        <v>10.26</v>
      </c>
    </row>
    <row r="314" spans="1:11" x14ac:dyDescent="0.3">
      <c r="A314" t="s">
        <v>713</v>
      </c>
      <c r="B314" s="37">
        <v>310.67</v>
      </c>
      <c r="C314" t="s">
        <v>31</v>
      </c>
      <c r="D314">
        <v>18</v>
      </c>
      <c r="E314">
        <v>16.12</v>
      </c>
      <c r="F314" t="s">
        <v>89</v>
      </c>
      <c r="G314">
        <v>2</v>
      </c>
      <c r="H314" s="37">
        <v>10.26</v>
      </c>
    </row>
    <row r="315" spans="1:11" x14ac:dyDescent="0.3">
      <c r="A315" t="s">
        <v>716</v>
      </c>
      <c r="B315" s="37">
        <v>131.83000000000001</v>
      </c>
      <c r="C315" t="s">
        <v>24</v>
      </c>
      <c r="D315">
        <v>18</v>
      </c>
      <c r="E315">
        <v>7.32</v>
      </c>
      <c r="H315" s="37"/>
    </row>
    <row r="316" spans="1:11" x14ac:dyDescent="0.3">
      <c r="A316" t="s">
        <v>717</v>
      </c>
      <c r="B316" s="37">
        <v>237.38</v>
      </c>
      <c r="C316" t="s">
        <v>65</v>
      </c>
      <c r="D316">
        <v>18</v>
      </c>
      <c r="E316">
        <v>13.19</v>
      </c>
      <c r="H316" s="37"/>
    </row>
    <row r="317" spans="1:11" x14ac:dyDescent="0.3">
      <c r="A317" t="s">
        <v>719</v>
      </c>
      <c r="B317" s="37">
        <v>413.15</v>
      </c>
      <c r="C317" t="s">
        <v>31</v>
      </c>
      <c r="D317">
        <v>18</v>
      </c>
      <c r="E317">
        <v>16.12</v>
      </c>
      <c r="F317" t="s">
        <v>110</v>
      </c>
      <c r="G317">
        <v>2</v>
      </c>
      <c r="H317" s="37">
        <v>17.579999999999998</v>
      </c>
      <c r="I317" t="s">
        <v>137</v>
      </c>
      <c r="J317">
        <v>20</v>
      </c>
      <c r="K317">
        <v>4.3899999999999997</v>
      </c>
    </row>
    <row r="318" spans="1:11" x14ac:dyDescent="0.3">
      <c r="A318" t="s">
        <v>718</v>
      </c>
      <c r="B318" s="37">
        <v>465.84</v>
      </c>
      <c r="C318" t="s">
        <v>69</v>
      </c>
      <c r="D318">
        <v>18</v>
      </c>
      <c r="E318">
        <v>19.05</v>
      </c>
      <c r="F318" t="s">
        <v>110</v>
      </c>
      <c r="G318">
        <v>2</v>
      </c>
      <c r="H318" s="37">
        <v>17.579999999999998</v>
      </c>
      <c r="I318" t="s">
        <v>137</v>
      </c>
      <c r="J318">
        <v>20</v>
      </c>
      <c r="K318">
        <v>4.3899999999999997</v>
      </c>
    </row>
    <row r="319" spans="1:11" x14ac:dyDescent="0.3">
      <c r="A319" t="s">
        <v>721</v>
      </c>
      <c r="B319" s="37">
        <v>413.15</v>
      </c>
      <c r="C319" t="s">
        <v>31</v>
      </c>
      <c r="D319">
        <v>18</v>
      </c>
      <c r="E319">
        <v>16.12</v>
      </c>
      <c r="F319" t="s">
        <v>110</v>
      </c>
      <c r="G319">
        <v>2</v>
      </c>
      <c r="H319" s="37">
        <v>17.579999999999998</v>
      </c>
      <c r="I319" t="s">
        <v>137</v>
      </c>
      <c r="J319">
        <v>20</v>
      </c>
      <c r="K319">
        <v>4.3899999999999997</v>
      </c>
    </row>
    <row r="320" spans="1:11" x14ac:dyDescent="0.3">
      <c r="A320" t="s">
        <v>720</v>
      </c>
      <c r="B320" s="37">
        <v>448.34</v>
      </c>
      <c r="C320" t="s">
        <v>57</v>
      </c>
      <c r="D320">
        <v>16</v>
      </c>
      <c r="E320">
        <v>26.37</v>
      </c>
      <c r="F320" t="s">
        <v>83</v>
      </c>
      <c r="G320">
        <v>2</v>
      </c>
      <c r="H320" s="37">
        <v>13.19</v>
      </c>
    </row>
    <row r="321" spans="1:11" x14ac:dyDescent="0.3">
      <c r="A321" t="s">
        <v>722</v>
      </c>
      <c r="B321" s="37">
        <v>448.34</v>
      </c>
      <c r="C321" t="s">
        <v>57</v>
      </c>
      <c r="D321">
        <v>16</v>
      </c>
      <c r="E321">
        <v>26.37</v>
      </c>
      <c r="F321" t="s">
        <v>83</v>
      </c>
      <c r="G321">
        <v>2</v>
      </c>
      <c r="H321" s="37">
        <v>13.19</v>
      </c>
    </row>
    <row r="322" spans="1:11" x14ac:dyDescent="0.3">
      <c r="A322" t="s">
        <v>723</v>
      </c>
      <c r="B322" s="37">
        <v>448.34</v>
      </c>
      <c r="C322" t="s">
        <v>57</v>
      </c>
      <c r="D322">
        <v>16</v>
      </c>
      <c r="E322">
        <v>26.37</v>
      </c>
      <c r="F322" t="s">
        <v>83</v>
      </c>
      <c r="G322">
        <v>2</v>
      </c>
      <c r="H322">
        <v>13.19</v>
      </c>
    </row>
    <row r="323" spans="1:11" x14ac:dyDescent="0.3">
      <c r="A323" t="s">
        <v>724</v>
      </c>
      <c r="B323" s="37">
        <v>143.56</v>
      </c>
      <c r="C323" t="s">
        <v>24</v>
      </c>
      <c r="D323">
        <v>16</v>
      </c>
      <c r="E323">
        <v>7.32</v>
      </c>
      <c r="F323" t="s">
        <v>72</v>
      </c>
      <c r="G323">
        <v>2</v>
      </c>
      <c r="H323">
        <v>13.19</v>
      </c>
    </row>
    <row r="324" spans="1:11" x14ac:dyDescent="0.3">
      <c r="A324" t="s">
        <v>726</v>
      </c>
      <c r="B324" s="37">
        <v>190.47</v>
      </c>
      <c r="C324" t="s">
        <v>27</v>
      </c>
      <c r="D324">
        <v>16</v>
      </c>
      <c r="E324">
        <v>10.26</v>
      </c>
      <c r="F324" t="s">
        <v>72</v>
      </c>
      <c r="G324">
        <v>2</v>
      </c>
      <c r="H324" s="37">
        <v>13.19</v>
      </c>
      <c r="K324" s="37"/>
    </row>
    <row r="325" spans="1:11" x14ac:dyDescent="0.3">
      <c r="A325" t="s">
        <v>725</v>
      </c>
      <c r="B325" s="37">
        <v>190.47</v>
      </c>
      <c r="C325" t="s">
        <v>27</v>
      </c>
      <c r="D325">
        <v>16</v>
      </c>
      <c r="E325">
        <v>10.26</v>
      </c>
      <c r="F325" t="s">
        <v>72</v>
      </c>
      <c r="G325">
        <v>2</v>
      </c>
      <c r="H325" s="37">
        <v>13.19</v>
      </c>
      <c r="K325" s="37"/>
    </row>
    <row r="326" spans="1:11" x14ac:dyDescent="0.3">
      <c r="A326" t="s">
        <v>727</v>
      </c>
      <c r="B326" s="37">
        <v>190.47</v>
      </c>
      <c r="C326" t="s">
        <v>27</v>
      </c>
      <c r="D326">
        <v>16</v>
      </c>
      <c r="E326">
        <v>10.26</v>
      </c>
      <c r="F326" t="s">
        <v>72</v>
      </c>
      <c r="G326">
        <v>2</v>
      </c>
      <c r="H326" s="37">
        <v>13.19</v>
      </c>
    </row>
    <row r="327" spans="1:11" x14ac:dyDescent="0.3">
      <c r="A327" t="s">
        <v>728</v>
      </c>
      <c r="B327" s="37">
        <v>190.47</v>
      </c>
      <c r="C327" t="s">
        <v>27</v>
      </c>
      <c r="D327">
        <v>16</v>
      </c>
      <c r="E327">
        <v>10.26</v>
      </c>
      <c r="F327" t="s">
        <v>72</v>
      </c>
      <c r="G327">
        <v>2</v>
      </c>
      <c r="H327" s="37">
        <v>13.19</v>
      </c>
      <c r="K327" s="37"/>
    </row>
    <row r="328" spans="1:11" x14ac:dyDescent="0.3">
      <c r="A328" t="s">
        <v>730</v>
      </c>
      <c r="B328" s="37">
        <v>237.38</v>
      </c>
      <c r="C328" t="s">
        <v>65</v>
      </c>
      <c r="D328">
        <v>16</v>
      </c>
      <c r="E328">
        <v>13.19</v>
      </c>
      <c r="F328" t="s">
        <v>72</v>
      </c>
      <c r="G328">
        <v>2</v>
      </c>
      <c r="H328" s="37">
        <v>13.19</v>
      </c>
    </row>
    <row r="329" spans="1:11" x14ac:dyDescent="0.3">
      <c r="A329" t="s">
        <v>731</v>
      </c>
      <c r="B329" s="37">
        <v>237.38</v>
      </c>
      <c r="C329" t="s">
        <v>29</v>
      </c>
      <c r="D329">
        <v>16</v>
      </c>
      <c r="E329">
        <v>13.19</v>
      </c>
      <c r="F329" t="s">
        <v>74</v>
      </c>
      <c r="G329">
        <v>2</v>
      </c>
      <c r="H329" s="37">
        <v>13.19</v>
      </c>
    </row>
    <row r="330" spans="1:11" x14ac:dyDescent="0.3">
      <c r="A330" t="s">
        <v>729</v>
      </c>
      <c r="B330" s="37">
        <v>190.47</v>
      </c>
      <c r="C330" t="s">
        <v>27</v>
      </c>
      <c r="D330">
        <v>16</v>
      </c>
      <c r="E330">
        <v>10.26</v>
      </c>
      <c r="F330" t="s">
        <v>72</v>
      </c>
      <c r="G330">
        <v>2</v>
      </c>
      <c r="H330" s="37">
        <v>13.19</v>
      </c>
    </row>
    <row r="331" spans="1:11" x14ac:dyDescent="0.3">
      <c r="A331" t="s">
        <v>732</v>
      </c>
      <c r="B331" s="37">
        <v>284.29000000000002</v>
      </c>
      <c r="C331" t="s">
        <v>31</v>
      </c>
      <c r="D331">
        <v>16</v>
      </c>
      <c r="E331">
        <v>16.12</v>
      </c>
      <c r="F331" t="s">
        <v>74</v>
      </c>
      <c r="G331">
        <v>2</v>
      </c>
      <c r="H331" s="37">
        <v>13.19</v>
      </c>
    </row>
    <row r="332" spans="1:11" x14ac:dyDescent="0.3">
      <c r="A332" t="s">
        <v>735</v>
      </c>
      <c r="B332" s="37">
        <v>284.29000000000002</v>
      </c>
      <c r="C332" t="s">
        <v>31</v>
      </c>
      <c r="D332">
        <v>16</v>
      </c>
      <c r="E332">
        <v>16.12</v>
      </c>
      <c r="F332" t="s">
        <v>74</v>
      </c>
      <c r="G332">
        <v>2</v>
      </c>
      <c r="H332" s="37">
        <v>13.19</v>
      </c>
    </row>
    <row r="333" spans="1:11" x14ac:dyDescent="0.3">
      <c r="A333" t="s">
        <v>733</v>
      </c>
      <c r="B333" s="37">
        <v>331.13</v>
      </c>
      <c r="C333" t="s">
        <v>69</v>
      </c>
      <c r="D333">
        <v>16</v>
      </c>
      <c r="E333">
        <v>19.05</v>
      </c>
      <c r="F333" t="s">
        <v>74</v>
      </c>
      <c r="G333">
        <v>2</v>
      </c>
      <c r="H333" s="37">
        <v>13.19</v>
      </c>
    </row>
    <row r="334" spans="1:11" x14ac:dyDescent="0.3">
      <c r="A334" t="s">
        <v>736</v>
      </c>
      <c r="B334" s="37">
        <v>284.29000000000002</v>
      </c>
      <c r="C334" t="s">
        <v>31</v>
      </c>
      <c r="D334">
        <v>16</v>
      </c>
      <c r="E334">
        <v>16.12</v>
      </c>
      <c r="F334" t="s">
        <v>74</v>
      </c>
      <c r="G334">
        <v>2</v>
      </c>
      <c r="H334" s="37">
        <v>13.19</v>
      </c>
    </row>
    <row r="335" spans="1:11" x14ac:dyDescent="0.3">
      <c r="A335" t="s">
        <v>739</v>
      </c>
      <c r="B335" s="37">
        <v>284.29000000000002</v>
      </c>
      <c r="C335" t="s">
        <v>31</v>
      </c>
      <c r="D335">
        <v>16</v>
      </c>
      <c r="E335">
        <v>16.12</v>
      </c>
      <c r="F335" t="s">
        <v>74</v>
      </c>
      <c r="G335">
        <v>2</v>
      </c>
      <c r="H335" s="37">
        <v>13.19</v>
      </c>
    </row>
    <row r="336" spans="1:11" x14ac:dyDescent="0.3">
      <c r="A336" t="s">
        <v>737</v>
      </c>
      <c r="B336" s="37">
        <v>284.29000000000002</v>
      </c>
      <c r="C336" t="s">
        <v>31</v>
      </c>
      <c r="D336">
        <v>16</v>
      </c>
      <c r="E336">
        <v>16.12</v>
      </c>
      <c r="F336" t="s">
        <v>74</v>
      </c>
      <c r="G336">
        <v>2</v>
      </c>
      <c r="H336" s="37">
        <v>13.19</v>
      </c>
    </row>
    <row r="337" spans="1:11" x14ac:dyDescent="0.3">
      <c r="A337" t="s">
        <v>738</v>
      </c>
      <c r="B337" s="37">
        <v>331.13</v>
      </c>
      <c r="C337" t="s">
        <v>69</v>
      </c>
      <c r="D337">
        <v>16</v>
      </c>
      <c r="E337">
        <v>19.05</v>
      </c>
      <c r="F337" t="s">
        <v>74</v>
      </c>
      <c r="G337">
        <v>2</v>
      </c>
      <c r="H337" s="37">
        <v>13.19</v>
      </c>
    </row>
    <row r="338" spans="1:11" x14ac:dyDescent="0.3">
      <c r="A338" t="s">
        <v>740</v>
      </c>
      <c r="B338" s="37">
        <v>331.13</v>
      </c>
      <c r="C338" t="s">
        <v>69</v>
      </c>
      <c r="D338">
        <v>16</v>
      </c>
      <c r="E338">
        <v>19.05</v>
      </c>
      <c r="F338" t="s">
        <v>74</v>
      </c>
      <c r="G338">
        <v>2</v>
      </c>
      <c r="H338" s="37">
        <v>13.19</v>
      </c>
    </row>
    <row r="339" spans="1:11" x14ac:dyDescent="0.3">
      <c r="A339" t="s">
        <v>743</v>
      </c>
      <c r="B339" s="37">
        <v>307.68</v>
      </c>
      <c r="C339" t="s">
        <v>43</v>
      </c>
      <c r="D339">
        <v>16</v>
      </c>
      <c r="E339">
        <v>17.579999999999998</v>
      </c>
      <c r="F339" t="s">
        <v>74</v>
      </c>
      <c r="G339">
        <v>2</v>
      </c>
      <c r="H339" s="37">
        <v>13.19</v>
      </c>
    </row>
    <row r="340" spans="1:11" x14ac:dyDescent="0.3">
      <c r="A340" t="s">
        <v>741</v>
      </c>
      <c r="B340" s="37">
        <v>284.29000000000002</v>
      </c>
      <c r="C340" t="s">
        <v>31</v>
      </c>
      <c r="D340">
        <v>16</v>
      </c>
      <c r="E340">
        <v>16.12</v>
      </c>
      <c r="F340" t="s">
        <v>74</v>
      </c>
      <c r="G340">
        <v>2</v>
      </c>
      <c r="H340" s="37">
        <v>13.19</v>
      </c>
    </row>
    <row r="341" spans="1:11" x14ac:dyDescent="0.3">
      <c r="A341" t="s">
        <v>742</v>
      </c>
      <c r="B341" s="37">
        <v>331.13</v>
      </c>
      <c r="C341" t="s">
        <v>69</v>
      </c>
      <c r="D341">
        <v>16</v>
      </c>
      <c r="E341">
        <v>19.05</v>
      </c>
      <c r="F341" t="s">
        <v>74</v>
      </c>
      <c r="G341">
        <v>2</v>
      </c>
      <c r="H341" s="37">
        <v>13.19</v>
      </c>
    </row>
    <row r="342" spans="1:11" x14ac:dyDescent="0.3">
      <c r="A342" t="s">
        <v>744</v>
      </c>
      <c r="B342" s="37">
        <v>211.01</v>
      </c>
      <c r="C342" t="s">
        <v>29</v>
      </c>
      <c r="D342">
        <v>16</v>
      </c>
      <c r="E342">
        <v>13.19</v>
      </c>
      <c r="H342" s="37"/>
    </row>
    <row r="343" spans="1:11" x14ac:dyDescent="0.3">
      <c r="A343" t="s">
        <v>745</v>
      </c>
      <c r="B343" s="37">
        <v>257.92</v>
      </c>
      <c r="C343" t="s">
        <v>31</v>
      </c>
      <c r="D343">
        <v>16</v>
      </c>
      <c r="E343">
        <v>16.12</v>
      </c>
      <c r="H343" s="37"/>
    </row>
    <row r="344" spans="1:11" x14ac:dyDescent="0.3">
      <c r="A344" t="s">
        <v>746</v>
      </c>
      <c r="B344" s="37">
        <v>304.75</v>
      </c>
      <c r="C344" t="s">
        <v>69</v>
      </c>
      <c r="D344">
        <v>16</v>
      </c>
      <c r="E344">
        <v>19.05</v>
      </c>
      <c r="H344" s="37"/>
    </row>
    <row r="345" spans="1:11" x14ac:dyDescent="0.3">
      <c r="A345" t="s">
        <v>747</v>
      </c>
      <c r="B345" s="37">
        <v>319.39999999999998</v>
      </c>
      <c r="C345" t="s">
        <v>69</v>
      </c>
      <c r="D345">
        <v>16</v>
      </c>
      <c r="E345">
        <v>19.05</v>
      </c>
      <c r="F345" t="s">
        <v>99</v>
      </c>
      <c r="G345">
        <v>2</v>
      </c>
      <c r="H345" s="37">
        <v>7.32</v>
      </c>
    </row>
    <row r="346" spans="1:11" x14ac:dyDescent="0.3">
      <c r="A346" t="s">
        <v>748</v>
      </c>
      <c r="B346" s="37">
        <v>372.13</v>
      </c>
      <c r="C346" t="s">
        <v>31</v>
      </c>
      <c r="D346">
        <v>16</v>
      </c>
      <c r="E346">
        <v>16.12</v>
      </c>
      <c r="F346" t="s">
        <v>110</v>
      </c>
      <c r="G346">
        <v>2</v>
      </c>
      <c r="H346" s="37">
        <v>17.579999999999998</v>
      </c>
      <c r="I346" t="s">
        <v>137</v>
      </c>
      <c r="J346">
        <v>18</v>
      </c>
      <c r="K346">
        <v>4.3899999999999997</v>
      </c>
    </row>
    <row r="347" spans="1:11" x14ac:dyDescent="0.3">
      <c r="A347" t="s">
        <v>749</v>
      </c>
      <c r="B347" s="37">
        <v>418.96</v>
      </c>
      <c r="C347" t="s">
        <v>69</v>
      </c>
      <c r="D347">
        <v>16</v>
      </c>
      <c r="E347">
        <v>19.05</v>
      </c>
      <c r="F347" t="s">
        <v>110</v>
      </c>
      <c r="G347">
        <v>2</v>
      </c>
      <c r="H347" s="37">
        <v>17.579999999999998</v>
      </c>
      <c r="I347" t="s">
        <v>137</v>
      </c>
      <c r="J347">
        <v>18</v>
      </c>
      <c r="K347">
        <v>4.3899999999999997</v>
      </c>
    </row>
    <row r="348" spans="1:11" x14ac:dyDescent="0.3">
      <c r="A348" t="s">
        <v>751</v>
      </c>
      <c r="B348" s="37">
        <v>224.19</v>
      </c>
      <c r="C348" t="s">
        <v>65</v>
      </c>
      <c r="D348">
        <v>15</v>
      </c>
      <c r="E348">
        <v>13.19</v>
      </c>
      <c r="F348" t="s">
        <v>72</v>
      </c>
      <c r="G348">
        <v>2</v>
      </c>
      <c r="H348" s="37">
        <v>13.19</v>
      </c>
    </row>
    <row r="349" spans="1:11" x14ac:dyDescent="0.3">
      <c r="A349" t="s">
        <v>750</v>
      </c>
      <c r="B349" s="37">
        <v>224.19</v>
      </c>
      <c r="C349" t="s">
        <v>65</v>
      </c>
      <c r="D349">
        <v>15</v>
      </c>
      <c r="E349">
        <v>13.19</v>
      </c>
      <c r="F349" t="s">
        <v>72</v>
      </c>
      <c r="G349">
        <v>2</v>
      </c>
      <c r="H349" s="37">
        <v>13.19</v>
      </c>
    </row>
    <row r="350" spans="1:11" x14ac:dyDescent="0.3">
      <c r="A350" t="s">
        <v>752</v>
      </c>
      <c r="B350" s="37">
        <v>180.21</v>
      </c>
      <c r="C350" t="s">
        <v>27</v>
      </c>
      <c r="D350">
        <v>15</v>
      </c>
      <c r="E350">
        <v>10.26</v>
      </c>
      <c r="F350" t="s">
        <v>72</v>
      </c>
      <c r="G350">
        <v>2</v>
      </c>
      <c r="H350">
        <v>13.19</v>
      </c>
    </row>
    <row r="351" spans="1:11" x14ac:dyDescent="0.3">
      <c r="A351" t="s">
        <v>753</v>
      </c>
      <c r="B351" s="37">
        <v>180.21</v>
      </c>
      <c r="C351" t="s">
        <v>27</v>
      </c>
      <c r="D351">
        <v>15</v>
      </c>
      <c r="E351">
        <v>10.26</v>
      </c>
      <c r="F351" t="s">
        <v>72</v>
      </c>
      <c r="G351">
        <v>2</v>
      </c>
      <c r="H351">
        <v>13.19</v>
      </c>
    </row>
    <row r="352" spans="1:11" x14ac:dyDescent="0.3">
      <c r="A352" t="s">
        <v>755</v>
      </c>
      <c r="B352" s="37">
        <v>180.21</v>
      </c>
      <c r="C352" t="s">
        <v>27</v>
      </c>
      <c r="D352">
        <v>15</v>
      </c>
      <c r="E352">
        <v>10.26</v>
      </c>
      <c r="F352" t="s">
        <v>72</v>
      </c>
      <c r="G352">
        <v>2</v>
      </c>
      <c r="H352">
        <v>13.19</v>
      </c>
    </row>
    <row r="353" spans="1:11" x14ac:dyDescent="0.3">
      <c r="A353" t="s">
        <v>756</v>
      </c>
      <c r="B353" s="37">
        <v>224.19</v>
      </c>
      <c r="C353" t="s">
        <v>65</v>
      </c>
      <c r="D353">
        <v>15</v>
      </c>
      <c r="E353">
        <v>13.19</v>
      </c>
      <c r="F353" t="s">
        <v>72</v>
      </c>
      <c r="G353">
        <v>2</v>
      </c>
      <c r="H353" s="37">
        <v>13.19</v>
      </c>
    </row>
    <row r="354" spans="1:11" x14ac:dyDescent="0.3">
      <c r="A354" t="s">
        <v>754</v>
      </c>
      <c r="B354" s="37">
        <v>268.17</v>
      </c>
      <c r="C354" t="s">
        <v>31</v>
      </c>
      <c r="D354">
        <v>15</v>
      </c>
      <c r="E354">
        <v>16.12</v>
      </c>
      <c r="F354" t="s">
        <v>74</v>
      </c>
      <c r="G354">
        <v>2</v>
      </c>
      <c r="H354" s="37">
        <v>13.19</v>
      </c>
      <c r="K354" s="37"/>
    </row>
    <row r="355" spans="1:11" x14ac:dyDescent="0.3">
      <c r="A355" t="s">
        <v>757</v>
      </c>
      <c r="B355" s="37">
        <v>312.08</v>
      </c>
      <c r="C355" t="s">
        <v>69</v>
      </c>
      <c r="D355">
        <v>15</v>
      </c>
      <c r="E355">
        <v>19.05</v>
      </c>
      <c r="F355" t="s">
        <v>74</v>
      </c>
      <c r="G355">
        <v>2</v>
      </c>
      <c r="H355" s="37">
        <v>13.19</v>
      </c>
      <c r="K355" s="37"/>
    </row>
    <row r="356" spans="1:11" x14ac:dyDescent="0.3">
      <c r="A356" t="s">
        <v>758</v>
      </c>
      <c r="B356" s="37">
        <v>268.17</v>
      </c>
      <c r="C356" t="s">
        <v>31</v>
      </c>
      <c r="D356">
        <v>15</v>
      </c>
      <c r="E356">
        <v>16.12</v>
      </c>
      <c r="F356" t="s">
        <v>74</v>
      </c>
      <c r="G356">
        <v>2</v>
      </c>
      <c r="H356" s="37">
        <v>13.19</v>
      </c>
    </row>
    <row r="357" spans="1:11" x14ac:dyDescent="0.3">
      <c r="A357" t="s">
        <v>759</v>
      </c>
      <c r="B357" s="37">
        <v>268.17</v>
      </c>
      <c r="C357" t="s">
        <v>31</v>
      </c>
      <c r="D357">
        <v>15</v>
      </c>
      <c r="E357">
        <v>16.12</v>
      </c>
      <c r="F357" t="s">
        <v>74</v>
      </c>
      <c r="G357">
        <v>2</v>
      </c>
      <c r="H357" s="37">
        <v>13.19</v>
      </c>
    </row>
    <row r="358" spans="1:11" x14ac:dyDescent="0.3">
      <c r="A358" t="s">
        <v>760</v>
      </c>
      <c r="B358" s="37">
        <v>153.84</v>
      </c>
      <c r="C358" t="s">
        <v>27</v>
      </c>
      <c r="D358">
        <v>15</v>
      </c>
      <c r="E358">
        <v>10.26</v>
      </c>
      <c r="H358" s="37"/>
    </row>
    <row r="359" spans="1:11" x14ac:dyDescent="0.3">
      <c r="A359" t="s">
        <v>761</v>
      </c>
      <c r="B359" s="37">
        <v>395.59</v>
      </c>
      <c r="C359" t="s">
        <v>57</v>
      </c>
      <c r="D359">
        <v>14</v>
      </c>
      <c r="E359">
        <v>26.37</v>
      </c>
      <c r="F359" t="s">
        <v>83</v>
      </c>
      <c r="G359">
        <v>2</v>
      </c>
      <c r="H359" s="37">
        <v>13.19</v>
      </c>
    </row>
    <row r="360" spans="1:11" x14ac:dyDescent="0.3">
      <c r="A360" t="s">
        <v>762</v>
      </c>
      <c r="B360" s="37">
        <v>169.96</v>
      </c>
      <c r="C360" t="s">
        <v>27</v>
      </c>
      <c r="D360">
        <v>14</v>
      </c>
      <c r="E360">
        <v>10.26</v>
      </c>
      <c r="F360" t="s">
        <v>72</v>
      </c>
      <c r="G360">
        <v>2</v>
      </c>
      <c r="H360" s="37">
        <v>13.19</v>
      </c>
    </row>
    <row r="361" spans="1:11" x14ac:dyDescent="0.3">
      <c r="A361" t="s">
        <v>764</v>
      </c>
      <c r="B361" s="37">
        <v>169.96</v>
      </c>
      <c r="C361" t="s">
        <v>27</v>
      </c>
      <c r="D361">
        <v>14</v>
      </c>
      <c r="E361">
        <v>10.26</v>
      </c>
      <c r="F361" t="s">
        <v>72</v>
      </c>
      <c r="G361">
        <v>2</v>
      </c>
      <c r="H361" s="37">
        <v>13.19</v>
      </c>
    </row>
    <row r="362" spans="1:11" x14ac:dyDescent="0.3">
      <c r="A362" t="s">
        <v>763</v>
      </c>
      <c r="B362" s="37">
        <v>211.01</v>
      </c>
      <c r="C362" t="s">
        <v>65</v>
      </c>
      <c r="D362">
        <v>14</v>
      </c>
      <c r="E362">
        <v>13.19</v>
      </c>
      <c r="F362" t="s">
        <v>72</v>
      </c>
      <c r="G362">
        <v>2</v>
      </c>
      <c r="H362" s="37">
        <v>13.19</v>
      </c>
    </row>
    <row r="363" spans="1:11" x14ac:dyDescent="0.3">
      <c r="A363" t="s">
        <v>765</v>
      </c>
      <c r="B363" s="37">
        <v>211.01</v>
      </c>
      <c r="C363" t="s">
        <v>65</v>
      </c>
      <c r="D363">
        <v>14</v>
      </c>
      <c r="E363">
        <v>13.19</v>
      </c>
      <c r="F363" t="s">
        <v>72</v>
      </c>
      <c r="G363">
        <v>2</v>
      </c>
      <c r="H363" s="37">
        <v>13.19</v>
      </c>
    </row>
    <row r="364" spans="1:11" x14ac:dyDescent="0.3">
      <c r="A364" t="s">
        <v>766</v>
      </c>
      <c r="B364" s="37">
        <v>169.96</v>
      </c>
      <c r="C364" t="s">
        <v>27</v>
      </c>
      <c r="D364">
        <v>14</v>
      </c>
      <c r="E364">
        <v>10.26</v>
      </c>
      <c r="F364" t="s">
        <v>72</v>
      </c>
      <c r="G364">
        <v>2</v>
      </c>
      <c r="H364" s="37">
        <v>13.19</v>
      </c>
    </row>
    <row r="365" spans="1:11" x14ac:dyDescent="0.3">
      <c r="A365" t="s">
        <v>767</v>
      </c>
      <c r="B365" s="37">
        <v>169.96</v>
      </c>
      <c r="C365" t="s">
        <v>27</v>
      </c>
      <c r="D365">
        <v>14</v>
      </c>
      <c r="E365">
        <v>10.26</v>
      </c>
      <c r="F365" t="s">
        <v>72</v>
      </c>
      <c r="G365">
        <v>2</v>
      </c>
      <c r="H365" s="37">
        <v>13.19</v>
      </c>
    </row>
    <row r="366" spans="1:11" x14ac:dyDescent="0.3">
      <c r="A366" t="s">
        <v>768</v>
      </c>
      <c r="B366" s="37">
        <v>252.05</v>
      </c>
      <c r="C366" t="s">
        <v>31</v>
      </c>
      <c r="D366">
        <v>14</v>
      </c>
      <c r="E366">
        <v>16.12</v>
      </c>
      <c r="F366" t="s">
        <v>74</v>
      </c>
      <c r="G366">
        <v>2</v>
      </c>
      <c r="H366">
        <v>13.19</v>
      </c>
    </row>
    <row r="367" spans="1:11" x14ac:dyDescent="0.3">
      <c r="A367" t="s">
        <v>769</v>
      </c>
      <c r="B367" s="37">
        <v>252.05</v>
      </c>
      <c r="C367" t="s">
        <v>31</v>
      </c>
      <c r="D367">
        <v>14</v>
      </c>
      <c r="E367">
        <v>16.12</v>
      </c>
      <c r="F367" t="s">
        <v>74</v>
      </c>
      <c r="G367">
        <v>2</v>
      </c>
      <c r="H367" s="37">
        <v>13.19</v>
      </c>
    </row>
    <row r="368" spans="1:11" x14ac:dyDescent="0.3">
      <c r="A368" t="s">
        <v>770</v>
      </c>
      <c r="B368" s="37">
        <v>252.05</v>
      </c>
      <c r="C368" t="s">
        <v>31</v>
      </c>
      <c r="D368">
        <v>14</v>
      </c>
      <c r="E368">
        <v>16.12</v>
      </c>
      <c r="F368" t="s">
        <v>74</v>
      </c>
      <c r="G368">
        <v>2</v>
      </c>
      <c r="H368" s="37">
        <v>13.19</v>
      </c>
    </row>
    <row r="369" spans="1:8" x14ac:dyDescent="0.3">
      <c r="A369" t="s">
        <v>772</v>
      </c>
      <c r="B369" s="37">
        <v>252.05</v>
      </c>
      <c r="C369" t="s">
        <v>31</v>
      </c>
      <c r="D369">
        <v>14</v>
      </c>
      <c r="E369">
        <v>16.12</v>
      </c>
      <c r="F369" t="s">
        <v>74</v>
      </c>
      <c r="G369">
        <v>2</v>
      </c>
      <c r="H369" s="37">
        <v>13.19</v>
      </c>
    </row>
    <row r="370" spans="1:8" x14ac:dyDescent="0.3">
      <c r="A370" t="s">
        <v>771</v>
      </c>
      <c r="B370" s="37">
        <v>252.05</v>
      </c>
      <c r="C370" t="s">
        <v>31</v>
      </c>
      <c r="D370">
        <v>14</v>
      </c>
      <c r="E370">
        <v>16.12</v>
      </c>
      <c r="F370" t="s">
        <v>74</v>
      </c>
      <c r="G370">
        <v>2</v>
      </c>
      <c r="H370" s="37">
        <v>13.19</v>
      </c>
    </row>
    <row r="371" spans="1:8" x14ac:dyDescent="0.3">
      <c r="A371" t="s">
        <v>774</v>
      </c>
      <c r="B371" s="37">
        <v>252.05</v>
      </c>
      <c r="C371" t="s">
        <v>31</v>
      </c>
      <c r="D371">
        <v>14</v>
      </c>
      <c r="E371">
        <v>16.12</v>
      </c>
      <c r="F371" t="s">
        <v>74</v>
      </c>
      <c r="G371">
        <v>2</v>
      </c>
      <c r="H371" s="37">
        <v>13.19</v>
      </c>
    </row>
    <row r="372" spans="1:8" x14ac:dyDescent="0.3">
      <c r="A372" t="s">
        <v>773</v>
      </c>
      <c r="B372" s="37">
        <v>252.05</v>
      </c>
      <c r="C372" t="s">
        <v>31</v>
      </c>
      <c r="D372">
        <v>14</v>
      </c>
      <c r="E372">
        <v>16.12</v>
      </c>
      <c r="F372" t="s">
        <v>74</v>
      </c>
      <c r="G372">
        <v>2</v>
      </c>
      <c r="H372" s="37">
        <v>13.19</v>
      </c>
    </row>
    <row r="373" spans="1:8" x14ac:dyDescent="0.3">
      <c r="A373" t="s">
        <v>775</v>
      </c>
      <c r="B373" s="37">
        <v>252.05</v>
      </c>
      <c r="C373" t="s">
        <v>31</v>
      </c>
      <c r="D373">
        <v>14</v>
      </c>
      <c r="E373">
        <v>16.12</v>
      </c>
      <c r="F373" t="s">
        <v>74</v>
      </c>
      <c r="G373">
        <v>2</v>
      </c>
      <c r="H373" s="37">
        <v>13.19</v>
      </c>
    </row>
    <row r="374" spans="1:8" x14ac:dyDescent="0.3">
      <c r="A374" t="s">
        <v>776</v>
      </c>
      <c r="B374" s="37">
        <v>252.05</v>
      </c>
      <c r="C374" t="s">
        <v>31</v>
      </c>
      <c r="D374">
        <v>14</v>
      </c>
      <c r="E374">
        <v>16.12</v>
      </c>
      <c r="F374" t="s">
        <v>74</v>
      </c>
      <c r="G374">
        <v>2</v>
      </c>
      <c r="H374" s="37">
        <v>13.19</v>
      </c>
    </row>
    <row r="375" spans="1:8" x14ac:dyDescent="0.3">
      <c r="A375" t="s">
        <v>779</v>
      </c>
      <c r="B375" s="37">
        <v>252.05</v>
      </c>
      <c r="C375" t="s">
        <v>31</v>
      </c>
      <c r="D375">
        <v>14</v>
      </c>
      <c r="E375">
        <v>16.12</v>
      </c>
      <c r="F375" t="s">
        <v>74</v>
      </c>
      <c r="G375">
        <v>2</v>
      </c>
      <c r="H375" s="37">
        <v>13.19</v>
      </c>
    </row>
    <row r="376" spans="1:8" x14ac:dyDescent="0.3">
      <c r="A376" t="s">
        <v>777</v>
      </c>
      <c r="B376" s="37">
        <v>252.05</v>
      </c>
      <c r="C376" t="s">
        <v>31</v>
      </c>
      <c r="D376">
        <v>14</v>
      </c>
      <c r="E376">
        <v>16.12</v>
      </c>
      <c r="F376" t="s">
        <v>74</v>
      </c>
      <c r="G376">
        <v>2</v>
      </c>
      <c r="H376" s="37">
        <v>13.19</v>
      </c>
    </row>
    <row r="377" spans="1:8" x14ac:dyDescent="0.3">
      <c r="A377" t="s">
        <v>778</v>
      </c>
      <c r="B377" s="37">
        <v>252.05</v>
      </c>
      <c r="C377" t="s">
        <v>31</v>
      </c>
      <c r="D377">
        <v>14</v>
      </c>
      <c r="E377">
        <v>16.12</v>
      </c>
      <c r="F377" t="s">
        <v>74</v>
      </c>
      <c r="G377">
        <v>2</v>
      </c>
      <c r="H377" s="37">
        <v>13.19</v>
      </c>
    </row>
    <row r="378" spans="1:8" x14ac:dyDescent="0.3">
      <c r="A378" t="s">
        <v>780</v>
      </c>
      <c r="B378" s="37">
        <v>164.09</v>
      </c>
      <c r="C378" t="s">
        <v>27</v>
      </c>
      <c r="D378">
        <v>14</v>
      </c>
      <c r="E378">
        <v>10.26</v>
      </c>
      <c r="F378" t="s">
        <v>87</v>
      </c>
      <c r="G378">
        <v>2</v>
      </c>
      <c r="H378" s="37">
        <v>10.26</v>
      </c>
    </row>
    <row r="379" spans="1:8" x14ac:dyDescent="0.3">
      <c r="A379" t="s">
        <v>781</v>
      </c>
      <c r="B379" s="37">
        <v>246.19</v>
      </c>
      <c r="C379" t="s">
        <v>31</v>
      </c>
      <c r="D379">
        <v>14</v>
      </c>
      <c r="E379">
        <v>16.12</v>
      </c>
      <c r="F379" t="s">
        <v>89</v>
      </c>
      <c r="G379">
        <v>2</v>
      </c>
      <c r="H379" s="37">
        <v>10.26</v>
      </c>
    </row>
    <row r="380" spans="1:8" x14ac:dyDescent="0.3">
      <c r="A380" t="s">
        <v>782</v>
      </c>
      <c r="B380" s="37">
        <v>159.69999999999999</v>
      </c>
      <c r="C380" t="s">
        <v>27</v>
      </c>
      <c r="D380">
        <v>13</v>
      </c>
      <c r="E380">
        <v>10.26</v>
      </c>
      <c r="F380" t="s">
        <v>72</v>
      </c>
      <c r="G380">
        <v>2</v>
      </c>
      <c r="H380" s="37">
        <v>13.19</v>
      </c>
    </row>
    <row r="381" spans="1:8" x14ac:dyDescent="0.3">
      <c r="A381" t="s">
        <v>783</v>
      </c>
      <c r="B381" s="37">
        <v>230.07</v>
      </c>
      <c r="C381" t="s">
        <v>67</v>
      </c>
      <c r="D381">
        <v>13</v>
      </c>
      <c r="E381">
        <v>16.12</v>
      </c>
      <c r="F381" t="s">
        <v>89</v>
      </c>
      <c r="G381">
        <v>2</v>
      </c>
      <c r="H381" s="37">
        <v>10.26</v>
      </c>
    </row>
    <row r="382" spans="1:8" x14ac:dyDescent="0.3">
      <c r="A382" t="s">
        <v>784</v>
      </c>
      <c r="B382" s="37">
        <v>133.33000000000001</v>
      </c>
      <c r="C382" t="s">
        <v>27</v>
      </c>
      <c r="D382">
        <v>13</v>
      </c>
      <c r="E382">
        <v>10.26</v>
      </c>
      <c r="H382" s="37"/>
    </row>
    <row r="383" spans="1:8" x14ac:dyDescent="0.3">
      <c r="A383" t="s">
        <v>785</v>
      </c>
      <c r="B383" s="37">
        <v>342.85</v>
      </c>
      <c r="C383" t="s">
        <v>57</v>
      </c>
      <c r="D383">
        <v>12</v>
      </c>
      <c r="E383">
        <v>26.37</v>
      </c>
      <c r="F383" t="s">
        <v>83</v>
      </c>
      <c r="G383">
        <v>2</v>
      </c>
      <c r="H383" s="37">
        <v>13.19</v>
      </c>
    </row>
    <row r="384" spans="1:8" x14ac:dyDescent="0.3">
      <c r="A384" t="s">
        <v>787</v>
      </c>
      <c r="B384" s="37">
        <v>342.85</v>
      </c>
      <c r="C384" t="s">
        <v>57</v>
      </c>
      <c r="D384">
        <v>12</v>
      </c>
      <c r="E384">
        <v>26.37</v>
      </c>
      <c r="F384" t="s">
        <v>83</v>
      </c>
      <c r="G384">
        <v>2</v>
      </c>
      <c r="H384" s="37">
        <v>13.19</v>
      </c>
    </row>
    <row r="385" spans="1:11" x14ac:dyDescent="0.3">
      <c r="A385" t="s">
        <v>786</v>
      </c>
      <c r="B385" s="37">
        <v>307.69</v>
      </c>
      <c r="C385" t="s">
        <v>53</v>
      </c>
      <c r="D385">
        <v>12</v>
      </c>
      <c r="E385">
        <v>23.44</v>
      </c>
      <c r="F385" t="s">
        <v>81</v>
      </c>
      <c r="G385">
        <v>2</v>
      </c>
      <c r="H385" s="37">
        <v>13.19</v>
      </c>
    </row>
    <row r="386" spans="1:11" x14ac:dyDescent="0.3">
      <c r="A386" t="s">
        <v>789</v>
      </c>
      <c r="B386" s="37">
        <v>342.85</v>
      </c>
      <c r="C386" t="s">
        <v>57</v>
      </c>
      <c r="D386">
        <v>12</v>
      </c>
      <c r="E386">
        <v>26.37</v>
      </c>
      <c r="F386" t="s">
        <v>83</v>
      </c>
      <c r="G386">
        <v>2</v>
      </c>
      <c r="H386" s="37">
        <v>13.19</v>
      </c>
    </row>
    <row r="387" spans="1:11" x14ac:dyDescent="0.3">
      <c r="A387" t="s">
        <v>788</v>
      </c>
      <c r="B387" s="37">
        <v>342.85</v>
      </c>
      <c r="C387" t="s">
        <v>57</v>
      </c>
      <c r="D387">
        <v>12</v>
      </c>
      <c r="E387">
        <v>26.37</v>
      </c>
      <c r="F387" t="s">
        <v>83</v>
      </c>
      <c r="G387">
        <v>2</v>
      </c>
      <c r="H387" s="37">
        <v>13.19</v>
      </c>
    </row>
    <row r="388" spans="1:11" x14ac:dyDescent="0.3">
      <c r="A388" t="s">
        <v>790</v>
      </c>
      <c r="B388" s="37">
        <v>404.37</v>
      </c>
      <c r="C388" t="s">
        <v>59</v>
      </c>
      <c r="D388">
        <v>12</v>
      </c>
      <c r="E388">
        <v>29.3</v>
      </c>
      <c r="F388" t="s">
        <v>85</v>
      </c>
      <c r="G388">
        <v>2</v>
      </c>
      <c r="H388" s="37">
        <v>26.36</v>
      </c>
    </row>
    <row r="389" spans="1:11" x14ac:dyDescent="0.3">
      <c r="A389" t="s">
        <v>792</v>
      </c>
      <c r="B389" s="37">
        <v>114.26</v>
      </c>
      <c r="C389" t="s">
        <v>24</v>
      </c>
      <c r="D389">
        <v>12</v>
      </c>
      <c r="E389">
        <v>7.32</v>
      </c>
      <c r="F389" t="s">
        <v>72</v>
      </c>
      <c r="G389">
        <v>2</v>
      </c>
      <c r="H389" s="37">
        <v>13.19</v>
      </c>
    </row>
    <row r="390" spans="1:11" x14ac:dyDescent="0.3">
      <c r="A390" t="s">
        <v>791</v>
      </c>
      <c r="B390" s="37">
        <v>404.37</v>
      </c>
      <c r="C390" t="s">
        <v>59</v>
      </c>
      <c r="D390">
        <v>12</v>
      </c>
      <c r="E390">
        <v>29.3</v>
      </c>
      <c r="F390" t="s">
        <v>85</v>
      </c>
      <c r="G390">
        <v>2</v>
      </c>
      <c r="H390">
        <v>26.36</v>
      </c>
    </row>
    <row r="391" spans="1:11" x14ac:dyDescent="0.3">
      <c r="A391" t="s">
        <v>793</v>
      </c>
      <c r="B391" s="37">
        <v>114.26</v>
      </c>
      <c r="C391" t="s">
        <v>24</v>
      </c>
      <c r="D391">
        <v>12</v>
      </c>
      <c r="E391">
        <v>7.32</v>
      </c>
      <c r="F391" t="s">
        <v>72</v>
      </c>
      <c r="G391">
        <v>2</v>
      </c>
      <c r="H391" s="37">
        <v>13.19</v>
      </c>
    </row>
    <row r="392" spans="1:11" x14ac:dyDescent="0.3">
      <c r="A392" t="s">
        <v>794</v>
      </c>
      <c r="B392" s="37">
        <v>114.26</v>
      </c>
      <c r="C392" t="s">
        <v>24</v>
      </c>
      <c r="D392">
        <v>12</v>
      </c>
      <c r="E392">
        <v>7.32</v>
      </c>
      <c r="F392" t="s">
        <v>72</v>
      </c>
      <c r="G392">
        <v>2</v>
      </c>
      <c r="H392" s="37">
        <v>13.19</v>
      </c>
    </row>
    <row r="393" spans="1:11" x14ac:dyDescent="0.3">
      <c r="A393" t="s">
        <v>795</v>
      </c>
      <c r="B393" s="37">
        <v>290.08</v>
      </c>
      <c r="C393" t="s">
        <v>27</v>
      </c>
      <c r="D393">
        <v>12</v>
      </c>
      <c r="E393">
        <v>10.26</v>
      </c>
      <c r="F393" t="s">
        <v>72</v>
      </c>
      <c r="G393">
        <v>2</v>
      </c>
      <c r="H393" s="37">
        <v>13.19</v>
      </c>
      <c r="I393" t="s">
        <v>160</v>
      </c>
      <c r="J393">
        <v>8</v>
      </c>
      <c r="K393">
        <v>17.579999999999998</v>
      </c>
    </row>
    <row r="394" spans="1:11" x14ac:dyDescent="0.3">
      <c r="A394" t="s">
        <v>796</v>
      </c>
      <c r="B394" s="37">
        <v>149.44999999999999</v>
      </c>
      <c r="C394" t="s">
        <v>27</v>
      </c>
      <c r="D394">
        <v>12</v>
      </c>
      <c r="E394">
        <v>10.26</v>
      </c>
      <c r="F394" t="s">
        <v>72</v>
      </c>
      <c r="G394">
        <v>2</v>
      </c>
      <c r="H394" s="37">
        <v>13.19</v>
      </c>
    </row>
    <row r="395" spans="1:11" x14ac:dyDescent="0.3">
      <c r="A395" t="s">
        <v>797</v>
      </c>
      <c r="B395" s="37">
        <v>184.63</v>
      </c>
      <c r="C395" t="s">
        <v>65</v>
      </c>
      <c r="D395">
        <v>12</v>
      </c>
      <c r="E395">
        <v>13.19</v>
      </c>
      <c r="F395" t="s">
        <v>72</v>
      </c>
      <c r="G395">
        <v>2</v>
      </c>
      <c r="H395" s="37">
        <v>13.19</v>
      </c>
    </row>
    <row r="396" spans="1:11" x14ac:dyDescent="0.3">
      <c r="A396" t="s">
        <v>798</v>
      </c>
      <c r="B396" s="37">
        <v>149.44999999999999</v>
      </c>
      <c r="C396" t="s">
        <v>27</v>
      </c>
      <c r="D396">
        <v>12</v>
      </c>
      <c r="E396">
        <v>10.26</v>
      </c>
      <c r="F396" t="s">
        <v>72</v>
      </c>
      <c r="G396">
        <v>2</v>
      </c>
      <c r="H396" s="37">
        <v>13.19</v>
      </c>
    </row>
    <row r="397" spans="1:11" x14ac:dyDescent="0.3">
      <c r="A397" t="s">
        <v>800</v>
      </c>
      <c r="B397" s="37">
        <v>184.63</v>
      </c>
      <c r="C397" t="s">
        <v>65</v>
      </c>
      <c r="D397">
        <v>12</v>
      </c>
      <c r="E397">
        <v>13.19</v>
      </c>
      <c r="F397" t="s">
        <v>72</v>
      </c>
      <c r="G397">
        <v>2</v>
      </c>
      <c r="H397" s="37">
        <v>13.19</v>
      </c>
    </row>
    <row r="398" spans="1:11" x14ac:dyDescent="0.3">
      <c r="A398" t="s">
        <v>799</v>
      </c>
      <c r="B398" s="37">
        <v>149.44999999999999</v>
      </c>
      <c r="C398" t="s">
        <v>27</v>
      </c>
      <c r="D398">
        <v>12</v>
      </c>
      <c r="E398">
        <v>10.26</v>
      </c>
      <c r="F398" t="s">
        <v>72</v>
      </c>
      <c r="G398">
        <v>2</v>
      </c>
      <c r="H398" s="37">
        <v>13.19</v>
      </c>
    </row>
    <row r="399" spans="1:11" x14ac:dyDescent="0.3">
      <c r="A399" t="s">
        <v>801</v>
      </c>
      <c r="B399" s="37">
        <v>184.63</v>
      </c>
      <c r="C399" t="s">
        <v>65</v>
      </c>
      <c r="D399">
        <v>12</v>
      </c>
      <c r="E399">
        <v>13.19</v>
      </c>
      <c r="F399" t="s">
        <v>72</v>
      </c>
      <c r="G399">
        <v>2</v>
      </c>
      <c r="H399" s="37">
        <v>13.19</v>
      </c>
    </row>
    <row r="400" spans="1:11" x14ac:dyDescent="0.3">
      <c r="A400" t="s">
        <v>802</v>
      </c>
      <c r="B400" s="37">
        <v>149.44999999999999</v>
      </c>
      <c r="C400" t="s">
        <v>27</v>
      </c>
      <c r="D400">
        <v>12</v>
      </c>
      <c r="E400">
        <v>10.26</v>
      </c>
      <c r="F400" t="s">
        <v>72</v>
      </c>
      <c r="G400">
        <v>2</v>
      </c>
      <c r="H400" s="37">
        <v>13.19</v>
      </c>
    </row>
    <row r="401" spans="1:11" x14ac:dyDescent="0.3">
      <c r="A401" t="s">
        <v>803</v>
      </c>
      <c r="B401" s="37">
        <v>149.44999999999999</v>
      </c>
      <c r="C401" t="s">
        <v>27</v>
      </c>
      <c r="D401">
        <v>12</v>
      </c>
      <c r="E401">
        <v>10.26</v>
      </c>
      <c r="F401" t="s">
        <v>72</v>
      </c>
      <c r="G401">
        <v>2</v>
      </c>
      <c r="H401" s="37">
        <v>13.19</v>
      </c>
      <c r="K401" s="37"/>
    </row>
    <row r="402" spans="1:11" x14ac:dyDescent="0.3">
      <c r="A402" t="s">
        <v>804</v>
      </c>
      <c r="B402" s="37">
        <v>184.63</v>
      </c>
      <c r="C402" t="s">
        <v>65</v>
      </c>
      <c r="D402">
        <v>12</v>
      </c>
      <c r="E402">
        <v>13.19</v>
      </c>
      <c r="F402" t="s">
        <v>72</v>
      </c>
      <c r="G402">
        <v>2</v>
      </c>
      <c r="H402" s="37">
        <v>13.19</v>
      </c>
    </row>
    <row r="403" spans="1:11" x14ac:dyDescent="0.3">
      <c r="A403" t="s">
        <v>805</v>
      </c>
      <c r="B403" s="37">
        <v>149.44999999999999</v>
      </c>
      <c r="C403" t="s">
        <v>27</v>
      </c>
      <c r="D403">
        <v>12</v>
      </c>
      <c r="E403">
        <v>10.26</v>
      </c>
      <c r="F403" t="s">
        <v>72</v>
      </c>
      <c r="G403">
        <v>2</v>
      </c>
      <c r="H403" s="37">
        <v>13.19</v>
      </c>
    </row>
    <row r="404" spans="1:11" x14ac:dyDescent="0.3">
      <c r="A404" t="s">
        <v>806</v>
      </c>
      <c r="B404" s="37">
        <v>149.44999999999999</v>
      </c>
      <c r="C404" t="s">
        <v>27</v>
      </c>
      <c r="D404">
        <v>12</v>
      </c>
      <c r="E404">
        <v>10.26</v>
      </c>
      <c r="F404" t="s">
        <v>72</v>
      </c>
      <c r="G404">
        <v>2</v>
      </c>
      <c r="H404" s="37">
        <v>13.19</v>
      </c>
    </row>
    <row r="405" spans="1:11" x14ac:dyDescent="0.3">
      <c r="A405" t="s">
        <v>807</v>
      </c>
      <c r="B405" s="37">
        <v>149.44999999999999</v>
      </c>
      <c r="C405" t="s">
        <v>27</v>
      </c>
      <c r="D405">
        <v>12</v>
      </c>
      <c r="E405">
        <v>10.26</v>
      </c>
      <c r="F405" t="s">
        <v>72</v>
      </c>
      <c r="G405">
        <v>2</v>
      </c>
      <c r="H405" s="37">
        <v>13.19</v>
      </c>
    </row>
    <row r="406" spans="1:11" x14ac:dyDescent="0.3">
      <c r="A406" t="s">
        <v>809</v>
      </c>
      <c r="B406" s="37">
        <v>184.63</v>
      </c>
      <c r="C406" t="s">
        <v>65</v>
      </c>
      <c r="D406">
        <v>12</v>
      </c>
      <c r="E406">
        <v>13.19</v>
      </c>
      <c r="F406" t="s">
        <v>72</v>
      </c>
      <c r="G406">
        <v>2</v>
      </c>
      <c r="H406" s="37">
        <v>13.19</v>
      </c>
    </row>
    <row r="407" spans="1:11" x14ac:dyDescent="0.3">
      <c r="A407" t="s">
        <v>812</v>
      </c>
      <c r="B407" s="37">
        <v>202.21</v>
      </c>
      <c r="C407" t="s">
        <v>29</v>
      </c>
      <c r="D407">
        <v>12</v>
      </c>
      <c r="E407">
        <v>13.19</v>
      </c>
      <c r="F407" t="s">
        <v>74</v>
      </c>
      <c r="G407">
        <v>2</v>
      </c>
      <c r="H407" s="37">
        <v>13.19</v>
      </c>
      <c r="I407" t="s">
        <v>164</v>
      </c>
      <c r="J407">
        <v>1</v>
      </c>
      <c r="K407">
        <v>17.579999999999998</v>
      </c>
    </row>
    <row r="408" spans="1:11" x14ac:dyDescent="0.3">
      <c r="A408" t="s">
        <v>810</v>
      </c>
      <c r="B408" s="37">
        <v>149.44999999999999</v>
      </c>
      <c r="C408" t="s">
        <v>27</v>
      </c>
      <c r="D408">
        <v>12</v>
      </c>
      <c r="E408">
        <v>10.26</v>
      </c>
      <c r="F408" t="s">
        <v>72</v>
      </c>
      <c r="G408">
        <v>2</v>
      </c>
      <c r="H408" s="37">
        <v>13.19</v>
      </c>
    </row>
    <row r="409" spans="1:11" x14ac:dyDescent="0.3">
      <c r="A409" t="s">
        <v>811</v>
      </c>
      <c r="B409" s="37">
        <v>184.63</v>
      </c>
      <c r="C409" t="s">
        <v>65</v>
      </c>
      <c r="D409">
        <v>12</v>
      </c>
      <c r="E409">
        <v>13.19</v>
      </c>
      <c r="F409" t="s">
        <v>72</v>
      </c>
      <c r="G409">
        <v>2</v>
      </c>
      <c r="H409" s="37">
        <v>13.19</v>
      </c>
    </row>
    <row r="410" spans="1:11" x14ac:dyDescent="0.3">
      <c r="A410" t="s">
        <v>813</v>
      </c>
      <c r="B410" s="37">
        <v>184.63</v>
      </c>
      <c r="C410" t="s">
        <v>29</v>
      </c>
      <c r="D410">
        <v>12</v>
      </c>
      <c r="E410">
        <v>13.19</v>
      </c>
      <c r="F410" t="s">
        <v>74</v>
      </c>
      <c r="G410">
        <v>2</v>
      </c>
      <c r="H410" s="37">
        <v>13.19</v>
      </c>
    </row>
    <row r="411" spans="1:11" x14ac:dyDescent="0.3">
      <c r="A411" t="s">
        <v>816</v>
      </c>
      <c r="B411" s="37">
        <v>184.63</v>
      </c>
      <c r="C411" t="s">
        <v>29</v>
      </c>
      <c r="D411">
        <v>12</v>
      </c>
      <c r="E411">
        <v>13.19</v>
      </c>
      <c r="F411" t="s">
        <v>74</v>
      </c>
      <c r="G411">
        <v>2</v>
      </c>
      <c r="H411" s="37">
        <v>13.19</v>
      </c>
    </row>
    <row r="412" spans="1:11" x14ac:dyDescent="0.3">
      <c r="A412" t="s">
        <v>814</v>
      </c>
      <c r="B412" s="37">
        <v>219.81</v>
      </c>
      <c r="C412" t="s">
        <v>67</v>
      </c>
      <c r="D412">
        <v>12</v>
      </c>
      <c r="E412">
        <v>16.12</v>
      </c>
      <c r="F412" t="s">
        <v>74</v>
      </c>
      <c r="G412">
        <v>2</v>
      </c>
      <c r="H412" s="37">
        <v>13.19</v>
      </c>
    </row>
    <row r="413" spans="1:11" x14ac:dyDescent="0.3">
      <c r="A413" t="s">
        <v>815</v>
      </c>
      <c r="B413" s="37">
        <v>184.63</v>
      </c>
      <c r="C413" t="s">
        <v>29</v>
      </c>
      <c r="D413">
        <v>12</v>
      </c>
      <c r="E413">
        <v>13.19</v>
      </c>
      <c r="F413" t="s">
        <v>74</v>
      </c>
      <c r="G413">
        <v>2</v>
      </c>
      <c r="H413" s="37">
        <v>13.19</v>
      </c>
    </row>
    <row r="414" spans="1:11" x14ac:dyDescent="0.3">
      <c r="A414" t="s">
        <v>817</v>
      </c>
      <c r="B414" s="37">
        <v>184.63</v>
      </c>
      <c r="C414" t="s">
        <v>29</v>
      </c>
      <c r="D414">
        <v>12</v>
      </c>
      <c r="E414">
        <v>13.19</v>
      </c>
      <c r="F414" t="s">
        <v>74</v>
      </c>
      <c r="G414">
        <v>2</v>
      </c>
      <c r="H414" s="37">
        <v>13.19</v>
      </c>
    </row>
    <row r="415" spans="1:11" x14ac:dyDescent="0.3">
      <c r="A415" t="s">
        <v>818</v>
      </c>
      <c r="B415" s="37">
        <v>184.63</v>
      </c>
      <c r="C415" t="s">
        <v>29</v>
      </c>
      <c r="D415">
        <v>12</v>
      </c>
      <c r="E415">
        <v>13.19</v>
      </c>
      <c r="F415" t="s">
        <v>74</v>
      </c>
      <c r="G415">
        <v>2</v>
      </c>
      <c r="H415" s="37">
        <v>13.19</v>
      </c>
    </row>
    <row r="416" spans="1:11" x14ac:dyDescent="0.3">
      <c r="A416" t="s">
        <v>819</v>
      </c>
      <c r="B416" s="37">
        <v>184.63</v>
      </c>
      <c r="C416" t="s">
        <v>29</v>
      </c>
      <c r="D416">
        <v>12</v>
      </c>
      <c r="E416">
        <v>13.19</v>
      </c>
      <c r="F416" t="s">
        <v>74</v>
      </c>
      <c r="G416">
        <v>2</v>
      </c>
      <c r="H416" s="37">
        <v>13.19</v>
      </c>
    </row>
    <row r="417" spans="1:11" x14ac:dyDescent="0.3">
      <c r="A417" t="s">
        <v>820</v>
      </c>
      <c r="B417" s="37">
        <v>184.63</v>
      </c>
      <c r="C417" t="s">
        <v>29</v>
      </c>
      <c r="D417">
        <v>12</v>
      </c>
      <c r="E417">
        <v>13.19</v>
      </c>
      <c r="F417" t="s">
        <v>74</v>
      </c>
      <c r="G417">
        <v>2</v>
      </c>
      <c r="H417" s="37">
        <v>13.19</v>
      </c>
    </row>
    <row r="418" spans="1:11" x14ac:dyDescent="0.3">
      <c r="A418" t="s">
        <v>821</v>
      </c>
      <c r="B418" s="37">
        <v>219.81</v>
      </c>
      <c r="C418" t="s">
        <v>67</v>
      </c>
      <c r="D418">
        <v>12</v>
      </c>
      <c r="E418">
        <v>16.12</v>
      </c>
      <c r="F418" t="s">
        <v>74</v>
      </c>
      <c r="G418">
        <v>2</v>
      </c>
      <c r="H418" s="37">
        <v>13.19</v>
      </c>
      <c r="K418" s="37"/>
    </row>
    <row r="419" spans="1:11" x14ac:dyDescent="0.3">
      <c r="A419" t="s">
        <v>822</v>
      </c>
      <c r="B419" s="37">
        <v>184.63</v>
      </c>
      <c r="C419" t="s">
        <v>29</v>
      </c>
      <c r="D419">
        <v>12</v>
      </c>
      <c r="E419">
        <v>13.19</v>
      </c>
      <c r="F419" t="s">
        <v>74</v>
      </c>
      <c r="G419">
        <v>2</v>
      </c>
      <c r="H419" s="37">
        <v>13.19</v>
      </c>
    </row>
    <row r="420" spans="1:11" x14ac:dyDescent="0.3">
      <c r="A420" t="s">
        <v>964</v>
      </c>
      <c r="B420" s="37">
        <v>430.74</v>
      </c>
      <c r="C420" t="s">
        <v>69</v>
      </c>
      <c r="D420">
        <v>12</v>
      </c>
      <c r="E420">
        <v>19.05</v>
      </c>
      <c r="F420" t="s">
        <v>74</v>
      </c>
      <c r="G420">
        <v>2</v>
      </c>
      <c r="H420" s="37">
        <v>13.19</v>
      </c>
      <c r="I420" t="s">
        <v>150</v>
      </c>
      <c r="J420">
        <v>10</v>
      </c>
      <c r="K420">
        <v>17.579999999999998</v>
      </c>
    </row>
    <row r="421" spans="1:11" x14ac:dyDescent="0.3">
      <c r="A421" t="s">
        <v>825</v>
      </c>
      <c r="B421" s="37">
        <v>219.81</v>
      </c>
      <c r="C421" t="s">
        <v>31</v>
      </c>
      <c r="D421">
        <v>12</v>
      </c>
      <c r="E421">
        <v>16.12</v>
      </c>
      <c r="F421" t="s">
        <v>74</v>
      </c>
      <c r="G421">
        <v>2</v>
      </c>
      <c r="H421" s="37">
        <v>13.19</v>
      </c>
    </row>
    <row r="422" spans="1:11" x14ac:dyDescent="0.3">
      <c r="A422" t="s">
        <v>826</v>
      </c>
      <c r="B422" s="37">
        <v>254.94</v>
      </c>
      <c r="C422" t="s">
        <v>69</v>
      </c>
      <c r="D422">
        <v>12</v>
      </c>
      <c r="E422">
        <v>19.05</v>
      </c>
      <c r="F422" t="s">
        <v>74</v>
      </c>
      <c r="G422">
        <v>2</v>
      </c>
      <c r="H422" s="37">
        <v>13.19</v>
      </c>
    </row>
    <row r="423" spans="1:11" x14ac:dyDescent="0.3">
      <c r="A423" t="s">
        <v>827</v>
      </c>
      <c r="B423" s="37">
        <v>219.81</v>
      </c>
      <c r="C423" t="s">
        <v>31</v>
      </c>
      <c r="D423">
        <v>12</v>
      </c>
      <c r="E423">
        <v>16.12</v>
      </c>
      <c r="F423" t="s">
        <v>74</v>
      </c>
      <c r="G423">
        <v>2</v>
      </c>
      <c r="H423" s="37">
        <v>13.19</v>
      </c>
    </row>
    <row r="424" spans="1:11" x14ac:dyDescent="0.3">
      <c r="A424" t="s">
        <v>828</v>
      </c>
      <c r="B424" s="37">
        <v>254.94</v>
      </c>
      <c r="C424" t="s">
        <v>69</v>
      </c>
      <c r="D424">
        <v>12</v>
      </c>
      <c r="E424">
        <v>19.05</v>
      </c>
      <c r="F424" t="s">
        <v>74</v>
      </c>
      <c r="G424">
        <v>2</v>
      </c>
      <c r="H424" s="37">
        <v>13.19</v>
      </c>
    </row>
    <row r="425" spans="1:11" x14ac:dyDescent="0.3">
      <c r="A425" t="s">
        <v>830</v>
      </c>
      <c r="B425" s="37">
        <v>219.81</v>
      </c>
      <c r="C425" t="s">
        <v>31</v>
      </c>
      <c r="D425">
        <v>12</v>
      </c>
      <c r="E425">
        <v>16.12</v>
      </c>
      <c r="F425" t="s">
        <v>74</v>
      </c>
      <c r="G425">
        <v>2</v>
      </c>
      <c r="H425" s="37">
        <v>13.19</v>
      </c>
    </row>
    <row r="426" spans="1:11" x14ac:dyDescent="0.3">
      <c r="A426" t="s">
        <v>829</v>
      </c>
      <c r="B426" s="37">
        <v>219.81</v>
      </c>
      <c r="C426" t="s">
        <v>31</v>
      </c>
      <c r="D426">
        <v>12</v>
      </c>
      <c r="E426">
        <v>16.12</v>
      </c>
      <c r="F426" t="s">
        <v>74</v>
      </c>
      <c r="G426">
        <v>2</v>
      </c>
      <c r="H426" s="37">
        <v>13.19</v>
      </c>
    </row>
    <row r="427" spans="1:11" x14ac:dyDescent="0.3">
      <c r="A427" t="s">
        <v>831</v>
      </c>
      <c r="B427" s="37">
        <v>219.81</v>
      </c>
      <c r="C427" t="s">
        <v>31</v>
      </c>
      <c r="D427">
        <v>12</v>
      </c>
      <c r="E427">
        <v>16.12</v>
      </c>
      <c r="F427" t="s">
        <v>74</v>
      </c>
      <c r="G427">
        <v>2</v>
      </c>
      <c r="H427" s="37">
        <v>13.19</v>
      </c>
    </row>
    <row r="428" spans="1:11" x14ac:dyDescent="0.3">
      <c r="A428" t="s">
        <v>832</v>
      </c>
      <c r="B428" s="37">
        <v>254.94</v>
      </c>
      <c r="C428" t="s">
        <v>69</v>
      </c>
      <c r="D428">
        <v>12</v>
      </c>
      <c r="E428">
        <v>19.05</v>
      </c>
      <c r="F428" t="s">
        <v>74</v>
      </c>
      <c r="G428">
        <v>2</v>
      </c>
      <c r="H428" s="37">
        <v>13.19</v>
      </c>
    </row>
    <row r="429" spans="1:11" x14ac:dyDescent="0.3">
      <c r="A429" t="s">
        <v>833</v>
      </c>
      <c r="B429" s="37">
        <v>219.81</v>
      </c>
      <c r="C429" t="s">
        <v>31</v>
      </c>
      <c r="D429">
        <v>12</v>
      </c>
      <c r="E429">
        <v>16.12</v>
      </c>
      <c r="F429" t="s">
        <v>74</v>
      </c>
      <c r="G429">
        <v>2</v>
      </c>
      <c r="H429" s="37">
        <v>13.19</v>
      </c>
      <c r="K429" s="37"/>
    </row>
    <row r="430" spans="1:11" x14ac:dyDescent="0.3">
      <c r="A430" t="s">
        <v>835</v>
      </c>
      <c r="B430" s="37">
        <v>219.81</v>
      </c>
      <c r="C430" t="s">
        <v>31</v>
      </c>
      <c r="D430">
        <v>12</v>
      </c>
      <c r="E430">
        <v>16.12</v>
      </c>
      <c r="F430" t="s">
        <v>74</v>
      </c>
      <c r="G430">
        <v>2</v>
      </c>
      <c r="H430" s="37">
        <v>13.19</v>
      </c>
      <c r="K430" s="37"/>
    </row>
    <row r="431" spans="1:11" x14ac:dyDescent="0.3">
      <c r="A431" t="s">
        <v>834</v>
      </c>
      <c r="B431" s="37">
        <v>254.94</v>
      </c>
      <c r="C431" t="s">
        <v>69</v>
      </c>
      <c r="D431">
        <v>12</v>
      </c>
      <c r="E431">
        <v>19.05</v>
      </c>
      <c r="F431" t="s">
        <v>74</v>
      </c>
      <c r="G431">
        <v>2</v>
      </c>
      <c r="H431" s="37">
        <v>13.19</v>
      </c>
    </row>
    <row r="432" spans="1:11" x14ac:dyDescent="0.3">
      <c r="A432" t="s">
        <v>836</v>
      </c>
      <c r="B432" s="37">
        <v>219.81</v>
      </c>
      <c r="C432" t="s">
        <v>31</v>
      </c>
      <c r="D432">
        <v>12</v>
      </c>
      <c r="E432">
        <v>16.12</v>
      </c>
      <c r="F432" t="s">
        <v>74</v>
      </c>
      <c r="G432">
        <v>2</v>
      </c>
      <c r="H432" s="37">
        <v>13.19</v>
      </c>
    </row>
    <row r="433" spans="1:8" x14ac:dyDescent="0.3">
      <c r="A433" t="s">
        <v>838</v>
      </c>
      <c r="B433" s="37">
        <v>219.81</v>
      </c>
      <c r="C433" t="s">
        <v>31</v>
      </c>
      <c r="D433">
        <v>12</v>
      </c>
      <c r="E433">
        <v>16.12</v>
      </c>
      <c r="F433" t="s">
        <v>74</v>
      </c>
      <c r="G433">
        <v>2</v>
      </c>
      <c r="H433" s="37">
        <v>13.19</v>
      </c>
    </row>
    <row r="434" spans="1:8" x14ac:dyDescent="0.3">
      <c r="A434" t="s">
        <v>837</v>
      </c>
      <c r="B434" s="37">
        <v>219.81</v>
      </c>
      <c r="C434" t="s">
        <v>31</v>
      </c>
      <c r="D434">
        <v>12</v>
      </c>
      <c r="E434">
        <v>16.12</v>
      </c>
      <c r="F434" t="s">
        <v>74</v>
      </c>
      <c r="G434">
        <v>2</v>
      </c>
      <c r="H434" s="37">
        <v>13.19</v>
      </c>
    </row>
    <row r="435" spans="1:8" x14ac:dyDescent="0.3">
      <c r="A435" t="s">
        <v>839</v>
      </c>
      <c r="B435" s="37">
        <v>219.81</v>
      </c>
      <c r="C435" t="s">
        <v>31</v>
      </c>
      <c r="D435">
        <v>12</v>
      </c>
      <c r="E435">
        <v>16.12</v>
      </c>
      <c r="F435" t="s">
        <v>74</v>
      </c>
      <c r="G435">
        <v>2</v>
      </c>
      <c r="H435" s="37">
        <v>13.19</v>
      </c>
    </row>
    <row r="436" spans="1:8" x14ac:dyDescent="0.3">
      <c r="A436" t="s">
        <v>840</v>
      </c>
      <c r="B436" s="37">
        <v>254.94</v>
      </c>
      <c r="C436" t="s">
        <v>69</v>
      </c>
      <c r="D436">
        <v>12</v>
      </c>
      <c r="E436">
        <v>19.05</v>
      </c>
      <c r="F436" t="s">
        <v>74</v>
      </c>
      <c r="G436">
        <v>2</v>
      </c>
      <c r="H436" s="37">
        <v>13.19</v>
      </c>
    </row>
    <row r="437" spans="1:8" x14ac:dyDescent="0.3">
      <c r="A437" t="s">
        <v>841</v>
      </c>
      <c r="B437" s="37">
        <v>254.94</v>
      </c>
      <c r="C437" t="s">
        <v>69</v>
      </c>
      <c r="D437">
        <v>12</v>
      </c>
      <c r="E437">
        <v>19.05</v>
      </c>
      <c r="F437" t="s">
        <v>74</v>
      </c>
      <c r="G437">
        <v>2</v>
      </c>
      <c r="H437" s="37">
        <v>13.19</v>
      </c>
    </row>
    <row r="438" spans="1:8" x14ac:dyDescent="0.3">
      <c r="A438" t="s">
        <v>842</v>
      </c>
      <c r="B438" s="37">
        <v>219.81</v>
      </c>
      <c r="C438" t="s">
        <v>31</v>
      </c>
      <c r="D438">
        <v>12</v>
      </c>
      <c r="E438">
        <v>16.12</v>
      </c>
      <c r="F438" t="s">
        <v>74</v>
      </c>
      <c r="G438">
        <v>2</v>
      </c>
      <c r="H438" s="37">
        <v>13.19</v>
      </c>
    </row>
    <row r="439" spans="1:8" x14ac:dyDescent="0.3">
      <c r="A439" t="s">
        <v>962</v>
      </c>
      <c r="B439" s="37">
        <v>219.81</v>
      </c>
      <c r="C439" t="s">
        <v>31</v>
      </c>
      <c r="D439">
        <v>12</v>
      </c>
      <c r="E439">
        <v>16.12</v>
      </c>
      <c r="F439" t="s">
        <v>74</v>
      </c>
      <c r="G439">
        <v>2</v>
      </c>
      <c r="H439" s="37">
        <v>13.19</v>
      </c>
    </row>
    <row r="440" spans="1:8" x14ac:dyDescent="0.3">
      <c r="A440" t="s">
        <v>843</v>
      </c>
      <c r="B440" s="37">
        <v>219.81</v>
      </c>
      <c r="C440" t="s">
        <v>31</v>
      </c>
      <c r="D440">
        <v>12</v>
      </c>
      <c r="E440">
        <v>16.12</v>
      </c>
      <c r="F440" t="s">
        <v>74</v>
      </c>
      <c r="G440">
        <v>2</v>
      </c>
      <c r="H440" s="37">
        <v>13.19</v>
      </c>
    </row>
    <row r="441" spans="1:8" x14ac:dyDescent="0.3">
      <c r="A441" t="s">
        <v>845</v>
      </c>
      <c r="B441" s="37">
        <v>219.81</v>
      </c>
      <c r="C441" t="s">
        <v>31</v>
      </c>
      <c r="D441">
        <v>12</v>
      </c>
      <c r="E441">
        <v>16.12</v>
      </c>
      <c r="F441" t="s">
        <v>74</v>
      </c>
      <c r="G441">
        <v>2</v>
      </c>
      <c r="H441" s="37">
        <v>13.19</v>
      </c>
    </row>
    <row r="442" spans="1:8" x14ac:dyDescent="0.3">
      <c r="A442" t="s">
        <v>844</v>
      </c>
      <c r="B442" s="37">
        <v>219.81</v>
      </c>
      <c r="C442" t="s">
        <v>31</v>
      </c>
      <c r="D442">
        <v>12</v>
      </c>
      <c r="E442">
        <v>16.12</v>
      </c>
      <c r="F442" t="s">
        <v>74</v>
      </c>
      <c r="G442">
        <v>2</v>
      </c>
      <c r="H442" s="37">
        <v>13.19</v>
      </c>
    </row>
    <row r="443" spans="1:8" x14ac:dyDescent="0.3">
      <c r="A443" t="s">
        <v>847</v>
      </c>
      <c r="B443" s="37">
        <v>254.94</v>
      </c>
      <c r="C443" t="s">
        <v>69</v>
      </c>
      <c r="D443">
        <v>12</v>
      </c>
      <c r="E443">
        <v>19.05</v>
      </c>
      <c r="F443" t="s">
        <v>74</v>
      </c>
      <c r="G443">
        <v>2</v>
      </c>
      <c r="H443" s="37">
        <v>13.19</v>
      </c>
    </row>
    <row r="444" spans="1:8" x14ac:dyDescent="0.3">
      <c r="A444" t="s">
        <v>848</v>
      </c>
      <c r="B444" s="37">
        <v>219.81</v>
      </c>
      <c r="C444" t="s">
        <v>31</v>
      </c>
      <c r="D444">
        <v>12</v>
      </c>
      <c r="E444">
        <v>16.12</v>
      </c>
      <c r="F444" t="s">
        <v>74</v>
      </c>
      <c r="G444">
        <v>2</v>
      </c>
      <c r="H444" s="37">
        <v>13.19</v>
      </c>
    </row>
    <row r="445" spans="1:8" x14ac:dyDescent="0.3">
      <c r="A445" t="s">
        <v>850</v>
      </c>
      <c r="B445" s="37">
        <v>219.81</v>
      </c>
      <c r="C445" t="s">
        <v>31</v>
      </c>
      <c r="D445">
        <v>12</v>
      </c>
      <c r="E445">
        <v>16.12</v>
      </c>
      <c r="F445" t="s">
        <v>74</v>
      </c>
      <c r="G445">
        <v>2</v>
      </c>
      <c r="H445" s="37">
        <v>13.19</v>
      </c>
    </row>
    <row r="446" spans="1:8" x14ac:dyDescent="0.3">
      <c r="A446" t="s">
        <v>851</v>
      </c>
      <c r="B446" s="37">
        <v>254.94</v>
      </c>
      <c r="C446" t="s">
        <v>69</v>
      </c>
      <c r="D446">
        <v>12</v>
      </c>
      <c r="E446">
        <v>19.05</v>
      </c>
      <c r="F446" t="s">
        <v>74</v>
      </c>
      <c r="G446">
        <v>2</v>
      </c>
      <c r="H446" s="37">
        <v>13.19</v>
      </c>
    </row>
    <row r="447" spans="1:8" x14ac:dyDescent="0.3">
      <c r="A447" t="s">
        <v>853</v>
      </c>
      <c r="B447" s="37">
        <v>219.81</v>
      </c>
      <c r="C447" t="s">
        <v>31</v>
      </c>
      <c r="D447">
        <v>12</v>
      </c>
      <c r="E447">
        <v>16.12</v>
      </c>
      <c r="F447" t="s">
        <v>74</v>
      </c>
      <c r="G447">
        <v>2</v>
      </c>
      <c r="H447" s="37">
        <v>13.19</v>
      </c>
    </row>
    <row r="448" spans="1:8" x14ac:dyDescent="0.3">
      <c r="A448" t="s">
        <v>852</v>
      </c>
      <c r="B448" s="37">
        <v>254.94</v>
      </c>
      <c r="C448" t="s">
        <v>69</v>
      </c>
      <c r="D448">
        <v>12</v>
      </c>
      <c r="E448">
        <v>19.05</v>
      </c>
      <c r="F448" t="s">
        <v>74</v>
      </c>
      <c r="G448">
        <v>2</v>
      </c>
      <c r="H448" s="37">
        <v>13.19</v>
      </c>
    </row>
    <row r="449" spans="1:8" x14ac:dyDescent="0.3">
      <c r="A449" t="s">
        <v>854</v>
      </c>
      <c r="B449" s="37">
        <v>254.94</v>
      </c>
      <c r="C449" t="s">
        <v>69</v>
      </c>
      <c r="D449">
        <v>12</v>
      </c>
      <c r="E449">
        <v>19.05</v>
      </c>
      <c r="F449" t="s">
        <v>74</v>
      </c>
      <c r="G449">
        <v>2</v>
      </c>
      <c r="H449" s="37">
        <v>13.19</v>
      </c>
    </row>
    <row r="450" spans="1:8" x14ac:dyDescent="0.3">
      <c r="A450" t="s">
        <v>855</v>
      </c>
      <c r="B450" s="37">
        <v>316.45999999999998</v>
      </c>
      <c r="C450" t="s">
        <v>33</v>
      </c>
      <c r="D450">
        <v>12</v>
      </c>
      <c r="E450">
        <v>21.98</v>
      </c>
      <c r="F450" t="s">
        <v>79</v>
      </c>
      <c r="G450">
        <v>2</v>
      </c>
      <c r="H450" s="37">
        <v>26.36</v>
      </c>
    </row>
    <row r="451" spans="1:8" x14ac:dyDescent="0.3">
      <c r="A451" t="s">
        <v>856</v>
      </c>
      <c r="B451" s="37">
        <v>316.45999999999998</v>
      </c>
      <c r="C451" t="s">
        <v>33</v>
      </c>
      <c r="D451">
        <v>12</v>
      </c>
      <c r="E451">
        <v>21.98</v>
      </c>
      <c r="F451" t="s">
        <v>79</v>
      </c>
      <c r="G451">
        <v>2</v>
      </c>
      <c r="H451" s="37">
        <v>26.36</v>
      </c>
    </row>
    <row r="452" spans="1:8" x14ac:dyDescent="0.3">
      <c r="A452" t="s">
        <v>858</v>
      </c>
      <c r="B452" s="37">
        <v>316.45999999999998</v>
      </c>
      <c r="C452" t="s">
        <v>33</v>
      </c>
      <c r="D452">
        <v>12</v>
      </c>
      <c r="E452">
        <v>21.98</v>
      </c>
      <c r="F452" t="s">
        <v>79</v>
      </c>
      <c r="G452">
        <v>2</v>
      </c>
      <c r="H452" s="37">
        <v>26.36</v>
      </c>
    </row>
    <row r="453" spans="1:8" x14ac:dyDescent="0.3">
      <c r="A453" t="s">
        <v>857</v>
      </c>
      <c r="B453" s="37">
        <v>316.45999999999998</v>
      </c>
      <c r="C453" t="s">
        <v>33</v>
      </c>
      <c r="D453">
        <v>12</v>
      </c>
      <c r="E453">
        <v>21.98</v>
      </c>
      <c r="F453" t="s">
        <v>79</v>
      </c>
      <c r="G453">
        <v>2</v>
      </c>
      <c r="H453" s="37">
        <v>26.36</v>
      </c>
    </row>
    <row r="454" spans="1:8" x14ac:dyDescent="0.3">
      <c r="A454" t="s">
        <v>859</v>
      </c>
      <c r="B454" s="37">
        <v>351.62</v>
      </c>
      <c r="C454" t="s">
        <v>35</v>
      </c>
      <c r="D454">
        <v>12</v>
      </c>
      <c r="E454">
        <v>24.91</v>
      </c>
      <c r="F454" t="s">
        <v>79</v>
      </c>
      <c r="G454">
        <v>2</v>
      </c>
      <c r="H454" s="37">
        <v>26.36</v>
      </c>
    </row>
    <row r="455" spans="1:8" x14ac:dyDescent="0.3">
      <c r="A455" t="s">
        <v>860</v>
      </c>
      <c r="B455" s="37">
        <v>158.24</v>
      </c>
      <c r="C455" t="s">
        <v>39</v>
      </c>
      <c r="D455">
        <v>12</v>
      </c>
      <c r="E455">
        <v>10.99</v>
      </c>
      <c r="F455" t="s">
        <v>72</v>
      </c>
      <c r="G455">
        <v>2</v>
      </c>
      <c r="H455" s="37">
        <v>13.19</v>
      </c>
    </row>
    <row r="456" spans="1:8" x14ac:dyDescent="0.3">
      <c r="A456" t="s">
        <v>861</v>
      </c>
      <c r="B456" s="37">
        <v>237.35</v>
      </c>
      <c r="C456" t="s">
        <v>43</v>
      </c>
      <c r="D456">
        <v>12</v>
      </c>
      <c r="E456">
        <v>17.579999999999998</v>
      </c>
      <c r="F456" t="s">
        <v>74</v>
      </c>
      <c r="G456">
        <v>2</v>
      </c>
      <c r="H456" s="37">
        <v>13.19</v>
      </c>
    </row>
    <row r="457" spans="1:8" x14ac:dyDescent="0.3">
      <c r="A457" t="s">
        <v>862</v>
      </c>
      <c r="B457" s="37">
        <v>237.35</v>
      </c>
      <c r="C457" t="s">
        <v>43</v>
      </c>
      <c r="D457">
        <v>12</v>
      </c>
      <c r="E457">
        <v>17.579999999999998</v>
      </c>
      <c r="F457" t="s">
        <v>74</v>
      </c>
      <c r="G457">
        <v>2</v>
      </c>
      <c r="H457" s="37">
        <v>13.19</v>
      </c>
    </row>
    <row r="458" spans="1:8" x14ac:dyDescent="0.3">
      <c r="A458" t="s">
        <v>864</v>
      </c>
      <c r="B458" s="37">
        <v>237.35</v>
      </c>
      <c r="C458" t="s">
        <v>43</v>
      </c>
      <c r="D458">
        <v>12</v>
      </c>
      <c r="E458">
        <v>17.579999999999998</v>
      </c>
      <c r="F458" t="s">
        <v>74</v>
      </c>
      <c r="G458">
        <v>2</v>
      </c>
      <c r="H458" s="37">
        <v>13.19</v>
      </c>
    </row>
    <row r="459" spans="1:8" x14ac:dyDescent="0.3">
      <c r="A459" t="s">
        <v>863</v>
      </c>
      <c r="B459" s="37">
        <v>158.24</v>
      </c>
      <c r="C459" t="s">
        <v>39</v>
      </c>
      <c r="D459">
        <v>12</v>
      </c>
      <c r="E459">
        <v>10.99</v>
      </c>
      <c r="F459" t="s">
        <v>72</v>
      </c>
      <c r="G459">
        <v>2</v>
      </c>
      <c r="H459" s="37">
        <v>13.19</v>
      </c>
    </row>
    <row r="460" spans="1:8" x14ac:dyDescent="0.3">
      <c r="A460" t="s">
        <v>963</v>
      </c>
      <c r="B460" s="37">
        <v>237.35</v>
      </c>
      <c r="C460" t="s">
        <v>43</v>
      </c>
      <c r="D460">
        <v>12</v>
      </c>
      <c r="E460">
        <v>17.579999999999998</v>
      </c>
      <c r="F460" t="s">
        <v>74</v>
      </c>
      <c r="G460">
        <v>2</v>
      </c>
      <c r="H460" s="37">
        <v>13.19</v>
      </c>
    </row>
    <row r="461" spans="1:8" x14ac:dyDescent="0.3">
      <c r="A461" t="s">
        <v>865</v>
      </c>
      <c r="B461" s="37">
        <v>237.35</v>
      </c>
      <c r="C461" t="s">
        <v>43</v>
      </c>
      <c r="D461">
        <v>12</v>
      </c>
      <c r="E461">
        <v>17.579999999999998</v>
      </c>
      <c r="F461" t="s">
        <v>74</v>
      </c>
      <c r="G461">
        <v>2</v>
      </c>
      <c r="H461" s="37">
        <v>13.19</v>
      </c>
    </row>
    <row r="462" spans="1:8" x14ac:dyDescent="0.3">
      <c r="A462" t="s">
        <v>866</v>
      </c>
      <c r="B462" s="37">
        <v>237.35</v>
      </c>
      <c r="C462" t="s">
        <v>43</v>
      </c>
      <c r="D462">
        <v>12</v>
      </c>
      <c r="E462">
        <v>17.579999999999998</v>
      </c>
      <c r="F462" t="s">
        <v>74</v>
      </c>
      <c r="G462">
        <v>2</v>
      </c>
      <c r="H462" s="37">
        <v>13.19</v>
      </c>
    </row>
    <row r="463" spans="1:8" x14ac:dyDescent="0.3">
      <c r="A463" t="s">
        <v>867</v>
      </c>
      <c r="B463" s="37">
        <v>404.37</v>
      </c>
      <c r="C463" t="s">
        <v>47</v>
      </c>
      <c r="D463">
        <v>12</v>
      </c>
      <c r="E463">
        <v>29.3</v>
      </c>
      <c r="F463" t="s">
        <v>79</v>
      </c>
      <c r="G463">
        <v>2</v>
      </c>
      <c r="H463" s="37">
        <v>26.36</v>
      </c>
    </row>
    <row r="464" spans="1:8" x14ac:dyDescent="0.3">
      <c r="A464" t="s">
        <v>870</v>
      </c>
      <c r="B464" s="37">
        <v>178.77</v>
      </c>
      <c r="C464" t="s">
        <v>29</v>
      </c>
      <c r="D464">
        <v>12</v>
      </c>
      <c r="E464">
        <v>13.19</v>
      </c>
      <c r="F464" t="s">
        <v>89</v>
      </c>
      <c r="G464">
        <v>2</v>
      </c>
      <c r="H464" s="37">
        <v>10.26</v>
      </c>
    </row>
    <row r="465" spans="1:11" x14ac:dyDescent="0.3">
      <c r="A465" t="s">
        <v>869</v>
      </c>
      <c r="B465" s="37">
        <v>108.4</v>
      </c>
      <c r="C465" t="s">
        <v>24</v>
      </c>
      <c r="D465">
        <v>12</v>
      </c>
      <c r="E465">
        <v>7.32</v>
      </c>
      <c r="F465" t="s">
        <v>87</v>
      </c>
      <c r="G465">
        <v>2</v>
      </c>
      <c r="H465" s="37">
        <v>10.26</v>
      </c>
    </row>
    <row r="466" spans="1:11" x14ac:dyDescent="0.3">
      <c r="A466" t="s">
        <v>868</v>
      </c>
      <c r="B466" s="37">
        <v>143.58000000000001</v>
      </c>
      <c r="C466" t="s">
        <v>27</v>
      </c>
      <c r="D466">
        <v>12</v>
      </c>
      <c r="E466">
        <v>10.26</v>
      </c>
      <c r="F466" t="s">
        <v>87</v>
      </c>
      <c r="G466">
        <v>2</v>
      </c>
      <c r="H466" s="37">
        <v>10.26</v>
      </c>
    </row>
    <row r="467" spans="1:11" x14ac:dyDescent="0.3">
      <c r="A467" t="s">
        <v>871</v>
      </c>
      <c r="B467" s="37">
        <v>213.95</v>
      </c>
      <c r="C467" t="s">
        <v>31</v>
      </c>
      <c r="D467">
        <v>12</v>
      </c>
      <c r="E467">
        <v>16.12</v>
      </c>
      <c r="F467" t="s">
        <v>89</v>
      </c>
      <c r="G467">
        <v>2</v>
      </c>
      <c r="H467" s="37">
        <v>10.26</v>
      </c>
    </row>
    <row r="468" spans="1:11" x14ac:dyDescent="0.3">
      <c r="A468" t="s">
        <v>872</v>
      </c>
      <c r="B468" s="37">
        <v>213.95</v>
      </c>
      <c r="C468" t="s">
        <v>31</v>
      </c>
      <c r="D468">
        <v>12</v>
      </c>
      <c r="E468">
        <v>16.12</v>
      </c>
      <c r="F468" t="s">
        <v>89</v>
      </c>
      <c r="G468">
        <v>2</v>
      </c>
      <c r="H468" s="37">
        <v>10.26</v>
      </c>
    </row>
    <row r="469" spans="1:11" x14ac:dyDescent="0.3">
      <c r="A469" t="s">
        <v>873</v>
      </c>
      <c r="B469" s="37">
        <v>249.07</v>
      </c>
      <c r="C469" t="s">
        <v>69</v>
      </c>
      <c r="D469">
        <v>12</v>
      </c>
      <c r="E469">
        <v>19.05</v>
      </c>
      <c r="F469" t="s">
        <v>89</v>
      </c>
      <c r="G469">
        <v>2</v>
      </c>
      <c r="H469" s="37">
        <v>10.26</v>
      </c>
    </row>
    <row r="470" spans="1:11" x14ac:dyDescent="0.3">
      <c r="A470" t="s">
        <v>875</v>
      </c>
      <c r="B470" s="37">
        <v>158.25</v>
      </c>
      <c r="C470" t="s">
        <v>65</v>
      </c>
      <c r="D470">
        <v>12</v>
      </c>
      <c r="E470">
        <v>13.19</v>
      </c>
      <c r="H470" s="37"/>
    </row>
    <row r="471" spans="1:11" x14ac:dyDescent="0.3">
      <c r="A471" t="s">
        <v>874</v>
      </c>
      <c r="B471" s="37">
        <v>123.07</v>
      </c>
      <c r="C471" t="s">
        <v>27</v>
      </c>
      <c r="D471">
        <v>12</v>
      </c>
      <c r="E471">
        <v>10.26</v>
      </c>
      <c r="H471" s="37"/>
    </row>
    <row r="472" spans="1:11" x14ac:dyDescent="0.3">
      <c r="A472" t="s">
        <v>965</v>
      </c>
      <c r="B472" s="37">
        <v>123.07</v>
      </c>
      <c r="C472" t="s">
        <v>27</v>
      </c>
      <c r="D472">
        <v>12</v>
      </c>
      <c r="E472">
        <v>10.26</v>
      </c>
      <c r="H472" s="37"/>
    </row>
    <row r="473" spans="1:11" x14ac:dyDescent="0.3">
      <c r="A473" t="s">
        <v>876</v>
      </c>
      <c r="B473" s="37">
        <v>123.07</v>
      </c>
      <c r="C473" t="s">
        <v>27</v>
      </c>
      <c r="D473">
        <v>12</v>
      </c>
      <c r="E473">
        <v>10.26</v>
      </c>
      <c r="H473" s="37"/>
    </row>
    <row r="474" spans="1:11" x14ac:dyDescent="0.3">
      <c r="A474" t="s">
        <v>877</v>
      </c>
      <c r="B474" s="37">
        <v>158.25</v>
      </c>
      <c r="C474" t="s">
        <v>29</v>
      </c>
      <c r="D474">
        <v>12</v>
      </c>
      <c r="E474">
        <v>13.19</v>
      </c>
      <c r="H474" s="37"/>
    </row>
    <row r="475" spans="1:11" x14ac:dyDescent="0.3">
      <c r="A475" t="s">
        <v>878</v>
      </c>
      <c r="B475" s="37">
        <v>193.44</v>
      </c>
      <c r="C475" t="s">
        <v>31</v>
      </c>
      <c r="D475">
        <v>12</v>
      </c>
      <c r="E475">
        <v>16.12</v>
      </c>
      <c r="H475" s="37"/>
    </row>
    <row r="476" spans="1:11" x14ac:dyDescent="0.3">
      <c r="A476" t="s">
        <v>879</v>
      </c>
      <c r="B476" s="37">
        <v>228.56</v>
      </c>
      <c r="C476" t="s">
        <v>69</v>
      </c>
      <c r="D476">
        <v>12</v>
      </c>
      <c r="E476">
        <v>19.05</v>
      </c>
      <c r="H476" s="37"/>
    </row>
    <row r="477" spans="1:11" x14ac:dyDescent="0.3">
      <c r="A477" t="s">
        <v>880</v>
      </c>
      <c r="B477" s="37">
        <v>137.72</v>
      </c>
      <c r="C477" t="s">
        <v>27</v>
      </c>
      <c r="D477">
        <v>12</v>
      </c>
      <c r="E477">
        <v>10.26</v>
      </c>
      <c r="F477" t="s">
        <v>99</v>
      </c>
      <c r="G477">
        <v>2</v>
      </c>
      <c r="H477" s="37">
        <v>7.32</v>
      </c>
    </row>
    <row r="478" spans="1:11" x14ac:dyDescent="0.3">
      <c r="A478" t="s">
        <v>881</v>
      </c>
      <c r="B478" s="37">
        <v>208.09</v>
      </c>
      <c r="C478" t="s">
        <v>31</v>
      </c>
      <c r="D478">
        <v>12</v>
      </c>
      <c r="E478">
        <v>16.12</v>
      </c>
      <c r="F478" t="s">
        <v>99</v>
      </c>
      <c r="G478">
        <v>2</v>
      </c>
      <c r="H478" s="37">
        <v>7.32</v>
      </c>
    </row>
    <row r="479" spans="1:11" x14ac:dyDescent="0.3">
      <c r="A479" t="s">
        <v>882</v>
      </c>
      <c r="B479" s="37">
        <v>290.08</v>
      </c>
      <c r="C479" t="s">
        <v>31</v>
      </c>
      <c r="D479">
        <v>12</v>
      </c>
      <c r="E479">
        <v>16.12</v>
      </c>
      <c r="F479" t="s">
        <v>110</v>
      </c>
      <c r="G479">
        <v>2</v>
      </c>
      <c r="H479" s="37">
        <v>17.579999999999998</v>
      </c>
      <c r="I479" t="s">
        <v>137</v>
      </c>
      <c r="J479">
        <v>14</v>
      </c>
      <c r="K479">
        <v>4.3899999999999997</v>
      </c>
    </row>
    <row r="480" spans="1:11" x14ac:dyDescent="0.3">
      <c r="A480" t="s">
        <v>967</v>
      </c>
      <c r="B480" s="37">
        <v>99.61</v>
      </c>
      <c r="C480" t="s">
        <v>24</v>
      </c>
      <c r="D480">
        <v>10</v>
      </c>
      <c r="E480">
        <v>7.32</v>
      </c>
      <c r="F480" t="s">
        <v>72</v>
      </c>
      <c r="G480">
        <v>2</v>
      </c>
      <c r="H480">
        <v>13.19</v>
      </c>
    </row>
    <row r="481" spans="1:11" x14ac:dyDescent="0.3">
      <c r="A481" t="s">
        <v>885</v>
      </c>
      <c r="B481" s="37">
        <v>325.20999999999998</v>
      </c>
      <c r="C481" t="s">
        <v>69</v>
      </c>
      <c r="D481">
        <v>12</v>
      </c>
      <c r="E481">
        <v>19.05</v>
      </c>
      <c r="F481" t="s">
        <v>110</v>
      </c>
      <c r="G481">
        <v>2</v>
      </c>
      <c r="H481">
        <v>17.579999999999998</v>
      </c>
      <c r="I481" t="s">
        <v>137</v>
      </c>
      <c r="J481">
        <v>14</v>
      </c>
      <c r="K481">
        <v>4.3899999999999997</v>
      </c>
    </row>
    <row r="482" spans="1:11" x14ac:dyDescent="0.3">
      <c r="A482" t="s">
        <v>884</v>
      </c>
      <c r="B482" s="37">
        <v>260.8</v>
      </c>
      <c r="C482" t="s">
        <v>53</v>
      </c>
      <c r="D482">
        <v>10</v>
      </c>
      <c r="E482">
        <v>23.44</v>
      </c>
      <c r="F482" t="s">
        <v>81</v>
      </c>
      <c r="G482">
        <v>2</v>
      </c>
      <c r="H482">
        <v>13.19</v>
      </c>
    </row>
    <row r="483" spans="1:11" x14ac:dyDescent="0.3">
      <c r="A483" t="s">
        <v>886</v>
      </c>
      <c r="B483" s="37">
        <v>128.93</v>
      </c>
      <c r="C483" t="s">
        <v>27</v>
      </c>
      <c r="D483">
        <v>10</v>
      </c>
      <c r="E483">
        <v>10.26</v>
      </c>
      <c r="F483" t="s">
        <v>72</v>
      </c>
      <c r="G483">
        <v>2</v>
      </c>
      <c r="H483">
        <v>13.19</v>
      </c>
    </row>
    <row r="484" spans="1:11" x14ac:dyDescent="0.3">
      <c r="A484" t="s">
        <v>887</v>
      </c>
      <c r="B484" s="37">
        <v>128.93</v>
      </c>
      <c r="C484" t="s">
        <v>27</v>
      </c>
      <c r="D484">
        <v>10</v>
      </c>
      <c r="E484">
        <v>10.26</v>
      </c>
      <c r="F484" t="s">
        <v>72</v>
      </c>
      <c r="G484">
        <v>2</v>
      </c>
      <c r="H484">
        <v>13.19</v>
      </c>
    </row>
    <row r="485" spans="1:11" x14ac:dyDescent="0.3">
      <c r="A485" t="s">
        <v>888</v>
      </c>
      <c r="B485" s="37">
        <v>128.93</v>
      </c>
      <c r="C485" t="s">
        <v>27</v>
      </c>
      <c r="D485">
        <v>10</v>
      </c>
      <c r="E485">
        <v>10.26</v>
      </c>
      <c r="F485" t="s">
        <v>72</v>
      </c>
      <c r="G485">
        <v>2</v>
      </c>
      <c r="H485">
        <v>13.19</v>
      </c>
    </row>
    <row r="486" spans="1:11" x14ac:dyDescent="0.3">
      <c r="A486" t="s">
        <v>890</v>
      </c>
      <c r="B486" s="37">
        <v>128.93</v>
      </c>
      <c r="C486" t="s">
        <v>27</v>
      </c>
      <c r="D486">
        <v>10</v>
      </c>
      <c r="E486">
        <v>10.26</v>
      </c>
      <c r="F486" t="s">
        <v>72</v>
      </c>
      <c r="G486">
        <v>2</v>
      </c>
      <c r="H486" s="37">
        <v>13.19</v>
      </c>
    </row>
    <row r="487" spans="1:11" x14ac:dyDescent="0.3">
      <c r="A487" t="s">
        <v>889</v>
      </c>
      <c r="B487" s="37">
        <v>128.93</v>
      </c>
      <c r="C487" t="s">
        <v>27</v>
      </c>
      <c r="D487">
        <v>10</v>
      </c>
      <c r="E487">
        <v>10.26</v>
      </c>
      <c r="F487" t="s">
        <v>72</v>
      </c>
      <c r="G487">
        <v>2</v>
      </c>
      <c r="H487" s="37">
        <v>13.19</v>
      </c>
    </row>
    <row r="488" spans="1:11" x14ac:dyDescent="0.3">
      <c r="A488" t="s">
        <v>892</v>
      </c>
      <c r="B488" s="37">
        <v>128.93</v>
      </c>
      <c r="C488" t="s">
        <v>27</v>
      </c>
      <c r="D488">
        <v>10</v>
      </c>
      <c r="E488">
        <v>10.26</v>
      </c>
      <c r="F488" t="s">
        <v>72</v>
      </c>
      <c r="G488">
        <v>2</v>
      </c>
      <c r="H488" s="37">
        <v>13.19</v>
      </c>
      <c r="K488" s="37"/>
    </row>
    <row r="489" spans="1:11" x14ac:dyDescent="0.3">
      <c r="A489" t="s">
        <v>891</v>
      </c>
      <c r="B489" s="37">
        <v>128.93</v>
      </c>
      <c r="C489" t="s">
        <v>27</v>
      </c>
      <c r="D489">
        <v>10</v>
      </c>
      <c r="E489">
        <v>10.26</v>
      </c>
      <c r="F489" t="s">
        <v>72</v>
      </c>
      <c r="G489">
        <v>2</v>
      </c>
      <c r="H489" s="37">
        <v>13.19</v>
      </c>
      <c r="K489" s="37"/>
    </row>
    <row r="490" spans="1:11" x14ac:dyDescent="0.3">
      <c r="A490" t="s">
        <v>894</v>
      </c>
      <c r="B490" s="37">
        <v>128.93</v>
      </c>
      <c r="C490" t="s">
        <v>27</v>
      </c>
      <c r="D490">
        <v>10</v>
      </c>
      <c r="E490">
        <v>10.26</v>
      </c>
      <c r="F490" t="s">
        <v>72</v>
      </c>
      <c r="G490">
        <v>2</v>
      </c>
      <c r="H490" s="37">
        <v>13.19</v>
      </c>
    </row>
    <row r="491" spans="1:11" x14ac:dyDescent="0.3">
      <c r="A491" t="s">
        <v>893</v>
      </c>
      <c r="B491" s="37">
        <v>128.93</v>
      </c>
      <c r="C491" t="s">
        <v>27</v>
      </c>
      <c r="D491">
        <v>10</v>
      </c>
      <c r="E491">
        <v>10.26</v>
      </c>
      <c r="F491" t="s">
        <v>72</v>
      </c>
      <c r="G491">
        <v>2</v>
      </c>
      <c r="H491" s="37">
        <v>13.19</v>
      </c>
      <c r="K491" s="37"/>
    </row>
    <row r="492" spans="1:11" x14ac:dyDescent="0.3">
      <c r="A492" t="s">
        <v>895</v>
      </c>
      <c r="B492" s="37">
        <v>128.93</v>
      </c>
      <c r="C492" t="s">
        <v>27</v>
      </c>
      <c r="D492">
        <v>10</v>
      </c>
      <c r="E492">
        <v>10.26</v>
      </c>
      <c r="F492" t="s">
        <v>72</v>
      </c>
      <c r="G492">
        <v>2</v>
      </c>
      <c r="H492" s="37">
        <v>13.19</v>
      </c>
    </row>
    <row r="493" spans="1:11" x14ac:dyDescent="0.3">
      <c r="A493" t="s">
        <v>897</v>
      </c>
      <c r="B493" s="37">
        <v>216.84</v>
      </c>
      <c r="C493" t="s">
        <v>69</v>
      </c>
      <c r="D493">
        <v>10</v>
      </c>
      <c r="E493">
        <v>19.05</v>
      </c>
      <c r="F493" t="s">
        <v>74</v>
      </c>
      <c r="G493">
        <v>2</v>
      </c>
      <c r="H493" s="37">
        <v>13.19</v>
      </c>
    </row>
    <row r="494" spans="1:11" x14ac:dyDescent="0.3">
      <c r="A494" t="s">
        <v>896</v>
      </c>
      <c r="B494" s="37">
        <v>187.57</v>
      </c>
      <c r="C494" t="s">
        <v>31</v>
      </c>
      <c r="D494">
        <v>10</v>
      </c>
      <c r="E494">
        <v>16.12</v>
      </c>
      <c r="F494" t="s">
        <v>74</v>
      </c>
      <c r="G494">
        <v>2</v>
      </c>
      <c r="H494" s="37">
        <v>13.19</v>
      </c>
    </row>
    <row r="495" spans="1:11" x14ac:dyDescent="0.3">
      <c r="A495" t="s">
        <v>898</v>
      </c>
      <c r="B495" s="37">
        <v>158.25</v>
      </c>
      <c r="C495" t="s">
        <v>29</v>
      </c>
      <c r="D495">
        <v>10</v>
      </c>
      <c r="E495">
        <v>13.19</v>
      </c>
      <c r="F495" t="s">
        <v>74</v>
      </c>
      <c r="G495">
        <v>2</v>
      </c>
      <c r="H495" s="37">
        <v>13.19</v>
      </c>
    </row>
    <row r="496" spans="1:11" x14ac:dyDescent="0.3">
      <c r="A496" t="s">
        <v>899</v>
      </c>
      <c r="B496" s="37">
        <v>187.57</v>
      </c>
      <c r="C496" t="s">
        <v>31</v>
      </c>
      <c r="D496">
        <v>10</v>
      </c>
      <c r="E496">
        <v>16.12</v>
      </c>
      <c r="F496" t="s">
        <v>74</v>
      </c>
      <c r="G496">
        <v>2</v>
      </c>
      <c r="H496" s="37">
        <v>13.19</v>
      </c>
    </row>
    <row r="497" spans="1:8" x14ac:dyDescent="0.3">
      <c r="A497" t="s">
        <v>900</v>
      </c>
      <c r="B497" s="37">
        <v>187.57</v>
      </c>
      <c r="C497" t="s">
        <v>31</v>
      </c>
      <c r="D497">
        <v>10</v>
      </c>
      <c r="E497">
        <v>16.12</v>
      </c>
      <c r="F497" t="s">
        <v>74</v>
      </c>
      <c r="G497">
        <v>2</v>
      </c>
      <c r="H497" s="37">
        <v>13.19</v>
      </c>
    </row>
    <row r="498" spans="1:8" x14ac:dyDescent="0.3">
      <c r="A498" t="s">
        <v>901</v>
      </c>
      <c r="B498" s="37">
        <v>187.57</v>
      </c>
      <c r="C498" t="s">
        <v>31</v>
      </c>
      <c r="D498">
        <v>10</v>
      </c>
      <c r="E498">
        <v>16.12</v>
      </c>
      <c r="F498" t="s">
        <v>74</v>
      </c>
      <c r="G498">
        <v>2</v>
      </c>
      <c r="H498" s="37">
        <v>13.19</v>
      </c>
    </row>
    <row r="499" spans="1:8" x14ac:dyDescent="0.3">
      <c r="A499" t="s">
        <v>902</v>
      </c>
      <c r="B499" s="37">
        <v>187.57</v>
      </c>
      <c r="C499" t="s">
        <v>31</v>
      </c>
      <c r="D499">
        <v>10</v>
      </c>
      <c r="E499">
        <v>16.12</v>
      </c>
      <c r="F499" t="s">
        <v>74</v>
      </c>
      <c r="G499">
        <v>2</v>
      </c>
      <c r="H499" s="37">
        <v>13.19</v>
      </c>
    </row>
    <row r="500" spans="1:8" x14ac:dyDescent="0.3">
      <c r="A500" t="s">
        <v>904</v>
      </c>
      <c r="B500" s="37">
        <v>216.84</v>
      </c>
      <c r="C500" t="s">
        <v>69</v>
      </c>
      <c r="D500">
        <v>10</v>
      </c>
      <c r="E500">
        <v>19.05</v>
      </c>
      <c r="F500" t="s">
        <v>74</v>
      </c>
      <c r="G500">
        <v>2</v>
      </c>
      <c r="H500" s="37">
        <v>13.19</v>
      </c>
    </row>
    <row r="501" spans="1:8" x14ac:dyDescent="0.3">
      <c r="A501" t="s">
        <v>903</v>
      </c>
      <c r="B501" s="37">
        <v>187.57</v>
      </c>
      <c r="C501" t="s">
        <v>31</v>
      </c>
      <c r="D501">
        <v>10</v>
      </c>
      <c r="E501">
        <v>16.12</v>
      </c>
      <c r="F501" t="s">
        <v>74</v>
      </c>
      <c r="G501">
        <v>2</v>
      </c>
      <c r="H501" s="37">
        <v>13.19</v>
      </c>
    </row>
    <row r="502" spans="1:8" x14ac:dyDescent="0.3">
      <c r="A502" t="s">
        <v>905</v>
      </c>
      <c r="B502" s="37">
        <v>187.57</v>
      </c>
      <c r="C502" t="s">
        <v>31</v>
      </c>
      <c r="D502">
        <v>10</v>
      </c>
      <c r="E502">
        <v>16.12</v>
      </c>
      <c r="F502" t="s">
        <v>74</v>
      </c>
      <c r="G502">
        <v>2</v>
      </c>
      <c r="H502" s="37">
        <v>13.19</v>
      </c>
    </row>
    <row r="503" spans="1:8" x14ac:dyDescent="0.3">
      <c r="A503" t="s">
        <v>906</v>
      </c>
      <c r="B503" s="37">
        <v>216.84</v>
      </c>
      <c r="C503" t="s">
        <v>69</v>
      </c>
      <c r="D503">
        <v>10</v>
      </c>
      <c r="E503">
        <v>19.05</v>
      </c>
      <c r="F503" t="s">
        <v>74</v>
      </c>
      <c r="G503">
        <v>2</v>
      </c>
      <c r="H503" s="37">
        <v>13.19</v>
      </c>
    </row>
    <row r="504" spans="1:8" x14ac:dyDescent="0.3">
      <c r="A504" t="s">
        <v>909</v>
      </c>
      <c r="B504" s="37">
        <v>73.239999999999995</v>
      </c>
      <c r="C504" t="s">
        <v>24</v>
      </c>
      <c r="D504">
        <v>10</v>
      </c>
      <c r="E504">
        <v>7.32</v>
      </c>
      <c r="H504" s="37"/>
    </row>
    <row r="505" spans="1:8" x14ac:dyDescent="0.3">
      <c r="A505" t="s">
        <v>907</v>
      </c>
      <c r="B505" s="37">
        <v>187.57</v>
      </c>
      <c r="C505" t="s">
        <v>31</v>
      </c>
      <c r="D505">
        <v>10</v>
      </c>
      <c r="E505">
        <v>16.12</v>
      </c>
      <c r="F505" t="s">
        <v>74</v>
      </c>
      <c r="G505">
        <v>2</v>
      </c>
      <c r="H505" s="37">
        <v>13.19</v>
      </c>
    </row>
    <row r="506" spans="1:8" x14ac:dyDescent="0.3">
      <c r="A506" t="s">
        <v>908</v>
      </c>
      <c r="B506" s="37">
        <v>202.19</v>
      </c>
      <c r="C506" t="s">
        <v>43</v>
      </c>
      <c r="D506">
        <v>10</v>
      </c>
      <c r="E506">
        <v>17.579999999999998</v>
      </c>
      <c r="F506" t="s">
        <v>74</v>
      </c>
      <c r="G506">
        <v>2</v>
      </c>
      <c r="H506" s="37">
        <v>13.19</v>
      </c>
    </row>
    <row r="507" spans="1:8" x14ac:dyDescent="0.3">
      <c r="A507" t="s">
        <v>910</v>
      </c>
      <c r="B507" s="37">
        <v>131.88</v>
      </c>
      <c r="C507" t="s">
        <v>29</v>
      </c>
      <c r="D507">
        <v>10</v>
      </c>
      <c r="E507">
        <v>13.19</v>
      </c>
      <c r="H507" s="37"/>
    </row>
    <row r="508" spans="1:8" x14ac:dyDescent="0.3">
      <c r="A508" t="s">
        <v>912</v>
      </c>
      <c r="B508" s="37">
        <v>145.07</v>
      </c>
      <c r="C508" t="s">
        <v>65</v>
      </c>
      <c r="D508">
        <v>9</v>
      </c>
      <c r="E508">
        <v>13.19</v>
      </c>
      <c r="F508" t="s">
        <v>72</v>
      </c>
      <c r="G508">
        <v>2</v>
      </c>
      <c r="H508" s="37">
        <v>13.19</v>
      </c>
    </row>
    <row r="509" spans="1:8" x14ac:dyDescent="0.3">
      <c r="A509" t="s">
        <v>911</v>
      </c>
      <c r="B509" s="37">
        <v>263.72000000000003</v>
      </c>
      <c r="C509" t="s">
        <v>45</v>
      </c>
      <c r="D509">
        <v>9</v>
      </c>
      <c r="E509">
        <v>23.44</v>
      </c>
      <c r="F509" t="s">
        <v>79</v>
      </c>
      <c r="G509">
        <v>2</v>
      </c>
      <c r="H509" s="37">
        <v>26.36</v>
      </c>
    </row>
    <row r="510" spans="1:8" x14ac:dyDescent="0.3">
      <c r="A510" t="s">
        <v>913</v>
      </c>
      <c r="B510" s="37">
        <v>237.36</v>
      </c>
      <c r="C510" t="s">
        <v>57</v>
      </c>
      <c r="D510">
        <v>8</v>
      </c>
      <c r="E510">
        <v>26.37</v>
      </c>
      <c r="F510" t="s">
        <v>83</v>
      </c>
      <c r="G510">
        <v>2</v>
      </c>
      <c r="H510" s="37">
        <v>13.19</v>
      </c>
    </row>
    <row r="511" spans="1:8" x14ac:dyDescent="0.3">
      <c r="A511" t="s">
        <v>914</v>
      </c>
      <c r="B511" s="37">
        <v>139.19999999999999</v>
      </c>
      <c r="C511" t="s">
        <v>65</v>
      </c>
      <c r="D511">
        <v>9</v>
      </c>
      <c r="E511">
        <v>13.19</v>
      </c>
      <c r="F511" t="s">
        <v>87</v>
      </c>
      <c r="G511">
        <v>2</v>
      </c>
      <c r="H511" s="37">
        <v>10.26</v>
      </c>
    </row>
    <row r="512" spans="1:8" x14ac:dyDescent="0.3">
      <c r="A512" t="s">
        <v>916</v>
      </c>
      <c r="B512" s="37">
        <v>108.42</v>
      </c>
      <c r="C512" t="s">
        <v>27</v>
      </c>
      <c r="D512">
        <v>8</v>
      </c>
      <c r="E512">
        <v>10.26</v>
      </c>
      <c r="F512" t="s">
        <v>72</v>
      </c>
      <c r="G512">
        <v>2</v>
      </c>
      <c r="H512" s="37">
        <v>13.19</v>
      </c>
    </row>
    <row r="513" spans="1:8" x14ac:dyDescent="0.3">
      <c r="A513" t="s">
        <v>917</v>
      </c>
      <c r="B513" s="37">
        <v>108.42</v>
      </c>
      <c r="C513" t="s">
        <v>27</v>
      </c>
      <c r="D513">
        <v>8</v>
      </c>
      <c r="E513">
        <v>10.26</v>
      </c>
      <c r="F513" t="s">
        <v>72</v>
      </c>
      <c r="G513">
        <v>2</v>
      </c>
      <c r="H513" s="37">
        <v>13.19</v>
      </c>
    </row>
    <row r="514" spans="1:8" x14ac:dyDescent="0.3">
      <c r="A514" t="s">
        <v>918</v>
      </c>
      <c r="B514" s="37">
        <v>108.42</v>
      </c>
      <c r="C514" t="s">
        <v>27</v>
      </c>
      <c r="D514">
        <v>8</v>
      </c>
      <c r="E514">
        <v>10.26</v>
      </c>
      <c r="F514" t="s">
        <v>72</v>
      </c>
      <c r="G514">
        <v>2</v>
      </c>
      <c r="H514" s="37">
        <v>13.19</v>
      </c>
    </row>
    <row r="515" spans="1:8" x14ac:dyDescent="0.3">
      <c r="A515" t="s">
        <v>919</v>
      </c>
      <c r="B515" s="37">
        <v>131.88</v>
      </c>
      <c r="C515" t="s">
        <v>65</v>
      </c>
      <c r="D515">
        <v>8</v>
      </c>
      <c r="E515">
        <v>13.19</v>
      </c>
      <c r="F515" t="s">
        <v>72</v>
      </c>
      <c r="G515">
        <v>2</v>
      </c>
      <c r="H515">
        <v>13.19</v>
      </c>
    </row>
    <row r="516" spans="1:8" x14ac:dyDescent="0.3">
      <c r="A516" t="s">
        <v>920</v>
      </c>
      <c r="B516" s="37">
        <v>108.42</v>
      </c>
      <c r="C516" t="s">
        <v>27</v>
      </c>
      <c r="D516">
        <v>8</v>
      </c>
      <c r="E516">
        <v>10.26</v>
      </c>
      <c r="F516" t="s">
        <v>72</v>
      </c>
      <c r="G516">
        <v>2</v>
      </c>
      <c r="H516">
        <v>13.19</v>
      </c>
    </row>
    <row r="517" spans="1:8" x14ac:dyDescent="0.3">
      <c r="A517" t="s">
        <v>921</v>
      </c>
      <c r="B517" s="37">
        <v>131.88</v>
      </c>
      <c r="C517" t="s">
        <v>29</v>
      </c>
      <c r="D517">
        <v>8</v>
      </c>
      <c r="E517">
        <v>13.19</v>
      </c>
      <c r="F517" t="s">
        <v>74</v>
      </c>
      <c r="G517">
        <v>2</v>
      </c>
      <c r="H517" s="37">
        <v>13.19</v>
      </c>
    </row>
    <row r="518" spans="1:8" x14ac:dyDescent="0.3">
      <c r="A518" t="s">
        <v>922</v>
      </c>
      <c r="B518" s="37">
        <v>155.33000000000001</v>
      </c>
      <c r="C518" t="s">
        <v>31</v>
      </c>
      <c r="D518">
        <v>8</v>
      </c>
      <c r="E518">
        <v>16.12</v>
      </c>
      <c r="F518" t="s">
        <v>74</v>
      </c>
      <c r="G518">
        <v>2</v>
      </c>
      <c r="H518" s="37">
        <v>13.19</v>
      </c>
    </row>
    <row r="519" spans="1:8" x14ac:dyDescent="0.3">
      <c r="A519" t="s">
        <v>923</v>
      </c>
      <c r="B519" s="37">
        <v>131.88</v>
      </c>
      <c r="C519" t="s">
        <v>29</v>
      </c>
      <c r="D519">
        <v>8</v>
      </c>
      <c r="E519">
        <v>13.19</v>
      </c>
      <c r="F519" t="s">
        <v>74</v>
      </c>
      <c r="G519">
        <v>2</v>
      </c>
      <c r="H519" s="37">
        <v>13.19</v>
      </c>
    </row>
    <row r="520" spans="1:8" x14ac:dyDescent="0.3">
      <c r="A520" t="s">
        <v>924</v>
      </c>
      <c r="B520" s="37">
        <v>155.33000000000001</v>
      </c>
      <c r="C520" t="s">
        <v>31</v>
      </c>
      <c r="D520">
        <v>8</v>
      </c>
      <c r="E520">
        <v>16.12</v>
      </c>
      <c r="F520" t="s">
        <v>74</v>
      </c>
      <c r="G520">
        <v>2</v>
      </c>
      <c r="H520" s="37">
        <v>13.19</v>
      </c>
    </row>
    <row r="521" spans="1:8" x14ac:dyDescent="0.3">
      <c r="A521" t="s">
        <v>925</v>
      </c>
      <c r="B521" s="37">
        <v>155.33000000000001</v>
      </c>
      <c r="C521" t="s">
        <v>31</v>
      </c>
      <c r="D521">
        <v>8</v>
      </c>
      <c r="E521">
        <v>16.12</v>
      </c>
      <c r="F521" t="s">
        <v>74</v>
      </c>
      <c r="G521">
        <v>2</v>
      </c>
      <c r="H521" s="37">
        <v>13.19</v>
      </c>
    </row>
    <row r="522" spans="1:8" x14ac:dyDescent="0.3">
      <c r="A522" t="s">
        <v>927</v>
      </c>
      <c r="B522" s="37">
        <v>128.96</v>
      </c>
      <c r="C522" t="s">
        <v>31</v>
      </c>
      <c r="D522">
        <v>8</v>
      </c>
      <c r="E522">
        <v>16.12</v>
      </c>
      <c r="H522" s="37"/>
    </row>
    <row r="523" spans="1:8" x14ac:dyDescent="0.3">
      <c r="A523" t="s">
        <v>928</v>
      </c>
      <c r="B523" s="37">
        <v>140.65</v>
      </c>
      <c r="C523" t="s">
        <v>41</v>
      </c>
      <c r="D523">
        <v>8</v>
      </c>
      <c r="E523">
        <v>14.28</v>
      </c>
      <c r="F523" t="s">
        <v>74</v>
      </c>
      <c r="G523">
        <v>2</v>
      </c>
      <c r="H523" s="37">
        <v>13.19</v>
      </c>
    </row>
    <row r="524" spans="1:8" x14ac:dyDescent="0.3">
      <c r="A524" t="s">
        <v>926</v>
      </c>
      <c r="B524" s="37">
        <v>228.55</v>
      </c>
      <c r="C524" t="s">
        <v>33</v>
      </c>
      <c r="D524">
        <v>8</v>
      </c>
      <c r="E524">
        <v>21.98</v>
      </c>
      <c r="F524" t="s">
        <v>79</v>
      </c>
      <c r="G524">
        <v>2</v>
      </c>
      <c r="H524" s="37">
        <v>26.36</v>
      </c>
    </row>
    <row r="525" spans="1:8" x14ac:dyDescent="0.3">
      <c r="A525" t="s">
        <v>929</v>
      </c>
      <c r="B525" s="37">
        <v>128.96</v>
      </c>
      <c r="C525" t="s">
        <v>67</v>
      </c>
      <c r="D525">
        <v>8</v>
      </c>
      <c r="E525">
        <v>16.12</v>
      </c>
      <c r="H525" s="37"/>
    </row>
    <row r="526" spans="1:8" x14ac:dyDescent="0.3">
      <c r="A526" t="s">
        <v>930</v>
      </c>
      <c r="B526" s="37">
        <v>98.17</v>
      </c>
      <c r="C526" t="s">
        <v>27</v>
      </c>
      <c r="D526">
        <v>7</v>
      </c>
      <c r="E526">
        <v>10.26</v>
      </c>
      <c r="F526" t="s">
        <v>72</v>
      </c>
      <c r="G526">
        <v>2</v>
      </c>
      <c r="H526" s="37">
        <v>13.19</v>
      </c>
    </row>
    <row r="527" spans="1:8" x14ac:dyDescent="0.3">
      <c r="A527" t="s">
        <v>931</v>
      </c>
      <c r="B527" s="37">
        <v>167.03</v>
      </c>
      <c r="C527" t="s">
        <v>53</v>
      </c>
      <c r="D527">
        <v>6</v>
      </c>
      <c r="E527">
        <v>23.44</v>
      </c>
      <c r="F527" t="s">
        <v>81</v>
      </c>
      <c r="G527">
        <v>2</v>
      </c>
      <c r="H527" s="37">
        <v>13.19</v>
      </c>
    </row>
    <row r="528" spans="1:8" x14ac:dyDescent="0.3">
      <c r="A528" t="s">
        <v>932</v>
      </c>
      <c r="B528" s="37">
        <v>92.32</v>
      </c>
      <c r="C528" t="s">
        <v>29</v>
      </c>
      <c r="D528">
        <v>7</v>
      </c>
      <c r="E528">
        <v>13.19</v>
      </c>
      <c r="H528" s="37"/>
    </row>
    <row r="529" spans="1:8" x14ac:dyDescent="0.3">
      <c r="A529" t="s">
        <v>933</v>
      </c>
      <c r="B529" s="37">
        <v>70.319999999999993</v>
      </c>
      <c r="C529" t="s">
        <v>24</v>
      </c>
      <c r="D529">
        <v>6</v>
      </c>
      <c r="E529">
        <v>7.32</v>
      </c>
      <c r="F529" t="s">
        <v>72</v>
      </c>
      <c r="G529">
        <v>2</v>
      </c>
      <c r="H529" s="37">
        <v>13.19</v>
      </c>
    </row>
    <row r="530" spans="1:8" x14ac:dyDescent="0.3">
      <c r="A530" t="s">
        <v>936</v>
      </c>
      <c r="B530" s="37">
        <v>70.319999999999993</v>
      </c>
      <c r="C530" t="s">
        <v>24</v>
      </c>
      <c r="D530">
        <v>6</v>
      </c>
      <c r="E530">
        <v>7.32</v>
      </c>
      <c r="F530" t="s">
        <v>72</v>
      </c>
      <c r="G530">
        <v>2</v>
      </c>
      <c r="H530" s="37">
        <v>13.19</v>
      </c>
    </row>
    <row r="531" spans="1:8" x14ac:dyDescent="0.3">
      <c r="A531" t="s">
        <v>935</v>
      </c>
      <c r="B531" s="37">
        <v>87.91</v>
      </c>
      <c r="C531" t="s">
        <v>27</v>
      </c>
      <c r="D531">
        <v>6</v>
      </c>
      <c r="E531">
        <v>10.26</v>
      </c>
      <c r="F531" t="s">
        <v>72</v>
      </c>
      <c r="G531">
        <v>2</v>
      </c>
      <c r="H531" s="37">
        <v>13.19</v>
      </c>
    </row>
    <row r="532" spans="1:8" x14ac:dyDescent="0.3">
      <c r="A532" t="s">
        <v>934</v>
      </c>
      <c r="B532" s="37">
        <v>87.91</v>
      </c>
      <c r="C532" t="s">
        <v>63</v>
      </c>
      <c r="D532">
        <v>6</v>
      </c>
      <c r="E532">
        <v>10.26</v>
      </c>
      <c r="F532" t="s">
        <v>72</v>
      </c>
      <c r="G532">
        <v>2</v>
      </c>
      <c r="H532" s="37">
        <v>13.19</v>
      </c>
    </row>
    <row r="533" spans="1:8" x14ac:dyDescent="0.3">
      <c r="A533" t="s">
        <v>938</v>
      </c>
      <c r="B533" s="37">
        <v>87.91</v>
      </c>
      <c r="C533" t="s">
        <v>27</v>
      </c>
      <c r="D533">
        <v>6</v>
      </c>
      <c r="E533">
        <v>10.26</v>
      </c>
      <c r="F533" t="s">
        <v>72</v>
      </c>
      <c r="G533">
        <v>2</v>
      </c>
      <c r="H533">
        <v>13.19</v>
      </c>
    </row>
    <row r="534" spans="1:8" x14ac:dyDescent="0.3">
      <c r="A534" t="s">
        <v>937</v>
      </c>
      <c r="B534" s="37">
        <v>87.91</v>
      </c>
      <c r="C534" t="s">
        <v>27</v>
      </c>
      <c r="D534">
        <v>6</v>
      </c>
      <c r="E534">
        <v>10.26</v>
      </c>
      <c r="F534" t="s">
        <v>72</v>
      </c>
      <c r="G534">
        <v>2</v>
      </c>
      <c r="H534" s="37">
        <v>13.19</v>
      </c>
    </row>
    <row r="535" spans="1:8" x14ac:dyDescent="0.3">
      <c r="A535" t="s">
        <v>939</v>
      </c>
      <c r="B535" s="37">
        <v>87.91</v>
      </c>
      <c r="C535" t="s">
        <v>27</v>
      </c>
      <c r="D535">
        <v>6</v>
      </c>
      <c r="E535">
        <v>10.26</v>
      </c>
      <c r="F535" t="s">
        <v>72</v>
      </c>
      <c r="G535">
        <v>2</v>
      </c>
      <c r="H535">
        <v>13.19</v>
      </c>
    </row>
    <row r="536" spans="1:8" x14ac:dyDescent="0.3">
      <c r="A536" t="s">
        <v>940</v>
      </c>
      <c r="B536" s="37">
        <v>105.5</v>
      </c>
      <c r="C536" t="s">
        <v>65</v>
      </c>
      <c r="D536">
        <v>6</v>
      </c>
      <c r="E536">
        <v>13.19</v>
      </c>
      <c r="F536" t="s">
        <v>72</v>
      </c>
      <c r="G536">
        <v>2</v>
      </c>
      <c r="H536" s="37">
        <v>13.19</v>
      </c>
    </row>
    <row r="537" spans="1:8" x14ac:dyDescent="0.3">
      <c r="A537" t="s">
        <v>941</v>
      </c>
      <c r="B537" s="37">
        <v>87.91</v>
      </c>
      <c r="C537" t="s">
        <v>27</v>
      </c>
      <c r="D537">
        <v>6</v>
      </c>
      <c r="E537">
        <v>10.26</v>
      </c>
      <c r="F537" t="s">
        <v>72</v>
      </c>
      <c r="G537">
        <v>2</v>
      </c>
      <c r="H537" s="37">
        <v>13.19</v>
      </c>
    </row>
    <row r="538" spans="1:8" x14ac:dyDescent="0.3">
      <c r="A538" t="s">
        <v>944</v>
      </c>
      <c r="B538" s="37">
        <v>87.91</v>
      </c>
      <c r="C538" t="s">
        <v>27</v>
      </c>
      <c r="D538">
        <v>6</v>
      </c>
      <c r="E538">
        <v>10.26</v>
      </c>
      <c r="F538" t="s">
        <v>72</v>
      </c>
      <c r="G538">
        <v>2</v>
      </c>
      <c r="H538">
        <v>13.19</v>
      </c>
    </row>
    <row r="539" spans="1:8" x14ac:dyDescent="0.3">
      <c r="A539" t="s">
        <v>942</v>
      </c>
      <c r="B539" s="37">
        <v>87.91</v>
      </c>
      <c r="C539" t="s">
        <v>27</v>
      </c>
      <c r="D539">
        <v>6</v>
      </c>
      <c r="E539">
        <v>10.26</v>
      </c>
      <c r="F539" t="s">
        <v>72</v>
      </c>
      <c r="G539">
        <v>2</v>
      </c>
      <c r="H539" s="37">
        <v>13.19</v>
      </c>
    </row>
    <row r="540" spans="1:8" x14ac:dyDescent="0.3">
      <c r="A540" t="s">
        <v>945</v>
      </c>
      <c r="B540" s="37">
        <v>87.91</v>
      </c>
      <c r="C540" t="s">
        <v>27</v>
      </c>
      <c r="D540">
        <v>6</v>
      </c>
      <c r="E540">
        <v>10.26</v>
      </c>
      <c r="F540" t="s">
        <v>72</v>
      </c>
      <c r="G540">
        <v>2</v>
      </c>
      <c r="H540" s="37">
        <v>13.19</v>
      </c>
    </row>
    <row r="541" spans="1:8" x14ac:dyDescent="0.3">
      <c r="A541" t="s">
        <v>943</v>
      </c>
      <c r="B541" s="37">
        <v>105.5</v>
      </c>
      <c r="C541" t="s">
        <v>65</v>
      </c>
      <c r="D541">
        <v>6</v>
      </c>
      <c r="E541">
        <v>13.19</v>
      </c>
      <c r="F541" t="s">
        <v>72</v>
      </c>
      <c r="G541">
        <v>2</v>
      </c>
      <c r="H541" s="37">
        <v>13.19</v>
      </c>
    </row>
    <row r="542" spans="1:8" x14ac:dyDescent="0.3">
      <c r="A542" t="s">
        <v>946</v>
      </c>
      <c r="B542" s="37">
        <v>105.5</v>
      </c>
      <c r="C542" t="s">
        <v>29</v>
      </c>
      <c r="D542">
        <v>6</v>
      </c>
      <c r="E542">
        <v>13.19</v>
      </c>
      <c r="F542" t="s">
        <v>74</v>
      </c>
      <c r="G542">
        <v>2</v>
      </c>
      <c r="H542" s="37">
        <v>13.19</v>
      </c>
    </row>
    <row r="543" spans="1:8" x14ac:dyDescent="0.3">
      <c r="A543" t="s">
        <v>947</v>
      </c>
      <c r="B543" s="37">
        <v>105.5</v>
      </c>
      <c r="C543" t="s">
        <v>29</v>
      </c>
      <c r="D543">
        <v>6</v>
      </c>
      <c r="E543">
        <v>13.19</v>
      </c>
      <c r="F543" t="s">
        <v>74</v>
      </c>
      <c r="G543">
        <v>2</v>
      </c>
      <c r="H543" s="37">
        <v>13.19</v>
      </c>
    </row>
    <row r="544" spans="1:8" x14ac:dyDescent="0.3">
      <c r="A544" t="s">
        <v>949</v>
      </c>
      <c r="B544" s="37">
        <v>123.09</v>
      </c>
      <c r="C544" t="s">
        <v>31</v>
      </c>
      <c r="D544">
        <v>6</v>
      </c>
      <c r="E544">
        <v>16.12</v>
      </c>
      <c r="F544" t="s">
        <v>74</v>
      </c>
      <c r="G544">
        <v>2</v>
      </c>
      <c r="H544" s="37">
        <v>13.19</v>
      </c>
    </row>
    <row r="545" spans="1:11" x14ac:dyDescent="0.3">
      <c r="A545" t="s">
        <v>948</v>
      </c>
      <c r="B545" s="37">
        <v>175.83</v>
      </c>
      <c r="C545" t="s">
        <v>31</v>
      </c>
      <c r="D545">
        <v>6</v>
      </c>
      <c r="E545">
        <v>16.12</v>
      </c>
      <c r="F545" t="s">
        <v>74</v>
      </c>
      <c r="G545">
        <v>2</v>
      </c>
      <c r="H545" s="37">
        <v>13.19</v>
      </c>
      <c r="I545" t="s">
        <v>164</v>
      </c>
      <c r="J545">
        <v>3</v>
      </c>
      <c r="K545">
        <v>17.579999999999998</v>
      </c>
    </row>
    <row r="546" spans="1:11" x14ac:dyDescent="0.3">
      <c r="A546" t="s">
        <v>950</v>
      </c>
      <c r="B546" s="37">
        <v>140.66</v>
      </c>
      <c r="C546" t="s">
        <v>69</v>
      </c>
      <c r="D546">
        <v>6</v>
      </c>
      <c r="E546">
        <v>19.05</v>
      </c>
      <c r="F546" t="s">
        <v>74</v>
      </c>
      <c r="G546">
        <v>2</v>
      </c>
      <c r="H546" s="37">
        <v>13.19</v>
      </c>
    </row>
    <row r="547" spans="1:11" x14ac:dyDescent="0.3">
      <c r="A547" t="s">
        <v>953</v>
      </c>
      <c r="B547" s="37">
        <v>123.09</v>
      </c>
      <c r="C547" t="s">
        <v>31</v>
      </c>
      <c r="D547">
        <v>6</v>
      </c>
      <c r="E547">
        <v>16.12</v>
      </c>
      <c r="F547" t="s">
        <v>74</v>
      </c>
      <c r="G547">
        <v>2</v>
      </c>
      <c r="H547" s="37">
        <v>13.19</v>
      </c>
    </row>
    <row r="548" spans="1:11" x14ac:dyDescent="0.3">
      <c r="A548" t="s">
        <v>952</v>
      </c>
      <c r="B548" s="37">
        <v>123.09</v>
      </c>
      <c r="C548" t="s">
        <v>31</v>
      </c>
      <c r="D548">
        <v>6</v>
      </c>
      <c r="E548">
        <v>16.12</v>
      </c>
      <c r="F548" t="s">
        <v>74</v>
      </c>
      <c r="G548">
        <v>2</v>
      </c>
      <c r="H548" s="37">
        <v>13.19</v>
      </c>
    </row>
    <row r="549" spans="1:11" x14ac:dyDescent="0.3">
      <c r="A549" t="s">
        <v>951</v>
      </c>
      <c r="B549" s="37">
        <v>64.45</v>
      </c>
      <c r="C549" t="s">
        <v>24</v>
      </c>
      <c r="D549">
        <v>6</v>
      </c>
      <c r="E549">
        <v>7.32</v>
      </c>
      <c r="F549" t="s">
        <v>87</v>
      </c>
      <c r="G549">
        <v>2</v>
      </c>
      <c r="H549" s="37">
        <v>10.26</v>
      </c>
    </row>
    <row r="550" spans="1:11" x14ac:dyDescent="0.3">
      <c r="A550" t="s">
        <v>956</v>
      </c>
      <c r="B550" s="37">
        <v>99.64</v>
      </c>
      <c r="C550" t="s">
        <v>65</v>
      </c>
      <c r="D550">
        <v>6</v>
      </c>
      <c r="E550">
        <v>13.19</v>
      </c>
      <c r="F550" t="s">
        <v>87</v>
      </c>
      <c r="G550">
        <v>2</v>
      </c>
      <c r="H550" s="37">
        <v>10.26</v>
      </c>
    </row>
    <row r="551" spans="1:11" x14ac:dyDescent="0.3">
      <c r="A551" t="s">
        <v>969</v>
      </c>
      <c r="B551" s="37">
        <v>82.05</v>
      </c>
      <c r="C551" t="s">
        <v>27</v>
      </c>
      <c r="D551">
        <v>6</v>
      </c>
      <c r="E551">
        <v>10.26</v>
      </c>
      <c r="F551" t="s">
        <v>87</v>
      </c>
      <c r="G551">
        <v>2</v>
      </c>
      <c r="H551" s="37">
        <v>10.26</v>
      </c>
    </row>
    <row r="552" spans="1:11" x14ac:dyDescent="0.3">
      <c r="A552" t="s">
        <v>955</v>
      </c>
      <c r="B552" s="37">
        <v>43.94</v>
      </c>
      <c r="C552" t="s">
        <v>24</v>
      </c>
      <c r="D552">
        <v>6</v>
      </c>
      <c r="E552">
        <v>7.32</v>
      </c>
      <c r="H552" s="37"/>
    </row>
    <row r="553" spans="1:11" x14ac:dyDescent="0.3">
      <c r="A553" t="s">
        <v>970</v>
      </c>
      <c r="B553" s="37">
        <v>61.53</v>
      </c>
      <c r="C553" t="s">
        <v>27</v>
      </c>
      <c r="D553">
        <v>6</v>
      </c>
      <c r="E553">
        <v>10.26</v>
      </c>
      <c r="H553" s="37"/>
    </row>
    <row r="554" spans="1:11" x14ac:dyDescent="0.3">
      <c r="A554" t="s">
        <v>971</v>
      </c>
      <c r="B554" s="37">
        <v>184.58</v>
      </c>
      <c r="C554" t="s">
        <v>69</v>
      </c>
      <c r="D554">
        <v>6</v>
      </c>
      <c r="E554">
        <v>19.05</v>
      </c>
      <c r="F554" t="s">
        <v>110</v>
      </c>
      <c r="G554">
        <v>2</v>
      </c>
      <c r="H554" s="37">
        <v>17.579999999999998</v>
      </c>
      <c r="I554" t="s">
        <v>137</v>
      </c>
      <c r="J554">
        <v>8</v>
      </c>
      <c r="K554" s="37">
        <v>4.3899999999999997</v>
      </c>
    </row>
    <row r="555" spans="1:11" x14ac:dyDescent="0.3">
      <c r="A555" t="s">
        <v>954</v>
      </c>
      <c r="B555" s="37">
        <v>167.01</v>
      </c>
      <c r="C555" t="s">
        <v>31</v>
      </c>
      <c r="D555">
        <v>6</v>
      </c>
      <c r="E555">
        <v>16.12</v>
      </c>
      <c r="F555" t="s">
        <v>110</v>
      </c>
      <c r="G555">
        <v>2</v>
      </c>
      <c r="H555" s="37">
        <v>17.579999999999998</v>
      </c>
      <c r="I555" t="s">
        <v>137</v>
      </c>
      <c r="J555">
        <v>8</v>
      </c>
      <c r="K555">
        <v>4.3899999999999997</v>
      </c>
    </row>
    <row r="556" spans="1:11" x14ac:dyDescent="0.3">
      <c r="A556" t="s">
        <v>957</v>
      </c>
      <c r="B556" s="37">
        <v>413.25</v>
      </c>
      <c r="C556" t="s">
        <v>31</v>
      </c>
      <c r="D556">
        <v>24</v>
      </c>
      <c r="E556">
        <v>16.12</v>
      </c>
      <c r="F556" t="s">
        <v>74</v>
      </c>
      <c r="G556">
        <v>2</v>
      </c>
      <c r="H556" s="37">
        <v>13.19</v>
      </c>
    </row>
    <row r="557" spans="1:11" x14ac:dyDescent="0.3">
      <c r="A557" t="s">
        <v>958</v>
      </c>
      <c r="B557" s="37">
        <v>413.25</v>
      </c>
      <c r="C557" t="s">
        <v>31</v>
      </c>
      <c r="D557">
        <v>24</v>
      </c>
      <c r="E557">
        <v>16.12</v>
      </c>
      <c r="F557" t="s">
        <v>74</v>
      </c>
      <c r="G557">
        <v>2</v>
      </c>
      <c r="H557" s="37">
        <v>13.19</v>
      </c>
    </row>
    <row r="558" spans="1:11" x14ac:dyDescent="0.3">
      <c r="A558" t="s">
        <v>972</v>
      </c>
      <c r="B558" s="37">
        <v>219.81</v>
      </c>
      <c r="C558" t="s">
        <v>31</v>
      </c>
      <c r="D558">
        <v>12</v>
      </c>
      <c r="E558">
        <v>16.12</v>
      </c>
      <c r="F558" t="s">
        <v>74</v>
      </c>
      <c r="G558">
        <v>2</v>
      </c>
      <c r="H558" s="37">
        <v>13.19</v>
      </c>
    </row>
    <row r="559" spans="1:11" x14ac:dyDescent="0.3">
      <c r="A559" t="s">
        <v>974</v>
      </c>
      <c r="B559" s="37">
        <v>219.81</v>
      </c>
      <c r="C559" t="s">
        <v>31</v>
      </c>
      <c r="D559">
        <v>12</v>
      </c>
      <c r="E559">
        <v>16.12</v>
      </c>
      <c r="F559" t="s">
        <v>74</v>
      </c>
      <c r="G559">
        <v>2</v>
      </c>
      <c r="H559" s="37">
        <v>13.19</v>
      </c>
    </row>
    <row r="560" spans="1:11" x14ac:dyDescent="0.3">
      <c r="A560" t="s">
        <v>959</v>
      </c>
      <c r="B560" s="37">
        <v>448.33</v>
      </c>
      <c r="C560" t="s">
        <v>33</v>
      </c>
      <c r="D560">
        <v>18</v>
      </c>
      <c r="E560">
        <v>21.98</v>
      </c>
      <c r="F560" t="s">
        <v>79</v>
      </c>
      <c r="G560">
        <v>2</v>
      </c>
      <c r="H560" s="37">
        <v>26.36</v>
      </c>
      <c r="K560" s="37"/>
    </row>
    <row r="561" spans="1:11" x14ac:dyDescent="0.3">
      <c r="A561" t="s">
        <v>973</v>
      </c>
      <c r="B561" s="37">
        <v>712.06</v>
      </c>
      <c r="C561" t="s">
        <v>33</v>
      </c>
      <c r="D561">
        <v>30</v>
      </c>
      <c r="E561">
        <v>21.98</v>
      </c>
      <c r="F561" t="s">
        <v>79</v>
      </c>
      <c r="G561">
        <v>2</v>
      </c>
      <c r="H561">
        <v>26.36</v>
      </c>
    </row>
    <row r="562" spans="1:11" x14ac:dyDescent="0.3">
      <c r="A562" t="s">
        <v>960</v>
      </c>
      <c r="B562" s="37">
        <v>316.45999999999998</v>
      </c>
      <c r="C562" t="s">
        <v>33</v>
      </c>
      <c r="D562">
        <v>12</v>
      </c>
      <c r="E562">
        <v>21.98</v>
      </c>
      <c r="F562" t="s">
        <v>79</v>
      </c>
      <c r="G562">
        <v>2</v>
      </c>
      <c r="H562" s="37">
        <v>26.36</v>
      </c>
    </row>
    <row r="563" spans="1:11" x14ac:dyDescent="0.3">
      <c r="A563" t="s">
        <v>975</v>
      </c>
      <c r="B563" s="37">
        <v>580.19000000000005</v>
      </c>
      <c r="C563" t="s">
        <v>33</v>
      </c>
      <c r="D563">
        <v>24</v>
      </c>
      <c r="E563">
        <v>21.98</v>
      </c>
      <c r="F563" t="s">
        <v>79</v>
      </c>
      <c r="G563">
        <v>2</v>
      </c>
      <c r="H563" s="37">
        <v>26.36</v>
      </c>
    </row>
    <row r="564" spans="1:11" x14ac:dyDescent="0.3">
      <c r="A564" t="s">
        <v>961</v>
      </c>
      <c r="B564" s="37">
        <v>316.45999999999998</v>
      </c>
      <c r="C564" t="s">
        <v>33</v>
      </c>
      <c r="D564">
        <v>12</v>
      </c>
      <c r="E564">
        <v>21.98</v>
      </c>
      <c r="F564" t="s">
        <v>79</v>
      </c>
      <c r="G564">
        <v>2</v>
      </c>
      <c r="H564" s="37">
        <v>26.36</v>
      </c>
    </row>
    <row r="565" spans="1:11" x14ac:dyDescent="0.3">
      <c r="A565" t="s">
        <v>506</v>
      </c>
      <c r="B565" s="37">
        <v>606.69000000000005</v>
      </c>
      <c r="C565" t="s">
        <v>31</v>
      </c>
      <c r="D565">
        <v>36</v>
      </c>
      <c r="E565">
        <v>16.12</v>
      </c>
      <c r="F565" t="s">
        <v>74</v>
      </c>
      <c r="G565">
        <v>2</v>
      </c>
      <c r="H565" s="37">
        <v>13.19</v>
      </c>
    </row>
    <row r="566" spans="1:11" x14ac:dyDescent="0.3">
      <c r="A566" t="s">
        <v>407</v>
      </c>
      <c r="B566" s="37">
        <v>1037.31</v>
      </c>
      <c r="C566" t="s">
        <v>27</v>
      </c>
      <c r="D566">
        <v>96</v>
      </c>
      <c r="E566">
        <v>10.26</v>
      </c>
      <c r="F566" t="s">
        <v>72</v>
      </c>
      <c r="G566">
        <v>4</v>
      </c>
      <c r="H566" s="37">
        <v>13.19</v>
      </c>
    </row>
    <row r="567" spans="1:11" x14ac:dyDescent="0.3">
      <c r="A567" t="s">
        <v>422</v>
      </c>
      <c r="B567" s="37">
        <v>757.47</v>
      </c>
      <c r="C567" t="s">
        <v>27</v>
      </c>
      <c r="D567">
        <v>70</v>
      </c>
      <c r="E567">
        <v>10.26</v>
      </c>
      <c r="F567" t="s">
        <v>72</v>
      </c>
      <c r="G567">
        <v>3</v>
      </c>
      <c r="H567" s="37">
        <v>13.19</v>
      </c>
    </row>
    <row r="568" spans="1:11" x14ac:dyDescent="0.3">
      <c r="A568" t="s">
        <v>663</v>
      </c>
      <c r="B568" s="37">
        <v>864.39</v>
      </c>
      <c r="C568" t="s">
        <v>69</v>
      </c>
      <c r="D568">
        <v>20</v>
      </c>
      <c r="E568">
        <v>19.05</v>
      </c>
      <c r="F568" t="s">
        <v>74</v>
      </c>
      <c r="G568">
        <v>2</v>
      </c>
      <c r="H568" s="37">
        <v>13.19</v>
      </c>
      <c r="I568" t="s">
        <v>160</v>
      </c>
      <c r="J568">
        <v>26</v>
      </c>
      <c r="K568">
        <v>17.579999999999998</v>
      </c>
    </row>
    <row r="569" spans="1:11" x14ac:dyDescent="0.3">
      <c r="A569" t="s">
        <v>680</v>
      </c>
      <c r="B569" s="37">
        <v>342.91</v>
      </c>
      <c r="C569" t="s">
        <v>31</v>
      </c>
      <c r="D569">
        <v>20</v>
      </c>
      <c r="E569">
        <v>16.12</v>
      </c>
      <c r="F569" t="s">
        <v>89</v>
      </c>
      <c r="G569">
        <v>2</v>
      </c>
      <c r="H569" s="37">
        <v>10.26</v>
      </c>
    </row>
    <row r="570" spans="1:11" x14ac:dyDescent="0.3">
      <c r="A570" t="s">
        <v>677</v>
      </c>
      <c r="B570" s="37">
        <v>348.77</v>
      </c>
      <c r="C570" t="s">
        <v>31</v>
      </c>
      <c r="D570">
        <v>20</v>
      </c>
      <c r="E570">
        <v>16.12</v>
      </c>
      <c r="F570" t="s">
        <v>74</v>
      </c>
      <c r="G570">
        <v>2</v>
      </c>
      <c r="H570" s="37">
        <v>13.19</v>
      </c>
      <c r="K570" s="37"/>
    </row>
    <row r="571" spans="1:11" x14ac:dyDescent="0.3">
      <c r="A571" t="s">
        <v>672</v>
      </c>
      <c r="B571" s="37">
        <v>407.31</v>
      </c>
      <c r="C571" t="s">
        <v>69</v>
      </c>
      <c r="D571">
        <v>20</v>
      </c>
      <c r="E571">
        <v>19.05</v>
      </c>
      <c r="F571" t="s">
        <v>74</v>
      </c>
      <c r="G571">
        <v>2</v>
      </c>
      <c r="H571">
        <v>13.19</v>
      </c>
    </row>
    <row r="572" spans="1:11" x14ac:dyDescent="0.3">
      <c r="A572" t="s">
        <v>734</v>
      </c>
      <c r="B572" s="37">
        <v>284.29000000000002</v>
      </c>
      <c r="C572" t="s">
        <v>31</v>
      </c>
      <c r="D572">
        <v>16</v>
      </c>
      <c r="E572">
        <v>16.12</v>
      </c>
      <c r="F572" t="s">
        <v>74</v>
      </c>
      <c r="G572">
        <v>2</v>
      </c>
      <c r="H572" s="37">
        <v>13.19</v>
      </c>
      <c r="K572" s="37"/>
    </row>
    <row r="573" spans="1:11" x14ac:dyDescent="0.3">
      <c r="A573" t="s">
        <v>823</v>
      </c>
      <c r="B573" s="37">
        <v>290.13</v>
      </c>
      <c r="C573" t="s">
        <v>31</v>
      </c>
      <c r="D573">
        <v>12</v>
      </c>
      <c r="E573">
        <v>16.12</v>
      </c>
      <c r="F573" t="s">
        <v>74</v>
      </c>
      <c r="G573">
        <v>2</v>
      </c>
      <c r="H573" s="37">
        <v>13.19</v>
      </c>
      <c r="I573" t="s">
        <v>150</v>
      </c>
      <c r="J573">
        <v>4</v>
      </c>
      <c r="K573">
        <v>17.579999999999998</v>
      </c>
    </row>
    <row r="574" spans="1:11" x14ac:dyDescent="0.3">
      <c r="A574" t="s">
        <v>808</v>
      </c>
      <c r="B574" s="37">
        <v>184.63</v>
      </c>
      <c r="C574" t="s">
        <v>65</v>
      </c>
      <c r="D574">
        <v>12</v>
      </c>
      <c r="E574">
        <v>13.19</v>
      </c>
      <c r="F574" t="s">
        <v>72</v>
      </c>
      <c r="G574">
        <v>2</v>
      </c>
      <c r="H574" s="37">
        <v>13.19</v>
      </c>
      <c r="K574" s="37"/>
    </row>
    <row r="575" spans="1:11" x14ac:dyDescent="0.3">
      <c r="A575" t="s">
        <v>846</v>
      </c>
      <c r="B575" s="37">
        <v>219.81</v>
      </c>
      <c r="C575" t="s">
        <v>31</v>
      </c>
      <c r="D575">
        <v>12</v>
      </c>
      <c r="E575">
        <v>16.12</v>
      </c>
      <c r="F575" t="s">
        <v>74</v>
      </c>
      <c r="G575">
        <v>2</v>
      </c>
      <c r="H575" s="37">
        <v>13.19</v>
      </c>
    </row>
    <row r="576" spans="1:11" x14ac:dyDescent="0.3">
      <c r="A576" t="s">
        <v>824</v>
      </c>
      <c r="B576" s="37">
        <v>430.74</v>
      </c>
      <c r="C576" t="s">
        <v>69</v>
      </c>
      <c r="D576">
        <v>12</v>
      </c>
      <c r="E576">
        <v>19.05</v>
      </c>
      <c r="F576" t="s">
        <v>74</v>
      </c>
      <c r="G576">
        <v>2</v>
      </c>
      <c r="H576">
        <v>13.19</v>
      </c>
      <c r="I576" t="s">
        <v>160</v>
      </c>
      <c r="J576">
        <v>10</v>
      </c>
      <c r="K576">
        <v>17.579999999999998</v>
      </c>
    </row>
    <row r="577" spans="1:11" x14ac:dyDescent="0.3">
      <c r="A577" t="s">
        <v>849</v>
      </c>
      <c r="B577" s="37">
        <v>254.94</v>
      </c>
      <c r="C577" t="s">
        <v>69</v>
      </c>
      <c r="D577">
        <v>12</v>
      </c>
      <c r="E577">
        <v>19.05</v>
      </c>
      <c r="F577" t="s">
        <v>74</v>
      </c>
      <c r="G577">
        <v>2</v>
      </c>
      <c r="H577" s="37">
        <v>13.19</v>
      </c>
      <c r="K577" s="37"/>
    </row>
    <row r="578" spans="1:11" x14ac:dyDescent="0.3">
      <c r="A578" t="s">
        <v>966</v>
      </c>
      <c r="B578" s="37">
        <v>348.7</v>
      </c>
      <c r="C578" t="s">
        <v>29</v>
      </c>
      <c r="D578">
        <v>12</v>
      </c>
      <c r="E578">
        <v>13.19</v>
      </c>
      <c r="F578" t="s">
        <v>99</v>
      </c>
      <c r="G578">
        <v>2</v>
      </c>
      <c r="H578" s="37">
        <v>7.32</v>
      </c>
      <c r="I578" t="s">
        <v>164</v>
      </c>
      <c r="J578">
        <v>10</v>
      </c>
      <c r="K578">
        <v>17.579999999999998</v>
      </c>
    </row>
    <row r="579" spans="1:11" x14ac:dyDescent="0.3">
      <c r="A579" t="s">
        <v>883</v>
      </c>
      <c r="B579" s="37">
        <v>290.08</v>
      </c>
      <c r="C579" t="s">
        <v>31</v>
      </c>
      <c r="D579">
        <v>12</v>
      </c>
      <c r="E579">
        <v>16.12</v>
      </c>
      <c r="F579" t="s">
        <v>110</v>
      </c>
      <c r="G579">
        <v>2</v>
      </c>
      <c r="H579" s="37">
        <v>17.579999999999998</v>
      </c>
      <c r="I579" t="s">
        <v>137</v>
      </c>
      <c r="J579">
        <v>14</v>
      </c>
      <c r="K579">
        <v>4.3899999999999997</v>
      </c>
    </row>
    <row r="580" spans="1:11" x14ac:dyDescent="0.3">
      <c r="A580" t="s">
        <v>915</v>
      </c>
      <c r="B580" s="37">
        <v>108.42</v>
      </c>
      <c r="C580" t="s">
        <v>27</v>
      </c>
      <c r="D580">
        <v>8</v>
      </c>
      <c r="E580">
        <v>10.26</v>
      </c>
      <c r="F580" t="s">
        <v>72</v>
      </c>
      <c r="G580">
        <v>2</v>
      </c>
      <c r="H580" s="37">
        <v>13.19</v>
      </c>
    </row>
    <row r="581" spans="1:11" x14ac:dyDescent="0.3">
      <c r="A581" t="s">
        <v>968</v>
      </c>
      <c r="B581" s="37">
        <v>307.68</v>
      </c>
      <c r="C581" t="s">
        <v>29</v>
      </c>
      <c r="D581">
        <v>8</v>
      </c>
      <c r="E581">
        <v>13.19</v>
      </c>
      <c r="F581" t="s">
        <v>74</v>
      </c>
      <c r="G581">
        <v>2</v>
      </c>
      <c r="H581" s="37">
        <v>13.19</v>
      </c>
      <c r="I581" t="s">
        <v>150</v>
      </c>
      <c r="J581">
        <v>10</v>
      </c>
      <c r="K581">
        <v>17.579999999999998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77D7D-49E1-42DD-8482-E15D2569415E}">
  <sheetPr codeName="Sheet5"/>
  <dimension ref="A1:K1162"/>
  <sheetViews>
    <sheetView topLeftCell="A311" workbookViewId="0">
      <selection activeCell="B330" sqref="B330"/>
    </sheetView>
  </sheetViews>
  <sheetFormatPr defaultRowHeight="14.4" x14ac:dyDescent="0.3"/>
  <cols>
    <col min="1" max="1" width="18" bestFit="1" customWidth="1"/>
    <col min="2" max="2" width="12.44140625" bestFit="1" customWidth="1"/>
    <col min="5" max="5" width="8.44140625" bestFit="1" customWidth="1"/>
  </cols>
  <sheetData>
    <row r="1" spans="1:8" x14ac:dyDescent="0.3">
      <c r="A1" t="s">
        <v>395</v>
      </c>
      <c r="B1">
        <v>1555.97</v>
      </c>
      <c r="C1" t="s">
        <v>27</v>
      </c>
      <c r="D1">
        <v>144</v>
      </c>
      <c r="E1">
        <v>10.26</v>
      </c>
      <c r="F1" t="s">
        <v>72</v>
      </c>
      <c r="G1">
        <v>6</v>
      </c>
      <c r="H1">
        <v>13.19</v>
      </c>
    </row>
    <row r="2" spans="1:8" s="40" customFormat="1" x14ac:dyDescent="0.3">
      <c r="A2" s="41" t="s">
        <v>976</v>
      </c>
      <c r="B2" s="40">
        <f>D1*E2+G1*H2+J1*K2</f>
        <v>1555.9667695634105</v>
      </c>
      <c r="E2" s="40">
        <v>10.255830679041788</v>
      </c>
      <c r="H2" s="40">
        <v>13.187858630232169</v>
      </c>
    </row>
    <row r="3" spans="1:8" x14ac:dyDescent="0.3">
      <c r="A3" t="s">
        <v>396</v>
      </c>
      <c r="B3">
        <v>2400.37</v>
      </c>
      <c r="C3" t="s">
        <v>31</v>
      </c>
      <c r="D3">
        <v>144</v>
      </c>
      <c r="E3">
        <v>16.12</v>
      </c>
      <c r="F3" t="s">
        <v>74</v>
      </c>
      <c r="G3">
        <v>6</v>
      </c>
      <c r="H3">
        <v>13.19</v>
      </c>
    </row>
    <row r="4" spans="1:8" s="40" customFormat="1" x14ac:dyDescent="0.3">
      <c r="A4" s="41" t="s">
        <v>976</v>
      </c>
      <c r="B4" s="40">
        <f>D3*E4+G3*H4+J3*K4</f>
        <v>2400.3748465926487</v>
      </c>
      <c r="E4" s="40">
        <v>16.119775658411498</v>
      </c>
      <c r="H4" s="40">
        <v>13.187858630232169</v>
      </c>
    </row>
    <row r="5" spans="1:8" x14ac:dyDescent="0.3">
      <c r="A5" t="s">
        <v>397</v>
      </c>
      <c r="B5">
        <v>1296.6400000000001</v>
      </c>
      <c r="C5" t="s">
        <v>27</v>
      </c>
      <c r="D5">
        <v>120</v>
      </c>
      <c r="E5">
        <v>10.26</v>
      </c>
      <c r="F5" t="s">
        <v>72</v>
      </c>
      <c r="G5">
        <v>5</v>
      </c>
      <c r="H5">
        <v>13.19</v>
      </c>
    </row>
    <row r="6" spans="1:8" s="40" customFormat="1" x14ac:dyDescent="0.3">
      <c r="A6" s="41" t="s">
        <v>976</v>
      </c>
      <c r="B6" s="40">
        <f>D5*E6+G5*H6+J5*K6</f>
        <v>1296.6389746361754</v>
      </c>
      <c r="E6" s="40">
        <v>10.255830679041788</v>
      </c>
      <c r="H6" s="40">
        <v>13.187858630232169</v>
      </c>
    </row>
    <row r="7" spans="1:8" x14ac:dyDescent="0.3">
      <c r="A7" t="s">
        <v>398</v>
      </c>
      <c r="B7">
        <v>1296.6400000000001</v>
      </c>
      <c r="C7" t="s">
        <v>27</v>
      </c>
      <c r="D7">
        <v>120</v>
      </c>
      <c r="E7">
        <v>10.26</v>
      </c>
      <c r="F7" t="s">
        <v>72</v>
      </c>
      <c r="G7">
        <v>5</v>
      </c>
      <c r="H7">
        <v>13.19</v>
      </c>
    </row>
    <row r="8" spans="1:8" s="40" customFormat="1" x14ac:dyDescent="0.3">
      <c r="A8" s="41" t="s">
        <v>976</v>
      </c>
      <c r="B8" s="40">
        <f>D7*E8+G7*H8+J7*K8</f>
        <v>1296.6389746361754</v>
      </c>
      <c r="E8" s="40">
        <v>10.255830679041788</v>
      </c>
      <c r="H8" s="40">
        <v>13.187858630232169</v>
      </c>
    </row>
    <row r="9" spans="1:8" x14ac:dyDescent="0.3">
      <c r="A9" t="s">
        <v>404</v>
      </c>
      <c r="B9">
        <v>2769.14</v>
      </c>
      <c r="C9" t="s">
        <v>33</v>
      </c>
      <c r="D9">
        <v>120</v>
      </c>
      <c r="E9">
        <v>21.98</v>
      </c>
      <c r="F9" t="s">
        <v>79</v>
      </c>
      <c r="G9">
        <v>5</v>
      </c>
      <c r="H9">
        <v>26.36</v>
      </c>
    </row>
    <row r="10" spans="1:8" s="40" customFormat="1" x14ac:dyDescent="0.3">
      <c r="A10" s="41" t="s">
        <v>976</v>
      </c>
      <c r="B10" s="40">
        <f>D9*E10+G9*H10+J9*K10</f>
        <v>2769.1447194533016</v>
      </c>
      <c r="E10" s="40">
        <v>21.977730795184293</v>
      </c>
      <c r="H10" s="40">
        <v>26.363404806237337</v>
      </c>
    </row>
    <row r="11" spans="1:8" x14ac:dyDescent="0.3">
      <c r="A11" t="s">
        <v>400</v>
      </c>
      <c r="B11">
        <v>2351.5700000000002</v>
      </c>
      <c r="C11" t="s">
        <v>69</v>
      </c>
      <c r="D11">
        <v>120</v>
      </c>
      <c r="E11">
        <v>19.05</v>
      </c>
      <c r="F11" t="s">
        <v>74</v>
      </c>
      <c r="G11">
        <v>5</v>
      </c>
      <c r="H11">
        <v>13.19</v>
      </c>
    </row>
    <row r="12" spans="1:8" s="40" customFormat="1" x14ac:dyDescent="0.3">
      <c r="A12" s="41" t="s">
        <v>976</v>
      </c>
      <c r="B12" s="40">
        <f>D11*E12+G11*H12+J11*K12</f>
        <v>2351.5700528050206</v>
      </c>
      <c r="E12" s="40">
        <v>19.046922997115502</v>
      </c>
      <c r="H12" s="40">
        <v>13.187858630232169</v>
      </c>
    </row>
    <row r="13" spans="1:8" x14ac:dyDescent="0.3">
      <c r="A13" t="s">
        <v>402</v>
      </c>
      <c r="B13">
        <v>2175.7199999999998</v>
      </c>
      <c r="C13" t="s">
        <v>43</v>
      </c>
      <c r="D13">
        <v>120</v>
      </c>
      <c r="E13">
        <v>17.579999999999998</v>
      </c>
      <c r="F13" t="s">
        <v>74</v>
      </c>
      <c r="G13">
        <v>5</v>
      </c>
      <c r="H13">
        <v>13.19</v>
      </c>
    </row>
    <row r="14" spans="1:8" s="40" customFormat="1" x14ac:dyDescent="0.3">
      <c r="A14" s="41" t="s">
        <v>976</v>
      </c>
      <c r="B14" s="40">
        <f>D13*E14+G13*H14+J13*K14</f>
        <v>2175.7215849208933</v>
      </c>
      <c r="E14" s="40">
        <v>17.581519098081106</v>
      </c>
      <c r="H14" s="40">
        <v>13.187858630232169</v>
      </c>
    </row>
    <row r="15" spans="1:8" x14ac:dyDescent="0.3">
      <c r="A15" t="s">
        <v>399</v>
      </c>
      <c r="B15">
        <v>2000.31</v>
      </c>
      <c r="C15" t="s">
        <v>67</v>
      </c>
      <c r="D15">
        <v>120</v>
      </c>
      <c r="E15">
        <v>16.12</v>
      </c>
      <c r="F15" t="s">
        <v>74</v>
      </c>
      <c r="G15">
        <v>5</v>
      </c>
      <c r="H15">
        <v>13.19</v>
      </c>
    </row>
    <row r="16" spans="1:8" s="40" customFormat="1" x14ac:dyDescent="0.3">
      <c r="A16" s="41" t="s">
        <v>976</v>
      </c>
      <c r="B16" s="40">
        <f>D15*E16+G15*H16+J15*K16</f>
        <v>2000.3123721605407</v>
      </c>
      <c r="E16" s="40">
        <v>16.119775658411498</v>
      </c>
      <c r="H16" s="40">
        <v>13.187858630232169</v>
      </c>
    </row>
    <row r="17" spans="1:8" x14ac:dyDescent="0.3">
      <c r="A17" t="s">
        <v>401</v>
      </c>
      <c r="B17">
        <v>2000.31</v>
      </c>
      <c r="C17" t="s">
        <v>31</v>
      </c>
      <c r="D17">
        <v>120</v>
      </c>
      <c r="E17">
        <v>16.12</v>
      </c>
      <c r="F17" t="s">
        <v>74</v>
      </c>
      <c r="G17">
        <v>5</v>
      </c>
      <c r="H17">
        <v>13.19</v>
      </c>
    </row>
    <row r="18" spans="1:8" s="40" customFormat="1" x14ac:dyDescent="0.3">
      <c r="A18" s="41" t="s">
        <v>976</v>
      </c>
      <c r="B18" s="40">
        <f>D17*E18+G17*H18+J17*K18</f>
        <v>2000.3123721605407</v>
      </c>
      <c r="E18" s="40">
        <v>16.119775658411498</v>
      </c>
      <c r="H18" s="40">
        <v>13.187858630232169</v>
      </c>
    </row>
    <row r="19" spans="1:8" x14ac:dyDescent="0.3">
      <c r="A19" t="s">
        <v>405</v>
      </c>
      <c r="B19">
        <v>2175.7199999999998</v>
      </c>
      <c r="C19" t="s">
        <v>43</v>
      </c>
      <c r="D19">
        <v>120</v>
      </c>
      <c r="E19">
        <v>17.579999999999998</v>
      </c>
      <c r="F19" t="s">
        <v>74</v>
      </c>
      <c r="G19">
        <v>5</v>
      </c>
      <c r="H19">
        <v>13.19</v>
      </c>
    </row>
    <row r="20" spans="1:8" s="40" customFormat="1" x14ac:dyDescent="0.3">
      <c r="A20" s="41" t="s">
        <v>976</v>
      </c>
      <c r="B20" s="40">
        <f>D19*E20+G19*H20+J19*K20</f>
        <v>2175.7215849208933</v>
      </c>
      <c r="E20" s="40">
        <v>17.581519098081106</v>
      </c>
      <c r="H20" s="40">
        <v>13.187858630232169</v>
      </c>
    </row>
    <row r="21" spans="1:8" x14ac:dyDescent="0.3">
      <c r="A21" t="s">
        <v>403</v>
      </c>
      <c r="B21">
        <v>1037.31</v>
      </c>
      <c r="C21" t="s">
        <v>27</v>
      </c>
      <c r="D21">
        <v>96</v>
      </c>
      <c r="E21">
        <v>10.26</v>
      </c>
      <c r="F21" t="s">
        <v>72</v>
      </c>
      <c r="G21">
        <v>4</v>
      </c>
      <c r="H21">
        <v>13.19</v>
      </c>
    </row>
    <row r="22" spans="1:8" s="40" customFormat="1" x14ac:dyDescent="0.3">
      <c r="A22" s="41" t="s">
        <v>976</v>
      </c>
      <c r="B22" s="40">
        <f>D21*E22+G21*H22+J21*K22</f>
        <v>1037.3111797089402</v>
      </c>
      <c r="E22" s="40">
        <v>10.255830679041788</v>
      </c>
      <c r="H22" s="40">
        <v>13.187858630232169</v>
      </c>
    </row>
    <row r="23" spans="1:8" x14ac:dyDescent="0.3">
      <c r="A23" t="s">
        <v>409</v>
      </c>
      <c r="B23">
        <v>1037.31</v>
      </c>
      <c r="C23" t="s">
        <v>27</v>
      </c>
      <c r="D23">
        <v>96</v>
      </c>
      <c r="E23">
        <v>10.26</v>
      </c>
      <c r="F23" t="s">
        <v>72</v>
      </c>
      <c r="G23">
        <v>4</v>
      </c>
      <c r="H23">
        <v>13.19</v>
      </c>
    </row>
    <row r="24" spans="1:8" s="40" customFormat="1" x14ac:dyDescent="0.3">
      <c r="A24" s="41" t="s">
        <v>976</v>
      </c>
      <c r="B24" s="40">
        <f>D23*E24+G23*H24+J23*K24</f>
        <v>1037.3111797089402</v>
      </c>
      <c r="E24" s="40">
        <v>10.255830679041788</v>
      </c>
      <c r="H24" s="40">
        <v>13.187858630232169</v>
      </c>
    </row>
    <row r="25" spans="1:8" x14ac:dyDescent="0.3">
      <c r="A25" t="s">
        <v>410</v>
      </c>
      <c r="B25">
        <v>984.56</v>
      </c>
      <c r="C25" t="s">
        <v>27</v>
      </c>
      <c r="D25">
        <v>96</v>
      </c>
      <c r="E25">
        <v>10.26</v>
      </c>
    </row>
    <row r="26" spans="1:8" s="40" customFormat="1" x14ac:dyDescent="0.3">
      <c r="A26" s="41" t="s">
        <v>976</v>
      </c>
      <c r="B26" s="40">
        <f>D25*E26+G25*H26+J25*K26</f>
        <v>984.55974518801168</v>
      </c>
      <c r="E26" s="40">
        <v>10.255830679041788</v>
      </c>
    </row>
    <row r="27" spans="1:8" x14ac:dyDescent="0.3">
      <c r="A27" t="s">
        <v>411</v>
      </c>
      <c r="B27">
        <v>1600.25</v>
      </c>
      <c r="C27" t="s">
        <v>31</v>
      </c>
      <c r="D27">
        <v>96</v>
      </c>
      <c r="E27">
        <v>16.12</v>
      </c>
      <c r="F27" t="s">
        <v>74</v>
      </c>
      <c r="G27">
        <v>4</v>
      </c>
      <c r="H27">
        <v>13.19</v>
      </c>
    </row>
    <row r="28" spans="1:8" s="40" customFormat="1" x14ac:dyDescent="0.3">
      <c r="A28" s="41" t="s">
        <v>976</v>
      </c>
      <c r="B28" s="40">
        <f>D27*E28+G27*H28+J27*K28</f>
        <v>1600.2498977284324</v>
      </c>
      <c r="E28" s="40">
        <v>16.119775658411498</v>
      </c>
      <c r="H28" s="40">
        <v>13.187858630232169</v>
      </c>
    </row>
    <row r="29" spans="1:8" x14ac:dyDescent="0.3">
      <c r="A29" t="s">
        <v>412</v>
      </c>
      <c r="B29">
        <v>1600.25</v>
      </c>
      <c r="C29" t="s">
        <v>31</v>
      </c>
      <c r="D29">
        <v>96</v>
      </c>
      <c r="E29">
        <v>16.12</v>
      </c>
      <c r="F29" t="s">
        <v>74</v>
      </c>
      <c r="G29">
        <v>4</v>
      </c>
      <c r="H29">
        <v>13.19</v>
      </c>
    </row>
    <row r="30" spans="1:8" s="40" customFormat="1" x14ac:dyDescent="0.3">
      <c r="A30" s="41" t="s">
        <v>976</v>
      </c>
      <c r="B30" s="40">
        <f>D29*E30+G29*H30+J29*K30</f>
        <v>1600.2498977284324</v>
      </c>
      <c r="E30" s="40">
        <v>16.119775658411498</v>
      </c>
      <c r="H30" s="40">
        <v>13.187858630232169</v>
      </c>
    </row>
    <row r="31" spans="1:8" x14ac:dyDescent="0.3">
      <c r="A31" t="s">
        <v>406</v>
      </c>
      <c r="B31">
        <v>1318.79</v>
      </c>
      <c r="C31" t="s">
        <v>29</v>
      </c>
      <c r="D31">
        <v>96</v>
      </c>
      <c r="E31">
        <v>13.19</v>
      </c>
      <c r="F31" t="s">
        <v>74</v>
      </c>
      <c r="G31">
        <v>4</v>
      </c>
      <c r="H31">
        <v>13.19</v>
      </c>
    </row>
    <row r="32" spans="1:8" s="40" customFormat="1" x14ac:dyDescent="0.3">
      <c r="A32" s="41" t="s">
        <v>976</v>
      </c>
      <c r="B32" s="40">
        <f>D31*E32+G31*H32+J31*K32</f>
        <v>1318.7858630232167</v>
      </c>
      <c r="E32" s="40">
        <v>13.187858630232169</v>
      </c>
      <c r="H32" s="40">
        <v>13.187858630232169</v>
      </c>
    </row>
    <row r="33" spans="1:8" x14ac:dyDescent="0.3">
      <c r="A33" t="s">
        <v>408</v>
      </c>
      <c r="B33">
        <v>1318.79</v>
      </c>
      <c r="C33" t="s">
        <v>29</v>
      </c>
      <c r="D33">
        <v>96</v>
      </c>
      <c r="E33">
        <v>13.19</v>
      </c>
      <c r="F33" t="s">
        <v>74</v>
      </c>
      <c r="G33">
        <v>4</v>
      </c>
      <c r="H33">
        <v>13.19</v>
      </c>
    </row>
    <row r="34" spans="1:8" s="40" customFormat="1" x14ac:dyDescent="0.3">
      <c r="A34" s="41" t="s">
        <v>976</v>
      </c>
      <c r="B34" s="40">
        <f>D33*E34+G33*H34+J33*K34</f>
        <v>1318.7858630232167</v>
      </c>
      <c r="E34" s="40">
        <v>13.187858630232169</v>
      </c>
      <c r="H34" s="40">
        <v>13.187858630232169</v>
      </c>
    </row>
    <row r="35" spans="1:8" x14ac:dyDescent="0.3">
      <c r="A35" t="s">
        <v>413</v>
      </c>
      <c r="B35">
        <v>1600.25</v>
      </c>
      <c r="C35" t="s">
        <v>31</v>
      </c>
      <c r="D35">
        <v>96</v>
      </c>
      <c r="E35">
        <v>16.12</v>
      </c>
      <c r="F35" t="s">
        <v>74</v>
      </c>
      <c r="G35">
        <v>4</v>
      </c>
      <c r="H35">
        <v>13.19</v>
      </c>
    </row>
    <row r="36" spans="1:8" s="40" customFormat="1" x14ac:dyDescent="0.3">
      <c r="A36" s="41" t="s">
        <v>976</v>
      </c>
      <c r="B36" s="40">
        <f>D35*E36+G35*H36+J35*K36</f>
        <v>1600.2498977284324</v>
      </c>
      <c r="E36" s="40">
        <v>16.119775658411498</v>
      </c>
      <c r="H36" s="40">
        <v>13.187858630232169</v>
      </c>
    </row>
    <row r="37" spans="1:8" x14ac:dyDescent="0.3">
      <c r="A37" t="s">
        <v>415</v>
      </c>
      <c r="B37">
        <v>890.79</v>
      </c>
      <c r="C37" t="s">
        <v>27</v>
      </c>
      <c r="D37">
        <v>84</v>
      </c>
      <c r="E37">
        <v>10.26</v>
      </c>
      <c r="F37" t="s">
        <v>99</v>
      </c>
      <c r="G37">
        <v>4</v>
      </c>
      <c r="H37">
        <v>7.32</v>
      </c>
    </row>
    <row r="38" spans="1:8" s="40" customFormat="1" x14ac:dyDescent="0.3">
      <c r="A38" s="41" t="s">
        <v>976</v>
      </c>
      <c r="B38" s="40">
        <f>D37*E38+G37*H38+J37*K38</f>
        <v>890.78516942096189</v>
      </c>
      <c r="E38" s="40">
        <v>10.255830679041788</v>
      </c>
      <c r="H38" s="40">
        <v>7.3238480953629237</v>
      </c>
    </row>
    <row r="39" spans="1:8" x14ac:dyDescent="0.3">
      <c r="A39" t="s">
        <v>414</v>
      </c>
      <c r="B39">
        <v>1406.81</v>
      </c>
      <c r="C39" t="s">
        <v>67</v>
      </c>
      <c r="D39">
        <v>84</v>
      </c>
      <c r="E39">
        <v>16.12</v>
      </c>
      <c r="F39" t="s">
        <v>74</v>
      </c>
      <c r="G39">
        <v>4</v>
      </c>
      <c r="H39">
        <v>13.19</v>
      </c>
    </row>
    <row r="40" spans="1:8" s="40" customFormat="1" x14ac:dyDescent="0.3">
      <c r="A40" s="41" t="s">
        <v>976</v>
      </c>
      <c r="B40" s="40">
        <f>D39*E40+G39*H40+J39*K40</f>
        <v>1406.8125898274945</v>
      </c>
      <c r="E40" s="40">
        <v>16.119775658411498</v>
      </c>
      <c r="H40" s="40">
        <v>13.187858630232169</v>
      </c>
    </row>
    <row r="41" spans="1:8" x14ac:dyDescent="0.3">
      <c r="A41" t="s">
        <v>419</v>
      </c>
      <c r="B41">
        <v>989.09</v>
      </c>
      <c r="C41" t="s">
        <v>29</v>
      </c>
      <c r="D41">
        <v>72</v>
      </c>
      <c r="E41">
        <v>13.19</v>
      </c>
      <c r="F41" t="s">
        <v>74</v>
      </c>
      <c r="G41">
        <v>3</v>
      </c>
      <c r="H41">
        <v>13.19</v>
      </c>
    </row>
    <row r="42" spans="1:8" s="40" customFormat="1" x14ac:dyDescent="0.3">
      <c r="A42" s="41" t="s">
        <v>976</v>
      </c>
      <c r="B42" s="40">
        <f>D41*E42+G41*H42+J41*K42</f>
        <v>989.08939726741266</v>
      </c>
      <c r="E42" s="40">
        <v>13.187858630232169</v>
      </c>
      <c r="H42" s="40">
        <v>13.187858630232169</v>
      </c>
    </row>
    <row r="43" spans="1:8" x14ac:dyDescent="0.3">
      <c r="A43" t="s">
        <v>418</v>
      </c>
      <c r="B43">
        <v>1200.19</v>
      </c>
      <c r="C43" t="s">
        <v>31</v>
      </c>
      <c r="D43">
        <v>72</v>
      </c>
      <c r="E43">
        <v>16.12</v>
      </c>
      <c r="F43" t="s">
        <v>74</v>
      </c>
      <c r="G43">
        <v>3</v>
      </c>
      <c r="H43">
        <v>13.19</v>
      </c>
    </row>
    <row r="44" spans="1:8" s="40" customFormat="1" x14ac:dyDescent="0.3">
      <c r="A44" s="41" t="s">
        <v>976</v>
      </c>
      <c r="B44" s="40">
        <f>D43*E44+G43*H44+J43*K44</f>
        <v>1200.1874232963244</v>
      </c>
      <c r="E44" s="40">
        <v>16.119775658411498</v>
      </c>
      <c r="H44" s="40">
        <v>13.187858630232169</v>
      </c>
    </row>
    <row r="45" spans="1:8" x14ac:dyDescent="0.3">
      <c r="A45" t="s">
        <v>417</v>
      </c>
      <c r="B45">
        <v>566.88</v>
      </c>
      <c r="C45" t="s">
        <v>24</v>
      </c>
      <c r="D45">
        <v>72</v>
      </c>
      <c r="E45">
        <v>7.32</v>
      </c>
      <c r="F45" t="s">
        <v>72</v>
      </c>
      <c r="G45">
        <v>3</v>
      </c>
      <c r="H45">
        <v>13.19</v>
      </c>
    </row>
    <row r="46" spans="1:8" s="40" customFormat="1" x14ac:dyDescent="0.3">
      <c r="A46" s="41" t="s">
        <v>976</v>
      </c>
      <c r="B46" s="40">
        <f>D45*E46+G45*H46+J45*K46</f>
        <v>566.87737229599759</v>
      </c>
      <c r="E46" s="40">
        <v>7.3238027278514046</v>
      </c>
      <c r="H46" s="40">
        <v>13.187858630232169</v>
      </c>
    </row>
    <row r="47" spans="1:8" x14ac:dyDescent="0.3">
      <c r="A47" t="s">
        <v>416</v>
      </c>
      <c r="B47">
        <v>1342.33</v>
      </c>
      <c r="C47" t="s">
        <v>31</v>
      </c>
      <c r="D47">
        <v>80</v>
      </c>
      <c r="E47">
        <v>16.12</v>
      </c>
      <c r="F47" t="s">
        <v>74</v>
      </c>
      <c r="G47">
        <v>4</v>
      </c>
      <c r="H47">
        <v>13.19</v>
      </c>
    </row>
    <row r="48" spans="1:8" s="40" customFormat="1" x14ac:dyDescent="0.3">
      <c r="A48" s="41" t="s">
        <v>976</v>
      </c>
      <c r="B48" s="40">
        <f>D47*E48+G47*H48+J47*K48</f>
        <v>1342.3334871938484</v>
      </c>
      <c r="E48" s="40">
        <v>16.119775658411498</v>
      </c>
      <c r="H48" s="40">
        <v>13.187858630232169</v>
      </c>
    </row>
    <row r="49" spans="1:8" x14ac:dyDescent="0.3">
      <c r="A49" t="s">
        <v>420</v>
      </c>
      <c r="B49">
        <v>777.98</v>
      </c>
      <c r="C49" t="s">
        <v>27</v>
      </c>
      <c r="D49">
        <v>72</v>
      </c>
      <c r="E49">
        <v>10.26</v>
      </c>
      <c r="F49" t="s">
        <v>72</v>
      </c>
      <c r="G49">
        <v>3</v>
      </c>
      <c r="H49">
        <v>13.19</v>
      </c>
    </row>
    <row r="50" spans="1:8" s="40" customFormat="1" x14ac:dyDescent="0.3">
      <c r="A50" s="41" t="s">
        <v>976</v>
      </c>
      <c r="B50" s="40">
        <f>D49*E50+G49*H50+J49*K50</f>
        <v>777.98338478170524</v>
      </c>
      <c r="E50" s="40">
        <v>10.255830679041788</v>
      </c>
      <c r="H50" s="40">
        <v>13.187858630232169</v>
      </c>
    </row>
    <row r="51" spans="1:8" x14ac:dyDescent="0.3">
      <c r="A51" t="s">
        <v>421</v>
      </c>
      <c r="B51">
        <v>1200.19</v>
      </c>
      <c r="C51" t="s">
        <v>31</v>
      </c>
      <c r="D51">
        <v>72</v>
      </c>
      <c r="E51">
        <v>16.12</v>
      </c>
      <c r="F51" t="s">
        <v>74</v>
      </c>
      <c r="G51">
        <v>3</v>
      </c>
      <c r="H51">
        <v>13.19</v>
      </c>
    </row>
    <row r="52" spans="1:8" s="40" customFormat="1" x14ac:dyDescent="0.3">
      <c r="A52" s="41" t="s">
        <v>976</v>
      </c>
      <c r="B52" s="40">
        <f>D51*E52+G51*H52+J51*K52</f>
        <v>1200.1874232963244</v>
      </c>
      <c r="E52" s="40">
        <v>16.119775658411498</v>
      </c>
      <c r="H52" s="40">
        <v>13.187858630232169</v>
      </c>
    </row>
    <row r="53" spans="1:8" x14ac:dyDescent="0.3">
      <c r="A53" t="s">
        <v>423</v>
      </c>
      <c r="B53">
        <v>1200.19</v>
      </c>
      <c r="C53" t="s">
        <v>31</v>
      </c>
      <c r="D53">
        <v>72</v>
      </c>
      <c r="E53">
        <v>16.12</v>
      </c>
      <c r="F53" t="s">
        <v>74</v>
      </c>
      <c r="G53">
        <v>3</v>
      </c>
      <c r="H53">
        <v>13.19</v>
      </c>
    </row>
    <row r="54" spans="1:8" s="40" customFormat="1" x14ac:dyDescent="0.3">
      <c r="A54" s="41" t="s">
        <v>976</v>
      </c>
      <c r="B54" s="40">
        <f>D53*E54+G53*H54+J53*K54</f>
        <v>1200.1874232963244</v>
      </c>
      <c r="E54" s="40">
        <v>16.119775658411498</v>
      </c>
      <c r="H54" s="40">
        <v>13.187858630232169</v>
      </c>
    </row>
    <row r="55" spans="1:8" x14ac:dyDescent="0.3">
      <c r="A55" t="s">
        <v>427</v>
      </c>
      <c r="B55">
        <v>654.91</v>
      </c>
      <c r="C55" t="s">
        <v>27</v>
      </c>
      <c r="D55">
        <v>60</v>
      </c>
      <c r="E55">
        <v>10.26</v>
      </c>
      <c r="F55" t="s">
        <v>72</v>
      </c>
      <c r="G55">
        <v>3</v>
      </c>
      <c r="H55">
        <v>13.19</v>
      </c>
    </row>
    <row r="56" spans="1:8" s="40" customFormat="1" x14ac:dyDescent="0.3">
      <c r="A56" s="41" t="s">
        <v>976</v>
      </c>
      <c r="B56" s="40">
        <f>D55*E56+G55*H56+J55*K56</f>
        <v>654.91341663320372</v>
      </c>
      <c r="E56" s="40">
        <v>10.255830679041788</v>
      </c>
      <c r="H56" s="40">
        <v>13.187858630232169</v>
      </c>
    </row>
    <row r="57" spans="1:8" x14ac:dyDescent="0.3">
      <c r="A57" t="s">
        <v>426</v>
      </c>
      <c r="B57">
        <v>654.91</v>
      </c>
      <c r="C57" t="s">
        <v>27</v>
      </c>
      <c r="D57">
        <v>60</v>
      </c>
      <c r="E57">
        <v>10.26</v>
      </c>
      <c r="F57" t="s">
        <v>72</v>
      </c>
      <c r="G57">
        <v>3</v>
      </c>
      <c r="H57">
        <v>13.19</v>
      </c>
    </row>
    <row r="58" spans="1:8" s="40" customFormat="1" x14ac:dyDescent="0.3">
      <c r="A58" s="41" t="s">
        <v>976</v>
      </c>
      <c r="B58" s="40">
        <f>D57*E58+G57*H58+J57*K58</f>
        <v>654.91341663320372</v>
      </c>
      <c r="E58" s="40">
        <v>10.255830679041788</v>
      </c>
      <c r="H58" s="40">
        <v>13.187858630232169</v>
      </c>
    </row>
    <row r="59" spans="1:8" x14ac:dyDescent="0.3">
      <c r="A59" t="s">
        <v>425</v>
      </c>
      <c r="B59">
        <v>654.91</v>
      </c>
      <c r="C59" t="s">
        <v>27</v>
      </c>
      <c r="D59">
        <v>60</v>
      </c>
      <c r="E59">
        <v>10.26</v>
      </c>
      <c r="F59" t="s">
        <v>72</v>
      </c>
      <c r="G59">
        <v>3</v>
      </c>
      <c r="H59">
        <v>13.19</v>
      </c>
    </row>
    <row r="60" spans="1:8" s="40" customFormat="1" x14ac:dyDescent="0.3">
      <c r="A60" s="41" t="s">
        <v>976</v>
      </c>
      <c r="B60" s="40">
        <f>D59*E60+G59*H60+J59*K60</f>
        <v>654.91341663320372</v>
      </c>
      <c r="E60" s="40">
        <v>10.255830679041788</v>
      </c>
      <c r="H60" s="40">
        <v>13.187858630232169</v>
      </c>
    </row>
    <row r="61" spans="1:8" x14ac:dyDescent="0.3">
      <c r="A61" t="s">
        <v>424</v>
      </c>
      <c r="B61">
        <v>1621.92</v>
      </c>
      <c r="C61" t="s">
        <v>57</v>
      </c>
      <c r="D61">
        <v>60</v>
      </c>
      <c r="E61">
        <v>26.37</v>
      </c>
      <c r="F61" t="s">
        <v>83</v>
      </c>
      <c r="G61">
        <v>3</v>
      </c>
      <c r="H61">
        <v>13.19</v>
      </c>
    </row>
    <row r="62" spans="1:8" s="40" customFormat="1" x14ac:dyDescent="0.3">
      <c r="A62" s="41" t="s">
        <v>976</v>
      </c>
      <c r="B62" s="40">
        <f>D61*E62+G61*H62+J61*K62</f>
        <v>1621.920260859986</v>
      </c>
      <c r="E62" s="40">
        <v>26.372611416154825</v>
      </c>
      <c r="H62" s="40">
        <v>13.187858630232169</v>
      </c>
    </row>
    <row r="63" spans="1:8" x14ac:dyDescent="0.3">
      <c r="A63" t="s">
        <v>428</v>
      </c>
      <c r="B63">
        <v>1006.75</v>
      </c>
      <c r="C63" t="s">
        <v>67</v>
      </c>
      <c r="D63">
        <v>60</v>
      </c>
      <c r="E63">
        <v>16.12</v>
      </c>
      <c r="F63" t="s">
        <v>74</v>
      </c>
      <c r="G63">
        <v>3</v>
      </c>
      <c r="H63">
        <v>13.19</v>
      </c>
    </row>
    <row r="64" spans="1:8" s="40" customFormat="1" x14ac:dyDescent="0.3">
      <c r="A64" s="41" t="s">
        <v>976</v>
      </c>
      <c r="B64" s="40">
        <f>D63*E64+G63*H64+J63*K64</f>
        <v>1006.7501153953864</v>
      </c>
      <c r="E64" s="40">
        <v>16.119775658411498</v>
      </c>
      <c r="H64" s="40">
        <v>13.187858630232169</v>
      </c>
    </row>
    <row r="65" spans="1:8" x14ac:dyDescent="0.3">
      <c r="A65" t="s">
        <v>429</v>
      </c>
      <c r="B65">
        <v>1006.75</v>
      </c>
      <c r="C65" t="s">
        <v>31</v>
      </c>
      <c r="D65">
        <v>60</v>
      </c>
      <c r="E65">
        <v>16.12</v>
      </c>
      <c r="F65" t="s">
        <v>74</v>
      </c>
      <c r="G65">
        <v>3</v>
      </c>
      <c r="H65">
        <v>13.19</v>
      </c>
    </row>
    <row r="66" spans="1:8" s="40" customFormat="1" x14ac:dyDescent="0.3">
      <c r="A66" s="41" t="s">
        <v>976</v>
      </c>
      <c r="B66" s="40">
        <f>D65*E66+G65*H66+J65*K66</f>
        <v>1006.7501153953864</v>
      </c>
      <c r="E66" s="40">
        <v>16.119775658411498</v>
      </c>
      <c r="H66" s="40">
        <v>13.187858630232169</v>
      </c>
    </row>
    <row r="67" spans="1:8" x14ac:dyDescent="0.3">
      <c r="A67" t="s">
        <v>431</v>
      </c>
      <c r="B67">
        <v>1006.75</v>
      </c>
      <c r="C67" t="s">
        <v>31</v>
      </c>
      <c r="D67">
        <v>60</v>
      </c>
      <c r="E67">
        <v>16.12</v>
      </c>
      <c r="F67" t="s">
        <v>74</v>
      </c>
      <c r="G67">
        <v>3</v>
      </c>
      <c r="H67">
        <v>13.19</v>
      </c>
    </row>
    <row r="68" spans="1:8" s="40" customFormat="1" x14ac:dyDescent="0.3">
      <c r="A68" s="41" t="s">
        <v>976</v>
      </c>
      <c r="B68" s="40">
        <f>D67*E68+G67*H68+J67*K68</f>
        <v>1006.7501153953864</v>
      </c>
      <c r="E68" s="40">
        <v>16.119775658411498</v>
      </c>
      <c r="H68" s="40">
        <v>13.187858630232169</v>
      </c>
    </row>
    <row r="69" spans="1:8" x14ac:dyDescent="0.3">
      <c r="A69" t="s">
        <v>430</v>
      </c>
      <c r="B69">
        <v>1182.3800000000001</v>
      </c>
      <c r="C69" t="s">
        <v>69</v>
      </c>
      <c r="D69">
        <v>60</v>
      </c>
      <c r="E69">
        <v>19.05</v>
      </c>
      <c r="F69" t="s">
        <v>74</v>
      </c>
      <c r="G69">
        <v>3</v>
      </c>
      <c r="H69">
        <v>13.19</v>
      </c>
    </row>
    <row r="70" spans="1:8" s="40" customFormat="1" x14ac:dyDescent="0.3">
      <c r="A70" s="41" t="s">
        <v>976</v>
      </c>
      <c r="B70" s="40">
        <f>D69*E70+G69*H70+J69*K70</f>
        <v>1182.3789557176265</v>
      </c>
      <c r="E70" s="40">
        <v>19.046922997115502</v>
      </c>
      <c r="H70" s="40">
        <v>13.187858630232169</v>
      </c>
    </row>
    <row r="71" spans="1:8" x14ac:dyDescent="0.3">
      <c r="A71" t="s">
        <v>432</v>
      </c>
      <c r="B71">
        <v>1397.75</v>
      </c>
      <c r="C71" t="s">
        <v>33</v>
      </c>
      <c r="D71">
        <v>60</v>
      </c>
      <c r="E71">
        <v>21.98</v>
      </c>
      <c r="F71" t="s">
        <v>79</v>
      </c>
      <c r="G71">
        <v>3</v>
      </c>
      <c r="H71">
        <v>26.36</v>
      </c>
    </row>
    <row r="72" spans="1:8" s="40" customFormat="1" x14ac:dyDescent="0.3">
      <c r="A72" s="41" t="s">
        <v>976</v>
      </c>
      <c r="B72" s="40">
        <f>D71*E72+G71*H72+J71*K72</f>
        <v>1397.7540621297696</v>
      </c>
      <c r="E72" s="40">
        <v>21.977730795184293</v>
      </c>
      <c r="H72" s="40">
        <v>26.363404806237337</v>
      </c>
    </row>
    <row r="73" spans="1:8" x14ac:dyDescent="0.3">
      <c r="A73" t="s">
        <v>434</v>
      </c>
      <c r="B73">
        <v>1094.45</v>
      </c>
      <c r="C73" t="s">
        <v>43</v>
      </c>
      <c r="D73">
        <v>60</v>
      </c>
      <c r="E73">
        <v>17.579999999999998</v>
      </c>
      <c r="F73" t="s">
        <v>74</v>
      </c>
      <c r="G73">
        <v>3</v>
      </c>
      <c r="H73">
        <v>13.19</v>
      </c>
    </row>
    <row r="74" spans="1:8" s="40" customFormat="1" x14ac:dyDescent="0.3">
      <c r="A74" s="41" t="s">
        <v>976</v>
      </c>
      <c r="B74" s="40">
        <f>D73*E74+G73*H74+J73*K74</f>
        <v>1094.4547217755628</v>
      </c>
      <c r="E74" s="40">
        <v>17.581519098081106</v>
      </c>
      <c r="H74" s="40">
        <v>13.187858630232169</v>
      </c>
    </row>
    <row r="75" spans="1:8" x14ac:dyDescent="0.3">
      <c r="A75" t="s">
        <v>433</v>
      </c>
      <c r="B75">
        <v>1094.45</v>
      </c>
      <c r="C75" t="s">
        <v>43</v>
      </c>
      <c r="D75">
        <v>60</v>
      </c>
      <c r="E75">
        <v>17.579999999999998</v>
      </c>
      <c r="F75" t="s">
        <v>74</v>
      </c>
      <c r="G75">
        <v>3</v>
      </c>
      <c r="H75">
        <v>13.19</v>
      </c>
    </row>
    <row r="76" spans="1:8" s="40" customFormat="1" x14ac:dyDescent="0.3">
      <c r="A76" s="41" t="s">
        <v>976</v>
      </c>
      <c r="B76" s="40">
        <f>D75*E76+G75*H76+J75*K76</f>
        <v>1094.4547217755628</v>
      </c>
      <c r="E76" s="40">
        <v>17.581519098081106</v>
      </c>
      <c r="H76" s="40">
        <v>13.187858630232169</v>
      </c>
    </row>
    <row r="77" spans="1:8" x14ac:dyDescent="0.3">
      <c r="A77" t="s">
        <v>437</v>
      </c>
      <c r="B77">
        <v>751.71</v>
      </c>
      <c r="C77" t="s">
        <v>29</v>
      </c>
      <c r="D77">
        <v>54</v>
      </c>
      <c r="E77">
        <v>13.19</v>
      </c>
      <c r="F77" t="s">
        <v>74</v>
      </c>
      <c r="G77">
        <v>3</v>
      </c>
      <c r="H77">
        <v>13.19</v>
      </c>
    </row>
    <row r="78" spans="1:8" s="40" customFormat="1" x14ac:dyDescent="0.3">
      <c r="A78" s="41" t="s">
        <v>976</v>
      </c>
      <c r="B78" s="40">
        <f>D77*E78+G77*H78+J77*K78</f>
        <v>751.70794192323365</v>
      </c>
      <c r="E78" s="40">
        <v>13.187858630232169</v>
      </c>
      <c r="H78" s="40">
        <v>13.187858630232169</v>
      </c>
    </row>
    <row r="79" spans="1:8" x14ac:dyDescent="0.3">
      <c r="A79" t="s">
        <v>435</v>
      </c>
      <c r="B79">
        <v>613.89</v>
      </c>
      <c r="C79" t="s">
        <v>27</v>
      </c>
      <c r="D79">
        <v>56</v>
      </c>
      <c r="E79">
        <v>10.26</v>
      </c>
      <c r="F79" t="s">
        <v>72</v>
      </c>
      <c r="G79">
        <v>3</v>
      </c>
      <c r="H79">
        <v>13.19</v>
      </c>
    </row>
    <row r="80" spans="1:8" s="40" customFormat="1" x14ac:dyDescent="0.3">
      <c r="A80" s="41" t="s">
        <v>976</v>
      </c>
      <c r="B80" s="40">
        <f>D79*E80+G79*H80+J79*K80</f>
        <v>613.89009391703655</v>
      </c>
      <c r="E80" s="40">
        <v>10.255830679041788</v>
      </c>
      <c r="H80" s="40">
        <v>13.187858630232169</v>
      </c>
    </row>
    <row r="81" spans="1:8" x14ac:dyDescent="0.3">
      <c r="A81" t="s">
        <v>436</v>
      </c>
      <c r="B81">
        <v>552.36</v>
      </c>
      <c r="C81" t="s">
        <v>27</v>
      </c>
      <c r="D81">
        <v>50</v>
      </c>
      <c r="E81">
        <v>10.26</v>
      </c>
      <c r="F81" t="s">
        <v>72</v>
      </c>
      <c r="G81">
        <v>3</v>
      </c>
      <c r="H81">
        <v>13.19</v>
      </c>
    </row>
    <row r="82" spans="1:8" s="40" customFormat="1" x14ac:dyDescent="0.3">
      <c r="A82" s="41" t="s">
        <v>976</v>
      </c>
      <c r="B82" s="40">
        <f>D81*E82+G81*H82+J81*K82</f>
        <v>552.35510984278585</v>
      </c>
      <c r="E82" s="40">
        <v>10.255830679041788</v>
      </c>
      <c r="H82" s="40">
        <v>13.187858630232169</v>
      </c>
    </row>
    <row r="83" spans="1:8" x14ac:dyDescent="0.3">
      <c r="A83" t="s">
        <v>438</v>
      </c>
      <c r="B83">
        <v>1305.45</v>
      </c>
      <c r="C83" t="s">
        <v>57</v>
      </c>
      <c r="D83">
        <v>48</v>
      </c>
      <c r="E83">
        <v>26.37</v>
      </c>
      <c r="F83" t="s">
        <v>83</v>
      </c>
      <c r="G83">
        <v>3</v>
      </c>
      <c r="H83">
        <v>13.19</v>
      </c>
    </row>
    <row r="84" spans="1:8" s="40" customFormat="1" x14ac:dyDescent="0.3">
      <c r="A84" s="41" t="s">
        <v>976</v>
      </c>
      <c r="B84" s="40">
        <f>D83*E84+G83*H84+J83*K84</f>
        <v>1305.4489238661281</v>
      </c>
      <c r="E84" s="40">
        <v>26.372611416154825</v>
      </c>
      <c r="H84" s="40">
        <v>13.187858630232169</v>
      </c>
    </row>
    <row r="85" spans="1:8" x14ac:dyDescent="0.3">
      <c r="A85" t="s">
        <v>439</v>
      </c>
      <c r="B85">
        <v>845.55</v>
      </c>
      <c r="C85" t="s">
        <v>31</v>
      </c>
      <c r="D85">
        <v>50</v>
      </c>
      <c r="E85">
        <v>16.12</v>
      </c>
      <c r="F85" t="s">
        <v>74</v>
      </c>
      <c r="G85">
        <v>3</v>
      </c>
      <c r="H85">
        <v>13.19</v>
      </c>
    </row>
    <row r="86" spans="1:8" s="40" customFormat="1" x14ac:dyDescent="0.3">
      <c r="A86" s="41" t="s">
        <v>976</v>
      </c>
      <c r="B86" s="40">
        <f>D85*E86+G85*H86+J85*K86</f>
        <v>845.55235881127146</v>
      </c>
      <c r="E86" s="40">
        <v>16.119775658411498</v>
      </c>
      <c r="H86" s="40">
        <v>13.187858630232169</v>
      </c>
    </row>
    <row r="87" spans="1:8" x14ac:dyDescent="0.3">
      <c r="A87" t="s">
        <v>440</v>
      </c>
      <c r="B87">
        <v>531.84</v>
      </c>
      <c r="C87" t="s">
        <v>27</v>
      </c>
      <c r="D87">
        <v>48</v>
      </c>
      <c r="E87">
        <v>10.26</v>
      </c>
      <c r="F87" t="s">
        <v>72</v>
      </c>
      <c r="G87">
        <v>3</v>
      </c>
      <c r="H87">
        <v>13.19</v>
      </c>
    </row>
    <row r="88" spans="1:8" s="40" customFormat="1" x14ac:dyDescent="0.3">
      <c r="A88" s="41" t="s">
        <v>976</v>
      </c>
      <c r="B88" s="40">
        <f>D87*E88+G87*H88+J87*K88</f>
        <v>531.84344848470232</v>
      </c>
      <c r="E88" s="40">
        <v>10.255830679041788</v>
      </c>
      <c r="H88" s="40">
        <v>13.187858630232169</v>
      </c>
    </row>
    <row r="89" spans="1:8" x14ac:dyDescent="0.3">
      <c r="A89" t="s">
        <v>443</v>
      </c>
      <c r="B89">
        <v>531.84</v>
      </c>
      <c r="C89" t="s">
        <v>27</v>
      </c>
      <c r="D89">
        <v>48</v>
      </c>
      <c r="E89">
        <v>10.26</v>
      </c>
      <c r="F89" t="s">
        <v>72</v>
      </c>
      <c r="G89">
        <v>3</v>
      </c>
      <c r="H89">
        <v>13.19</v>
      </c>
    </row>
    <row r="90" spans="1:8" s="40" customFormat="1" x14ac:dyDescent="0.3">
      <c r="A90" s="41" t="s">
        <v>976</v>
      </c>
      <c r="B90" s="40">
        <f>D89*E90+G89*H90+J89*K90</f>
        <v>531.84344848470232</v>
      </c>
      <c r="E90" s="40">
        <v>10.255830679041788</v>
      </c>
      <c r="H90" s="40">
        <v>13.187858630232169</v>
      </c>
    </row>
    <row r="91" spans="1:8" x14ac:dyDescent="0.3">
      <c r="A91" t="s">
        <v>441</v>
      </c>
      <c r="B91">
        <v>391.11</v>
      </c>
      <c r="C91" t="s">
        <v>24</v>
      </c>
      <c r="D91">
        <v>48</v>
      </c>
      <c r="E91">
        <v>7.32</v>
      </c>
      <c r="F91" t="s">
        <v>72</v>
      </c>
      <c r="G91">
        <v>3</v>
      </c>
      <c r="H91">
        <v>13.19</v>
      </c>
    </row>
    <row r="92" spans="1:8" s="40" customFormat="1" x14ac:dyDescent="0.3">
      <c r="A92" s="41" t="s">
        <v>976</v>
      </c>
      <c r="B92" s="40">
        <f>D91*E92+G91*H92+J91*K92</f>
        <v>391.10610682756391</v>
      </c>
      <c r="E92" s="40">
        <v>7.3238027278514046</v>
      </c>
      <c r="H92" s="40">
        <v>13.187858630232169</v>
      </c>
    </row>
    <row r="93" spans="1:8" x14ac:dyDescent="0.3">
      <c r="A93" t="s">
        <v>442</v>
      </c>
      <c r="B93">
        <v>531.84</v>
      </c>
      <c r="C93" t="s">
        <v>27</v>
      </c>
      <c r="D93">
        <v>48</v>
      </c>
      <c r="E93">
        <v>10.26</v>
      </c>
      <c r="F93" t="s">
        <v>72</v>
      </c>
      <c r="G93">
        <v>3</v>
      </c>
      <c r="H93">
        <v>13.19</v>
      </c>
    </row>
    <row r="94" spans="1:8" s="40" customFormat="1" x14ac:dyDescent="0.3">
      <c r="A94" s="41" t="s">
        <v>976</v>
      </c>
      <c r="B94" s="40">
        <f>D93*E94+G93*H94+J93*K94</f>
        <v>531.84344848470232</v>
      </c>
      <c r="E94" s="40">
        <v>10.255830679041788</v>
      </c>
      <c r="H94" s="40">
        <v>13.187858630232169</v>
      </c>
    </row>
    <row r="95" spans="1:8" x14ac:dyDescent="0.3">
      <c r="A95" t="s">
        <v>444</v>
      </c>
      <c r="B95">
        <v>531.84</v>
      </c>
      <c r="C95" t="s">
        <v>27</v>
      </c>
      <c r="D95">
        <v>48</v>
      </c>
      <c r="E95">
        <v>10.26</v>
      </c>
      <c r="F95" t="s">
        <v>72</v>
      </c>
      <c r="G95">
        <v>3</v>
      </c>
      <c r="H95">
        <v>13.19</v>
      </c>
    </row>
    <row r="96" spans="1:8" s="40" customFormat="1" x14ac:dyDescent="0.3">
      <c r="A96" s="41" t="s">
        <v>976</v>
      </c>
      <c r="B96" s="40">
        <f>D95*E96+G95*H96+J95*K96</f>
        <v>531.84344848470232</v>
      </c>
      <c r="E96" s="40">
        <v>10.255830679041788</v>
      </c>
      <c r="H96" s="40">
        <v>13.187858630232169</v>
      </c>
    </row>
    <row r="97" spans="1:8" x14ac:dyDescent="0.3">
      <c r="A97" t="s">
        <v>445</v>
      </c>
      <c r="B97">
        <v>672.58</v>
      </c>
      <c r="C97" t="s">
        <v>29</v>
      </c>
      <c r="D97">
        <v>48</v>
      </c>
      <c r="E97">
        <v>13.19</v>
      </c>
      <c r="F97" t="s">
        <v>74</v>
      </c>
      <c r="G97">
        <v>3</v>
      </c>
      <c r="H97">
        <v>13.19</v>
      </c>
    </row>
    <row r="98" spans="1:8" s="40" customFormat="1" x14ac:dyDescent="0.3">
      <c r="A98" s="41" t="s">
        <v>976</v>
      </c>
      <c r="B98" s="40">
        <f>D97*E98+G97*H98+J97*K98</f>
        <v>672.58079014184057</v>
      </c>
      <c r="E98" s="40">
        <v>13.187858630232169</v>
      </c>
      <c r="H98" s="40">
        <v>13.187858630232169</v>
      </c>
    </row>
    <row r="99" spans="1:8" x14ac:dyDescent="0.3">
      <c r="A99" t="s">
        <v>447</v>
      </c>
      <c r="B99">
        <v>813.31</v>
      </c>
      <c r="C99" t="s">
        <v>67</v>
      </c>
      <c r="D99">
        <v>48</v>
      </c>
      <c r="E99">
        <v>16.12</v>
      </c>
      <c r="F99" t="s">
        <v>74</v>
      </c>
      <c r="G99">
        <v>3</v>
      </c>
      <c r="H99">
        <v>13.19</v>
      </c>
    </row>
    <row r="100" spans="1:8" s="40" customFormat="1" x14ac:dyDescent="0.3">
      <c r="A100" s="41" t="s">
        <v>976</v>
      </c>
      <c r="B100" s="40">
        <f>D99*E100+G99*H100+J99*K100</f>
        <v>813.31280749444841</v>
      </c>
      <c r="E100" s="40">
        <v>16.119775658411498</v>
      </c>
      <c r="H100" s="40">
        <v>13.187858630232169</v>
      </c>
    </row>
    <row r="101" spans="1:8" x14ac:dyDescent="0.3">
      <c r="A101" t="s">
        <v>446</v>
      </c>
      <c r="B101">
        <v>672.58</v>
      </c>
      <c r="C101" t="s">
        <v>29</v>
      </c>
      <c r="D101">
        <v>48</v>
      </c>
      <c r="E101">
        <v>13.19</v>
      </c>
      <c r="F101" t="s">
        <v>74</v>
      </c>
      <c r="G101">
        <v>3</v>
      </c>
      <c r="H101">
        <v>13.19</v>
      </c>
    </row>
    <row r="102" spans="1:8" s="40" customFormat="1" x14ac:dyDescent="0.3">
      <c r="A102" s="41" t="s">
        <v>976</v>
      </c>
      <c r="B102" s="40">
        <f>D101*E102+G101*H102+J101*K102</f>
        <v>672.58079014184057</v>
      </c>
      <c r="E102" s="40">
        <v>13.187858630232169</v>
      </c>
      <c r="H102" s="40">
        <v>13.187858630232169</v>
      </c>
    </row>
    <row r="103" spans="1:8" x14ac:dyDescent="0.3">
      <c r="A103" t="s">
        <v>448</v>
      </c>
      <c r="B103">
        <v>813.31</v>
      </c>
      <c r="C103" t="s">
        <v>31</v>
      </c>
      <c r="D103">
        <v>48</v>
      </c>
      <c r="E103">
        <v>16.12</v>
      </c>
      <c r="F103" t="s">
        <v>74</v>
      </c>
      <c r="G103">
        <v>3</v>
      </c>
      <c r="H103">
        <v>13.19</v>
      </c>
    </row>
    <row r="104" spans="1:8" s="40" customFormat="1" x14ac:dyDescent="0.3">
      <c r="A104" s="41" t="s">
        <v>976</v>
      </c>
      <c r="B104" s="40">
        <f>D103*E104+G103*H104+J103*K104</f>
        <v>813.31280749444841</v>
      </c>
      <c r="E104" s="40">
        <v>16.119775658411498</v>
      </c>
      <c r="H104" s="40">
        <v>13.187858630232169</v>
      </c>
    </row>
    <row r="105" spans="1:8" x14ac:dyDescent="0.3">
      <c r="A105" t="s">
        <v>449</v>
      </c>
      <c r="B105">
        <v>813.31</v>
      </c>
      <c r="C105" t="s">
        <v>31</v>
      </c>
      <c r="D105">
        <v>48</v>
      </c>
      <c r="E105">
        <v>16.12</v>
      </c>
      <c r="F105" t="s">
        <v>74</v>
      </c>
      <c r="G105">
        <v>3</v>
      </c>
      <c r="H105">
        <v>13.19</v>
      </c>
    </row>
    <row r="106" spans="1:8" s="40" customFormat="1" x14ac:dyDescent="0.3">
      <c r="A106" s="41" t="s">
        <v>976</v>
      </c>
      <c r="B106" s="40">
        <f>D105*E106+G105*H106+J105*K106</f>
        <v>813.31280749444841</v>
      </c>
      <c r="E106" s="40">
        <v>16.119775658411498</v>
      </c>
      <c r="H106" s="40">
        <v>13.187858630232169</v>
      </c>
    </row>
    <row r="107" spans="1:8" x14ac:dyDescent="0.3">
      <c r="A107" t="s">
        <v>450</v>
      </c>
      <c r="B107">
        <v>813.31</v>
      </c>
      <c r="C107" t="s">
        <v>31</v>
      </c>
      <c r="D107">
        <v>48</v>
      </c>
      <c r="E107">
        <v>16.12</v>
      </c>
      <c r="F107" t="s">
        <v>74</v>
      </c>
      <c r="G107">
        <v>3</v>
      </c>
      <c r="H107">
        <v>13.19</v>
      </c>
    </row>
    <row r="108" spans="1:8" s="40" customFormat="1" x14ac:dyDescent="0.3">
      <c r="A108" s="41" t="s">
        <v>976</v>
      </c>
      <c r="B108" s="40">
        <f>D107*E108+G107*H108+J107*K108</f>
        <v>813.31280749444841</v>
      </c>
      <c r="E108" s="40">
        <v>16.119775658411498</v>
      </c>
      <c r="H108" s="40">
        <v>13.187858630232169</v>
      </c>
    </row>
    <row r="109" spans="1:8" x14ac:dyDescent="0.3">
      <c r="A109" t="s">
        <v>569</v>
      </c>
      <c r="B109">
        <v>813.31</v>
      </c>
      <c r="C109" t="s">
        <v>31</v>
      </c>
      <c r="D109">
        <v>48</v>
      </c>
      <c r="E109">
        <v>16.12</v>
      </c>
      <c r="F109" t="s">
        <v>74</v>
      </c>
      <c r="G109">
        <v>3</v>
      </c>
      <c r="H109">
        <v>13.19</v>
      </c>
    </row>
    <row r="110" spans="1:8" s="40" customFormat="1" x14ac:dyDescent="0.3">
      <c r="A110" s="41" t="s">
        <v>976</v>
      </c>
      <c r="B110" s="40">
        <f>D109*E110+G109*H110+J109*K110</f>
        <v>813.31280749444841</v>
      </c>
      <c r="E110" s="40">
        <v>16.119775658411498</v>
      </c>
      <c r="H110" s="40">
        <v>13.187858630232169</v>
      </c>
    </row>
    <row r="111" spans="1:8" x14ac:dyDescent="0.3">
      <c r="A111" t="s">
        <v>451</v>
      </c>
      <c r="B111">
        <v>953.82</v>
      </c>
      <c r="C111" t="s">
        <v>69</v>
      </c>
      <c r="D111">
        <v>48</v>
      </c>
      <c r="E111">
        <v>19.05</v>
      </c>
      <c r="F111" t="s">
        <v>74</v>
      </c>
      <c r="G111">
        <v>3</v>
      </c>
      <c r="H111">
        <v>13.19</v>
      </c>
    </row>
    <row r="112" spans="1:8" s="40" customFormat="1" x14ac:dyDescent="0.3">
      <c r="A112" s="41" t="s">
        <v>976</v>
      </c>
      <c r="B112" s="40">
        <f>D111*E112+G111*H112+J111*K112</f>
        <v>953.81587975224056</v>
      </c>
      <c r="E112" s="40">
        <v>19.046922997115502</v>
      </c>
      <c r="H112" s="40">
        <v>13.187858630232169</v>
      </c>
    </row>
    <row r="113" spans="1:8" x14ac:dyDescent="0.3">
      <c r="A113" t="s">
        <v>452</v>
      </c>
      <c r="B113">
        <v>813.31</v>
      </c>
      <c r="C113" t="s">
        <v>31</v>
      </c>
      <c r="D113">
        <v>48</v>
      </c>
      <c r="E113">
        <v>16.12</v>
      </c>
      <c r="F113" t="s">
        <v>74</v>
      </c>
      <c r="G113">
        <v>3</v>
      </c>
      <c r="H113">
        <v>13.19</v>
      </c>
    </row>
    <row r="114" spans="1:8" s="40" customFormat="1" x14ac:dyDescent="0.3">
      <c r="A114" s="41" t="s">
        <v>976</v>
      </c>
      <c r="B114" s="40">
        <f>D113*E114+G113*H114+J113*K114</f>
        <v>813.31280749444841</v>
      </c>
      <c r="E114" s="40">
        <v>16.119775658411498</v>
      </c>
      <c r="H114" s="40">
        <v>13.187858630232169</v>
      </c>
    </row>
    <row r="115" spans="1:8" x14ac:dyDescent="0.3">
      <c r="A115" t="s">
        <v>454</v>
      </c>
      <c r="B115">
        <v>813.31</v>
      </c>
      <c r="C115" t="s">
        <v>31</v>
      </c>
      <c r="D115">
        <v>48</v>
      </c>
      <c r="E115">
        <v>16.12</v>
      </c>
      <c r="F115" t="s">
        <v>74</v>
      </c>
      <c r="G115">
        <v>3</v>
      </c>
      <c r="H115">
        <v>13.19</v>
      </c>
    </row>
    <row r="116" spans="1:8" s="40" customFormat="1" x14ac:dyDescent="0.3">
      <c r="A116" s="41" t="s">
        <v>976</v>
      </c>
      <c r="B116" s="40">
        <f>D115*E116+G115*H116+J115*K116</f>
        <v>813.31280749444841</v>
      </c>
      <c r="E116" s="40">
        <v>16.119775658411498</v>
      </c>
      <c r="H116" s="40">
        <v>13.187858630232169</v>
      </c>
    </row>
    <row r="117" spans="1:8" x14ac:dyDescent="0.3">
      <c r="A117" t="s">
        <v>453</v>
      </c>
      <c r="B117">
        <v>813.31</v>
      </c>
      <c r="C117" t="s">
        <v>31</v>
      </c>
      <c r="D117">
        <v>48</v>
      </c>
      <c r="E117">
        <v>16.12</v>
      </c>
      <c r="F117" t="s">
        <v>74</v>
      </c>
      <c r="G117">
        <v>3</v>
      </c>
      <c r="H117">
        <v>13.19</v>
      </c>
    </row>
    <row r="118" spans="1:8" s="40" customFormat="1" x14ac:dyDescent="0.3">
      <c r="A118" s="41" t="s">
        <v>976</v>
      </c>
      <c r="B118" s="40">
        <f>D117*E118+G117*H118+J117*K118</f>
        <v>813.31280749444841</v>
      </c>
      <c r="E118" s="40">
        <v>16.119775658411498</v>
      </c>
      <c r="H118" s="40">
        <v>13.187858630232169</v>
      </c>
    </row>
    <row r="119" spans="1:8" x14ac:dyDescent="0.3">
      <c r="A119" t="s">
        <v>455</v>
      </c>
      <c r="B119">
        <v>813.31</v>
      </c>
      <c r="C119" t="s">
        <v>31</v>
      </c>
      <c r="D119">
        <v>48</v>
      </c>
      <c r="E119">
        <v>16.12</v>
      </c>
      <c r="F119" t="s">
        <v>74</v>
      </c>
      <c r="G119">
        <v>3</v>
      </c>
      <c r="H119">
        <v>13.19</v>
      </c>
    </row>
    <row r="120" spans="1:8" s="40" customFormat="1" x14ac:dyDescent="0.3">
      <c r="A120" s="41" t="s">
        <v>976</v>
      </c>
      <c r="B120" s="40">
        <f>D119*E120+G119*H120+J119*K120</f>
        <v>813.31280749444841</v>
      </c>
      <c r="E120" s="40">
        <v>16.119775658411498</v>
      </c>
      <c r="H120" s="40">
        <v>13.187858630232169</v>
      </c>
    </row>
    <row r="121" spans="1:8" x14ac:dyDescent="0.3">
      <c r="A121" t="s">
        <v>456</v>
      </c>
      <c r="B121">
        <v>953.82</v>
      </c>
      <c r="C121" t="s">
        <v>69</v>
      </c>
      <c r="D121">
        <v>48</v>
      </c>
      <c r="E121">
        <v>19.05</v>
      </c>
      <c r="F121" t="s">
        <v>74</v>
      </c>
      <c r="G121">
        <v>3</v>
      </c>
      <c r="H121">
        <v>13.19</v>
      </c>
    </row>
    <row r="122" spans="1:8" s="40" customFormat="1" x14ac:dyDescent="0.3">
      <c r="A122" s="41" t="s">
        <v>976</v>
      </c>
      <c r="B122" s="40">
        <f>D121*E122+G121*H122+J121*K122</f>
        <v>953.81587975224056</v>
      </c>
      <c r="E122" s="40">
        <v>19.046922997115502</v>
      </c>
      <c r="H122" s="40">
        <v>13.187858630232169</v>
      </c>
    </row>
    <row r="123" spans="1:8" x14ac:dyDescent="0.3">
      <c r="A123" t="s">
        <v>458</v>
      </c>
      <c r="B123">
        <v>813.31</v>
      </c>
      <c r="C123" t="s">
        <v>31</v>
      </c>
      <c r="D123">
        <v>48</v>
      </c>
      <c r="E123">
        <v>16.12</v>
      </c>
      <c r="F123" t="s">
        <v>74</v>
      </c>
      <c r="G123">
        <v>3</v>
      </c>
      <c r="H123">
        <v>13.19</v>
      </c>
    </row>
    <row r="124" spans="1:8" s="40" customFormat="1" x14ac:dyDescent="0.3">
      <c r="A124" s="41" t="s">
        <v>976</v>
      </c>
      <c r="B124" s="40">
        <f>D123*E124+G123*H124+J123*K124</f>
        <v>813.31280749444841</v>
      </c>
      <c r="E124" s="40">
        <v>16.119775658411498</v>
      </c>
      <c r="H124" s="40">
        <v>13.187858630232169</v>
      </c>
    </row>
    <row r="125" spans="1:8" x14ac:dyDescent="0.3">
      <c r="A125" t="s">
        <v>457</v>
      </c>
      <c r="B125">
        <v>1134.02</v>
      </c>
      <c r="C125" t="s">
        <v>33</v>
      </c>
      <c r="D125">
        <v>48</v>
      </c>
      <c r="E125">
        <v>21.98</v>
      </c>
      <c r="F125" t="s">
        <v>79</v>
      </c>
      <c r="G125">
        <v>3</v>
      </c>
      <c r="H125">
        <v>26.36</v>
      </c>
    </row>
    <row r="126" spans="1:8" s="40" customFormat="1" x14ac:dyDescent="0.3">
      <c r="A126" s="41" t="s">
        <v>976</v>
      </c>
      <c r="B126" s="40">
        <f>D125*E126+G125*H126+J125*K126</f>
        <v>1134.021292587558</v>
      </c>
      <c r="E126" s="40">
        <v>21.977730795184293</v>
      </c>
      <c r="H126" s="40">
        <v>26.363404806237337</v>
      </c>
    </row>
    <row r="127" spans="1:8" x14ac:dyDescent="0.3">
      <c r="A127" t="s">
        <v>460</v>
      </c>
      <c r="B127">
        <v>1134.02</v>
      </c>
      <c r="C127" t="s">
        <v>33</v>
      </c>
      <c r="D127">
        <v>48</v>
      </c>
      <c r="E127">
        <v>21.98</v>
      </c>
      <c r="F127" t="s">
        <v>79</v>
      </c>
      <c r="G127">
        <v>3</v>
      </c>
      <c r="H127">
        <v>26.36</v>
      </c>
    </row>
    <row r="128" spans="1:8" s="40" customFormat="1" x14ac:dyDescent="0.3">
      <c r="A128" s="41" t="s">
        <v>976</v>
      </c>
      <c r="B128" s="40">
        <f>D127*E128+G127*H128+J127*K128</f>
        <v>1134.021292587558</v>
      </c>
      <c r="E128" s="40">
        <v>21.977730795184293</v>
      </c>
      <c r="H128" s="40">
        <v>26.363404806237337</v>
      </c>
    </row>
    <row r="129" spans="1:8" x14ac:dyDescent="0.3">
      <c r="A129" t="s">
        <v>459</v>
      </c>
      <c r="B129">
        <v>1134.02</v>
      </c>
      <c r="C129" t="s">
        <v>33</v>
      </c>
      <c r="D129">
        <v>48</v>
      </c>
      <c r="E129">
        <v>21.98</v>
      </c>
      <c r="F129" t="s">
        <v>79</v>
      </c>
      <c r="G129">
        <v>3</v>
      </c>
      <c r="H129">
        <v>26.36</v>
      </c>
    </row>
    <row r="130" spans="1:8" s="40" customFormat="1" x14ac:dyDescent="0.3">
      <c r="A130" s="41" t="s">
        <v>976</v>
      </c>
      <c r="B130" s="40">
        <f>D129*E130+G129*H130+J129*K130</f>
        <v>1134.021292587558</v>
      </c>
      <c r="E130" s="40">
        <v>21.977730795184293</v>
      </c>
      <c r="H130" s="40">
        <v>26.363404806237337</v>
      </c>
    </row>
    <row r="131" spans="1:8" x14ac:dyDescent="0.3">
      <c r="A131" t="s">
        <v>461</v>
      </c>
      <c r="B131">
        <v>883.48</v>
      </c>
      <c r="C131" t="s">
        <v>43</v>
      </c>
      <c r="D131">
        <v>48</v>
      </c>
      <c r="E131">
        <v>17.579999999999998</v>
      </c>
      <c r="F131" t="s">
        <v>74</v>
      </c>
      <c r="G131">
        <v>3</v>
      </c>
      <c r="H131">
        <v>13.19</v>
      </c>
    </row>
    <row r="132" spans="1:8" s="40" customFormat="1" x14ac:dyDescent="0.3">
      <c r="A132" s="41" t="s">
        <v>976</v>
      </c>
      <c r="B132" s="40">
        <f>D131*E132+G131*H132+J131*K132</f>
        <v>883.47649259858963</v>
      </c>
      <c r="E132" s="40">
        <v>17.581519098081106</v>
      </c>
      <c r="H132" s="40">
        <v>13.187858630232169</v>
      </c>
    </row>
    <row r="133" spans="1:8" x14ac:dyDescent="0.3">
      <c r="A133" t="s">
        <v>462</v>
      </c>
      <c r="B133">
        <v>567.02</v>
      </c>
      <c r="C133" t="s">
        <v>39</v>
      </c>
      <c r="D133">
        <v>48</v>
      </c>
      <c r="E133">
        <v>10.99</v>
      </c>
      <c r="F133" t="s">
        <v>72</v>
      </c>
      <c r="G133">
        <v>3</v>
      </c>
      <c r="H133">
        <v>13.19</v>
      </c>
    </row>
    <row r="134" spans="1:8" s="40" customFormat="1" x14ac:dyDescent="0.3">
      <c r="A134" s="41" t="s">
        <v>976</v>
      </c>
      <c r="B134" s="40">
        <f>D133*E134+G133*H134+J133*K134</f>
        <v>567.01580421379299</v>
      </c>
      <c r="E134" s="40">
        <v>10.988588090064511</v>
      </c>
      <c r="H134" s="40">
        <v>13.187858630232169</v>
      </c>
    </row>
    <row r="135" spans="1:8" x14ac:dyDescent="0.3">
      <c r="A135" t="s">
        <v>463</v>
      </c>
      <c r="B135">
        <v>883.48</v>
      </c>
      <c r="C135" t="s">
        <v>43</v>
      </c>
      <c r="D135">
        <v>48</v>
      </c>
      <c r="E135">
        <v>17.579999999999998</v>
      </c>
      <c r="F135" t="s">
        <v>74</v>
      </c>
      <c r="G135">
        <v>3</v>
      </c>
      <c r="H135">
        <v>13.19</v>
      </c>
    </row>
    <row r="136" spans="1:8" s="40" customFormat="1" x14ac:dyDescent="0.3">
      <c r="A136" s="41" t="s">
        <v>976</v>
      </c>
      <c r="B136" s="40">
        <f>D135*E136+G135*H136+J135*K136</f>
        <v>883.47649259858963</v>
      </c>
      <c r="E136" s="40">
        <v>17.581519098081106</v>
      </c>
      <c r="H136" s="40">
        <v>13.187858630232169</v>
      </c>
    </row>
    <row r="137" spans="1:8" x14ac:dyDescent="0.3">
      <c r="A137" t="s">
        <v>465</v>
      </c>
      <c r="B137">
        <v>883.48</v>
      </c>
      <c r="C137" t="s">
        <v>43</v>
      </c>
      <c r="D137">
        <v>48</v>
      </c>
      <c r="E137">
        <v>17.579999999999998</v>
      </c>
      <c r="F137" t="s">
        <v>74</v>
      </c>
      <c r="G137">
        <v>3</v>
      </c>
      <c r="H137">
        <v>13.19</v>
      </c>
    </row>
    <row r="138" spans="1:8" s="40" customFormat="1" x14ac:dyDescent="0.3">
      <c r="A138" s="41" t="s">
        <v>976</v>
      </c>
      <c r="B138" s="40">
        <f>D137*E138+G137*H138+J137*K138</f>
        <v>883.47649259858963</v>
      </c>
      <c r="E138" s="40">
        <v>17.581519098081106</v>
      </c>
      <c r="H138" s="40">
        <v>13.187858630232169</v>
      </c>
    </row>
    <row r="139" spans="1:8" x14ac:dyDescent="0.3">
      <c r="A139" t="s">
        <v>464</v>
      </c>
      <c r="B139">
        <v>883.48</v>
      </c>
      <c r="C139" t="s">
        <v>43</v>
      </c>
      <c r="D139">
        <v>48</v>
      </c>
      <c r="E139">
        <v>17.579999999999998</v>
      </c>
      <c r="F139" t="s">
        <v>74</v>
      </c>
      <c r="G139">
        <v>3</v>
      </c>
      <c r="H139">
        <v>13.19</v>
      </c>
    </row>
    <row r="140" spans="1:8" s="40" customFormat="1" x14ac:dyDescent="0.3">
      <c r="A140" s="41" t="s">
        <v>976</v>
      </c>
      <c r="B140" s="40">
        <f>D139*E140+G139*H140+J139*K140</f>
        <v>883.47649259858963</v>
      </c>
      <c r="E140" s="40">
        <v>17.581519098081106</v>
      </c>
      <c r="H140" s="40">
        <v>13.187858630232169</v>
      </c>
    </row>
    <row r="141" spans="1:8" x14ac:dyDescent="0.3">
      <c r="A141" t="s">
        <v>466</v>
      </c>
      <c r="B141">
        <v>883.48</v>
      </c>
      <c r="C141" t="s">
        <v>43</v>
      </c>
      <c r="D141">
        <v>48</v>
      </c>
      <c r="E141">
        <v>17.579999999999998</v>
      </c>
      <c r="F141" t="s">
        <v>74</v>
      </c>
      <c r="G141">
        <v>3</v>
      </c>
      <c r="H141">
        <v>13.19</v>
      </c>
    </row>
    <row r="142" spans="1:8" s="40" customFormat="1" x14ac:dyDescent="0.3">
      <c r="A142" s="41" t="s">
        <v>976</v>
      </c>
      <c r="B142" s="40">
        <f>D141*E142+G141*H142+J141*K142</f>
        <v>883.47649259858963</v>
      </c>
      <c r="E142" s="40">
        <v>17.581519098081106</v>
      </c>
      <c r="H142" s="40">
        <v>13.187858630232169</v>
      </c>
    </row>
    <row r="143" spans="1:8" x14ac:dyDescent="0.3">
      <c r="A143" t="s">
        <v>470</v>
      </c>
      <c r="B143">
        <v>492.28</v>
      </c>
      <c r="C143" t="s">
        <v>27</v>
      </c>
      <c r="D143">
        <v>48</v>
      </c>
      <c r="E143">
        <v>10.26</v>
      </c>
    </row>
    <row r="144" spans="1:8" s="40" customFormat="1" x14ac:dyDescent="0.3">
      <c r="A144" s="41" t="s">
        <v>976</v>
      </c>
      <c r="B144" s="40">
        <f>D143*E144+G143*H144+J143*K144</f>
        <v>492.27987259400584</v>
      </c>
      <c r="E144" s="40">
        <v>10.255830679041788</v>
      </c>
    </row>
    <row r="145" spans="1:11" x14ac:dyDescent="0.3">
      <c r="A145" t="s">
        <v>467</v>
      </c>
      <c r="B145">
        <v>883.48</v>
      </c>
      <c r="C145" t="s">
        <v>43</v>
      </c>
      <c r="D145">
        <v>48</v>
      </c>
      <c r="E145">
        <v>17.579999999999998</v>
      </c>
      <c r="F145" t="s">
        <v>74</v>
      </c>
      <c r="G145">
        <v>3</v>
      </c>
      <c r="H145">
        <v>13.19</v>
      </c>
    </row>
    <row r="146" spans="1:11" s="40" customFormat="1" x14ac:dyDescent="0.3">
      <c r="A146" s="41" t="s">
        <v>976</v>
      </c>
      <c r="B146" s="40">
        <f>D145*E146+G145*H146+J145*K146</f>
        <v>883.47649259858963</v>
      </c>
      <c r="E146" s="40">
        <v>17.581519098081106</v>
      </c>
      <c r="H146" s="40">
        <v>13.187858630232169</v>
      </c>
    </row>
    <row r="147" spans="1:11" x14ac:dyDescent="0.3">
      <c r="A147" t="s">
        <v>468</v>
      </c>
      <c r="B147">
        <v>773.75</v>
      </c>
      <c r="C147" t="s">
        <v>31</v>
      </c>
      <c r="D147">
        <v>48</v>
      </c>
      <c r="E147">
        <v>16.12</v>
      </c>
    </row>
    <row r="148" spans="1:11" s="40" customFormat="1" x14ac:dyDescent="0.3">
      <c r="A148" s="41" t="s">
        <v>976</v>
      </c>
      <c r="B148" s="40">
        <f>D147*E148+G147*H148+J147*K148</f>
        <v>773.74923160375192</v>
      </c>
      <c r="E148" s="40">
        <v>16.119775658411498</v>
      </c>
    </row>
    <row r="149" spans="1:11" x14ac:dyDescent="0.3">
      <c r="A149" t="s">
        <v>472</v>
      </c>
      <c r="B149">
        <v>1538.22</v>
      </c>
      <c r="C149" t="s">
        <v>57</v>
      </c>
      <c r="D149">
        <v>48</v>
      </c>
      <c r="E149">
        <v>26.37</v>
      </c>
      <c r="F149" t="s">
        <v>119</v>
      </c>
      <c r="G149">
        <v>3</v>
      </c>
      <c r="H149">
        <v>17.579999999999998</v>
      </c>
      <c r="I149" t="s">
        <v>137</v>
      </c>
      <c r="J149">
        <v>50</v>
      </c>
      <c r="K149">
        <v>4.3899999999999997</v>
      </c>
    </row>
    <row r="150" spans="1:11" s="40" customFormat="1" x14ac:dyDescent="0.3">
      <c r="A150" s="41" t="s">
        <v>976</v>
      </c>
      <c r="B150" s="40">
        <f>D149*E150+G149*H150+J149*K150</f>
        <v>1538.2171802517491</v>
      </c>
      <c r="E150" s="40">
        <v>26.372611416154825</v>
      </c>
      <c r="H150" s="40">
        <v>17.579688979321727</v>
      </c>
      <c r="K150" s="40">
        <v>4.3918553067670469</v>
      </c>
    </row>
    <row r="151" spans="1:11" x14ac:dyDescent="0.3">
      <c r="A151" t="s">
        <v>469</v>
      </c>
      <c r="B151">
        <v>1538.22</v>
      </c>
      <c r="C151" t="s">
        <v>57</v>
      </c>
      <c r="D151">
        <v>48</v>
      </c>
      <c r="E151">
        <v>26.37</v>
      </c>
      <c r="F151" t="s">
        <v>119</v>
      </c>
      <c r="G151">
        <v>3</v>
      </c>
      <c r="H151">
        <v>17.579999999999998</v>
      </c>
      <c r="I151" t="s">
        <v>137</v>
      </c>
      <c r="J151">
        <v>50</v>
      </c>
      <c r="K151">
        <v>4.3899999999999997</v>
      </c>
    </row>
    <row r="152" spans="1:11" s="40" customFormat="1" x14ac:dyDescent="0.3">
      <c r="A152" s="41" t="s">
        <v>976</v>
      </c>
      <c r="B152" s="40">
        <f>D151*E152+G151*H152+J151*K152</f>
        <v>1538.2171802517491</v>
      </c>
      <c r="E152" s="40">
        <v>26.372611416154825</v>
      </c>
      <c r="H152" s="40">
        <v>17.579688979321727</v>
      </c>
      <c r="K152" s="40">
        <v>4.3918553067670469</v>
      </c>
    </row>
    <row r="153" spans="1:11" x14ac:dyDescent="0.3">
      <c r="A153" t="s">
        <v>471</v>
      </c>
      <c r="B153">
        <v>1046.08</v>
      </c>
      <c r="C153" t="s">
        <v>31</v>
      </c>
      <c r="D153">
        <v>48</v>
      </c>
      <c r="E153">
        <v>16.12</v>
      </c>
      <c r="F153" t="s">
        <v>110</v>
      </c>
      <c r="G153">
        <v>3</v>
      </c>
      <c r="H153">
        <v>17.579999999999998</v>
      </c>
      <c r="I153" t="s">
        <v>137</v>
      </c>
      <c r="J153">
        <v>50</v>
      </c>
      <c r="K153">
        <v>4.3899999999999997</v>
      </c>
    </row>
    <row r="154" spans="1:11" s="40" customFormat="1" x14ac:dyDescent="0.3">
      <c r="A154" s="41" t="s">
        <v>976</v>
      </c>
      <c r="B154" s="40">
        <f>D153*E154+G153*H154+J153*K154</f>
        <v>1046.0810638800695</v>
      </c>
      <c r="E154" s="40">
        <v>16.119775658411498</v>
      </c>
      <c r="H154" s="40">
        <v>17.579688979321727</v>
      </c>
      <c r="K154" s="40">
        <v>4.3918553067670469</v>
      </c>
    </row>
    <row r="155" spans="1:11" x14ac:dyDescent="0.3">
      <c r="A155" t="s">
        <v>474</v>
      </c>
      <c r="B155">
        <v>1186.58</v>
      </c>
      <c r="C155" t="s">
        <v>69</v>
      </c>
      <c r="D155">
        <v>48</v>
      </c>
      <c r="E155">
        <v>19.05</v>
      </c>
      <c r="F155" t="s">
        <v>110</v>
      </c>
      <c r="G155">
        <v>3</v>
      </c>
      <c r="H155">
        <v>17.579999999999998</v>
      </c>
      <c r="I155" t="s">
        <v>137</v>
      </c>
      <c r="J155">
        <v>50</v>
      </c>
      <c r="K155">
        <v>4.3899999999999997</v>
      </c>
    </row>
    <row r="156" spans="1:11" s="40" customFormat="1" x14ac:dyDescent="0.3">
      <c r="A156" s="41" t="s">
        <v>976</v>
      </c>
      <c r="B156" s="40">
        <f>D155*E156+G155*H156+J155*K156</f>
        <v>1186.5841361378616</v>
      </c>
      <c r="E156" s="40">
        <v>19.046922997115502</v>
      </c>
      <c r="H156" s="40">
        <v>17.579688979321727</v>
      </c>
      <c r="K156" s="40">
        <v>4.3918553067670469</v>
      </c>
    </row>
    <row r="157" spans="1:11" x14ac:dyDescent="0.3">
      <c r="A157" t="s">
        <v>473</v>
      </c>
      <c r="B157">
        <v>1617.51</v>
      </c>
      <c r="C157" t="s">
        <v>61</v>
      </c>
      <c r="D157">
        <v>42</v>
      </c>
      <c r="E157">
        <v>36.630000000000003</v>
      </c>
      <c r="F157" t="s">
        <v>85</v>
      </c>
      <c r="G157">
        <v>3</v>
      </c>
      <c r="H157">
        <v>26.36</v>
      </c>
    </row>
    <row r="158" spans="1:11" s="40" customFormat="1" x14ac:dyDescent="0.3">
      <c r="A158" s="41" t="s">
        <v>976</v>
      </c>
      <c r="B158" s="40">
        <f>D157*E158+G157*H158+J157*K158</f>
        <v>1617.5127350157552</v>
      </c>
      <c r="E158" s="40">
        <v>36.629107633262933</v>
      </c>
      <c r="H158" s="40">
        <v>26.363404806237337</v>
      </c>
    </row>
    <row r="159" spans="1:11" x14ac:dyDescent="0.3">
      <c r="A159" t="s">
        <v>475</v>
      </c>
      <c r="B159">
        <v>716.59</v>
      </c>
      <c r="C159" t="s">
        <v>31</v>
      </c>
      <c r="D159">
        <v>42</v>
      </c>
      <c r="E159">
        <v>16.12</v>
      </c>
      <c r="F159" t="s">
        <v>74</v>
      </c>
      <c r="G159">
        <v>3</v>
      </c>
      <c r="H159">
        <v>13.19</v>
      </c>
    </row>
    <row r="160" spans="1:11" s="40" customFormat="1" x14ac:dyDescent="0.3">
      <c r="A160" s="41" t="s">
        <v>976</v>
      </c>
      <c r="B160" s="40">
        <f>D159*E160+G159*H160+J159*K160</f>
        <v>716.59415354397947</v>
      </c>
      <c r="E160" s="40">
        <v>16.119775658411498</v>
      </c>
      <c r="H160" s="40">
        <v>13.187858630232169</v>
      </c>
    </row>
    <row r="161" spans="1:11" x14ac:dyDescent="0.3">
      <c r="A161" t="s">
        <v>477</v>
      </c>
      <c r="B161">
        <v>1309.83</v>
      </c>
      <c r="C161" t="s">
        <v>47</v>
      </c>
      <c r="D161">
        <v>42</v>
      </c>
      <c r="E161">
        <v>29.3</v>
      </c>
      <c r="F161" t="s">
        <v>79</v>
      </c>
      <c r="G161">
        <v>3</v>
      </c>
      <c r="H161">
        <v>26.36</v>
      </c>
    </row>
    <row r="162" spans="1:11" s="40" customFormat="1" x14ac:dyDescent="0.3">
      <c r="A162" s="41" t="s">
        <v>976</v>
      </c>
      <c r="B162" s="40">
        <f>D161*E162+G161*H162+J161*K162</f>
        <v>1309.8338214161038</v>
      </c>
      <c r="E162" s="40">
        <v>29.303419214223613</v>
      </c>
      <c r="H162" s="40">
        <v>26.363404806237337</v>
      </c>
    </row>
    <row r="163" spans="1:11" x14ac:dyDescent="0.3">
      <c r="A163" t="s">
        <v>476</v>
      </c>
      <c r="B163">
        <v>716.59</v>
      </c>
      <c r="C163" t="s">
        <v>31</v>
      </c>
      <c r="D163">
        <v>42</v>
      </c>
      <c r="E163">
        <v>16.12</v>
      </c>
      <c r="F163" t="s">
        <v>74</v>
      </c>
      <c r="G163">
        <v>3</v>
      </c>
      <c r="H163">
        <v>13.19</v>
      </c>
    </row>
    <row r="164" spans="1:11" s="40" customFormat="1" x14ac:dyDescent="0.3">
      <c r="A164" s="41" t="s">
        <v>976</v>
      </c>
      <c r="B164" s="40">
        <f>D163*E164+G163*H164+J163*K164</f>
        <v>716.59415354397947</v>
      </c>
      <c r="E164" s="40">
        <v>16.119775658411498</v>
      </c>
      <c r="H164" s="40">
        <v>13.187858630232169</v>
      </c>
    </row>
    <row r="165" spans="1:11" x14ac:dyDescent="0.3">
      <c r="A165" t="s">
        <v>478</v>
      </c>
      <c r="B165">
        <v>567.08000000000004</v>
      </c>
      <c r="C165" t="s">
        <v>65</v>
      </c>
      <c r="D165">
        <v>40</v>
      </c>
      <c r="E165">
        <v>13.19</v>
      </c>
      <c r="F165" t="s">
        <v>72</v>
      </c>
      <c r="G165">
        <v>3</v>
      </c>
      <c r="H165">
        <v>13.19</v>
      </c>
    </row>
    <row r="166" spans="1:11" s="40" customFormat="1" x14ac:dyDescent="0.3">
      <c r="A166" s="41" t="s">
        <v>976</v>
      </c>
      <c r="B166" s="40">
        <f>D165*E166+G165*H166+J165*K166</f>
        <v>567.0779210999832</v>
      </c>
      <c r="E166" s="40">
        <v>13.187858630232169</v>
      </c>
      <c r="H166" s="40">
        <v>13.187858630232169</v>
      </c>
    </row>
    <row r="167" spans="1:11" x14ac:dyDescent="0.3">
      <c r="A167" t="s">
        <v>479</v>
      </c>
      <c r="B167">
        <v>684.35</v>
      </c>
      <c r="C167" t="s">
        <v>31</v>
      </c>
      <c r="D167">
        <v>40</v>
      </c>
      <c r="E167">
        <v>16.12</v>
      </c>
      <c r="F167" t="s">
        <v>74</v>
      </c>
      <c r="G167">
        <v>3</v>
      </c>
      <c r="H167">
        <v>13.19</v>
      </c>
    </row>
    <row r="168" spans="1:11" s="40" customFormat="1" x14ac:dyDescent="0.3">
      <c r="A168" s="41" t="s">
        <v>976</v>
      </c>
      <c r="B168" s="40">
        <f>D167*E168+G167*H168+J167*K168</f>
        <v>684.35460222715642</v>
      </c>
      <c r="E168" s="40">
        <v>16.119775658411498</v>
      </c>
      <c r="H168" s="40">
        <v>13.187858630232169</v>
      </c>
    </row>
    <row r="169" spans="1:11" x14ac:dyDescent="0.3">
      <c r="A169" t="s">
        <v>480</v>
      </c>
      <c r="B169">
        <v>441</v>
      </c>
      <c r="C169" t="s">
        <v>27</v>
      </c>
      <c r="D169">
        <v>40</v>
      </c>
      <c r="E169">
        <v>10.26</v>
      </c>
      <c r="F169" t="s">
        <v>87</v>
      </c>
      <c r="G169">
        <v>3</v>
      </c>
      <c r="H169">
        <v>10.26</v>
      </c>
    </row>
    <row r="170" spans="1:11" s="40" customFormat="1" x14ac:dyDescent="0.3">
      <c r="A170" s="41" t="s">
        <v>976</v>
      </c>
      <c r="B170" s="40">
        <f>D169*E170+G169*H170+J169*K170</f>
        <v>441.00071919879684</v>
      </c>
      <c r="E170" s="40">
        <v>10.255830679041788</v>
      </c>
      <c r="H170" s="40">
        <v>10.255830679041788</v>
      </c>
    </row>
    <row r="171" spans="1:11" x14ac:dyDescent="0.3">
      <c r="A171" t="s">
        <v>481</v>
      </c>
      <c r="B171">
        <v>881.99</v>
      </c>
      <c r="C171" t="s">
        <v>31</v>
      </c>
      <c r="D171">
        <v>40</v>
      </c>
      <c r="E171">
        <v>16.12</v>
      </c>
      <c r="F171" t="s">
        <v>110</v>
      </c>
      <c r="G171">
        <v>3</v>
      </c>
      <c r="H171">
        <v>17.579999999999998</v>
      </c>
      <c r="I171" t="s">
        <v>137</v>
      </c>
      <c r="J171">
        <v>42</v>
      </c>
      <c r="K171">
        <v>4.3899999999999997</v>
      </c>
    </row>
    <row r="172" spans="1:11" s="40" customFormat="1" x14ac:dyDescent="0.3">
      <c r="A172" s="41" t="s">
        <v>976</v>
      </c>
      <c r="B172" s="40">
        <f>D171*E172+G171*H172+J171*K172</f>
        <v>881.98801615864113</v>
      </c>
      <c r="E172" s="40">
        <v>16.119775658411498</v>
      </c>
      <c r="H172" s="40">
        <v>17.579688979321727</v>
      </c>
      <c r="K172" s="40">
        <v>4.3918553067670469</v>
      </c>
    </row>
    <row r="173" spans="1:11" x14ac:dyDescent="0.3">
      <c r="A173" t="s">
        <v>482</v>
      </c>
      <c r="B173">
        <v>975.79</v>
      </c>
      <c r="C173" t="s">
        <v>57</v>
      </c>
      <c r="D173">
        <v>36</v>
      </c>
      <c r="E173">
        <v>26.37</v>
      </c>
      <c r="F173" t="s">
        <v>83</v>
      </c>
      <c r="G173">
        <v>2</v>
      </c>
      <c r="H173">
        <v>13.19</v>
      </c>
    </row>
    <row r="174" spans="1:11" s="40" customFormat="1" x14ac:dyDescent="0.3">
      <c r="A174" s="41" t="s">
        <v>976</v>
      </c>
      <c r="B174" s="40">
        <f>D173*E174+G173*H174+J173*K174</f>
        <v>975.789728242038</v>
      </c>
      <c r="E174" s="40">
        <v>26.372611416154825</v>
      </c>
      <c r="H174" s="40">
        <v>13.187858630232169</v>
      </c>
    </row>
    <row r="175" spans="1:11" x14ac:dyDescent="0.3">
      <c r="A175" t="s">
        <v>483</v>
      </c>
      <c r="B175">
        <v>1107.6500000000001</v>
      </c>
      <c r="C175" t="s">
        <v>59</v>
      </c>
      <c r="D175">
        <v>36</v>
      </c>
      <c r="E175">
        <v>29.3</v>
      </c>
      <c r="F175" t="s">
        <v>85</v>
      </c>
      <c r="G175">
        <v>2</v>
      </c>
      <c r="H175">
        <v>26.36</v>
      </c>
    </row>
    <row r="176" spans="1:11" s="40" customFormat="1" x14ac:dyDescent="0.3">
      <c r="A176" s="41" t="s">
        <v>976</v>
      </c>
      <c r="B176" s="40">
        <f>D175*E176+G175*H176+J175*K176</f>
        <v>1107.6499013245248</v>
      </c>
      <c r="E176" s="40">
        <v>29.303419214223613</v>
      </c>
      <c r="H176" s="40">
        <v>26.363404806237337</v>
      </c>
    </row>
    <row r="177" spans="1:8" x14ac:dyDescent="0.3">
      <c r="A177" t="s">
        <v>484</v>
      </c>
      <c r="B177">
        <v>1107.6500000000001</v>
      </c>
      <c r="C177" t="s">
        <v>59</v>
      </c>
      <c r="D177">
        <v>36</v>
      </c>
      <c r="E177">
        <v>29.3</v>
      </c>
      <c r="F177" t="s">
        <v>85</v>
      </c>
      <c r="G177">
        <v>2</v>
      </c>
      <c r="H177">
        <v>26.36</v>
      </c>
    </row>
    <row r="178" spans="1:8" s="40" customFormat="1" x14ac:dyDescent="0.3">
      <c r="A178" s="41" t="s">
        <v>976</v>
      </c>
      <c r="B178" s="40">
        <f>D177*E178+G177*H178+J177*K178</f>
        <v>1107.6499013245248</v>
      </c>
      <c r="E178" s="40">
        <v>29.303419214223613</v>
      </c>
      <c r="H178" s="40">
        <v>26.363404806237337</v>
      </c>
    </row>
    <row r="179" spans="1:8" x14ac:dyDescent="0.3">
      <c r="A179" t="s">
        <v>485</v>
      </c>
      <c r="B179">
        <v>395.59</v>
      </c>
      <c r="C179" t="s">
        <v>27</v>
      </c>
      <c r="D179">
        <v>36</v>
      </c>
      <c r="E179">
        <v>10.26</v>
      </c>
      <c r="F179" t="s">
        <v>72</v>
      </c>
      <c r="G179">
        <v>2</v>
      </c>
      <c r="H179">
        <v>13.19</v>
      </c>
    </row>
    <row r="180" spans="1:8" s="40" customFormat="1" x14ac:dyDescent="0.3">
      <c r="A180" s="41" t="s">
        <v>976</v>
      </c>
      <c r="B180" s="40">
        <f>D179*E180+G179*H180+J179*K180</f>
        <v>395.58562170596872</v>
      </c>
      <c r="E180" s="40">
        <v>10.255830679041788</v>
      </c>
      <c r="H180" s="40">
        <v>13.187858630232169</v>
      </c>
    </row>
    <row r="181" spans="1:8" x14ac:dyDescent="0.3">
      <c r="A181" t="s">
        <v>487</v>
      </c>
      <c r="B181">
        <v>395.59</v>
      </c>
      <c r="C181" t="s">
        <v>27</v>
      </c>
      <c r="D181">
        <v>36</v>
      </c>
      <c r="E181">
        <v>10.26</v>
      </c>
      <c r="F181" t="s">
        <v>72</v>
      </c>
      <c r="G181">
        <v>2</v>
      </c>
      <c r="H181">
        <v>13.19</v>
      </c>
    </row>
    <row r="182" spans="1:8" s="40" customFormat="1" x14ac:dyDescent="0.3">
      <c r="A182" s="41" t="s">
        <v>976</v>
      </c>
      <c r="B182" s="40">
        <f>D181*E182+G181*H182+J181*K182</f>
        <v>395.58562170596872</v>
      </c>
      <c r="E182" s="40">
        <v>10.255830679041788</v>
      </c>
      <c r="H182" s="40">
        <v>13.187858630232169</v>
      </c>
    </row>
    <row r="183" spans="1:8" x14ac:dyDescent="0.3">
      <c r="A183" t="s">
        <v>486</v>
      </c>
      <c r="B183">
        <v>395.59</v>
      </c>
      <c r="C183" t="s">
        <v>27</v>
      </c>
      <c r="D183">
        <v>36</v>
      </c>
      <c r="E183">
        <v>10.26</v>
      </c>
      <c r="F183" t="s">
        <v>72</v>
      </c>
      <c r="G183">
        <v>2</v>
      </c>
      <c r="H183">
        <v>13.19</v>
      </c>
    </row>
    <row r="184" spans="1:8" s="40" customFormat="1" x14ac:dyDescent="0.3">
      <c r="A184" s="41" t="s">
        <v>976</v>
      </c>
      <c r="B184" s="40">
        <f>D183*E184+G183*H184+J183*K184</f>
        <v>395.58562170596872</v>
      </c>
      <c r="E184" s="40">
        <v>10.255830679041788</v>
      </c>
      <c r="H184" s="40">
        <v>13.187858630232169</v>
      </c>
    </row>
    <row r="185" spans="1:8" x14ac:dyDescent="0.3">
      <c r="A185" t="s">
        <v>489</v>
      </c>
      <c r="B185">
        <v>395.59</v>
      </c>
      <c r="C185" t="s">
        <v>27</v>
      </c>
      <c r="D185">
        <v>36</v>
      </c>
      <c r="E185">
        <v>10.26</v>
      </c>
      <c r="F185" t="s">
        <v>72</v>
      </c>
      <c r="G185">
        <v>2</v>
      </c>
      <c r="H185">
        <v>13.19</v>
      </c>
    </row>
    <row r="186" spans="1:8" s="40" customFormat="1" x14ac:dyDescent="0.3">
      <c r="A186" s="41" t="s">
        <v>976</v>
      </c>
      <c r="B186" s="40">
        <f>D185*E186+G185*H186+J185*K186</f>
        <v>395.58562170596872</v>
      </c>
      <c r="E186" s="40">
        <v>10.255830679041788</v>
      </c>
      <c r="H186" s="40">
        <v>13.187858630232169</v>
      </c>
    </row>
    <row r="187" spans="1:8" x14ac:dyDescent="0.3">
      <c r="A187" t="s">
        <v>488</v>
      </c>
      <c r="B187">
        <v>395.59</v>
      </c>
      <c r="C187" t="s">
        <v>27</v>
      </c>
      <c r="D187">
        <v>36</v>
      </c>
      <c r="E187">
        <v>10.26</v>
      </c>
      <c r="F187" t="s">
        <v>72</v>
      </c>
      <c r="G187">
        <v>2</v>
      </c>
      <c r="H187">
        <v>13.19</v>
      </c>
    </row>
    <row r="188" spans="1:8" s="40" customFormat="1" x14ac:dyDescent="0.3">
      <c r="A188" s="41" t="s">
        <v>976</v>
      </c>
      <c r="B188" s="40">
        <f>D187*E188+G187*H188+J187*K188</f>
        <v>395.58562170596872</v>
      </c>
      <c r="E188" s="40">
        <v>10.255830679041788</v>
      </c>
      <c r="H188" s="40">
        <v>13.187858630232169</v>
      </c>
    </row>
    <row r="189" spans="1:8" x14ac:dyDescent="0.3">
      <c r="A189" t="s">
        <v>490</v>
      </c>
      <c r="B189">
        <v>395.59</v>
      </c>
      <c r="C189" t="s">
        <v>27</v>
      </c>
      <c r="D189">
        <v>36</v>
      </c>
      <c r="E189">
        <v>10.26</v>
      </c>
      <c r="F189" t="s">
        <v>72</v>
      </c>
      <c r="G189">
        <v>2</v>
      </c>
      <c r="H189">
        <v>13.19</v>
      </c>
    </row>
    <row r="190" spans="1:8" s="40" customFormat="1" x14ac:dyDescent="0.3">
      <c r="A190" s="41" t="s">
        <v>976</v>
      </c>
      <c r="B190" s="40">
        <f>D189*E190+G189*H190+J189*K190</f>
        <v>395.58562170596872</v>
      </c>
      <c r="E190" s="40">
        <v>10.255830679041788</v>
      </c>
      <c r="H190" s="40">
        <v>13.187858630232169</v>
      </c>
    </row>
    <row r="191" spans="1:8" x14ac:dyDescent="0.3">
      <c r="A191" t="s">
        <v>493</v>
      </c>
      <c r="B191">
        <v>501.14</v>
      </c>
      <c r="C191" t="s">
        <v>29</v>
      </c>
      <c r="D191">
        <v>36</v>
      </c>
      <c r="E191">
        <v>13.19</v>
      </c>
      <c r="F191" t="s">
        <v>74</v>
      </c>
      <c r="G191">
        <v>2</v>
      </c>
      <c r="H191">
        <v>13.19</v>
      </c>
    </row>
    <row r="192" spans="1:8" s="40" customFormat="1" x14ac:dyDescent="0.3">
      <c r="A192" s="41" t="s">
        <v>976</v>
      </c>
      <c r="B192" s="40">
        <f>D191*E192+G191*H192+J191*K192</f>
        <v>501.13862794882243</v>
      </c>
      <c r="E192" s="40">
        <v>13.187858630232169</v>
      </c>
      <c r="H192" s="40">
        <v>13.187858630232169</v>
      </c>
    </row>
    <row r="193" spans="1:8" x14ac:dyDescent="0.3">
      <c r="A193" t="s">
        <v>491</v>
      </c>
      <c r="B193">
        <v>501.14</v>
      </c>
      <c r="C193" t="s">
        <v>65</v>
      </c>
      <c r="D193">
        <v>36</v>
      </c>
      <c r="E193">
        <v>13.19</v>
      </c>
      <c r="F193" t="s">
        <v>72</v>
      </c>
      <c r="G193">
        <v>2</v>
      </c>
      <c r="H193">
        <v>13.19</v>
      </c>
    </row>
    <row r="194" spans="1:8" s="40" customFormat="1" x14ac:dyDescent="0.3">
      <c r="A194" s="41" t="s">
        <v>976</v>
      </c>
      <c r="B194" s="40">
        <f>D193*E194+G193*H194+J193*K194</f>
        <v>501.13862794882243</v>
      </c>
      <c r="E194" s="40">
        <v>13.187858630232169</v>
      </c>
      <c r="H194" s="40">
        <v>13.187858630232169</v>
      </c>
    </row>
    <row r="195" spans="1:8" x14ac:dyDescent="0.3">
      <c r="A195" t="s">
        <v>494</v>
      </c>
      <c r="B195">
        <v>501.14</v>
      </c>
      <c r="C195" t="s">
        <v>29</v>
      </c>
      <c r="D195">
        <v>36</v>
      </c>
      <c r="E195">
        <v>13.19</v>
      </c>
      <c r="F195" t="s">
        <v>74</v>
      </c>
      <c r="G195">
        <v>2</v>
      </c>
      <c r="H195">
        <v>13.19</v>
      </c>
    </row>
    <row r="196" spans="1:8" s="40" customFormat="1" x14ac:dyDescent="0.3">
      <c r="A196" s="41" t="s">
        <v>976</v>
      </c>
      <c r="B196" s="40">
        <f>D195*E196+G195*H196+J195*K196</f>
        <v>501.13862794882243</v>
      </c>
      <c r="E196" s="40">
        <v>13.187858630232169</v>
      </c>
      <c r="H196" s="40">
        <v>13.187858630232169</v>
      </c>
    </row>
    <row r="197" spans="1:8" x14ac:dyDescent="0.3">
      <c r="A197" t="s">
        <v>492</v>
      </c>
      <c r="B197">
        <v>606.69000000000005</v>
      </c>
      <c r="C197" t="s">
        <v>67</v>
      </c>
      <c r="D197">
        <v>36</v>
      </c>
      <c r="E197">
        <v>16.12</v>
      </c>
      <c r="F197" t="s">
        <v>74</v>
      </c>
      <c r="G197">
        <v>2</v>
      </c>
      <c r="H197">
        <v>13.19</v>
      </c>
    </row>
    <row r="198" spans="1:8" s="40" customFormat="1" x14ac:dyDescent="0.3">
      <c r="A198" s="41" t="s">
        <v>976</v>
      </c>
      <c r="B198" s="40">
        <f>D197*E198+G197*H198+J197*K198</f>
        <v>606.68764096327823</v>
      </c>
      <c r="E198" s="40">
        <v>16.119775658411498</v>
      </c>
      <c r="H198" s="40">
        <v>13.187858630232169</v>
      </c>
    </row>
    <row r="199" spans="1:8" x14ac:dyDescent="0.3">
      <c r="A199" t="s">
        <v>495</v>
      </c>
      <c r="B199">
        <v>606.69000000000005</v>
      </c>
      <c r="C199" t="s">
        <v>67</v>
      </c>
      <c r="D199">
        <v>36</v>
      </c>
      <c r="E199">
        <v>16.12</v>
      </c>
      <c r="F199" t="s">
        <v>74</v>
      </c>
      <c r="G199">
        <v>2</v>
      </c>
      <c r="H199">
        <v>13.19</v>
      </c>
    </row>
    <row r="200" spans="1:8" s="40" customFormat="1" x14ac:dyDescent="0.3">
      <c r="A200" s="41" t="s">
        <v>976</v>
      </c>
      <c r="B200" s="40">
        <f>D199*E200+G199*H200+J199*K200</f>
        <v>606.68764096327823</v>
      </c>
      <c r="E200" s="40">
        <v>16.119775658411498</v>
      </c>
      <c r="H200" s="40">
        <v>13.187858630232169</v>
      </c>
    </row>
    <row r="201" spans="1:8" x14ac:dyDescent="0.3">
      <c r="A201" t="s">
        <v>497</v>
      </c>
      <c r="B201">
        <v>501.14</v>
      </c>
      <c r="C201" t="s">
        <v>29</v>
      </c>
      <c r="D201">
        <v>36</v>
      </c>
      <c r="E201">
        <v>13.19</v>
      </c>
      <c r="F201" t="s">
        <v>74</v>
      </c>
      <c r="G201">
        <v>2</v>
      </c>
      <c r="H201">
        <v>13.19</v>
      </c>
    </row>
    <row r="202" spans="1:8" s="40" customFormat="1" x14ac:dyDescent="0.3">
      <c r="A202" s="41" t="s">
        <v>976</v>
      </c>
      <c r="B202" s="40">
        <f>D201*E202+G201*H202+J201*K202</f>
        <v>501.13862794882243</v>
      </c>
      <c r="E202" s="40">
        <v>13.187858630232169</v>
      </c>
      <c r="H202" s="40">
        <v>13.187858630232169</v>
      </c>
    </row>
    <row r="203" spans="1:8" x14ac:dyDescent="0.3">
      <c r="A203" t="s">
        <v>496</v>
      </c>
      <c r="B203">
        <v>606.69000000000005</v>
      </c>
      <c r="C203" t="s">
        <v>31</v>
      </c>
      <c r="D203">
        <v>36</v>
      </c>
      <c r="E203">
        <v>16.12</v>
      </c>
      <c r="F203" t="s">
        <v>74</v>
      </c>
      <c r="G203">
        <v>2</v>
      </c>
      <c r="H203">
        <v>13.19</v>
      </c>
    </row>
    <row r="204" spans="1:8" s="40" customFormat="1" x14ac:dyDescent="0.3">
      <c r="A204" s="41" t="s">
        <v>976</v>
      </c>
      <c r="B204" s="40">
        <f>D203*E204+G203*H204+J203*K204</f>
        <v>606.68764096327823</v>
      </c>
      <c r="E204" s="40">
        <v>16.119775658411498</v>
      </c>
      <c r="H204" s="40">
        <v>13.187858630232169</v>
      </c>
    </row>
    <row r="205" spans="1:8" x14ac:dyDescent="0.3">
      <c r="A205" t="s">
        <v>498</v>
      </c>
      <c r="B205">
        <v>712.06</v>
      </c>
      <c r="C205" t="s">
        <v>69</v>
      </c>
      <c r="D205">
        <v>36</v>
      </c>
      <c r="E205">
        <v>19.05</v>
      </c>
      <c r="F205" t="s">
        <v>74</v>
      </c>
      <c r="G205">
        <v>2</v>
      </c>
      <c r="H205">
        <v>13.19</v>
      </c>
    </row>
    <row r="206" spans="1:8" s="40" customFormat="1" x14ac:dyDescent="0.3">
      <c r="A206" s="41" t="s">
        <v>976</v>
      </c>
      <c r="B206" s="40">
        <f>D205*E206+G205*H206+J205*K206</f>
        <v>712.06494515662234</v>
      </c>
      <c r="E206" s="40">
        <v>19.046922997115502</v>
      </c>
      <c r="H206" s="40">
        <v>13.187858630232169</v>
      </c>
    </row>
    <row r="207" spans="1:8" x14ac:dyDescent="0.3">
      <c r="A207" t="s">
        <v>567</v>
      </c>
      <c r="B207">
        <v>606.69000000000005</v>
      </c>
      <c r="C207" t="s">
        <v>31</v>
      </c>
      <c r="D207">
        <v>36</v>
      </c>
      <c r="E207">
        <v>16.12</v>
      </c>
      <c r="F207" t="s">
        <v>74</v>
      </c>
      <c r="G207">
        <v>2</v>
      </c>
      <c r="H207">
        <v>13.19</v>
      </c>
    </row>
    <row r="208" spans="1:8" s="40" customFormat="1" x14ac:dyDescent="0.3">
      <c r="A208" s="41" t="s">
        <v>976</v>
      </c>
      <c r="B208" s="40">
        <f>D207*E208+G207*H208+J207*K208</f>
        <v>606.68764096327823</v>
      </c>
      <c r="E208" s="40">
        <v>16.119775658411498</v>
      </c>
      <c r="H208" s="40">
        <v>13.187858630232169</v>
      </c>
    </row>
    <row r="209" spans="1:8" x14ac:dyDescent="0.3">
      <c r="A209" t="s">
        <v>499</v>
      </c>
      <c r="B209">
        <v>606.69000000000005</v>
      </c>
      <c r="C209" t="s">
        <v>31</v>
      </c>
      <c r="D209">
        <v>36</v>
      </c>
      <c r="E209">
        <v>16.12</v>
      </c>
      <c r="F209" t="s">
        <v>74</v>
      </c>
      <c r="G209">
        <v>2</v>
      </c>
      <c r="H209">
        <v>13.19</v>
      </c>
    </row>
    <row r="210" spans="1:8" s="40" customFormat="1" x14ac:dyDescent="0.3">
      <c r="A210" s="41" t="s">
        <v>976</v>
      </c>
      <c r="B210" s="40">
        <f>D209*E210+G209*H210+J209*K210</f>
        <v>606.68764096327823</v>
      </c>
      <c r="E210" s="40">
        <v>16.119775658411498</v>
      </c>
      <c r="H210" s="40">
        <v>13.187858630232169</v>
      </c>
    </row>
    <row r="211" spans="1:8" x14ac:dyDescent="0.3">
      <c r="A211" t="s">
        <v>500</v>
      </c>
      <c r="B211">
        <v>606.69000000000005</v>
      </c>
      <c r="C211" t="s">
        <v>31</v>
      </c>
      <c r="D211">
        <v>36</v>
      </c>
      <c r="E211">
        <v>16.12</v>
      </c>
      <c r="F211" t="s">
        <v>74</v>
      </c>
      <c r="G211">
        <v>2</v>
      </c>
      <c r="H211">
        <v>13.19</v>
      </c>
    </row>
    <row r="212" spans="1:8" s="40" customFormat="1" x14ac:dyDescent="0.3">
      <c r="A212" s="41" t="s">
        <v>976</v>
      </c>
      <c r="B212" s="40">
        <f>D211*E212+G211*H212+J211*K212</f>
        <v>606.68764096327823</v>
      </c>
      <c r="E212" s="40">
        <v>16.119775658411498</v>
      </c>
      <c r="H212" s="40">
        <v>13.187858630232169</v>
      </c>
    </row>
    <row r="213" spans="1:8" x14ac:dyDescent="0.3">
      <c r="A213" t="s">
        <v>501</v>
      </c>
      <c r="B213">
        <v>712.06</v>
      </c>
      <c r="C213" t="s">
        <v>69</v>
      </c>
      <c r="D213">
        <v>36</v>
      </c>
      <c r="E213">
        <v>19.05</v>
      </c>
      <c r="F213" t="s">
        <v>74</v>
      </c>
      <c r="G213">
        <v>2</v>
      </c>
      <c r="H213">
        <v>13.19</v>
      </c>
    </row>
    <row r="214" spans="1:8" s="40" customFormat="1" x14ac:dyDescent="0.3">
      <c r="A214" s="41" t="s">
        <v>976</v>
      </c>
      <c r="B214" s="40">
        <f>D213*E214+G213*H214+J213*K214</f>
        <v>712.06494515662234</v>
      </c>
      <c r="E214" s="40">
        <v>19.046922997115502</v>
      </c>
      <c r="H214" s="40">
        <v>13.187858630232169</v>
      </c>
    </row>
    <row r="215" spans="1:8" x14ac:dyDescent="0.3">
      <c r="A215" t="s">
        <v>503</v>
      </c>
      <c r="B215">
        <v>606.69000000000005</v>
      </c>
      <c r="C215" t="s">
        <v>31</v>
      </c>
      <c r="D215">
        <v>36</v>
      </c>
      <c r="E215">
        <v>16.12</v>
      </c>
      <c r="F215" t="s">
        <v>74</v>
      </c>
      <c r="G215">
        <v>2</v>
      </c>
      <c r="H215">
        <v>13.19</v>
      </c>
    </row>
    <row r="216" spans="1:8" s="40" customFormat="1" x14ac:dyDescent="0.3">
      <c r="A216" s="41" t="s">
        <v>976</v>
      </c>
      <c r="B216" s="40">
        <f>D215*E216+G215*H216+J215*K216</f>
        <v>606.68764096327823</v>
      </c>
      <c r="E216" s="40">
        <v>16.119775658411498</v>
      </c>
      <c r="H216" s="40">
        <v>13.187858630232169</v>
      </c>
    </row>
    <row r="217" spans="1:8" x14ac:dyDescent="0.3">
      <c r="A217" t="s">
        <v>502</v>
      </c>
      <c r="B217">
        <v>606.69000000000005</v>
      </c>
      <c r="C217" t="s">
        <v>31</v>
      </c>
      <c r="D217">
        <v>36</v>
      </c>
      <c r="E217">
        <v>16.12</v>
      </c>
      <c r="F217" t="s">
        <v>74</v>
      </c>
      <c r="G217">
        <v>2</v>
      </c>
      <c r="H217">
        <v>13.19</v>
      </c>
    </row>
    <row r="218" spans="1:8" s="40" customFormat="1" x14ac:dyDescent="0.3">
      <c r="A218" s="41" t="s">
        <v>976</v>
      </c>
      <c r="B218" s="40">
        <f>D217*E218+G217*H218+J217*K218</f>
        <v>606.68764096327823</v>
      </c>
      <c r="E218" s="40">
        <v>16.119775658411498</v>
      </c>
      <c r="H218" s="40">
        <v>13.187858630232169</v>
      </c>
    </row>
    <row r="219" spans="1:8" x14ac:dyDescent="0.3">
      <c r="A219" t="s">
        <v>504</v>
      </c>
      <c r="B219">
        <v>606.69000000000005</v>
      </c>
      <c r="C219" t="s">
        <v>31</v>
      </c>
      <c r="D219">
        <v>36</v>
      </c>
      <c r="E219">
        <v>16.12</v>
      </c>
      <c r="F219" t="s">
        <v>74</v>
      </c>
      <c r="G219">
        <v>2</v>
      </c>
      <c r="H219">
        <v>13.19</v>
      </c>
    </row>
    <row r="220" spans="1:8" s="40" customFormat="1" x14ac:dyDescent="0.3">
      <c r="A220" s="41" t="s">
        <v>976</v>
      </c>
      <c r="B220" s="40">
        <f>D219*E220+G219*H220+J219*K220</f>
        <v>606.68764096327823</v>
      </c>
      <c r="E220" s="40">
        <v>16.119775658411498</v>
      </c>
      <c r="H220" s="40">
        <v>13.187858630232169</v>
      </c>
    </row>
    <row r="221" spans="1:8" x14ac:dyDescent="0.3">
      <c r="A221" t="s">
        <v>505</v>
      </c>
      <c r="B221">
        <v>606.69000000000005</v>
      </c>
      <c r="C221" t="s">
        <v>31</v>
      </c>
      <c r="D221">
        <v>36</v>
      </c>
      <c r="E221">
        <v>16.12</v>
      </c>
      <c r="F221" t="s">
        <v>74</v>
      </c>
      <c r="G221">
        <v>2</v>
      </c>
      <c r="H221">
        <v>13.19</v>
      </c>
    </row>
    <row r="222" spans="1:8" s="40" customFormat="1" x14ac:dyDescent="0.3">
      <c r="A222" s="41" t="s">
        <v>976</v>
      </c>
      <c r="B222" s="40">
        <f>D221*E222+G221*H222+J221*K222</f>
        <v>606.68764096327823</v>
      </c>
      <c r="E222" s="40">
        <v>16.119775658411498</v>
      </c>
      <c r="H222" s="40">
        <v>13.187858630232169</v>
      </c>
    </row>
    <row r="223" spans="1:8" x14ac:dyDescent="0.3">
      <c r="A223" t="s">
        <v>507</v>
      </c>
      <c r="B223">
        <v>712.06</v>
      </c>
      <c r="C223" t="s">
        <v>69</v>
      </c>
      <c r="D223">
        <v>36</v>
      </c>
      <c r="E223">
        <v>19.05</v>
      </c>
      <c r="F223" t="s">
        <v>74</v>
      </c>
      <c r="G223">
        <v>2</v>
      </c>
      <c r="H223">
        <v>13.19</v>
      </c>
    </row>
    <row r="224" spans="1:8" s="40" customFormat="1" x14ac:dyDescent="0.3">
      <c r="A224" s="41" t="s">
        <v>976</v>
      </c>
      <c r="B224" s="40">
        <f>D223*E224+G223*H224+J223*K224</f>
        <v>712.06494515662234</v>
      </c>
      <c r="E224" s="40">
        <v>19.046922997115502</v>
      </c>
      <c r="H224" s="40">
        <v>13.187858630232169</v>
      </c>
    </row>
    <row r="225" spans="1:8" x14ac:dyDescent="0.3">
      <c r="A225" t="s">
        <v>508</v>
      </c>
      <c r="B225">
        <v>606.69000000000005</v>
      </c>
      <c r="C225" t="s">
        <v>31</v>
      </c>
      <c r="D225">
        <v>36</v>
      </c>
      <c r="E225">
        <v>16.12</v>
      </c>
      <c r="F225" t="s">
        <v>74</v>
      </c>
      <c r="G225">
        <v>2</v>
      </c>
      <c r="H225">
        <v>13.19</v>
      </c>
    </row>
    <row r="226" spans="1:8" s="40" customFormat="1" x14ac:dyDescent="0.3">
      <c r="A226" s="41" t="s">
        <v>976</v>
      </c>
      <c r="B226" s="40">
        <f>D225*E226+G225*H226+J225*K226</f>
        <v>606.68764096327823</v>
      </c>
      <c r="E226" s="40">
        <v>16.119775658411498</v>
      </c>
      <c r="H226" s="40">
        <v>13.187858630232169</v>
      </c>
    </row>
    <row r="227" spans="1:8" x14ac:dyDescent="0.3">
      <c r="A227" t="s">
        <v>509</v>
      </c>
      <c r="B227">
        <v>606.69000000000005</v>
      </c>
      <c r="C227" t="s">
        <v>31</v>
      </c>
      <c r="D227">
        <v>36</v>
      </c>
      <c r="E227">
        <v>16.12</v>
      </c>
      <c r="F227" t="s">
        <v>74</v>
      </c>
      <c r="G227">
        <v>2</v>
      </c>
      <c r="H227">
        <v>13.19</v>
      </c>
    </row>
    <row r="228" spans="1:8" s="40" customFormat="1" x14ac:dyDescent="0.3">
      <c r="A228" s="41" t="s">
        <v>976</v>
      </c>
      <c r="B228" s="40">
        <f>D227*E228+G227*H228+J227*K228</f>
        <v>606.68764096327823</v>
      </c>
      <c r="E228" s="40">
        <v>16.119775658411498</v>
      </c>
      <c r="H228" s="40">
        <v>13.187858630232169</v>
      </c>
    </row>
    <row r="229" spans="1:8" x14ac:dyDescent="0.3">
      <c r="A229" t="s">
        <v>511</v>
      </c>
      <c r="B229">
        <v>606.69000000000005</v>
      </c>
      <c r="C229" t="s">
        <v>31</v>
      </c>
      <c r="D229">
        <v>36</v>
      </c>
      <c r="E229">
        <v>16.12</v>
      </c>
      <c r="F229" t="s">
        <v>74</v>
      </c>
      <c r="G229">
        <v>2</v>
      </c>
      <c r="H229">
        <v>13.19</v>
      </c>
    </row>
    <row r="230" spans="1:8" s="40" customFormat="1" x14ac:dyDescent="0.3">
      <c r="A230" s="41" t="s">
        <v>976</v>
      </c>
      <c r="B230" s="40">
        <f>D229*E230+G229*H230+J229*K230</f>
        <v>606.68764096327823</v>
      </c>
      <c r="E230" s="40">
        <v>16.119775658411498</v>
      </c>
      <c r="H230" s="40">
        <v>13.187858630232169</v>
      </c>
    </row>
    <row r="231" spans="1:8" x14ac:dyDescent="0.3">
      <c r="A231" t="s">
        <v>510</v>
      </c>
      <c r="B231">
        <v>712.06</v>
      </c>
      <c r="C231" t="s">
        <v>69</v>
      </c>
      <c r="D231">
        <v>36</v>
      </c>
      <c r="E231">
        <v>19.05</v>
      </c>
      <c r="F231" t="s">
        <v>74</v>
      </c>
      <c r="G231">
        <v>2</v>
      </c>
      <c r="H231">
        <v>13.19</v>
      </c>
    </row>
    <row r="232" spans="1:8" s="40" customFormat="1" x14ac:dyDescent="0.3">
      <c r="A232" s="41" t="s">
        <v>976</v>
      </c>
      <c r="B232" s="40">
        <f>D231*E232+G231*H232+J231*K232</f>
        <v>712.06494515662234</v>
      </c>
      <c r="E232" s="40">
        <v>19.046922997115502</v>
      </c>
      <c r="H232" s="40">
        <v>13.187858630232169</v>
      </c>
    </row>
    <row r="233" spans="1:8" x14ac:dyDescent="0.3">
      <c r="A233" t="s">
        <v>512</v>
      </c>
      <c r="B233">
        <v>606.69000000000005</v>
      </c>
      <c r="C233" t="s">
        <v>31</v>
      </c>
      <c r="D233">
        <v>36</v>
      </c>
      <c r="E233">
        <v>16.12</v>
      </c>
      <c r="F233" t="s">
        <v>74</v>
      </c>
      <c r="G233">
        <v>2</v>
      </c>
      <c r="H233">
        <v>13.19</v>
      </c>
    </row>
    <row r="234" spans="1:8" s="40" customFormat="1" x14ac:dyDescent="0.3">
      <c r="A234" s="41" t="s">
        <v>976</v>
      </c>
      <c r="B234" s="40">
        <f>D233*E234+G233*H234+J233*K234</f>
        <v>606.68764096327823</v>
      </c>
      <c r="E234" s="40">
        <v>16.119775658411498</v>
      </c>
      <c r="H234" s="40">
        <v>13.187858630232169</v>
      </c>
    </row>
    <row r="235" spans="1:8" x14ac:dyDescent="0.3">
      <c r="A235" t="s">
        <v>513</v>
      </c>
      <c r="B235">
        <v>843.93</v>
      </c>
      <c r="C235" t="s">
        <v>33</v>
      </c>
      <c r="D235">
        <v>36</v>
      </c>
      <c r="E235">
        <v>21.98</v>
      </c>
      <c r="F235" t="s">
        <v>79</v>
      </c>
      <c r="G235">
        <v>2</v>
      </c>
      <c r="H235">
        <v>26.36</v>
      </c>
    </row>
    <row r="236" spans="1:8" s="40" customFormat="1" x14ac:dyDescent="0.3">
      <c r="A236" s="41" t="s">
        <v>976</v>
      </c>
      <c r="B236" s="40">
        <f>D235*E236+G235*H236+J235*K236</f>
        <v>843.92511823910922</v>
      </c>
      <c r="E236" s="40">
        <v>21.977730795184293</v>
      </c>
      <c r="H236" s="40">
        <v>26.363404806237337</v>
      </c>
    </row>
    <row r="237" spans="1:8" x14ac:dyDescent="0.3">
      <c r="A237" t="s">
        <v>514</v>
      </c>
      <c r="B237">
        <v>843.93</v>
      </c>
      <c r="C237" t="s">
        <v>33</v>
      </c>
      <c r="D237">
        <v>36</v>
      </c>
      <c r="E237">
        <v>21.98</v>
      </c>
      <c r="F237" t="s">
        <v>79</v>
      </c>
      <c r="G237">
        <v>2</v>
      </c>
      <c r="H237">
        <v>26.36</v>
      </c>
    </row>
    <row r="238" spans="1:8" s="40" customFormat="1" x14ac:dyDescent="0.3">
      <c r="A238" s="41" t="s">
        <v>976</v>
      </c>
      <c r="B238" s="40">
        <f>D237*E238+G237*H238+J237*K238</f>
        <v>843.92511823910922</v>
      </c>
      <c r="E238" s="40">
        <v>21.977730795184293</v>
      </c>
      <c r="H238" s="40">
        <v>26.363404806237337</v>
      </c>
    </row>
    <row r="239" spans="1:8" x14ac:dyDescent="0.3">
      <c r="A239" t="s">
        <v>515</v>
      </c>
      <c r="B239">
        <v>843.93</v>
      </c>
      <c r="C239" t="s">
        <v>33</v>
      </c>
      <c r="D239">
        <v>36</v>
      </c>
      <c r="E239">
        <v>21.98</v>
      </c>
      <c r="F239" t="s">
        <v>79</v>
      </c>
      <c r="G239">
        <v>2</v>
      </c>
      <c r="H239">
        <v>26.36</v>
      </c>
    </row>
    <row r="240" spans="1:8" s="40" customFormat="1" x14ac:dyDescent="0.3">
      <c r="A240" s="41" t="s">
        <v>976</v>
      </c>
      <c r="B240" s="40">
        <f>D239*E240+G239*H240+J239*K240</f>
        <v>843.92511823910922</v>
      </c>
      <c r="E240" s="40">
        <v>21.977730795184293</v>
      </c>
      <c r="H240" s="40">
        <v>26.363404806237337</v>
      </c>
    </row>
    <row r="241" spans="1:8" x14ac:dyDescent="0.3">
      <c r="A241" t="s">
        <v>516</v>
      </c>
      <c r="B241">
        <v>843.93</v>
      </c>
      <c r="C241" t="s">
        <v>33</v>
      </c>
      <c r="D241">
        <v>36</v>
      </c>
      <c r="E241">
        <v>21.98</v>
      </c>
      <c r="F241" t="s">
        <v>79</v>
      </c>
      <c r="G241">
        <v>2</v>
      </c>
      <c r="H241">
        <v>26.36</v>
      </c>
    </row>
    <row r="242" spans="1:8" s="40" customFormat="1" x14ac:dyDescent="0.3">
      <c r="A242" s="41" t="s">
        <v>976</v>
      </c>
      <c r="B242" s="40">
        <f>D241*E242+G241*H242+J241*K242</f>
        <v>843.92511823910922</v>
      </c>
      <c r="E242" s="40">
        <v>21.977730795184293</v>
      </c>
      <c r="H242" s="40">
        <v>26.363404806237337</v>
      </c>
    </row>
    <row r="243" spans="1:8" x14ac:dyDescent="0.3">
      <c r="A243" t="s">
        <v>517</v>
      </c>
      <c r="B243">
        <v>843.93</v>
      </c>
      <c r="C243" t="s">
        <v>33</v>
      </c>
      <c r="D243">
        <v>36</v>
      </c>
      <c r="E243">
        <v>21.98</v>
      </c>
      <c r="F243" t="s">
        <v>79</v>
      </c>
      <c r="G243">
        <v>2</v>
      </c>
      <c r="H243">
        <v>26.36</v>
      </c>
    </row>
    <row r="244" spans="1:8" s="40" customFormat="1" x14ac:dyDescent="0.3">
      <c r="A244" s="41" t="s">
        <v>976</v>
      </c>
      <c r="B244" s="40">
        <f>D243*E244+G243*H244+J243*K244</f>
        <v>843.92511823910922</v>
      </c>
      <c r="E244" s="40">
        <v>21.977730795184293</v>
      </c>
      <c r="H244" s="40">
        <v>26.363404806237337</v>
      </c>
    </row>
    <row r="245" spans="1:8" x14ac:dyDescent="0.3">
      <c r="A245" t="s">
        <v>518</v>
      </c>
      <c r="B245">
        <v>843.93</v>
      </c>
      <c r="C245" t="s">
        <v>33</v>
      </c>
      <c r="D245">
        <v>36</v>
      </c>
      <c r="E245">
        <v>21.98</v>
      </c>
      <c r="F245" t="s">
        <v>79</v>
      </c>
      <c r="G245">
        <v>2</v>
      </c>
      <c r="H245">
        <v>26.36</v>
      </c>
    </row>
    <row r="246" spans="1:8" s="40" customFormat="1" x14ac:dyDescent="0.3">
      <c r="A246" s="41" t="s">
        <v>976</v>
      </c>
      <c r="B246" s="40">
        <f>D245*E246+G245*H246+J245*K246</f>
        <v>843.92511823910922</v>
      </c>
      <c r="E246" s="40">
        <v>21.977730795184293</v>
      </c>
      <c r="H246" s="40">
        <v>26.363404806237337</v>
      </c>
    </row>
    <row r="247" spans="1:8" x14ac:dyDescent="0.3">
      <c r="A247" t="s">
        <v>519</v>
      </c>
      <c r="B247">
        <v>949.41</v>
      </c>
      <c r="C247" t="s">
        <v>35</v>
      </c>
      <c r="D247">
        <v>36</v>
      </c>
      <c r="E247">
        <v>24.91</v>
      </c>
      <c r="F247" t="s">
        <v>79</v>
      </c>
      <c r="G247">
        <v>2</v>
      </c>
      <c r="H247">
        <v>26.36</v>
      </c>
    </row>
    <row r="248" spans="1:8" s="40" customFormat="1" x14ac:dyDescent="0.3">
      <c r="A248" s="41" t="s">
        <v>976</v>
      </c>
      <c r="B248" s="40">
        <f>D247*E248+G247*H248+J247*K248</f>
        <v>949.41023959919801</v>
      </c>
      <c r="E248" s="40">
        <v>24.907873055186759</v>
      </c>
      <c r="H248" s="40">
        <v>26.363404806237337</v>
      </c>
    </row>
    <row r="249" spans="1:8" x14ac:dyDescent="0.3">
      <c r="A249" t="s">
        <v>520</v>
      </c>
      <c r="B249">
        <v>949.41</v>
      </c>
      <c r="C249" t="s">
        <v>35</v>
      </c>
      <c r="D249">
        <v>36</v>
      </c>
      <c r="E249">
        <v>24.91</v>
      </c>
      <c r="F249" t="s">
        <v>79</v>
      </c>
      <c r="G249">
        <v>2</v>
      </c>
      <c r="H249">
        <v>26.36</v>
      </c>
    </row>
    <row r="250" spans="1:8" s="40" customFormat="1" x14ac:dyDescent="0.3">
      <c r="A250" s="41" t="s">
        <v>976</v>
      </c>
      <c r="B250" s="40">
        <f>D249*E250+G249*H250+J249*K250</f>
        <v>949.41023959919801</v>
      </c>
      <c r="E250" s="40">
        <v>24.907873055186759</v>
      </c>
      <c r="H250" s="40">
        <v>26.363404806237337</v>
      </c>
    </row>
    <row r="251" spans="1:8" x14ac:dyDescent="0.3">
      <c r="A251" t="s">
        <v>521</v>
      </c>
      <c r="B251">
        <v>949.41</v>
      </c>
      <c r="C251" t="s">
        <v>35</v>
      </c>
      <c r="D251">
        <v>36</v>
      </c>
      <c r="E251">
        <v>24.91</v>
      </c>
      <c r="F251" t="s">
        <v>79</v>
      </c>
      <c r="G251">
        <v>2</v>
      </c>
      <c r="H251">
        <v>26.36</v>
      </c>
    </row>
    <row r="252" spans="1:8" s="40" customFormat="1" x14ac:dyDescent="0.3">
      <c r="A252" s="41" t="s">
        <v>976</v>
      </c>
      <c r="B252" s="40">
        <f>D251*E252+G251*H252+J251*K252</f>
        <v>949.41023959919801</v>
      </c>
      <c r="E252" s="40">
        <v>24.907873055186759</v>
      </c>
      <c r="H252" s="40">
        <v>26.363404806237337</v>
      </c>
    </row>
    <row r="253" spans="1:8" x14ac:dyDescent="0.3">
      <c r="A253" t="s">
        <v>522</v>
      </c>
      <c r="B253">
        <v>421.96</v>
      </c>
      <c r="C253" t="s">
        <v>39</v>
      </c>
      <c r="D253">
        <v>36</v>
      </c>
      <c r="E253">
        <v>10.99</v>
      </c>
      <c r="F253" t="s">
        <v>72</v>
      </c>
      <c r="G253">
        <v>2</v>
      </c>
      <c r="H253">
        <v>13.19</v>
      </c>
    </row>
    <row r="254" spans="1:8" s="40" customFormat="1" x14ac:dyDescent="0.3">
      <c r="A254" s="41" t="s">
        <v>976</v>
      </c>
      <c r="B254" s="40">
        <f>D253*E254+G253*H254+J253*K254</f>
        <v>421.96488850278672</v>
      </c>
      <c r="E254" s="40">
        <v>10.988588090064511</v>
      </c>
      <c r="H254" s="40">
        <v>13.187858630232169</v>
      </c>
    </row>
    <row r="255" spans="1:8" x14ac:dyDescent="0.3">
      <c r="A255" t="s">
        <v>523</v>
      </c>
      <c r="B255">
        <v>659.31</v>
      </c>
      <c r="C255" t="s">
        <v>43</v>
      </c>
      <c r="D255">
        <v>36</v>
      </c>
      <c r="E255">
        <v>17.579999999999998</v>
      </c>
      <c r="F255" t="s">
        <v>74</v>
      </c>
      <c r="G255">
        <v>2</v>
      </c>
      <c r="H255">
        <v>13.19</v>
      </c>
    </row>
    <row r="256" spans="1:8" s="40" customFormat="1" x14ac:dyDescent="0.3">
      <c r="A256" s="41" t="s">
        <v>976</v>
      </c>
      <c r="B256" s="40">
        <f>D255*E256+G255*H256+J255*K256</f>
        <v>659.31040479138414</v>
      </c>
      <c r="E256" s="40">
        <v>17.581519098081106</v>
      </c>
      <c r="H256" s="40">
        <v>13.187858630232169</v>
      </c>
    </row>
    <row r="257" spans="1:11" x14ac:dyDescent="0.3">
      <c r="A257" t="s">
        <v>525</v>
      </c>
      <c r="B257">
        <v>369.21</v>
      </c>
      <c r="C257" t="s">
        <v>27</v>
      </c>
      <c r="D257">
        <v>36</v>
      </c>
      <c r="E257">
        <v>10.26</v>
      </c>
    </row>
    <row r="258" spans="1:11" s="40" customFormat="1" x14ac:dyDescent="0.3">
      <c r="A258" s="41" t="s">
        <v>976</v>
      </c>
      <c r="B258" s="40">
        <f>D257*E258+G257*H258+J257*K258</f>
        <v>369.20990444550438</v>
      </c>
      <c r="E258" s="40">
        <v>10.255830679041788</v>
      </c>
    </row>
    <row r="259" spans="1:11" x14ac:dyDescent="0.3">
      <c r="A259" t="s">
        <v>524</v>
      </c>
      <c r="B259">
        <v>1107.6500000000001</v>
      </c>
      <c r="C259" t="s">
        <v>47</v>
      </c>
      <c r="D259">
        <v>36</v>
      </c>
      <c r="E259">
        <v>29.3</v>
      </c>
      <c r="F259" t="s">
        <v>79</v>
      </c>
      <c r="G259">
        <v>2</v>
      </c>
      <c r="H259">
        <v>26.36</v>
      </c>
    </row>
    <row r="260" spans="1:11" s="40" customFormat="1" x14ac:dyDescent="0.3">
      <c r="A260" s="41" t="s">
        <v>976</v>
      </c>
      <c r="B260" s="40">
        <f>D259*E260+G259*H260+J259*K260</f>
        <v>1107.6499013245248</v>
      </c>
      <c r="E260" s="40">
        <v>29.303419214223613</v>
      </c>
      <c r="H260" s="40">
        <v>26.363404806237337</v>
      </c>
    </row>
    <row r="261" spans="1:11" x14ac:dyDescent="0.3">
      <c r="A261" t="s">
        <v>527</v>
      </c>
      <c r="B261">
        <v>665.21</v>
      </c>
      <c r="C261" t="s">
        <v>29</v>
      </c>
      <c r="D261">
        <v>36</v>
      </c>
      <c r="E261">
        <v>13.19</v>
      </c>
      <c r="F261" t="s">
        <v>99</v>
      </c>
      <c r="G261">
        <v>2</v>
      </c>
      <c r="H261">
        <v>7.32</v>
      </c>
      <c r="I261" t="s">
        <v>164</v>
      </c>
      <c r="J261">
        <v>10</v>
      </c>
      <c r="K261">
        <v>17.579999999999998</v>
      </c>
    </row>
    <row r="262" spans="1:11" s="40" customFormat="1" x14ac:dyDescent="0.3">
      <c r="A262" s="41" t="s">
        <v>976</v>
      </c>
      <c r="B262" s="40">
        <f>D261*E262+G261*H262+J261*K262</f>
        <v>665.2074966723012</v>
      </c>
      <c r="E262" s="40">
        <v>13.187858630232169</v>
      </c>
      <c r="H262" s="40">
        <v>7.3238480953629237</v>
      </c>
      <c r="K262" s="40">
        <v>17.579688979321727</v>
      </c>
    </row>
    <row r="263" spans="1:11" x14ac:dyDescent="0.3">
      <c r="A263" t="s">
        <v>526</v>
      </c>
      <c r="B263">
        <v>1151.46</v>
      </c>
      <c r="C263" t="s">
        <v>57</v>
      </c>
      <c r="D263">
        <v>36</v>
      </c>
      <c r="E263">
        <v>26.37</v>
      </c>
      <c r="F263" t="s">
        <v>119</v>
      </c>
      <c r="G263">
        <v>2</v>
      </c>
      <c r="H263">
        <v>17.579999999999998</v>
      </c>
      <c r="I263" t="s">
        <v>137</v>
      </c>
      <c r="J263">
        <v>38</v>
      </c>
      <c r="K263">
        <v>4.3899999999999997</v>
      </c>
    </row>
    <row r="264" spans="1:11" s="40" customFormat="1" x14ac:dyDescent="0.3">
      <c r="A264" s="41" t="s">
        <v>976</v>
      </c>
      <c r="B264" s="40">
        <f>D263*E264+G263*H264+J263*K264</f>
        <v>1151.463890597365</v>
      </c>
      <c r="E264" s="40">
        <v>26.372611416154825</v>
      </c>
      <c r="H264" s="40">
        <v>17.579688979321727</v>
      </c>
      <c r="K264" s="40">
        <v>4.3918553067670469</v>
      </c>
    </row>
    <row r="265" spans="1:11" x14ac:dyDescent="0.3">
      <c r="A265" t="s">
        <v>528</v>
      </c>
      <c r="B265">
        <v>1151.46</v>
      </c>
      <c r="C265" t="s">
        <v>57</v>
      </c>
      <c r="D265">
        <v>36</v>
      </c>
      <c r="E265">
        <v>26.37</v>
      </c>
      <c r="F265" t="s">
        <v>119</v>
      </c>
      <c r="G265">
        <v>2</v>
      </c>
      <c r="H265">
        <v>17.579999999999998</v>
      </c>
      <c r="I265" t="s">
        <v>137</v>
      </c>
      <c r="J265">
        <v>38</v>
      </c>
      <c r="K265">
        <v>4.3899999999999997</v>
      </c>
    </row>
    <row r="266" spans="1:11" s="40" customFormat="1" x14ac:dyDescent="0.3">
      <c r="A266" s="41" t="s">
        <v>976</v>
      </c>
      <c r="B266" s="40">
        <f>D265*E266+G265*H266+J265*K266</f>
        <v>1151.463890597365</v>
      </c>
      <c r="E266" s="40">
        <v>26.372611416154825</v>
      </c>
      <c r="H266" s="40">
        <v>17.579688979321727</v>
      </c>
      <c r="K266" s="40">
        <v>4.3918553067670469</v>
      </c>
    </row>
    <row r="267" spans="1:11" x14ac:dyDescent="0.3">
      <c r="A267" t="s">
        <v>529</v>
      </c>
      <c r="B267">
        <v>782.36</v>
      </c>
      <c r="C267" t="s">
        <v>31</v>
      </c>
      <c r="D267">
        <v>36</v>
      </c>
      <c r="E267">
        <v>16.12</v>
      </c>
      <c r="F267" t="s">
        <v>110</v>
      </c>
      <c r="G267">
        <v>2</v>
      </c>
      <c r="H267">
        <v>17.579999999999998</v>
      </c>
      <c r="I267" t="s">
        <v>137</v>
      </c>
      <c r="J267">
        <v>38</v>
      </c>
      <c r="K267">
        <v>4.3899999999999997</v>
      </c>
    </row>
    <row r="268" spans="1:11" s="40" customFormat="1" x14ac:dyDescent="0.3">
      <c r="A268" s="41" t="s">
        <v>976</v>
      </c>
      <c r="B268" s="40">
        <f>D267*E268+G267*H268+J267*K268</f>
        <v>782.3618033186051</v>
      </c>
      <c r="E268" s="40">
        <v>16.119775658411498</v>
      </c>
      <c r="H268" s="40">
        <v>17.579688979321727</v>
      </c>
      <c r="K268" s="40">
        <v>4.3918553067670469</v>
      </c>
    </row>
    <row r="269" spans="1:11" x14ac:dyDescent="0.3">
      <c r="A269" t="s">
        <v>531</v>
      </c>
      <c r="B269">
        <v>574.45000000000005</v>
      </c>
      <c r="C269" t="s">
        <v>31</v>
      </c>
      <c r="D269">
        <v>34</v>
      </c>
      <c r="E269">
        <v>16.12</v>
      </c>
      <c r="F269" t="s">
        <v>74</v>
      </c>
      <c r="G269">
        <v>2</v>
      </c>
      <c r="H269">
        <v>13.19</v>
      </c>
    </row>
    <row r="270" spans="1:11" s="40" customFormat="1" x14ac:dyDescent="0.3">
      <c r="A270" s="41" t="s">
        <v>976</v>
      </c>
      <c r="B270" s="40">
        <f>D269*E270+G269*H270+J269*K270</f>
        <v>574.44808964645529</v>
      </c>
      <c r="E270" s="40">
        <v>16.119775658411498</v>
      </c>
      <c r="H270" s="40">
        <v>13.187858630232169</v>
      </c>
    </row>
    <row r="271" spans="1:11" x14ac:dyDescent="0.3">
      <c r="A271" t="s">
        <v>530</v>
      </c>
      <c r="B271">
        <v>574.45000000000005</v>
      </c>
      <c r="C271" t="s">
        <v>31</v>
      </c>
      <c r="D271">
        <v>34</v>
      </c>
      <c r="E271">
        <v>16.12</v>
      </c>
      <c r="F271" t="s">
        <v>74</v>
      </c>
      <c r="G271">
        <v>2</v>
      </c>
      <c r="H271">
        <v>13.19</v>
      </c>
    </row>
    <row r="272" spans="1:11" s="40" customFormat="1" x14ac:dyDescent="0.3">
      <c r="A272" s="41" t="s">
        <v>976</v>
      </c>
      <c r="B272" s="40">
        <f>D271*E272+G271*H272+J271*K272</f>
        <v>574.44808964645529</v>
      </c>
      <c r="E272" s="40">
        <v>16.119775658411498</v>
      </c>
      <c r="H272" s="40">
        <v>13.187858630232169</v>
      </c>
    </row>
    <row r="273" spans="1:8" x14ac:dyDescent="0.3">
      <c r="A273" t="s">
        <v>532</v>
      </c>
      <c r="B273">
        <v>654.91999999999996</v>
      </c>
      <c r="C273" t="s">
        <v>69</v>
      </c>
      <c r="D273">
        <v>33</v>
      </c>
      <c r="E273">
        <v>19.05</v>
      </c>
      <c r="F273" t="s">
        <v>74</v>
      </c>
      <c r="G273">
        <v>2</v>
      </c>
      <c r="H273">
        <v>13.19</v>
      </c>
    </row>
    <row r="274" spans="1:8" s="40" customFormat="1" x14ac:dyDescent="0.3">
      <c r="A274" s="41" t="s">
        <v>976</v>
      </c>
      <c r="B274" s="40">
        <f>D273*E274+G273*H274+J273*K274</f>
        <v>654.92417616527587</v>
      </c>
      <c r="E274" s="40">
        <v>19.046922997115502</v>
      </c>
      <c r="H274" s="40">
        <v>13.187858630232169</v>
      </c>
    </row>
    <row r="275" spans="1:8" x14ac:dyDescent="0.3">
      <c r="A275" t="s">
        <v>533</v>
      </c>
      <c r="B275">
        <v>649.05999999999995</v>
      </c>
      <c r="C275" t="s">
        <v>69</v>
      </c>
      <c r="D275">
        <v>33</v>
      </c>
      <c r="E275">
        <v>19.05</v>
      </c>
      <c r="F275" t="s">
        <v>89</v>
      </c>
      <c r="G275">
        <v>2</v>
      </c>
      <c r="H275">
        <v>10.26</v>
      </c>
    </row>
    <row r="276" spans="1:8" s="40" customFormat="1" x14ac:dyDescent="0.3">
      <c r="A276" s="41" t="s">
        <v>976</v>
      </c>
      <c r="B276" s="40">
        <f>D275*E276+G275*H276+J275*K276</f>
        <v>649.06012026289511</v>
      </c>
      <c r="E276" s="40">
        <v>19.046922997115502</v>
      </c>
      <c r="H276" s="40">
        <v>10.255830679041788</v>
      </c>
    </row>
    <row r="277" spans="1:8" x14ac:dyDescent="0.3">
      <c r="A277" t="s">
        <v>535</v>
      </c>
      <c r="B277">
        <v>542.21</v>
      </c>
      <c r="C277" t="s">
        <v>31</v>
      </c>
      <c r="D277">
        <v>32</v>
      </c>
      <c r="E277">
        <v>16.12</v>
      </c>
      <c r="F277" t="s">
        <v>74</v>
      </c>
      <c r="G277">
        <v>2</v>
      </c>
      <c r="H277">
        <v>13.19</v>
      </c>
    </row>
    <row r="278" spans="1:8" s="40" customFormat="1" x14ac:dyDescent="0.3">
      <c r="A278" s="41" t="s">
        <v>976</v>
      </c>
      <c r="B278" s="40">
        <f>D277*E278+G277*H278+J277*K278</f>
        <v>542.20853832963223</v>
      </c>
      <c r="E278" s="40">
        <v>16.119775658411498</v>
      </c>
      <c r="H278" s="40">
        <v>13.187858630232169</v>
      </c>
    </row>
    <row r="279" spans="1:8" x14ac:dyDescent="0.3">
      <c r="A279" t="s">
        <v>534</v>
      </c>
      <c r="B279">
        <v>542.21</v>
      </c>
      <c r="C279" t="s">
        <v>31</v>
      </c>
      <c r="D279">
        <v>32</v>
      </c>
      <c r="E279">
        <v>16.12</v>
      </c>
      <c r="F279" t="s">
        <v>74</v>
      </c>
      <c r="G279">
        <v>2</v>
      </c>
      <c r="H279">
        <v>13.19</v>
      </c>
    </row>
    <row r="280" spans="1:8" s="40" customFormat="1" x14ac:dyDescent="0.3">
      <c r="A280" s="41" t="s">
        <v>976</v>
      </c>
      <c r="B280" s="40">
        <f>D279*E280+G279*H280+J279*K280</f>
        <v>542.20853832963223</v>
      </c>
      <c r="E280" s="40">
        <v>16.119775658411498</v>
      </c>
      <c r="H280" s="40">
        <v>13.187858630232169</v>
      </c>
    </row>
    <row r="281" spans="1:8" x14ac:dyDescent="0.3">
      <c r="A281" t="s">
        <v>536</v>
      </c>
      <c r="B281">
        <v>542.21</v>
      </c>
      <c r="C281" t="s">
        <v>31</v>
      </c>
      <c r="D281">
        <v>32</v>
      </c>
      <c r="E281">
        <v>16.12</v>
      </c>
      <c r="F281" t="s">
        <v>74</v>
      </c>
      <c r="G281">
        <v>2</v>
      </c>
      <c r="H281">
        <v>13.19</v>
      </c>
    </row>
    <row r="282" spans="1:8" s="40" customFormat="1" x14ac:dyDescent="0.3">
      <c r="A282" s="41" t="s">
        <v>976</v>
      </c>
      <c r="B282" s="40">
        <f>D281*E282+G281*H282+J281*K282</f>
        <v>542.20853832963223</v>
      </c>
      <c r="E282" s="40">
        <v>16.119775658411498</v>
      </c>
      <c r="H282" s="40">
        <v>13.187858630232169</v>
      </c>
    </row>
    <row r="283" spans="1:8" x14ac:dyDescent="0.3">
      <c r="A283" t="s">
        <v>537</v>
      </c>
      <c r="B283">
        <v>334.05</v>
      </c>
      <c r="C283" t="s">
        <v>27</v>
      </c>
      <c r="D283">
        <v>30</v>
      </c>
      <c r="E283">
        <v>10.26</v>
      </c>
      <c r="F283" t="s">
        <v>72</v>
      </c>
      <c r="G283">
        <v>2</v>
      </c>
      <c r="H283">
        <v>13.19</v>
      </c>
    </row>
    <row r="284" spans="1:8" s="40" customFormat="1" x14ac:dyDescent="0.3">
      <c r="A284" s="41" t="s">
        <v>976</v>
      </c>
      <c r="B284" s="40">
        <f>D283*E284+G283*H284+J283*K284</f>
        <v>334.05063763171796</v>
      </c>
      <c r="E284" s="40">
        <v>10.255830679041788</v>
      </c>
      <c r="H284" s="40">
        <v>13.187858630232169</v>
      </c>
    </row>
    <row r="285" spans="1:8" x14ac:dyDescent="0.3">
      <c r="A285" t="s">
        <v>538</v>
      </c>
      <c r="B285">
        <v>334.05</v>
      </c>
      <c r="C285" t="s">
        <v>27</v>
      </c>
      <c r="D285">
        <v>30</v>
      </c>
      <c r="E285">
        <v>10.26</v>
      </c>
      <c r="F285" t="s">
        <v>72</v>
      </c>
      <c r="G285">
        <v>2</v>
      </c>
      <c r="H285">
        <v>13.19</v>
      </c>
    </row>
    <row r="286" spans="1:8" s="40" customFormat="1" x14ac:dyDescent="0.3">
      <c r="A286" s="41" t="s">
        <v>976</v>
      </c>
      <c r="B286" s="40">
        <f>D285*E286+G285*H286+J285*K286</f>
        <v>334.05063763171796</v>
      </c>
      <c r="E286" s="40">
        <v>10.255830679041788</v>
      </c>
      <c r="H286" s="40">
        <v>13.187858630232169</v>
      </c>
    </row>
    <row r="287" spans="1:8" x14ac:dyDescent="0.3">
      <c r="A287" t="s">
        <v>539</v>
      </c>
      <c r="B287">
        <v>422.01</v>
      </c>
      <c r="C287" t="s">
        <v>65</v>
      </c>
      <c r="D287">
        <v>30</v>
      </c>
      <c r="E287">
        <v>13.19</v>
      </c>
      <c r="F287" t="s">
        <v>72</v>
      </c>
      <c r="G287">
        <v>2</v>
      </c>
      <c r="H287">
        <v>13.19</v>
      </c>
    </row>
    <row r="288" spans="1:8" s="40" customFormat="1" x14ac:dyDescent="0.3">
      <c r="A288" s="41" t="s">
        <v>976</v>
      </c>
      <c r="B288" s="40">
        <f>D287*E288+G287*H288+J287*K288</f>
        <v>422.01147616742941</v>
      </c>
      <c r="E288" s="40">
        <v>13.187858630232169</v>
      </c>
      <c r="H288" s="40">
        <v>13.187858630232169</v>
      </c>
    </row>
    <row r="289" spans="1:8" x14ac:dyDescent="0.3">
      <c r="A289" t="s">
        <v>540</v>
      </c>
      <c r="B289">
        <v>334.05</v>
      </c>
      <c r="C289" t="s">
        <v>27</v>
      </c>
      <c r="D289">
        <v>30</v>
      </c>
      <c r="E289">
        <v>10.26</v>
      </c>
      <c r="F289" t="s">
        <v>72</v>
      </c>
      <c r="G289">
        <v>2</v>
      </c>
      <c r="H289">
        <v>13.19</v>
      </c>
    </row>
    <row r="290" spans="1:8" s="40" customFormat="1" x14ac:dyDescent="0.3">
      <c r="A290" s="41" t="s">
        <v>976</v>
      </c>
      <c r="B290" s="40">
        <f>D289*E290+G289*H290+J289*K290</f>
        <v>334.05063763171796</v>
      </c>
      <c r="E290" s="40">
        <v>10.255830679041788</v>
      </c>
      <c r="H290" s="40">
        <v>13.187858630232169</v>
      </c>
    </row>
    <row r="291" spans="1:8" x14ac:dyDescent="0.3">
      <c r="A291" t="s">
        <v>541</v>
      </c>
      <c r="B291">
        <v>422.01</v>
      </c>
      <c r="C291" t="s">
        <v>29</v>
      </c>
      <c r="D291">
        <v>30</v>
      </c>
      <c r="E291">
        <v>13.19</v>
      </c>
      <c r="F291" t="s">
        <v>74</v>
      </c>
      <c r="G291">
        <v>2</v>
      </c>
      <c r="H291">
        <v>13.19</v>
      </c>
    </row>
    <row r="292" spans="1:8" s="40" customFormat="1" x14ac:dyDescent="0.3">
      <c r="A292" s="41" t="s">
        <v>976</v>
      </c>
      <c r="B292" s="40">
        <f>D291*E292+G291*H292+J291*K292</f>
        <v>422.01147616742941</v>
      </c>
      <c r="E292" s="40">
        <v>13.187858630232169</v>
      </c>
      <c r="H292" s="40">
        <v>13.187858630232169</v>
      </c>
    </row>
    <row r="293" spans="1:8" x14ac:dyDescent="0.3">
      <c r="A293" t="s">
        <v>543</v>
      </c>
      <c r="B293">
        <v>509.97</v>
      </c>
      <c r="C293" t="s">
        <v>31</v>
      </c>
      <c r="D293">
        <v>30</v>
      </c>
      <c r="E293">
        <v>16.12</v>
      </c>
      <c r="F293" t="s">
        <v>74</v>
      </c>
      <c r="G293">
        <v>2</v>
      </c>
      <c r="H293">
        <v>13.19</v>
      </c>
    </row>
    <row r="294" spans="1:8" s="40" customFormat="1" x14ac:dyDescent="0.3">
      <c r="A294" s="41" t="s">
        <v>976</v>
      </c>
      <c r="B294" s="40">
        <f>D293*E294+G293*H294+J293*K294</f>
        <v>509.96898701280929</v>
      </c>
      <c r="E294" s="40">
        <v>16.119775658411498</v>
      </c>
      <c r="H294" s="40">
        <v>13.187858630232169</v>
      </c>
    </row>
    <row r="295" spans="1:8" x14ac:dyDescent="0.3">
      <c r="A295" t="s">
        <v>542</v>
      </c>
      <c r="B295">
        <v>509.97</v>
      </c>
      <c r="C295" t="s">
        <v>31</v>
      </c>
      <c r="D295">
        <v>30</v>
      </c>
      <c r="E295">
        <v>16.12</v>
      </c>
      <c r="F295" t="s">
        <v>74</v>
      </c>
      <c r="G295">
        <v>2</v>
      </c>
      <c r="H295">
        <v>13.19</v>
      </c>
    </row>
    <row r="296" spans="1:8" s="40" customFormat="1" x14ac:dyDescent="0.3">
      <c r="A296" s="41" t="s">
        <v>976</v>
      </c>
      <c r="B296" s="40">
        <f>D295*E296+G295*H296+J295*K296</f>
        <v>509.96898701280929</v>
      </c>
      <c r="E296" s="40">
        <v>16.119775658411498</v>
      </c>
      <c r="H296" s="40">
        <v>13.187858630232169</v>
      </c>
    </row>
    <row r="297" spans="1:8" x14ac:dyDescent="0.3">
      <c r="A297" t="s">
        <v>544</v>
      </c>
      <c r="B297">
        <v>597.78</v>
      </c>
      <c r="C297" t="s">
        <v>69</v>
      </c>
      <c r="D297">
        <v>30</v>
      </c>
      <c r="E297">
        <v>19.05</v>
      </c>
      <c r="F297" t="s">
        <v>74</v>
      </c>
      <c r="G297">
        <v>2</v>
      </c>
      <c r="H297">
        <v>13.19</v>
      </c>
    </row>
    <row r="298" spans="1:8" s="40" customFormat="1" x14ac:dyDescent="0.3">
      <c r="A298" s="41" t="s">
        <v>976</v>
      </c>
      <c r="B298" s="40">
        <f>D297*E298+G297*H298+J297*K298</f>
        <v>597.78340717392928</v>
      </c>
      <c r="E298" s="40">
        <v>19.046922997115502</v>
      </c>
      <c r="H298" s="40">
        <v>13.187858630232169</v>
      </c>
    </row>
    <row r="299" spans="1:8" x14ac:dyDescent="0.3">
      <c r="A299" t="s">
        <v>545</v>
      </c>
      <c r="B299">
        <v>509.97</v>
      </c>
      <c r="C299" t="s">
        <v>31</v>
      </c>
      <c r="D299">
        <v>30</v>
      </c>
      <c r="E299">
        <v>16.12</v>
      </c>
      <c r="F299" t="s">
        <v>74</v>
      </c>
      <c r="G299">
        <v>2</v>
      </c>
      <c r="H299">
        <v>13.19</v>
      </c>
    </row>
    <row r="300" spans="1:8" s="40" customFormat="1" x14ac:dyDescent="0.3">
      <c r="A300" s="41" t="s">
        <v>976</v>
      </c>
      <c r="B300" s="40">
        <f>D299*E300+G299*H300+J299*K300</f>
        <v>509.96898701280929</v>
      </c>
      <c r="E300" s="40">
        <v>16.119775658411498</v>
      </c>
      <c r="H300" s="40">
        <v>13.187858630232169</v>
      </c>
    </row>
    <row r="301" spans="1:8" x14ac:dyDescent="0.3">
      <c r="A301" t="s">
        <v>547</v>
      </c>
      <c r="B301">
        <v>712.06</v>
      </c>
      <c r="C301" t="s">
        <v>33</v>
      </c>
      <c r="D301">
        <v>30</v>
      </c>
      <c r="E301">
        <v>21.98</v>
      </c>
      <c r="F301" t="s">
        <v>79</v>
      </c>
      <c r="G301">
        <v>2</v>
      </c>
      <c r="H301">
        <v>26.36</v>
      </c>
    </row>
    <row r="302" spans="1:8" s="40" customFormat="1" x14ac:dyDescent="0.3">
      <c r="A302" s="41" t="s">
        <v>976</v>
      </c>
      <c r="B302" s="40">
        <f>D301*E302+G301*H302+J301*K302</f>
        <v>712.05873346800342</v>
      </c>
      <c r="E302" s="40">
        <v>21.977730795184293</v>
      </c>
      <c r="H302" s="40">
        <v>26.363404806237337</v>
      </c>
    </row>
    <row r="303" spans="1:8" x14ac:dyDescent="0.3">
      <c r="A303" t="s">
        <v>546</v>
      </c>
      <c r="B303">
        <v>509.97</v>
      </c>
      <c r="C303" t="s">
        <v>31</v>
      </c>
      <c r="D303">
        <v>30</v>
      </c>
      <c r="E303">
        <v>16.12</v>
      </c>
      <c r="F303" t="s">
        <v>74</v>
      </c>
      <c r="G303">
        <v>2</v>
      </c>
      <c r="H303">
        <v>13.19</v>
      </c>
    </row>
    <row r="304" spans="1:8" s="40" customFormat="1" x14ac:dyDescent="0.3">
      <c r="A304" s="41" t="s">
        <v>976</v>
      </c>
      <c r="B304" s="40">
        <f>D303*E304+G303*H304+J303*K304</f>
        <v>509.96898701280929</v>
      </c>
      <c r="E304" s="40">
        <v>16.119775658411498</v>
      </c>
      <c r="H304" s="40">
        <v>13.187858630232169</v>
      </c>
    </row>
    <row r="305" spans="1:8" x14ac:dyDescent="0.3">
      <c r="A305" t="s">
        <v>548</v>
      </c>
      <c r="B305">
        <v>712.06</v>
      </c>
      <c r="C305" t="s">
        <v>33</v>
      </c>
      <c r="D305">
        <v>30</v>
      </c>
      <c r="E305">
        <v>21.98</v>
      </c>
      <c r="F305" t="s">
        <v>79</v>
      </c>
      <c r="G305">
        <v>2</v>
      </c>
      <c r="H305">
        <v>26.36</v>
      </c>
    </row>
    <row r="306" spans="1:8" s="40" customFormat="1" x14ac:dyDescent="0.3">
      <c r="A306" s="41" t="s">
        <v>976</v>
      </c>
      <c r="B306" s="40">
        <f>D305*E306+G305*H306+J305*K306</f>
        <v>712.05873346800342</v>
      </c>
      <c r="E306" s="40">
        <v>21.977730795184293</v>
      </c>
      <c r="H306" s="40">
        <v>26.363404806237337</v>
      </c>
    </row>
    <row r="307" spans="1:8" x14ac:dyDescent="0.3">
      <c r="A307" t="s">
        <v>549</v>
      </c>
      <c r="B307">
        <v>799.96</v>
      </c>
      <c r="C307" t="s">
        <v>35</v>
      </c>
      <c r="D307">
        <v>30</v>
      </c>
      <c r="E307">
        <v>24.91</v>
      </c>
      <c r="F307" t="s">
        <v>79</v>
      </c>
      <c r="G307">
        <v>2</v>
      </c>
      <c r="H307">
        <v>26.36</v>
      </c>
    </row>
    <row r="308" spans="1:8" s="40" customFormat="1" x14ac:dyDescent="0.3">
      <c r="A308" s="41" t="s">
        <v>976</v>
      </c>
      <c r="B308" s="40">
        <f>D307*E308+G307*H308+J307*K308</f>
        <v>799.96300126807739</v>
      </c>
      <c r="E308" s="40">
        <v>24.907873055186759</v>
      </c>
      <c r="H308" s="40">
        <v>26.363404806237337</v>
      </c>
    </row>
    <row r="309" spans="1:8" x14ac:dyDescent="0.3">
      <c r="A309" t="s">
        <v>550</v>
      </c>
      <c r="B309">
        <v>553.82000000000005</v>
      </c>
      <c r="C309" t="s">
        <v>43</v>
      </c>
      <c r="D309">
        <v>30</v>
      </c>
      <c r="E309">
        <v>17.579999999999998</v>
      </c>
      <c r="F309" t="s">
        <v>74</v>
      </c>
      <c r="G309">
        <v>2</v>
      </c>
      <c r="H309">
        <v>13.19</v>
      </c>
    </row>
    <row r="310" spans="1:8" s="40" customFormat="1" x14ac:dyDescent="0.3">
      <c r="A310" s="41" t="s">
        <v>976</v>
      </c>
      <c r="B310" s="40">
        <f>D309*E310+G309*H310+J309*K310</f>
        <v>553.82129020289744</v>
      </c>
      <c r="E310" s="40">
        <v>17.581519098081106</v>
      </c>
      <c r="H310" s="40">
        <v>13.187858630232169</v>
      </c>
    </row>
    <row r="311" spans="1:8" x14ac:dyDescent="0.3">
      <c r="A311" t="s">
        <v>551</v>
      </c>
      <c r="B311">
        <v>553.82000000000005</v>
      </c>
      <c r="C311" t="s">
        <v>43</v>
      </c>
      <c r="D311">
        <v>30</v>
      </c>
      <c r="E311">
        <v>17.579999999999998</v>
      </c>
      <c r="F311" t="s">
        <v>74</v>
      </c>
      <c r="G311">
        <v>2</v>
      </c>
      <c r="H311">
        <v>13.19</v>
      </c>
    </row>
    <row r="312" spans="1:8" s="40" customFormat="1" x14ac:dyDescent="0.3">
      <c r="A312" s="41" t="s">
        <v>976</v>
      </c>
      <c r="B312" s="40">
        <f>D311*E312+G311*H312+J311*K312</f>
        <v>553.82129020289744</v>
      </c>
      <c r="E312" s="40">
        <v>17.581519098081106</v>
      </c>
      <c r="H312" s="40">
        <v>13.187858630232169</v>
      </c>
    </row>
    <row r="313" spans="1:8" x14ac:dyDescent="0.3">
      <c r="A313" t="s">
        <v>552</v>
      </c>
      <c r="B313">
        <v>931.83</v>
      </c>
      <c r="C313" t="s">
        <v>47</v>
      </c>
      <c r="D313">
        <v>30</v>
      </c>
      <c r="E313">
        <v>29.3</v>
      </c>
      <c r="F313" t="s">
        <v>79</v>
      </c>
      <c r="G313">
        <v>2</v>
      </c>
      <c r="H313">
        <v>26.36</v>
      </c>
    </row>
    <row r="314" spans="1:8" s="40" customFormat="1" x14ac:dyDescent="0.3">
      <c r="A314" s="41" t="s">
        <v>976</v>
      </c>
      <c r="B314" s="40">
        <f>D313*E314+G313*H314+J313*K314</f>
        <v>931.82938603918308</v>
      </c>
      <c r="E314" s="40">
        <v>29.303419214223613</v>
      </c>
      <c r="H314" s="40">
        <v>26.363404806237337</v>
      </c>
    </row>
    <row r="315" spans="1:8" x14ac:dyDescent="0.3">
      <c r="A315" t="s">
        <v>553</v>
      </c>
      <c r="B315">
        <v>416.15</v>
      </c>
      <c r="C315" t="s">
        <v>65</v>
      </c>
      <c r="D315">
        <v>30</v>
      </c>
      <c r="E315">
        <v>13.19</v>
      </c>
      <c r="F315" t="s">
        <v>87</v>
      </c>
      <c r="G315">
        <v>2</v>
      </c>
      <c r="H315">
        <v>10.26</v>
      </c>
    </row>
    <row r="316" spans="1:8" s="40" customFormat="1" x14ac:dyDescent="0.3">
      <c r="A316" s="41" t="s">
        <v>976</v>
      </c>
      <c r="B316" s="40">
        <f>D315*E316+G315*H316+J315*K316</f>
        <v>416.14742026504865</v>
      </c>
      <c r="E316" s="40">
        <v>13.187858630232169</v>
      </c>
      <c r="H316" s="40">
        <v>10.255830679041788</v>
      </c>
    </row>
    <row r="317" spans="1:8" x14ac:dyDescent="0.3">
      <c r="A317" t="s">
        <v>554</v>
      </c>
      <c r="B317">
        <v>703.27</v>
      </c>
      <c r="C317" t="s">
        <v>53</v>
      </c>
      <c r="D317">
        <v>30</v>
      </c>
      <c r="E317">
        <v>23.44</v>
      </c>
    </row>
    <row r="318" spans="1:8" s="40" customFormat="1" x14ac:dyDescent="0.3">
      <c r="A318" s="41" t="s">
        <v>976</v>
      </c>
      <c r="B318" s="40">
        <f>D317*E318+G317*H318+J317*K318</f>
        <v>703.27407468457079</v>
      </c>
      <c r="E318" s="40">
        <v>23.442469156152359</v>
      </c>
    </row>
    <row r="319" spans="1:8" x14ac:dyDescent="0.3">
      <c r="A319" t="s">
        <v>555</v>
      </c>
      <c r="B319">
        <v>416.15</v>
      </c>
      <c r="C319" t="s">
        <v>29</v>
      </c>
      <c r="D319">
        <v>30</v>
      </c>
      <c r="E319">
        <v>13.19</v>
      </c>
      <c r="F319" t="s">
        <v>89</v>
      </c>
      <c r="G319">
        <v>2</v>
      </c>
      <c r="H319">
        <v>10.26</v>
      </c>
    </row>
    <row r="320" spans="1:8" s="40" customFormat="1" x14ac:dyDescent="0.3">
      <c r="A320" s="41" t="s">
        <v>976</v>
      </c>
      <c r="B320" s="40">
        <f>D319*E320+G319*H320+J319*K320</f>
        <v>416.14742026504865</v>
      </c>
      <c r="E320" s="40">
        <v>13.187858630232169</v>
      </c>
      <c r="H320" s="40">
        <v>10.255830679041788</v>
      </c>
    </row>
    <row r="321" spans="1:11" x14ac:dyDescent="0.3">
      <c r="A321" t="s">
        <v>556</v>
      </c>
      <c r="B321">
        <v>559.69000000000005</v>
      </c>
      <c r="C321" t="s">
        <v>69</v>
      </c>
      <c r="D321">
        <v>28</v>
      </c>
      <c r="E321">
        <v>19.05</v>
      </c>
      <c r="F321" t="s">
        <v>74</v>
      </c>
      <c r="G321">
        <v>2</v>
      </c>
      <c r="H321">
        <v>13.19</v>
      </c>
    </row>
    <row r="322" spans="1:11" s="40" customFormat="1" x14ac:dyDescent="0.3">
      <c r="A322" s="41" t="s">
        <v>976</v>
      </c>
      <c r="B322" s="40">
        <f>D321*E322+G321*H322+J321*K322</f>
        <v>559.68956117969833</v>
      </c>
      <c r="E322" s="40">
        <v>19.046922997115502</v>
      </c>
      <c r="H322" s="40">
        <v>13.187858630232169</v>
      </c>
    </row>
    <row r="323" spans="1:11" x14ac:dyDescent="0.3">
      <c r="A323" t="s">
        <v>557</v>
      </c>
      <c r="B323">
        <v>477.73</v>
      </c>
      <c r="C323" t="s">
        <v>31</v>
      </c>
      <c r="D323">
        <v>28</v>
      </c>
      <c r="E323">
        <v>16.12</v>
      </c>
      <c r="F323" t="s">
        <v>74</v>
      </c>
      <c r="G323">
        <v>2</v>
      </c>
      <c r="H323">
        <v>13.19</v>
      </c>
    </row>
    <row r="324" spans="1:11" s="40" customFormat="1" x14ac:dyDescent="0.3">
      <c r="A324" s="41" t="s">
        <v>976</v>
      </c>
      <c r="B324" s="40">
        <f>D323*E324+G323*H324+J323*K324</f>
        <v>477.7294356959863</v>
      </c>
      <c r="E324" s="40">
        <v>16.119775658411498</v>
      </c>
      <c r="H324" s="40">
        <v>13.187858630232169</v>
      </c>
    </row>
    <row r="325" spans="1:11" x14ac:dyDescent="0.3">
      <c r="A325" t="s">
        <v>559</v>
      </c>
      <c r="B325">
        <v>477.73</v>
      </c>
      <c r="C325" t="s">
        <v>31</v>
      </c>
      <c r="D325">
        <v>28</v>
      </c>
      <c r="E325">
        <v>16.12</v>
      </c>
      <c r="F325" t="s">
        <v>74</v>
      </c>
      <c r="G325">
        <v>2</v>
      </c>
      <c r="H325">
        <v>13.19</v>
      </c>
    </row>
    <row r="326" spans="1:11" s="40" customFormat="1" x14ac:dyDescent="0.3">
      <c r="A326" s="41" t="s">
        <v>976</v>
      </c>
      <c r="B326" s="40">
        <f>D325*E326+G325*H326+J325*K326</f>
        <v>477.7294356959863</v>
      </c>
      <c r="E326" s="40">
        <v>16.119775658411498</v>
      </c>
      <c r="H326" s="40">
        <v>13.187858630232169</v>
      </c>
    </row>
    <row r="327" spans="1:11" x14ac:dyDescent="0.3">
      <c r="A327" t="s">
        <v>558</v>
      </c>
      <c r="B327">
        <v>451.35</v>
      </c>
      <c r="C327" t="s">
        <v>31</v>
      </c>
      <c r="D327">
        <v>28</v>
      </c>
      <c r="E327">
        <v>16.12</v>
      </c>
    </row>
    <row r="328" spans="1:11" s="40" customFormat="1" x14ac:dyDescent="0.3">
      <c r="A328" s="41" t="s">
        <v>976</v>
      </c>
      <c r="B328" s="40">
        <f>D327*E328+G327*H328+J327*K328</f>
        <v>451.35371843552196</v>
      </c>
      <c r="E328" s="40">
        <v>16.119775658411498</v>
      </c>
    </row>
    <row r="329" spans="1:11" x14ac:dyDescent="0.3">
      <c r="A329" t="s">
        <v>560</v>
      </c>
      <c r="B329">
        <v>843.82</v>
      </c>
      <c r="C329" t="s">
        <v>57</v>
      </c>
      <c r="D329">
        <v>26</v>
      </c>
      <c r="E329">
        <v>26.37</v>
      </c>
      <c r="F329" t="s">
        <v>119</v>
      </c>
      <c r="G329">
        <v>2</v>
      </c>
      <c r="H329">
        <v>17.579999999999998</v>
      </c>
      <c r="I329" t="s">
        <v>137</v>
      </c>
      <c r="J329">
        <v>28</v>
      </c>
      <c r="K329">
        <v>4.3899999999999997</v>
      </c>
    </row>
    <row r="330" spans="1:11" s="40" customFormat="1" x14ac:dyDescent="0.3">
      <c r="A330" s="41" t="s">
        <v>976</v>
      </c>
      <c r="B330" s="40">
        <f>D329*E330+G329*H330+J329*K330</f>
        <v>843.81922336814614</v>
      </c>
      <c r="E330" s="40">
        <v>26.372611416154825</v>
      </c>
      <c r="H330" s="40">
        <v>17.579688979321727</v>
      </c>
      <c r="K330" s="40">
        <v>4.3918553067670469</v>
      </c>
    </row>
    <row r="331" spans="1:11" x14ac:dyDescent="0.3">
      <c r="A331" t="s">
        <v>561</v>
      </c>
      <c r="B331">
        <v>588.99</v>
      </c>
      <c r="C331" t="s">
        <v>53</v>
      </c>
      <c r="D331">
        <v>24</v>
      </c>
      <c r="E331">
        <v>23.44</v>
      </c>
      <c r="F331" t="s">
        <v>81</v>
      </c>
      <c r="G331">
        <v>2</v>
      </c>
      <c r="H331">
        <v>13.19</v>
      </c>
    </row>
    <row r="332" spans="1:11" s="40" customFormat="1" x14ac:dyDescent="0.3">
      <c r="A332" s="41" t="s">
        <v>976</v>
      </c>
      <c r="B332" s="40">
        <f>D331*E332+G331*H332+J331*K332</f>
        <v>588.99497700812094</v>
      </c>
      <c r="E332" s="40">
        <v>23.442469156152359</v>
      </c>
      <c r="H332" s="40">
        <v>13.187858630232169</v>
      </c>
    </row>
    <row r="333" spans="1:11" x14ac:dyDescent="0.3">
      <c r="A333" t="s">
        <v>563</v>
      </c>
      <c r="B333">
        <v>588.99</v>
      </c>
      <c r="C333" t="s">
        <v>53</v>
      </c>
      <c r="D333">
        <v>24</v>
      </c>
      <c r="E333">
        <v>23.44</v>
      </c>
      <c r="F333" t="s">
        <v>81</v>
      </c>
      <c r="G333">
        <v>2</v>
      </c>
      <c r="H333">
        <v>13.19</v>
      </c>
    </row>
    <row r="334" spans="1:11" s="40" customFormat="1" x14ac:dyDescent="0.3">
      <c r="A334" s="41" t="s">
        <v>976</v>
      </c>
      <c r="B334" s="40">
        <f>D333*E334+G333*H334+J333*K334</f>
        <v>588.99497700812094</v>
      </c>
      <c r="E334" s="40">
        <v>23.442469156152359</v>
      </c>
      <c r="H334" s="40">
        <v>13.187858630232169</v>
      </c>
    </row>
    <row r="335" spans="1:11" x14ac:dyDescent="0.3">
      <c r="A335" t="s">
        <v>562</v>
      </c>
      <c r="B335">
        <v>659.32</v>
      </c>
      <c r="C335" t="s">
        <v>57</v>
      </c>
      <c r="D335">
        <v>24</v>
      </c>
      <c r="E335">
        <v>26.37</v>
      </c>
      <c r="F335" t="s">
        <v>83</v>
      </c>
      <c r="G335">
        <v>2</v>
      </c>
      <c r="H335">
        <v>13.19</v>
      </c>
    </row>
    <row r="336" spans="1:11" s="40" customFormat="1" x14ac:dyDescent="0.3">
      <c r="A336" s="41" t="s">
        <v>976</v>
      </c>
      <c r="B336" s="40">
        <f>D335*E336+G335*H336+J335*K336</f>
        <v>659.31839124818009</v>
      </c>
      <c r="E336" s="40">
        <v>26.372611416154825</v>
      </c>
      <c r="H336" s="40">
        <v>13.187858630232169</v>
      </c>
    </row>
    <row r="337" spans="1:8" x14ac:dyDescent="0.3">
      <c r="A337" t="s">
        <v>565</v>
      </c>
      <c r="B337">
        <v>756.01</v>
      </c>
      <c r="C337" t="s">
        <v>59</v>
      </c>
      <c r="D337">
        <v>24</v>
      </c>
      <c r="E337">
        <v>29.3</v>
      </c>
      <c r="F337" t="s">
        <v>85</v>
      </c>
      <c r="G337">
        <v>2</v>
      </c>
      <c r="H337">
        <v>26.36</v>
      </c>
    </row>
    <row r="338" spans="1:8" s="40" customFormat="1" x14ac:dyDescent="0.3">
      <c r="A338" s="41" t="s">
        <v>976</v>
      </c>
      <c r="B338" s="40">
        <f>D337*E338+G337*H338+J337*K338</f>
        <v>756.00887075384139</v>
      </c>
      <c r="E338" s="40">
        <v>29.303419214223613</v>
      </c>
      <c r="H338" s="40">
        <v>26.363404806237337</v>
      </c>
    </row>
    <row r="339" spans="1:8" x14ac:dyDescent="0.3">
      <c r="A339" t="s">
        <v>564</v>
      </c>
      <c r="B339">
        <v>659.32</v>
      </c>
      <c r="C339" t="s">
        <v>57</v>
      </c>
      <c r="D339">
        <v>24</v>
      </c>
      <c r="E339">
        <v>26.37</v>
      </c>
      <c r="F339" t="s">
        <v>83</v>
      </c>
      <c r="G339">
        <v>2</v>
      </c>
      <c r="H339">
        <v>13.19</v>
      </c>
    </row>
    <row r="340" spans="1:8" s="40" customFormat="1" x14ac:dyDescent="0.3">
      <c r="A340" s="41" t="s">
        <v>976</v>
      </c>
      <c r="B340" s="40">
        <f>D339*E340+G339*H340+J339*K340</f>
        <v>659.31839124818009</v>
      </c>
      <c r="E340" s="40">
        <v>26.372611416154825</v>
      </c>
      <c r="H340" s="40">
        <v>13.187858630232169</v>
      </c>
    </row>
    <row r="341" spans="1:8" x14ac:dyDescent="0.3">
      <c r="A341" t="s">
        <v>570</v>
      </c>
      <c r="B341">
        <v>756.01</v>
      </c>
      <c r="C341" t="s">
        <v>59</v>
      </c>
      <c r="D341">
        <v>24</v>
      </c>
      <c r="E341">
        <v>29.3</v>
      </c>
      <c r="F341" t="s">
        <v>85</v>
      </c>
      <c r="G341">
        <v>2</v>
      </c>
      <c r="H341">
        <v>26.36</v>
      </c>
    </row>
    <row r="342" spans="1:8" s="40" customFormat="1" x14ac:dyDescent="0.3">
      <c r="A342" s="41" t="s">
        <v>976</v>
      </c>
      <c r="B342" s="40">
        <f>D341*E342+G341*H342+J341*K342</f>
        <v>756.00887075384139</v>
      </c>
      <c r="E342" s="40">
        <v>29.303419214223613</v>
      </c>
      <c r="H342" s="40">
        <v>26.363404806237337</v>
      </c>
    </row>
    <row r="343" spans="1:8" x14ac:dyDescent="0.3">
      <c r="A343" t="s">
        <v>566</v>
      </c>
      <c r="B343">
        <v>756.01</v>
      </c>
      <c r="C343" t="s">
        <v>59</v>
      </c>
      <c r="D343">
        <v>24</v>
      </c>
      <c r="E343">
        <v>29.3</v>
      </c>
      <c r="F343" t="s">
        <v>85</v>
      </c>
      <c r="G343">
        <v>2</v>
      </c>
      <c r="H343">
        <v>26.36</v>
      </c>
    </row>
    <row r="344" spans="1:8" s="40" customFormat="1" x14ac:dyDescent="0.3">
      <c r="A344" s="41" t="s">
        <v>976</v>
      </c>
      <c r="B344" s="40">
        <f>D343*E344+G343*H344+J343*K344</f>
        <v>756.00887075384139</v>
      </c>
      <c r="E344" s="40">
        <v>29.303419214223613</v>
      </c>
      <c r="H344" s="40">
        <v>26.363404806237337</v>
      </c>
    </row>
    <row r="345" spans="1:8" x14ac:dyDescent="0.3">
      <c r="A345" t="s">
        <v>568</v>
      </c>
      <c r="B345">
        <v>931.83</v>
      </c>
      <c r="C345" t="s">
        <v>61</v>
      </c>
      <c r="D345">
        <v>24</v>
      </c>
      <c r="E345">
        <v>36.630000000000003</v>
      </c>
      <c r="F345" t="s">
        <v>85</v>
      </c>
      <c r="G345">
        <v>2</v>
      </c>
      <c r="H345">
        <v>26.36</v>
      </c>
    </row>
    <row r="346" spans="1:8" s="40" customFormat="1" x14ac:dyDescent="0.3">
      <c r="A346" s="41" t="s">
        <v>976</v>
      </c>
      <c r="B346" s="40">
        <f>D345*E346+G345*H346+J345*K346</f>
        <v>931.82539281078505</v>
      </c>
      <c r="E346" s="40">
        <v>36.629107633262933</v>
      </c>
      <c r="H346" s="40">
        <v>26.363404806237337</v>
      </c>
    </row>
    <row r="347" spans="1:8" x14ac:dyDescent="0.3">
      <c r="A347" t="s">
        <v>571</v>
      </c>
      <c r="B347">
        <v>202.15</v>
      </c>
      <c r="C347" t="s">
        <v>24</v>
      </c>
      <c r="D347">
        <v>24</v>
      </c>
      <c r="E347">
        <v>7.32</v>
      </c>
      <c r="F347" t="s">
        <v>72</v>
      </c>
      <c r="G347">
        <v>2</v>
      </c>
      <c r="H347">
        <v>13.19</v>
      </c>
    </row>
    <row r="348" spans="1:8" s="40" customFormat="1" x14ac:dyDescent="0.3">
      <c r="A348" s="41" t="s">
        <v>976</v>
      </c>
      <c r="B348" s="40">
        <f>D347*E348+G347*H348+J347*K348</f>
        <v>202.14698272889805</v>
      </c>
      <c r="E348" s="40">
        <v>7.3238027278514046</v>
      </c>
      <c r="H348" s="40">
        <v>13.187858630232169</v>
      </c>
    </row>
    <row r="349" spans="1:8" x14ac:dyDescent="0.3">
      <c r="A349" t="s">
        <v>572</v>
      </c>
      <c r="B349">
        <v>272.52</v>
      </c>
      <c r="C349" t="s">
        <v>27</v>
      </c>
      <c r="D349">
        <v>24</v>
      </c>
      <c r="E349">
        <v>10.26</v>
      </c>
      <c r="F349" t="s">
        <v>72</v>
      </c>
      <c r="G349">
        <v>2</v>
      </c>
      <c r="H349">
        <v>13.19</v>
      </c>
    </row>
    <row r="350" spans="1:8" s="40" customFormat="1" x14ac:dyDescent="0.3">
      <c r="A350" s="41" t="s">
        <v>976</v>
      </c>
      <c r="B350" s="40">
        <f>D349*E350+G349*H350+J349*K350</f>
        <v>272.51565355746726</v>
      </c>
      <c r="E350" s="40">
        <v>10.255830679041788</v>
      </c>
      <c r="H350" s="40">
        <v>13.187858630232169</v>
      </c>
    </row>
    <row r="351" spans="1:8" x14ac:dyDescent="0.3">
      <c r="A351" t="s">
        <v>574</v>
      </c>
      <c r="B351">
        <v>342.88</v>
      </c>
      <c r="C351" t="s">
        <v>65</v>
      </c>
      <c r="D351">
        <v>24</v>
      </c>
      <c r="E351">
        <v>13.19</v>
      </c>
      <c r="F351" t="s">
        <v>72</v>
      </c>
      <c r="G351">
        <v>2</v>
      </c>
      <c r="H351">
        <v>13.19</v>
      </c>
    </row>
    <row r="352" spans="1:8" s="40" customFormat="1" x14ac:dyDescent="0.3">
      <c r="A352" s="41" t="s">
        <v>976</v>
      </c>
      <c r="B352" s="40">
        <f>D351*E352+G351*H352+J351*K352</f>
        <v>342.88432438603638</v>
      </c>
      <c r="E352" s="40">
        <v>13.187858630232169</v>
      </c>
      <c r="H352" s="40">
        <v>13.187858630232169</v>
      </c>
    </row>
    <row r="353" spans="1:8" x14ac:dyDescent="0.3">
      <c r="A353" t="s">
        <v>573</v>
      </c>
      <c r="B353">
        <v>272.52</v>
      </c>
      <c r="C353" t="s">
        <v>27</v>
      </c>
      <c r="D353">
        <v>24</v>
      </c>
      <c r="E353">
        <v>10.26</v>
      </c>
      <c r="F353" t="s">
        <v>72</v>
      </c>
      <c r="G353">
        <v>2</v>
      </c>
      <c r="H353">
        <v>13.19</v>
      </c>
    </row>
    <row r="354" spans="1:8" s="40" customFormat="1" x14ac:dyDescent="0.3">
      <c r="A354" s="41" t="s">
        <v>976</v>
      </c>
      <c r="B354" s="40">
        <f>D353*E354+G353*H354+J353*K354</f>
        <v>272.51565355746726</v>
      </c>
      <c r="E354" s="40">
        <v>10.255830679041788</v>
      </c>
      <c r="H354" s="40">
        <v>13.187858630232169</v>
      </c>
    </row>
    <row r="355" spans="1:8" x14ac:dyDescent="0.3">
      <c r="A355" t="s">
        <v>576</v>
      </c>
      <c r="B355">
        <v>272.52</v>
      </c>
      <c r="C355" t="s">
        <v>27</v>
      </c>
      <c r="D355">
        <v>24</v>
      </c>
      <c r="E355">
        <v>10.26</v>
      </c>
      <c r="F355" t="s">
        <v>72</v>
      </c>
      <c r="G355">
        <v>2</v>
      </c>
      <c r="H355">
        <v>13.19</v>
      </c>
    </row>
    <row r="356" spans="1:8" s="40" customFormat="1" x14ac:dyDescent="0.3">
      <c r="A356" s="41" t="s">
        <v>976</v>
      </c>
      <c r="B356" s="40">
        <f>D355*E356+G355*H356+J355*K356</f>
        <v>272.51565355746726</v>
      </c>
      <c r="E356" s="40">
        <v>10.255830679041788</v>
      </c>
      <c r="H356" s="40">
        <v>13.187858630232169</v>
      </c>
    </row>
    <row r="357" spans="1:8" x14ac:dyDescent="0.3">
      <c r="A357" t="s">
        <v>575</v>
      </c>
      <c r="B357">
        <v>272.52</v>
      </c>
      <c r="C357" t="s">
        <v>27</v>
      </c>
      <c r="D357">
        <v>24</v>
      </c>
      <c r="E357">
        <v>10.26</v>
      </c>
      <c r="F357" t="s">
        <v>72</v>
      </c>
      <c r="G357">
        <v>2</v>
      </c>
      <c r="H357">
        <v>13.19</v>
      </c>
    </row>
    <row r="358" spans="1:8" s="40" customFormat="1" x14ac:dyDescent="0.3">
      <c r="A358" s="41" t="s">
        <v>976</v>
      </c>
      <c r="B358" s="40">
        <f>D357*E358+G357*H358+J357*K358</f>
        <v>272.51565355746726</v>
      </c>
      <c r="E358" s="40">
        <v>10.255830679041788</v>
      </c>
      <c r="H358" s="40">
        <v>13.187858630232169</v>
      </c>
    </row>
    <row r="359" spans="1:8" x14ac:dyDescent="0.3">
      <c r="A359" t="s">
        <v>577</v>
      </c>
      <c r="B359">
        <v>342.88</v>
      </c>
      <c r="C359" t="s">
        <v>65</v>
      </c>
      <c r="D359">
        <v>24</v>
      </c>
      <c r="E359">
        <v>13.19</v>
      </c>
      <c r="F359" t="s">
        <v>72</v>
      </c>
      <c r="G359">
        <v>2</v>
      </c>
      <c r="H359">
        <v>13.19</v>
      </c>
    </row>
    <row r="360" spans="1:8" s="40" customFormat="1" x14ac:dyDescent="0.3">
      <c r="A360" s="41" t="s">
        <v>976</v>
      </c>
      <c r="B360" s="40">
        <f>D359*E360+G359*H360+J359*K360</f>
        <v>342.88432438603638</v>
      </c>
      <c r="E360" s="40">
        <v>13.187858630232169</v>
      </c>
      <c r="H360" s="40">
        <v>13.187858630232169</v>
      </c>
    </row>
    <row r="361" spans="1:8" x14ac:dyDescent="0.3">
      <c r="A361" t="s">
        <v>578</v>
      </c>
      <c r="B361">
        <v>272.52</v>
      </c>
      <c r="C361" t="s">
        <v>27</v>
      </c>
      <c r="D361">
        <v>24</v>
      </c>
      <c r="E361">
        <v>10.26</v>
      </c>
      <c r="F361" t="s">
        <v>72</v>
      </c>
      <c r="G361">
        <v>2</v>
      </c>
      <c r="H361">
        <v>13.19</v>
      </c>
    </row>
    <row r="362" spans="1:8" s="40" customFormat="1" x14ac:dyDescent="0.3">
      <c r="A362" s="41" t="s">
        <v>976</v>
      </c>
      <c r="B362" s="40">
        <f>D361*E362+G361*H362+J361*K362</f>
        <v>272.51565355746726</v>
      </c>
      <c r="E362" s="40">
        <v>10.255830679041788</v>
      </c>
      <c r="H362" s="40">
        <v>13.187858630232169</v>
      </c>
    </row>
    <row r="363" spans="1:8" x14ac:dyDescent="0.3">
      <c r="A363" t="s">
        <v>581</v>
      </c>
      <c r="B363">
        <v>342.88</v>
      </c>
      <c r="C363" t="s">
        <v>65</v>
      </c>
      <c r="D363">
        <v>24</v>
      </c>
      <c r="E363">
        <v>13.19</v>
      </c>
      <c r="F363" t="s">
        <v>72</v>
      </c>
      <c r="G363">
        <v>2</v>
      </c>
      <c r="H363">
        <v>13.19</v>
      </c>
    </row>
    <row r="364" spans="1:8" s="40" customFormat="1" x14ac:dyDescent="0.3">
      <c r="A364" s="41" t="s">
        <v>976</v>
      </c>
      <c r="B364" s="40">
        <f>D363*E364+G363*H364+J363*K364</f>
        <v>342.88432438603638</v>
      </c>
      <c r="E364" s="40">
        <v>13.187858630232169</v>
      </c>
      <c r="H364" s="40">
        <v>13.187858630232169</v>
      </c>
    </row>
    <row r="365" spans="1:8" x14ac:dyDescent="0.3">
      <c r="A365" t="s">
        <v>579</v>
      </c>
      <c r="B365">
        <v>272.52</v>
      </c>
      <c r="C365" t="s">
        <v>27</v>
      </c>
      <c r="D365">
        <v>24</v>
      </c>
      <c r="E365">
        <v>10.26</v>
      </c>
      <c r="F365" t="s">
        <v>72</v>
      </c>
      <c r="G365">
        <v>2</v>
      </c>
      <c r="H365">
        <v>13.19</v>
      </c>
    </row>
    <row r="366" spans="1:8" s="40" customFormat="1" x14ac:dyDescent="0.3">
      <c r="A366" s="41" t="s">
        <v>976</v>
      </c>
      <c r="B366" s="40">
        <f>D365*E366+G365*H366+J365*K366</f>
        <v>272.51565355746726</v>
      </c>
      <c r="E366" s="40">
        <v>10.255830679041788</v>
      </c>
      <c r="H366" s="40">
        <v>13.187858630232169</v>
      </c>
    </row>
    <row r="367" spans="1:8" x14ac:dyDescent="0.3">
      <c r="A367" t="s">
        <v>580</v>
      </c>
      <c r="B367">
        <v>272.52</v>
      </c>
      <c r="C367" t="s">
        <v>27</v>
      </c>
      <c r="D367">
        <v>24</v>
      </c>
      <c r="E367">
        <v>10.26</v>
      </c>
      <c r="F367" t="s">
        <v>72</v>
      </c>
      <c r="G367">
        <v>2</v>
      </c>
      <c r="H367">
        <v>13.19</v>
      </c>
    </row>
    <row r="368" spans="1:8" s="40" customFormat="1" x14ac:dyDescent="0.3">
      <c r="A368" s="41" t="s">
        <v>976</v>
      </c>
      <c r="B368" s="40">
        <f>D367*E368+G367*H368+J367*K368</f>
        <v>272.51565355746726</v>
      </c>
      <c r="E368" s="40">
        <v>10.255830679041788</v>
      </c>
      <c r="H368" s="40">
        <v>13.187858630232169</v>
      </c>
    </row>
    <row r="369" spans="1:8" x14ac:dyDescent="0.3">
      <c r="A369" t="s">
        <v>582</v>
      </c>
      <c r="B369">
        <v>272.52</v>
      </c>
      <c r="C369" t="s">
        <v>27</v>
      </c>
      <c r="D369">
        <v>24</v>
      </c>
      <c r="E369">
        <v>10.26</v>
      </c>
      <c r="F369" t="s">
        <v>72</v>
      </c>
      <c r="G369">
        <v>2</v>
      </c>
      <c r="H369">
        <v>13.19</v>
      </c>
    </row>
    <row r="370" spans="1:8" s="40" customFormat="1" x14ac:dyDescent="0.3">
      <c r="A370" s="41" t="s">
        <v>976</v>
      </c>
      <c r="B370" s="40">
        <f>D369*E370+G369*H370+J369*K370</f>
        <v>272.51565355746726</v>
      </c>
      <c r="E370" s="40">
        <v>10.255830679041788</v>
      </c>
      <c r="H370" s="40">
        <v>13.187858630232169</v>
      </c>
    </row>
    <row r="371" spans="1:8" x14ac:dyDescent="0.3">
      <c r="A371" t="s">
        <v>583</v>
      </c>
      <c r="B371">
        <v>272.52</v>
      </c>
      <c r="C371" t="s">
        <v>27</v>
      </c>
      <c r="D371">
        <v>24</v>
      </c>
      <c r="E371">
        <v>10.26</v>
      </c>
      <c r="F371" t="s">
        <v>72</v>
      </c>
      <c r="G371">
        <v>2</v>
      </c>
      <c r="H371">
        <v>13.19</v>
      </c>
    </row>
    <row r="372" spans="1:8" s="40" customFormat="1" x14ac:dyDescent="0.3">
      <c r="A372" s="41" t="s">
        <v>976</v>
      </c>
      <c r="B372" s="40">
        <f>D371*E372+G371*H372+J371*K372</f>
        <v>272.51565355746726</v>
      </c>
      <c r="E372" s="40">
        <v>10.255830679041788</v>
      </c>
      <c r="H372" s="40">
        <v>13.187858630232169</v>
      </c>
    </row>
    <row r="373" spans="1:8" x14ac:dyDescent="0.3">
      <c r="A373" t="s">
        <v>601</v>
      </c>
      <c r="B373">
        <v>342.88</v>
      </c>
      <c r="C373" t="s">
        <v>29</v>
      </c>
      <c r="D373">
        <v>24</v>
      </c>
      <c r="E373">
        <v>13.19</v>
      </c>
      <c r="F373" t="s">
        <v>74</v>
      </c>
      <c r="G373">
        <v>2</v>
      </c>
      <c r="H373">
        <v>13.19</v>
      </c>
    </row>
    <row r="374" spans="1:8" s="40" customFormat="1" x14ac:dyDescent="0.3">
      <c r="A374" s="41" t="s">
        <v>976</v>
      </c>
      <c r="B374" s="40">
        <f>D373*E374+G373*H374+J373*K374</f>
        <v>342.88432438603638</v>
      </c>
      <c r="E374" s="40">
        <v>13.187858630232169</v>
      </c>
      <c r="H374" s="40">
        <v>13.187858630232169</v>
      </c>
    </row>
    <row r="375" spans="1:8" x14ac:dyDescent="0.3">
      <c r="A375" t="s">
        <v>584</v>
      </c>
      <c r="B375">
        <v>342.88</v>
      </c>
      <c r="C375" t="s">
        <v>29</v>
      </c>
      <c r="D375">
        <v>24</v>
      </c>
      <c r="E375">
        <v>13.19</v>
      </c>
      <c r="F375" t="s">
        <v>74</v>
      </c>
      <c r="G375">
        <v>2</v>
      </c>
      <c r="H375">
        <v>13.19</v>
      </c>
    </row>
    <row r="376" spans="1:8" s="40" customFormat="1" x14ac:dyDescent="0.3">
      <c r="A376" s="41" t="s">
        <v>976</v>
      </c>
      <c r="B376" s="40">
        <f>D375*E376+G375*H376+J375*K376</f>
        <v>342.88432438603638</v>
      </c>
      <c r="E376" s="40">
        <v>13.187858630232169</v>
      </c>
      <c r="H376" s="40">
        <v>13.187858630232169</v>
      </c>
    </row>
    <row r="377" spans="1:8" x14ac:dyDescent="0.3">
      <c r="A377" t="s">
        <v>586</v>
      </c>
      <c r="B377">
        <v>413.25</v>
      </c>
      <c r="C377" t="s">
        <v>67</v>
      </c>
      <c r="D377">
        <v>24</v>
      </c>
      <c r="E377">
        <v>16.12</v>
      </c>
      <c r="F377" t="s">
        <v>74</v>
      </c>
      <c r="G377">
        <v>2</v>
      </c>
      <c r="H377">
        <v>13.19</v>
      </c>
    </row>
    <row r="378" spans="1:8" s="40" customFormat="1" x14ac:dyDescent="0.3">
      <c r="A378" s="41" t="s">
        <v>976</v>
      </c>
      <c r="B378" s="40">
        <f>D377*E378+G377*H378+J377*K378</f>
        <v>413.2503330623403</v>
      </c>
      <c r="E378" s="40">
        <v>16.119775658411498</v>
      </c>
      <c r="H378" s="40">
        <v>13.187858630232169</v>
      </c>
    </row>
    <row r="379" spans="1:8" x14ac:dyDescent="0.3">
      <c r="A379" t="s">
        <v>585</v>
      </c>
      <c r="B379">
        <v>342.88</v>
      </c>
      <c r="C379" t="s">
        <v>29</v>
      </c>
      <c r="D379">
        <v>24</v>
      </c>
      <c r="E379">
        <v>13.19</v>
      </c>
      <c r="F379" t="s">
        <v>74</v>
      </c>
      <c r="G379">
        <v>2</v>
      </c>
      <c r="H379">
        <v>13.19</v>
      </c>
    </row>
    <row r="380" spans="1:8" s="40" customFormat="1" x14ac:dyDescent="0.3">
      <c r="A380" s="41" t="s">
        <v>976</v>
      </c>
      <c r="B380" s="40">
        <f>D379*E380+G379*H380+J379*K380</f>
        <v>342.88432438603638</v>
      </c>
      <c r="E380" s="40">
        <v>13.187858630232169</v>
      </c>
      <c r="H380" s="40">
        <v>13.187858630232169</v>
      </c>
    </row>
    <row r="381" spans="1:8" x14ac:dyDescent="0.3">
      <c r="A381" t="s">
        <v>602</v>
      </c>
      <c r="B381">
        <v>413.25</v>
      </c>
      <c r="C381" t="s">
        <v>67</v>
      </c>
      <c r="D381">
        <v>24</v>
      </c>
      <c r="E381">
        <v>16.12</v>
      </c>
      <c r="F381" t="s">
        <v>74</v>
      </c>
      <c r="G381">
        <v>2</v>
      </c>
      <c r="H381">
        <v>13.19</v>
      </c>
    </row>
    <row r="382" spans="1:8" s="40" customFormat="1" x14ac:dyDescent="0.3">
      <c r="A382" s="41" t="s">
        <v>976</v>
      </c>
      <c r="B382" s="40">
        <f>D381*E382+G381*H382+J381*K382</f>
        <v>413.2503330623403</v>
      </c>
      <c r="E382" s="40">
        <v>16.119775658411498</v>
      </c>
      <c r="H382" s="40">
        <v>13.187858630232169</v>
      </c>
    </row>
    <row r="383" spans="1:8" x14ac:dyDescent="0.3">
      <c r="A383" t="s">
        <v>587</v>
      </c>
      <c r="B383">
        <v>342.88</v>
      </c>
      <c r="C383" t="s">
        <v>29</v>
      </c>
      <c r="D383">
        <v>24</v>
      </c>
      <c r="E383">
        <v>13.19</v>
      </c>
      <c r="F383" t="s">
        <v>74</v>
      </c>
      <c r="G383">
        <v>2</v>
      </c>
      <c r="H383">
        <v>13.19</v>
      </c>
    </row>
    <row r="384" spans="1:8" s="40" customFormat="1" x14ac:dyDescent="0.3">
      <c r="A384" s="41" t="s">
        <v>976</v>
      </c>
      <c r="B384" s="40">
        <f>D383*E384+G383*H384+J383*K384</f>
        <v>342.88432438603638</v>
      </c>
      <c r="E384" s="40">
        <v>13.187858630232169</v>
      </c>
      <c r="H384" s="40">
        <v>13.187858630232169</v>
      </c>
    </row>
    <row r="385" spans="1:8" x14ac:dyDescent="0.3">
      <c r="A385" t="s">
        <v>588</v>
      </c>
      <c r="B385">
        <v>413.25</v>
      </c>
      <c r="C385" t="s">
        <v>67</v>
      </c>
      <c r="D385">
        <v>24</v>
      </c>
      <c r="E385">
        <v>16.12</v>
      </c>
      <c r="F385" t="s">
        <v>74</v>
      </c>
      <c r="G385">
        <v>2</v>
      </c>
      <c r="H385">
        <v>13.19</v>
      </c>
    </row>
    <row r="386" spans="1:8" s="40" customFormat="1" x14ac:dyDescent="0.3">
      <c r="A386" s="41" t="s">
        <v>976</v>
      </c>
      <c r="B386" s="40">
        <f>D385*E386+G385*H386+J385*K386</f>
        <v>413.2503330623403</v>
      </c>
      <c r="E386" s="40">
        <v>16.119775658411498</v>
      </c>
      <c r="H386" s="40">
        <v>13.187858630232169</v>
      </c>
    </row>
    <row r="387" spans="1:8" x14ac:dyDescent="0.3">
      <c r="A387" t="s">
        <v>589</v>
      </c>
      <c r="B387">
        <v>342.88</v>
      </c>
      <c r="C387" t="s">
        <v>29</v>
      </c>
      <c r="D387">
        <v>24</v>
      </c>
      <c r="E387">
        <v>13.19</v>
      </c>
      <c r="F387" t="s">
        <v>74</v>
      </c>
      <c r="G387">
        <v>2</v>
      </c>
      <c r="H387">
        <v>13.19</v>
      </c>
    </row>
    <row r="388" spans="1:8" s="40" customFormat="1" x14ac:dyDescent="0.3">
      <c r="A388" s="41" t="s">
        <v>976</v>
      </c>
      <c r="B388" s="40">
        <f>D387*E388+G387*H388+J387*K388</f>
        <v>342.88432438603638</v>
      </c>
      <c r="E388" s="40">
        <v>13.187858630232169</v>
      </c>
      <c r="H388" s="40">
        <v>13.187858630232169</v>
      </c>
    </row>
    <row r="389" spans="1:8" x14ac:dyDescent="0.3">
      <c r="A389" t="s">
        <v>591</v>
      </c>
      <c r="B389">
        <v>342.88</v>
      </c>
      <c r="C389" t="s">
        <v>29</v>
      </c>
      <c r="D389">
        <v>24</v>
      </c>
      <c r="E389">
        <v>13.19</v>
      </c>
      <c r="F389" t="s">
        <v>74</v>
      </c>
      <c r="G389">
        <v>2</v>
      </c>
      <c r="H389">
        <v>13.19</v>
      </c>
    </row>
    <row r="390" spans="1:8" s="40" customFormat="1" x14ac:dyDescent="0.3">
      <c r="A390" s="41" t="s">
        <v>976</v>
      </c>
      <c r="B390" s="40">
        <f>D389*E390+G389*H390+J389*K390</f>
        <v>342.88432438603638</v>
      </c>
      <c r="E390" s="40">
        <v>13.187858630232169</v>
      </c>
      <c r="H390" s="40">
        <v>13.187858630232169</v>
      </c>
    </row>
    <row r="391" spans="1:8" x14ac:dyDescent="0.3">
      <c r="A391" t="s">
        <v>590</v>
      </c>
      <c r="B391">
        <v>342.88</v>
      </c>
      <c r="C391" t="s">
        <v>29</v>
      </c>
      <c r="D391">
        <v>24</v>
      </c>
      <c r="E391">
        <v>13.19</v>
      </c>
      <c r="F391" t="s">
        <v>74</v>
      </c>
      <c r="G391">
        <v>2</v>
      </c>
      <c r="H391">
        <v>13.19</v>
      </c>
    </row>
    <row r="392" spans="1:8" s="40" customFormat="1" x14ac:dyDescent="0.3">
      <c r="A392" s="41" t="s">
        <v>976</v>
      </c>
      <c r="B392" s="40">
        <f>D391*E392+G391*H392+J391*K392</f>
        <v>342.88432438603638</v>
      </c>
      <c r="E392" s="40">
        <v>13.187858630232169</v>
      </c>
      <c r="H392" s="40">
        <v>13.187858630232169</v>
      </c>
    </row>
    <row r="393" spans="1:8" x14ac:dyDescent="0.3">
      <c r="A393" t="s">
        <v>592</v>
      </c>
      <c r="B393">
        <v>413.25</v>
      </c>
      <c r="C393" t="s">
        <v>67</v>
      </c>
      <c r="D393">
        <v>24</v>
      </c>
      <c r="E393">
        <v>16.12</v>
      </c>
      <c r="F393" t="s">
        <v>74</v>
      </c>
      <c r="G393">
        <v>2</v>
      </c>
      <c r="H393">
        <v>13.19</v>
      </c>
    </row>
    <row r="394" spans="1:8" s="40" customFormat="1" x14ac:dyDescent="0.3">
      <c r="A394" s="41" t="s">
        <v>976</v>
      </c>
      <c r="B394" s="40">
        <f>D393*E394+G393*H394+J393*K394</f>
        <v>413.2503330623403</v>
      </c>
      <c r="E394" s="40">
        <v>16.119775658411498</v>
      </c>
      <c r="H394" s="40">
        <v>13.187858630232169</v>
      </c>
    </row>
    <row r="395" spans="1:8" x14ac:dyDescent="0.3">
      <c r="A395" t="s">
        <v>593</v>
      </c>
      <c r="B395">
        <v>342.88</v>
      </c>
      <c r="C395" t="s">
        <v>29</v>
      </c>
      <c r="D395">
        <v>24</v>
      </c>
      <c r="E395">
        <v>13.19</v>
      </c>
      <c r="F395" t="s">
        <v>74</v>
      </c>
      <c r="G395">
        <v>2</v>
      </c>
      <c r="H395">
        <v>13.19</v>
      </c>
    </row>
    <row r="396" spans="1:8" s="40" customFormat="1" x14ac:dyDescent="0.3">
      <c r="A396" s="41" t="s">
        <v>976</v>
      </c>
      <c r="B396" s="40">
        <f>D395*E396+G395*H396+J395*K396</f>
        <v>342.88432438603638</v>
      </c>
      <c r="E396" s="40">
        <v>13.187858630232169</v>
      </c>
      <c r="H396" s="40">
        <v>13.187858630232169</v>
      </c>
    </row>
    <row r="397" spans="1:8" x14ac:dyDescent="0.3">
      <c r="A397" t="s">
        <v>595</v>
      </c>
      <c r="B397">
        <v>413.25</v>
      </c>
      <c r="C397" t="s">
        <v>31</v>
      </c>
      <c r="D397">
        <v>24</v>
      </c>
      <c r="E397">
        <v>16.12</v>
      </c>
      <c r="F397" t="s">
        <v>74</v>
      </c>
      <c r="G397">
        <v>2</v>
      </c>
      <c r="H397">
        <v>13.19</v>
      </c>
    </row>
    <row r="398" spans="1:8" s="40" customFormat="1" x14ac:dyDescent="0.3">
      <c r="A398" s="41" t="s">
        <v>976</v>
      </c>
      <c r="B398" s="40">
        <f>D397*E398+G397*H398+J397*K398</f>
        <v>413.2503330623403</v>
      </c>
      <c r="E398" s="40">
        <v>16.119775658411498</v>
      </c>
      <c r="H398" s="40">
        <v>13.187858630232169</v>
      </c>
    </row>
    <row r="399" spans="1:8" x14ac:dyDescent="0.3">
      <c r="A399" t="s">
        <v>594</v>
      </c>
      <c r="B399">
        <v>483.5</v>
      </c>
      <c r="C399" t="s">
        <v>69</v>
      </c>
      <c r="D399">
        <v>24</v>
      </c>
      <c r="E399">
        <v>19.05</v>
      </c>
      <c r="F399" t="s">
        <v>74</v>
      </c>
      <c r="G399">
        <v>2</v>
      </c>
      <c r="H399">
        <v>13.19</v>
      </c>
    </row>
    <row r="400" spans="1:8" s="40" customFormat="1" x14ac:dyDescent="0.3">
      <c r="A400" s="41" t="s">
        <v>976</v>
      </c>
      <c r="B400" s="40">
        <f>D399*E400+G399*H400+J399*K400</f>
        <v>483.50186919123638</v>
      </c>
      <c r="E400" s="40">
        <v>19.046922997115502</v>
      </c>
      <c r="H400" s="40">
        <v>13.187858630232169</v>
      </c>
    </row>
    <row r="401" spans="1:8" x14ac:dyDescent="0.3">
      <c r="A401" t="s">
        <v>596</v>
      </c>
      <c r="B401">
        <v>413.25</v>
      </c>
      <c r="C401" t="s">
        <v>31</v>
      </c>
      <c r="D401">
        <v>24</v>
      </c>
      <c r="E401">
        <v>16.12</v>
      </c>
      <c r="F401" t="s">
        <v>74</v>
      </c>
      <c r="G401">
        <v>2</v>
      </c>
      <c r="H401">
        <v>13.19</v>
      </c>
    </row>
    <row r="402" spans="1:8" s="40" customFormat="1" x14ac:dyDescent="0.3">
      <c r="A402" s="41" t="s">
        <v>976</v>
      </c>
      <c r="B402" s="40">
        <f>D401*E402+G401*H402+J401*K402</f>
        <v>413.2503330623403</v>
      </c>
      <c r="E402" s="40">
        <v>16.119775658411498</v>
      </c>
      <c r="H402" s="40">
        <v>13.187858630232169</v>
      </c>
    </row>
    <row r="403" spans="1:8" x14ac:dyDescent="0.3">
      <c r="A403" t="s">
        <v>598</v>
      </c>
      <c r="B403">
        <v>483.5</v>
      </c>
      <c r="C403" t="s">
        <v>69</v>
      </c>
      <c r="D403">
        <v>24</v>
      </c>
      <c r="E403">
        <v>19.05</v>
      </c>
      <c r="F403" t="s">
        <v>74</v>
      </c>
      <c r="G403">
        <v>2</v>
      </c>
      <c r="H403">
        <v>13.19</v>
      </c>
    </row>
    <row r="404" spans="1:8" s="40" customFormat="1" x14ac:dyDescent="0.3">
      <c r="A404" s="41" t="s">
        <v>976</v>
      </c>
      <c r="B404" s="40">
        <f>D403*E404+G403*H404+J403*K404</f>
        <v>483.50186919123638</v>
      </c>
      <c r="E404" s="40">
        <v>19.046922997115502</v>
      </c>
      <c r="H404" s="40">
        <v>13.187858630232169</v>
      </c>
    </row>
    <row r="405" spans="1:8" x14ac:dyDescent="0.3">
      <c r="A405" t="s">
        <v>597</v>
      </c>
      <c r="B405">
        <v>413.25</v>
      </c>
      <c r="C405" t="s">
        <v>31</v>
      </c>
      <c r="D405">
        <v>24</v>
      </c>
      <c r="E405">
        <v>16.12</v>
      </c>
      <c r="F405" t="s">
        <v>74</v>
      </c>
      <c r="G405">
        <v>2</v>
      </c>
      <c r="H405">
        <v>13.19</v>
      </c>
    </row>
    <row r="406" spans="1:8" s="40" customFormat="1" x14ac:dyDescent="0.3">
      <c r="A406" s="41" t="s">
        <v>976</v>
      </c>
      <c r="B406" s="40">
        <f>D405*E406+G405*H406+J405*K406</f>
        <v>413.2503330623403</v>
      </c>
      <c r="E406" s="40">
        <v>16.119775658411498</v>
      </c>
      <c r="H406" s="40">
        <v>13.187858630232169</v>
      </c>
    </row>
    <row r="407" spans="1:8" x14ac:dyDescent="0.3">
      <c r="A407" t="s">
        <v>599</v>
      </c>
      <c r="B407">
        <v>413.25</v>
      </c>
      <c r="C407" t="s">
        <v>31</v>
      </c>
      <c r="D407">
        <v>24</v>
      </c>
      <c r="E407">
        <v>16.12</v>
      </c>
      <c r="F407" t="s">
        <v>74</v>
      </c>
      <c r="G407">
        <v>2</v>
      </c>
      <c r="H407">
        <v>13.19</v>
      </c>
    </row>
    <row r="408" spans="1:8" s="40" customFormat="1" x14ac:dyDescent="0.3">
      <c r="A408" s="41" t="s">
        <v>976</v>
      </c>
      <c r="B408" s="40">
        <f>D407*E408+G407*H408+J407*K408</f>
        <v>413.2503330623403</v>
      </c>
      <c r="E408" s="40">
        <v>16.119775658411498</v>
      </c>
      <c r="H408" s="40">
        <v>13.187858630232169</v>
      </c>
    </row>
    <row r="409" spans="1:8" x14ac:dyDescent="0.3">
      <c r="A409" t="s">
        <v>605</v>
      </c>
      <c r="B409">
        <v>483.5</v>
      </c>
      <c r="C409" t="s">
        <v>69</v>
      </c>
      <c r="D409">
        <v>24</v>
      </c>
      <c r="E409">
        <v>19.05</v>
      </c>
      <c r="F409" t="s">
        <v>74</v>
      </c>
      <c r="G409">
        <v>2</v>
      </c>
      <c r="H409">
        <v>13.19</v>
      </c>
    </row>
    <row r="410" spans="1:8" s="40" customFormat="1" x14ac:dyDescent="0.3">
      <c r="A410" s="41" t="s">
        <v>976</v>
      </c>
      <c r="B410" s="40">
        <f>D409*E410+G409*H410+J409*K410</f>
        <v>483.50186919123638</v>
      </c>
      <c r="E410" s="40">
        <v>19.046922997115502</v>
      </c>
      <c r="H410" s="40">
        <v>13.187858630232169</v>
      </c>
    </row>
    <row r="411" spans="1:8" x14ac:dyDescent="0.3">
      <c r="A411" t="s">
        <v>604</v>
      </c>
      <c r="B411">
        <v>413.25</v>
      </c>
      <c r="C411" t="s">
        <v>31</v>
      </c>
      <c r="D411">
        <v>24</v>
      </c>
      <c r="E411">
        <v>16.12</v>
      </c>
      <c r="F411" t="s">
        <v>74</v>
      </c>
      <c r="G411">
        <v>2</v>
      </c>
      <c r="H411">
        <v>13.19</v>
      </c>
    </row>
    <row r="412" spans="1:8" s="40" customFormat="1" x14ac:dyDescent="0.3">
      <c r="A412" s="41" t="s">
        <v>976</v>
      </c>
      <c r="B412" s="40">
        <f>D411*E412+G411*H412+J411*K412</f>
        <v>413.2503330623403</v>
      </c>
      <c r="E412" s="40">
        <v>16.119775658411498</v>
      </c>
      <c r="H412" s="40">
        <v>13.187858630232169</v>
      </c>
    </row>
    <row r="413" spans="1:8" x14ac:dyDescent="0.3">
      <c r="A413" t="s">
        <v>607</v>
      </c>
      <c r="B413">
        <v>413.25</v>
      </c>
      <c r="C413" t="s">
        <v>31</v>
      </c>
      <c r="D413">
        <v>24</v>
      </c>
      <c r="E413">
        <v>16.12</v>
      </c>
      <c r="F413" t="s">
        <v>74</v>
      </c>
      <c r="G413">
        <v>2</v>
      </c>
      <c r="H413">
        <v>13.19</v>
      </c>
    </row>
    <row r="414" spans="1:8" s="40" customFormat="1" x14ac:dyDescent="0.3">
      <c r="A414" s="41" t="s">
        <v>976</v>
      </c>
      <c r="B414" s="40">
        <f>D413*E414+G413*H414+J413*K414</f>
        <v>413.2503330623403</v>
      </c>
      <c r="E414" s="40">
        <v>16.119775658411498</v>
      </c>
      <c r="H414" s="40">
        <v>13.187858630232169</v>
      </c>
    </row>
    <row r="415" spans="1:8" x14ac:dyDescent="0.3">
      <c r="A415" t="s">
        <v>606</v>
      </c>
      <c r="B415">
        <v>483.5</v>
      </c>
      <c r="C415" t="s">
        <v>69</v>
      </c>
      <c r="D415">
        <v>24</v>
      </c>
      <c r="E415">
        <v>19.05</v>
      </c>
      <c r="F415" t="s">
        <v>74</v>
      </c>
      <c r="G415">
        <v>2</v>
      </c>
      <c r="H415">
        <v>13.19</v>
      </c>
    </row>
    <row r="416" spans="1:8" s="40" customFormat="1" x14ac:dyDescent="0.3">
      <c r="A416" s="41" t="s">
        <v>976</v>
      </c>
      <c r="B416" s="40">
        <f>D415*E416+G415*H416+J415*K416</f>
        <v>483.50186919123638</v>
      </c>
      <c r="E416" s="40">
        <v>19.046922997115502</v>
      </c>
      <c r="H416" s="40">
        <v>13.187858630232169</v>
      </c>
    </row>
    <row r="417" spans="1:8" x14ac:dyDescent="0.3">
      <c r="A417" t="s">
        <v>603</v>
      </c>
      <c r="B417">
        <v>483.5</v>
      </c>
      <c r="C417" t="s">
        <v>69</v>
      </c>
      <c r="D417">
        <v>24</v>
      </c>
      <c r="E417">
        <v>19.05</v>
      </c>
      <c r="F417" t="s">
        <v>74</v>
      </c>
      <c r="G417">
        <v>2</v>
      </c>
      <c r="H417">
        <v>13.19</v>
      </c>
    </row>
    <row r="418" spans="1:8" s="40" customFormat="1" x14ac:dyDescent="0.3">
      <c r="A418" s="41" t="s">
        <v>976</v>
      </c>
      <c r="B418" s="40">
        <f>D417*E418+G417*H418+J417*K418</f>
        <v>483.50186919123638</v>
      </c>
      <c r="E418" s="40">
        <v>19.046922997115502</v>
      </c>
      <c r="H418" s="40">
        <v>13.187858630232169</v>
      </c>
    </row>
    <row r="419" spans="1:8" x14ac:dyDescent="0.3">
      <c r="A419" t="s">
        <v>600</v>
      </c>
      <c r="B419">
        <v>413.25</v>
      </c>
      <c r="C419" t="s">
        <v>31</v>
      </c>
      <c r="D419">
        <v>24</v>
      </c>
      <c r="E419">
        <v>16.12</v>
      </c>
      <c r="F419" t="s">
        <v>74</v>
      </c>
      <c r="G419">
        <v>2</v>
      </c>
      <c r="H419">
        <v>13.19</v>
      </c>
    </row>
    <row r="420" spans="1:8" s="40" customFormat="1" x14ac:dyDescent="0.3">
      <c r="A420" s="41" t="s">
        <v>976</v>
      </c>
      <c r="B420" s="40">
        <f>D419*E420+G419*H420+J419*K420</f>
        <v>413.2503330623403</v>
      </c>
      <c r="E420" s="40">
        <v>16.119775658411498</v>
      </c>
      <c r="H420" s="40">
        <v>13.187858630232169</v>
      </c>
    </row>
    <row r="421" spans="1:8" x14ac:dyDescent="0.3">
      <c r="A421" t="s">
        <v>615</v>
      </c>
      <c r="B421">
        <v>483.5</v>
      </c>
      <c r="C421" t="s">
        <v>69</v>
      </c>
      <c r="D421">
        <v>24</v>
      </c>
      <c r="E421">
        <v>19.05</v>
      </c>
      <c r="F421" t="s">
        <v>74</v>
      </c>
      <c r="G421">
        <v>2</v>
      </c>
      <c r="H421">
        <v>13.19</v>
      </c>
    </row>
    <row r="422" spans="1:8" s="40" customFormat="1" x14ac:dyDescent="0.3">
      <c r="A422" s="41" t="s">
        <v>976</v>
      </c>
      <c r="B422" s="40">
        <f>D421*E422+G421*H422+J421*K422</f>
        <v>483.50186919123638</v>
      </c>
      <c r="E422" s="40">
        <v>19.046922997115502</v>
      </c>
      <c r="H422" s="40">
        <v>13.187858630232169</v>
      </c>
    </row>
    <row r="423" spans="1:8" x14ac:dyDescent="0.3">
      <c r="A423" t="s">
        <v>610</v>
      </c>
      <c r="B423">
        <v>413.25</v>
      </c>
      <c r="C423" t="s">
        <v>31</v>
      </c>
      <c r="D423">
        <v>24</v>
      </c>
      <c r="E423">
        <v>16.12</v>
      </c>
      <c r="F423" t="s">
        <v>74</v>
      </c>
      <c r="G423">
        <v>2</v>
      </c>
      <c r="H423">
        <v>13.19</v>
      </c>
    </row>
    <row r="424" spans="1:8" s="40" customFormat="1" x14ac:dyDescent="0.3">
      <c r="A424" s="41" t="s">
        <v>976</v>
      </c>
      <c r="B424" s="40">
        <f>D423*E424+G423*H424+J423*K424</f>
        <v>413.2503330623403</v>
      </c>
      <c r="E424" s="40">
        <v>16.119775658411498</v>
      </c>
      <c r="H424" s="40">
        <v>13.187858630232169</v>
      </c>
    </row>
    <row r="425" spans="1:8" x14ac:dyDescent="0.3">
      <c r="A425" t="s">
        <v>608</v>
      </c>
      <c r="B425">
        <v>413.25</v>
      </c>
      <c r="C425" t="s">
        <v>31</v>
      </c>
      <c r="D425">
        <v>24</v>
      </c>
      <c r="E425">
        <v>16.12</v>
      </c>
      <c r="F425" t="s">
        <v>74</v>
      </c>
      <c r="G425">
        <v>2</v>
      </c>
      <c r="H425">
        <v>13.19</v>
      </c>
    </row>
    <row r="426" spans="1:8" s="40" customFormat="1" x14ac:dyDescent="0.3">
      <c r="A426" s="41" t="s">
        <v>976</v>
      </c>
      <c r="B426" s="40">
        <f>D425*E426+G425*H426+J425*K426</f>
        <v>413.2503330623403</v>
      </c>
      <c r="E426" s="40">
        <v>16.119775658411498</v>
      </c>
      <c r="H426" s="40">
        <v>13.187858630232169</v>
      </c>
    </row>
    <row r="427" spans="1:8" x14ac:dyDescent="0.3">
      <c r="A427" t="s">
        <v>612</v>
      </c>
      <c r="B427">
        <v>483.5</v>
      </c>
      <c r="C427" t="s">
        <v>69</v>
      </c>
      <c r="D427">
        <v>24</v>
      </c>
      <c r="E427">
        <v>19.05</v>
      </c>
      <c r="F427" t="s">
        <v>74</v>
      </c>
      <c r="G427">
        <v>2</v>
      </c>
      <c r="H427">
        <v>13.19</v>
      </c>
    </row>
    <row r="428" spans="1:8" s="40" customFormat="1" x14ac:dyDescent="0.3">
      <c r="A428" s="41" t="s">
        <v>976</v>
      </c>
      <c r="B428" s="40">
        <f>D427*E428+G427*H428+J427*K428</f>
        <v>483.50186919123638</v>
      </c>
      <c r="E428" s="40">
        <v>19.046922997115502</v>
      </c>
      <c r="H428" s="40">
        <v>13.187858630232169</v>
      </c>
    </row>
    <row r="429" spans="1:8" x14ac:dyDescent="0.3">
      <c r="A429" t="s">
        <v>609</v>
      </c>
      <c r="B429">
        <v>413.25</v>
      </c>
      <c r="C429" t="s">
        <v>31</v>
      </c>
      <c r="D429">
        <v>24</v>
      </c>
      <c r="E429">
        <v>16.12</v>
      </c>
      <c r="F429" t="s">
        <v>74</v>
      </c>
      <c r="G429">
        <v>2</v>
      </c>
      <c r="H429">
        <v>13.19</v>
      </c>
    </row>
    <row r="430" spans="1:8" s="40" customFormat="1" x14ac:dyDescent="0.3">
      <c r="A430" s="41" t="s">
        <v>976</v>
      </c>
      <c r="B430" s="40">
        <f>D429*E430+G429*H430+J429*K430</f>
        <v>413.2503330623403</v>
      </c>
      <c r="E430" s="40">
        <v>16.119775658411498</v>
      </c>
      <c r="H430" s="40">
        <v>13.187858630232169</v>
      </c>
    </row>
    <row r="431" spans="1:8" x14ac:dyDescent="0.3">
      <c r="A431" t="s">
        <v>613</v>
      </c>
      <c r="B431">
        <v>483.5</v>
      </c>
      <c r="C431" t="s">
        <v>69</v>
      </c>
      <c r="D431">
        <v>24</v>
      </c>
      <c r="E431">
        <v>19.05</v>
      </c>
      <c r="F431" t="s">
        <v>74</v>
      </c>
      <c r="G431">
        <v>2</v>
      </c>
      <c r="H431">
        <v>13.19</v>
      </c>
    </row>
    <row r="432" spans="1:8" s="40" customFormat="1" x14ac:dyDescent="0.3">
      <c r="A432" s="41" t="s">
        <v>976</v>
      </c>
      <c r="B432" s="40">
        <f>D431*E432+G431*H432+J431*K432</f>
        <v>483.50186919123638</v>
      </c>
      <c r="E432" s="40">
        <v>19.046922997115502</v>
      </c>
      <c r="H432" s="40">
        <v>13.187858630232169</v>
      </c>
    </row>
    <row r="433" spans="1:8" x14ac:dyDescent="0.3">
      <c r="A433" t="s">
        <v>614</v>
      </c>
      <c r="B433">
        <v>413.25</v>
      </c>
      <c r="C433" t="s">
        <v>31</v>
      </c>
      <c r="D433">
        <v>24</v>
      </c>
      <c r="E433">
        <v>16.12</v>
      </c>
      <c r="F433" t="s">
        <v>74</v>
      </c>
      <c r="G433">
        <v>2</v>
      </c>
      <c r="H433">
        <v>13.19</v>
      </c>
    </row>
    <row r="434" spans="1:8" s="40" customFormat="1" x14ac:dyDescent="0.3">
      <c r="A434" s="41" t="s">
        <v>976</v>
      </c>
      <c r="B434" s="40">
        <f>D433*E434+G433*H434+J433*K434</f>
        <v>413.2503330623403</v>
      </c>
      <c r="E434" s="40">
        <v>16.119775658411498</v>
      </c>
      <c r="H434" s="40">
        <v>13.187858630232169</v>
      </c>
    </row>
    <row r="435" spans="1:8" x14ac:dyDescent="0.3">
      <c r="A435" t="s">
        <v>611</v>
      </c>
      <c r="B435">
        <v>483.5</v>
      </c>
      <c r="C435" t="s">
        <v>69</v>
      </c>
      <c r="D435">
        <v>24</v>
      </c>
      <c r="E435">
        <v>19.05</v>
      </c>
      <c r="F435" t="s">
        <v>74</v>
      </c>
      <c r="G435">
        <v>2</v>
      </c>
      <c r="H435">
        <v>13.19</v>
      </c>
    </row>
    <row r="436" spans="1:8" s="40" customFormat="1" x14ac:dyDescent="0.3">
      <c r="A436" s="41" t="s">
        <v>976</v>
      </c>
      <c r="B436" s="40">
        <f>D435*E436+G435*H436+J435*K436</f>
        <v>483.50186919123638</v>
      </c>
      <c r="E436" s="40">
        <v>19.046922997115502</v>
      </c>
      <c r="H436" s="40">
        <v>13.187858630232169</v>
      </c>
    </row>
    <row r="437" spans="1:8" x14ac:dyDescent="0.3">
      <c r="A437" t="s">
        <v>616</v>
      </c>
      <c r="B437">
        <v>413.25</v>
      </c>
      <c r="C437" t="s">
        <v>31</v>
      </c>
      <c r="D437">
        <v>24</v>
      </c>
      <c r="E437">
        <v>16.12</v>
      </c>
      <c r="F437" t="s">
        <v>74</v>
      </c>
      <c r="G437">
        <v>2</v>
      </c>
      <c r="H437">
        <v>13.19</v>
      </c>
    </row>
    <row r="438" spans="1:8" s="40" customFormat="1" x14ac:dyDescent="0.3">
      <c r="A438" s="41" t="s">
        <v>976</v>
      </c>
      <c r="B438" s="40">
        <f>D437*E438+G437*H438+J437*K438</f>
        <v>413.2503330623403</v>
      </c>
      <c r="E438" s="40">
        <v>16.119775658411498</v>
      </c>
      <c r="H438" s="40">
        <v>13.187858630232169</v>
      </c>
    </row>
    <row r="439" spans="1:8" x14ac:dyDescent="0.3">
      <c r="A439" t="s">
        <v>622</v>
      </c>
      <c r="B439">
        <v>483.5</v>
      </c>
      <c r="C439" t="s">
        <v>69</v>
      </c>
      <c r="D439">
        <v>24</v>
      </c>
      <c r="E439">
        <v>19.05</v>
      </c>
      <c r="F439" t="s">
        <v>74</v>
      </c>
      <c r="G439">
        <v>2</v>
      </c>
      <c r="H439">
        <v>13.19</v>
      </c>
    </row>
    <row r="440" spans="1:8" s="40" customFormat="1" x14ac:dyDescent="0.3">
      <c r="A440" s="41" t="s">
        <v>976</v>
      </c>
      <c r="B440" s="40">
        <f>D439*E440+G439*H440+J439*K440</f>
        <v>483.50186919123638</v>
      </c>
      <c r="E440" s="40">
        <v>19.046922997115502</v>
      </c>
      <c r="H440" s="40">
        <v>13.187858630232169</v>
      </c>
    </row>
    <row r="441" spans="1:8" x14ac:dyDescent="0.3">
      <c r="A441" t="s">
        <v>618</v>
      </c>
      <c r="B441">
        <v>413.25</v>
      </c>
      <c r="C441" t="s">
        <v>31</v>
      </c>
      <c r="D441">
        <v>24</v>
      </c>
      <c r="E441">
        <v>16.12</v>
      </c>
      <c r="F441" t="s">
        <v>74</v>
      </c>
      <c r="G441">
        <v>2</v>
      </c>
      <c r="H441">
        <v>13.19</v>
      </c>
    </row>
    <row r="442" spans="1:8" s="40" customFormat="1" x14ac:dyDescent="0.3">
      <c r="A442" s="41" t="s">
        <v>976</v>
      </c>
      <c r="B442" s="40">
        <f>D441*E442+G441*H442+J441*K442</f>
        <v>413.2503330623403</v>
      </c>
      <c r="E442" s="40">
        <v>16.119775658411498</v>
      </c>
      <c r="H442" s="40">
        <v>13.187858630232169</v>
      </c>
    </row>
    <row r="443" spans="1:8" x14ac:dyDescent="0.3">
      <c r="A443" t="s">
        <v>623</v>
      </c>
      <c r="B443">
        <v>483.5</v>
      </c>
      <c r="C443" t="s">
        <v>69</v>
      </c>
      <c r="D443">
        <v>24</v>
      </c>
      <c r="E443">
        <v>19.05</v>
      </c>
      <c r="F443" t="s">
        <v>74</v>
      </c>
      <c r="G443">
        <v>2</v>
      </c>
      <c r="H443">
        <v>13.19</v>
      </c>
    </row>
    <row r="444" spans="1:8" s="40" customFormat="1" x14ac:dyDescent="0.3">
      <c r="A444" s="41" t="s">
        <v>976</v>
      </c>
      <c r="B444" s="40">
        <f>D443*E444+G443*H444+J443*K444</f>
        <v>483.50186919123638</v>
      </c>
      <c r="E444" s="40">
        <v>19.046922997115502</v>
      </c>
      <c r="H444" s="40">
        <v>13.187858630232169</v>
      </c>
    </row>
    <row r="445" spans="1:8" x14ac:dyDescent="0.3">
      <c r="A445" t="s">
        <v>617</v>
      </c>
      <c r="B445">
        <v>413.25</v>
      </c>
      <c r="C445" t="s">
        <v>31</v>
      </c>
      <c r="D445">
        <v>24</v>
      </c>
      <c r="E445">
        <v>16.12</v>
      </c>
      <c r="F445" t="s">
        <v>74</v>
      </c>
      <c r="G445">
        <v>2</v>
      </c>
      <c r="H445">
        <v>13.19</v>
      </c>
    </row>
    <row r="446" spans="1:8" s="40" customFormat="1" x14ac:dyDescent="0.3">
      <c r="A446" s="41" t="s">
        <v>976</v>
      </c>
      <c r="B446" s="40">
        <f>D445*E446+G445*H446+J445*K446</f>
        <v>413.2503330623403</v>
      </c>
      <c r="E446" s="40">
        <v>16.119775658411498</v>
      </c>
      <c r="H446" s="40">
        <v>13.187858630232169</v>
      </c>
    </row>
    <row r="447" spans="1:8" x14ac:dyDescent="0.3">
      <c r="A447" t="s">
        <v>621</v>
      </c>
      <c r="B447">
        <v>483.5</v>
      </c>
      <c r="C447" t="s">
        <v>69</v>
      </c>
      <c r="D447">
        <v>24</v>
      </c>
      <c r="E447">
        <v>19.05</v>
      </c>
      <c r="F447" t="s">
        <v>74</v>
      </c>
      <c r="G447">
        <v>2</v>
      </c>
      <c r="H447">
        <v>13.19</v>
      </c>
    </row>
    <row r="448" spans="1:8" s="40" customFormat="1" x14ac:dyDescent="0.3">
      <c r="A448" s="41" t="s">
        <v>976</v>
      </c>
      <c r="B448" s="40">
        <f>D447*E448+G447*H448+J447*K448</f>
        <v>483.50186919123638</v>
      </c>
      <c r="E448" s="40">
        <v>19.046922997115502</v>
      </c>
      <c r="H448" s="40">
        <v>13.187858630232169</v>
      </c>
    </row>
    <row r="449" spans="1:8" x14ac:dyDescent="0.3">
      <c r="A449" t="s">
        <v>620</v>
      </c>
      <c r="B449">
        <v>413.25</v>
      </c>
      <c r="C449" t="s">
        <v>31</v>
      </c>
      <c r="D449">
        <v>24</v>
      </c>
      <c r="E449">
        <v>16.12</v>
      </c>
      <c r="F449" t="s">
        <v>74</v>
      </c>
      <c r="G449">
        <v>2</v>
      </c>
      <c r="H449">
        <v>13.19</v>
      </c>
    </row>
    <row r="450" spans="1:8" s="40" customFormat="1" x14ac:dyDescent="0.3">
      <c r="A450" s="41" t="s">
        <v>976</v>
      </c>
      <c r="B450" s="40">
        <f>D449*E450+G449*H450+J449*K450</f>
        <v>413.2503330623403</v>
      </c>
      <c r="E450" s="40">
        <v>16.119775658411498</v>
      </c>
      <c r="H450" s="40">
        <v>13.187858630232169</v>
      </c>
    </row>
    <row r="451" spans="1:8" x14ac:dyDescent="0.3">
      <c r="A451" t="s">
        <v>619</v>
      </c>
      <c r="B451">
        <v>483.5</v>
      </c>
      <c r="C451" t="s">
        <v>69</v>
      </c>
      <c r="D451">
        <v>24</v>
      </c>
      <c r="E451">
        <v>19.05</v>
      </c>
      <c r="F451" t="s">
        <v>74</v>
      </c>
      <c r="G451">
        <v>2</v>
      </c>
      <c r="H451">
        <v>13.19</v>
      </c>
    </row>
    <row r="452" spans="1:8" s="40" customFormat="1" x14ac:dyDescent="0.3">
      <c r="A452" s="41" t="s">
        <v>976</v>
      </c>
      <c r="B452" s="40">
        <f>D451*E452+G451*H452+J451*K452</f>
        <v>483.50186919123638</v>
      </c>
      <c r="E452" s="40">
        <v>19.046922997115502</v>
      </c>
      <c r="H452" s="40">
        <v>13.187858630232169</v>
      </c>
    </row>
    <row r="453" spans="1:8" x14ac:dyDescent="0.3">
      <c r="A453" t="s">
        <v>624</v>
      </c>
      <c r="B453">
        <v>650.52</v>
      </c>
      <c r="C453" t="s">
        <v>35</v>
      </c>
      <c r="D453">
        <v>24</v>
      </c>
      <c r="E453">
        <v>24.91</v>
      </c>
      <c r="F453" t="s">
        <v>79</v>
      </c>
      <c r="G453">
        <v>2</v>
      </c>
      <c r="H453">
        <v>26.36</v>
      </c>
    </row>
    <row r="454" spans="1:8" s="40" customFormat="1" x14ac:dyDescent="0.3">
      <c r="A454" s="41" t="s">
        <v>976</v>
      </c>
      <c r="B454" s="40">
        <f>D453*E454+G453*H454+J453*K454</f>
        <v>650.51576293695689</v>
      </c>
      <c r="E454" s="40">
        <v>24.907873055186759</v>
      </c>
      <c r="H454" s="40">
        <v>26.363404806237337</v>
      </c>
    </row>
    <row r="455" spans="1:8" x14ac:dyDescent="0.3">
      <c r="A455" t="s">
        <v>625</v>
      </c>
      <c r="B455">
        <v>650.52</v>
      </c>
      <c r="C455" t="s">
        <v>35</v>
      </c>
      <c r="D455">
        <v>24</v>
      </c>
      <c r="E455">
        <v>24.91</v>
      </c>
      <c r="F455" t="s">
        <v>79</v>
      </c>
      <c r="G455">
        <v>2</v>
      </c>
      <c r="H455">
        <v>26.36</v>
      </c>
    </row>
    <row r="456" spans="1:8" s="40" customFormat="1" x14ac:dyDescent="0.3">
      <c r="A456" s="41" t="s">
        <v>976</v>
      </c>
      <c r="B456" s="40">
        <f>D455*E456+G455*H456+J455*K456</f>
        <v>650.51576293695689</v>
      </c>
      <c r="E456" s="40">
        <v>24.907873055186759</v>
      </c>
      <c r="H456" s="40">
        <v>26.363404806237337</v>
      </c>
    </row>
    <row r="457" spans="1:8" x14ac:dyDescent="0.3">
      <c r="A457" t="s">
        <v>626</v>
      </c>
      <c r="B457">
        <v>650.52</v>
      </c>
      <c r="C457" t="s">
        <v>35</v>
      </c>
      <c r="D457">
        <v>24</v>
      </c>
      <c r="E457">
        <v>24.91</v>
      </c>
      <c r="F457" t="s">
        <v>79</v>
      </c>
      <c r="G457">
        <v>2</v>
      </c>
      <c r="H457">
        <v>26.36</v>
      </c>
    </row>
    <row r="458" spans="1:8" s="40" customFormat="1" x14ac:dyDescent="0.3">
      <c r="A458" s="41" t="s">
        <v>976</v>
      </c>
      <c r="B458" s="40">
        <f>D457*E458+G457*H458+J457*K458</f>
        <v>650.51576293695689</v>
      </c>
      <c r="E458" s="40">
        <v>24.907873055186759</v>
      </c>
      <c r="H458" s="40">
        <v>26.363404806237337</v>
      </c>
    </row>
    <row r="459" spans="1:8" x14ac:dyDescent="0.3">
      <c r="A459" t="s">
        <v>629</v>
      </c>
      <c r="B459">
        <v>650.52</v>
      </c>
      <c r="C459" t="s">
        <v>35</v>
      </c>
      <c r="D459">
        <v>24</v>
      </c>
      <c r="E459">
        <v>24.91</v>
      </c>
      <c r="F459" t="s">
        <v>79</v>
      </c>
      <c r="G459">
        <v>2</v>
      </c>
      <c r="H459">
        <v>26.36</v>
      </c>
    </row>
    <row r="460" spans="1:8" s="40" customFormat="1" x14ac:dyDescent="0.3">
      <c r="A460" s="41" t="s">
        <v>976</v>
      </c>
      <c r="B460" s="40">
        <f>D459*E460+G459*H460+J459*K460</f>
        <v>650.51576293695689</v>
      </c>
      <c r="E460" s="40">
        <v>24.907873055186759</v>
      </c>
      <c r="H460" s="40">
        <v>26.363404806237337</v>
      </c>
    </row>
    <row r="461" spans="1:8" x14ac:dyDescent="0.3">
      <c r="A461" t="s">
        <v>630</v>
      </c>
      <c r="B461">
        <v>448.33</v>
      </c>
      <c r="C461" t="s">
        <v>43</v>
      </c>
      <c r="D461">
        <v>24</v>
      </c>
      <c r="E461">
        <v>17.579999999999998</v>
      </c>
      <c r="F461" t="s">
        <v>74</v>
      </c>
      <c r="G461">
        <v>2</v>
      </c>
      <c r="H461">
        <v>13.19</v>
      </c>
    </row>
    <row r="462" spans="1:8" s="40" customFormat="1" x14ac:dyDescent="0.3">
      <c r="A462" s="41" t="s">
        <v>976</v>
      </c>
      <c r="B462" s="40">
        <f>D461*E462+G461*H462+J461*K462</f>
        <v>448.33217561441091</v>
      </c>
      <c r="E462" s="40">
        <v>17.581519098081106</v>
      </c>
      <c r="H462" s="40">
        <v>13.187858630232169</v>
      </c>
    </row>
    <row r="463" spans="1:8" x14ac:dyDescent="0.3">
      <c r="A463" t="s">
        <v>627</v>
      </c>
      <c r="B463">
        <v>448.33</v>
      </c>
      <c r="C463" t="s">
        <v>43</v>
      </c>
      <c r="D463">
        <v>24</v>
      </c>
      <c r="E463">
        <v>17.579999999999998</v>
      </c>
      <c r="F463" t="s">
        <v>74</v>
      </c>
      <c r="G463">
        <v>2</v>
      </c>
      <c r="H463">
        <v>13.19</v>
      </c>
    </row>
    <row r="464" spans="1:8" s="40" customFormat="1" x14ac:dyDescent="0.3">
      <c r="A464" s="41" t="s">
        <v>976</v>
      </c>
      <c r="B464" s="40">
        <f>D463*E464+G463*H464+J463*K464</f>
        <v>448.33217561441091</v>
      </c>
      <c r="E464" s="40">
        <v>17.581519098081106</v>
      </c>
      <c r="H464" s="40">
        <v>13.187858630232169</v>
      </c>
    </row>
    <row r="465" spans="1:8" x14ac:dyDescent="0.3">
      <c r="A465" t="s">
        <v>631</v>
      </c>
      <c r="B465">
        <v>448.33</v>
      </c>
      <c r="C465" t="s">
        <v>43</v>
      </c>
      <c r="D465">
        <v>24</v>
      </c>
      <c r="E465">
        <v>17.579999999999998</v>
      </c>
      <c r="F465" t="s">
        <v>74</v>
      </c>
      <c r="G465">
        <v>2</v>
      </c>
      <c r="H465">
        <v>13.19</v>
      </c>
    </row>
    <row r="466" spans="1:8" s="40" customFormat="1" x14ac:dyDescent="0.3">
      <c r="A466" s="41" t="s">
        <v>976</v>
      </c>
      <c r="B466" s="40">
        <f>D465*E466+G465*H466+J465*K466</f>
        <v>448.33217561441091</v>
      </c>
      <c r="E466" s="40">
        <v>17.581519098081106</v>
      </c>
      <c r="H466" s="40">
        <v>13.187858630232169</v>
      </c>
    </row>
    <row r="467" spans="1:8" x14ac:dyDescent="0.3">
      <c r="A467" t="s">
        <v>628</v>
      </c>
      <c r="B467">
        <v>756.01</v>
      </c>
      <c r="C467" t="s">
        <v>47</v>
      </c>
      <c r="D467">
        <v>24</v>
      </c>
      <c r="E467">
        <v>29.3</v>
      </c>
      <c r="F467" t="s">
        <v>79</v>
      </c>
      <c r="G467">
        <v>2</v>
      </c>
      <c r="H467">
        <v>26.36</v>
      </c>
    </row>
    <row r="468" spans="1:8" s="40" customFormat="1" x14ac:dyDescent="0.3">
      <c r="A468" s="41" t="s">
        <v>976</v>
      </c>
      <c r="B468" s="40">
        <f>D467*E468+G467*H468+J467*K468</f>
        <v>756.00887075384139</v>
      </c>
      <c r="E468" s="40">
        <v>29.303419214223613</v>
      </c>
      <c r="H468" s="40">
        <v>26.363404806237337</v>
      </c>
    </row>
    <row r="469" spans="1:8" x14ac:dyDescent="0.3">
      <c r="A469" t="s">
        <v>632</v>
      </c>
      <c r="B469">
        <v>756.01</v>
      </c>
      <c r="C469" t="s">
        <v>47</v>
      </c>
      <c r="D469">
        <v>24</v>
      </c>
      <c r="E469">
        <v>29.3</v>
      </c>
      <c r="F469" t="s">
        <v>79</v>
      </c>
      <c r="G469">
        <v>2</v>
      </c>
      <c r="H469">
        <v>26.36</v>
      </c>
    </row>
    <row r="470" spans="1:8" s="40" customFormat="1" x14ac:dyDescent="0.3">
      <c r="A470" s="41" t="s">
        <v>976</v>
      </c>
      <c r="B470" s="40">
        <f>D469*E470+G469*H470+J469*K470</f>
        <v>756.00887075384139</v>
      </c>
      <c r="E470" s="40">
        <v>29.303419214223613</v>
      </c>
      <c r="H470" s="40">
        <v>26.363404806237337</v>
      </c>
    </row>
    <row r="471" spans="1:8" x14ac:dyDescent="0.3">
      <c r="A471" t="s">
        <v>634</v>
      </c>
      <c r="B471">
        <v>337.02</v>
      </c>
      <c r="C471" t="s">
        <v>29</v>
      </c>
      <c r="D471">
        <v>24</v>
      </c>
      <c r="E471">
        <v>13.19</v>
      </c>
      <c r="F471" t="s">
        <v>89</v>
      </c>
      <c r="G471">
        <v>2</v>
      </c>
      <c r="H471">
        <v>10.26</v>
      </c>
    </row>
    <row r="472" spans="1:8" s="40" customFormat="1" x14ac:dyDescent="0.3">
      <c r="A472" s="41" t="s">
        <v>976</v>
      </c>
      <c r="B472" s="40">
        <f>D471*E472+G471*H472+J471*K472</f>
        <v>337.02026848365563</v>
      </c>
      <c r="E472" s="40">
        <v>13.187858630232169</v>
      </c>
      <c r="H472" s="40">
        <v>10.255830679041788</v>
      </c>
    </row>
    <row r="473" spans="1:8" x14ac:dyDescent="0.3">
      <c r="A473" t="s">
        <v>633</v>
      </c>
      <c r="B473">
        <v>407.39</v>
      </c>
      <c r="C473" t="s">
        <v>31</v>
      </c>
      <c r="D473">
        <v>24</v>
      </c>
      <c r="E473">
        <v>16.12</v>
      </c>
      <c r="F473" t="s">
        <v>89</v>
      </c>
      <c r="G473">
        <v>2</v>
      </c>
      <c r="H473">
        <v>10.26</v>
      </c>
    </row>
    <row r="474" spans="1:8" s="40" customFormat="1" x14ac:dyDescent="0.3">
      <c r="A474" s="41" t="s">
        <v>976</v>
      </c>
      <c r="B474" s="40">
        <f>D473*E474+G473*H474+J473*K474</f>
        <v>407.38627715995955</v>
      </c>
      <c r="E474" s="40">
        <v>16.119775658411498</v>
      </c>
      <c r="H474" s="40">
        <v>10.255830679041788</v>
      </c>
    </row>
    <row r="475" spans="1:8" x14ac:dyDescent="0.3">
      <c r="A475" t="s">
        <v>636</v>
      </c>
      <c r="B475">
        <v>407.39</v>
      </c>
      <c r="C475" t="s">
        <v>31</v>
      </c>
      <c r="D475">
        <v>24</v>
      </c>
      <c r="E475">
        <v>16.12</v>
      </c>
      <c r="F475" t="s">
        <v>89</v>
      </c>
      <c r="G475">
        <v>2</v>
      </c>
      <c r="H475">
        <v>10.26</v>
      </c>
    </row>
    <row r="476" spans="1:8" s="40" customFormat="1" x14ac:dyDescent="0.3">
      <c r="A476" s="41" t="s">
        <v>976</v>
      </c>
      <c r="B476" s="40">
        <f>D475*E476+G475*H476+J475*K476</f>
        <v>407.38627715995955</v>
      </c>
      <c r="E476" s="40">
        <v>16.119775658411498</v>
      </c>
      <c r="H476" s="40">
        <v>10.255830679041788</v>
      </c>
    </row>
    <row r="477" spans="1:8" x14ac:dyDescent="0.3">
      <c r="A477" t="s">
        <v>637</v>
      </c>
      <c r="B477">
        <v>363.34</v>
      </c>
      <c r="C477" t="s">
        <v>41</v>
      </c>
      <c r="D477">
        <v>24</v>
      </c>
      <c r="E477">
        <v>14.28</v>
      </c>
      <c r="F477" t="s">
        <v>89</v>
      </c>
      <c r="G477">
        <v>2</v>
      </c>
      <c r="H477">
        <v>10.26</v>
      </c>
    </row>
    <row r="478" spans="1:8" s="40" customFormat="1" x14ac:dyDescent="0.3">
      <c r="A478" s="41" t="s">
        <v>976</v>
      </c>
      <c r="B478" s="40">
        <f>D477*E478+G477*H478+J477*K478</f>
        <v>363.33830577837188</v>
      </c>
      <c r="E478" s="40">
        <v>14.284443517512011</v>
      </c>
      <c r="H478" s="40">
        <v>10.255830679041788</v>
      </c>
    </row>
    <row r="479" spans="1:8" x14ac:dyDescent="0.3">
      <c r="A479" t="s">
        <v>635</v>
      </c>
      <c r="B479">
        <v>407.39</v>
      </c>
      <c r="C479" t="s">
        <v>31</v>
      </c>
      <c r="D479">
        <v>24</v>
      </c>
      <c r="E479">
        <v>16.12</v>
      </c>
      <c r="F479" t="s">
        <v>89</v>
      </c>
      <c r="G479">
        <v>2</v>
      </c>
      <c r="H479">
        <v>10.26</v>
      </c>
    </row>
    <row r="480" spans="1:8" s="40" customFormat="1" x14ac:dyDescent="0.3">
      <c r="A480" s="41" t="s">
        <v>976</v>
      </c>
      <c r="B480" s="40">
        <f>D479*E480+G479*H480+J479*K480</f>
        <v>407.38627715995955</v>
      </c>
      <c r="E480" s="40">
        <v>16.119775658411498</v>
      </c>
      <c r="H480" s="40">
        <v>10.255830679041788</v>
      </c>
    </row>
    <row r="481" spans="1:11" x14ac:dyDescent="0.3">
      <c r="A481" t="s">
        <v>638</v>
      </c>
      <c r="B481">
        <v>175.77</v>
      </c>
      <c r="C481" t="s">
        <v>24</v>
      </c>
      <c r="D481">
        <v>24</v>
      </c>
      <c r="E481">
        <v>7.32</v>
      </c>
    </row>
    <row r="482" spans="1:11" s="40" customFormat="1" x14ac:dyDescent="0.3">
      <c r="A482" s="41" t="s">
        <v>976</v>
      </c>
      <c r="B482" s="40">
        <f>D481*E482+G481*H482+J481*K482</f>
        <v>175.77126546843371</v>
      </c>
      <c r="E482" s="40">
        <v>7.3238027278514046</v>
      </c>
    </row>
    <row r="483" spans="1:11" x14ac:dyDescent="0.3">
      <c r="A483" t="s">
        <v>640</v>
      </c>
      <c r="B483">
        <v>386.87</v>
      </c>
      <c r="C483" t="s">
        <v>31</v>
      </c>
      <c r="D483">
        <v>24</v>
      </c>
      <c r="E483">
        <v>16.12</v>
      </c>
    </row>
    <row r="484" spans="1:11" s="40" customFormat="1" x14ac:dyDescent="0.3">
      <c r="A484" s="41" t="s">
        <v>976</v>
      </c>
      <c r="B484" s="40">
        <f>D483*E484+G483*H484+J483*K484</f>
        <v>386.87461580187596</v>
      </c>
      <c r="E484" s="40">
        <v>16.119775658411498</v>
      </c>
    </row>
    <row r="485" spans="1:11" x14ac:dyDescent="0.3">
      <c r="A485" t="s">
        <v>639</v>
      </c>
      <c r="B485">
        <v>246.14</v>
      </c>
      <c r="C485" t="s">
        <v>27</v>
      </c>
      <c r="D485">
        <v>24</v>
      </c>
      <c r="E485">
        <v>10.26</v>
      </c>
    </row>
    <row r="486" spans="1:11" s="40" customFormat="1" x14ac:dyDescent="0.3">
      <c r="A486" s="41" t="s">
        <v>976</v>
      </c>
      <c r="B486" s="40">
        <f>D485*E486+G485*H486+J485*K486</f>
        <v>246.13993629700292</v>
      </c>
      <c r="E486" s="40">
        <v>10.255830679041788</v>
      </c>
    </row>
    <row r="487" spans="1:11" x14ac:dyDescent="0.3">
      <c r="A487" t="s">
        <v>642</v>
      </c>
      <c r="B487">
        <v>260.79000000000002</v>
      </c>
      <c r="C487" t="s">
        <v>27</v>
      </c>
      <c r="D487">
        <v>24</v>
      </c>
      <c r="E487">
        <v>10.26</v>
      </c>
      <c r="F487" t="s">
        <v>99</v>
      </c>
      <c r="G487">
        <v>2</v>
      </c>
      <c r="H487">
        <v>7.32</v>
      </c>
    </row>
    <row r="488" spans="1:11" s="40" customFormat="1" x14ac:dyDescent="0.3">
      <c r="A488" s="41" t="s">
        <v>976</v>
      </c>
      <c r="B488" s="40">
        <f>D487*E488+G487*H488+J487*K488</f>
        <v>260.78763248772879</v>
      </c>
      <c r="E488" s="40">
        <v>10.255830679041788</v>
      </c>
      <c r="H488" s="40">
        <v>7.3238480953629237</v>
      </c>
    </row>
    <row r="489" spans="1:11" x14ac:dyDescent="0.3">
      <c r="A489" t="s">
        <v>641</v>
      </c>
      <c r="B489">
        <v>782.29</v>
      </c>
      <c r="C489" t="s">
        <v>57</v>
      </c>
      <c r="D489">
        <v>24</v>
      </c>
      <c r="E489">
        <v>26.37</v>
      </c>
      <c r="F489" t="s">
        <v>119</v>
      </c>
      <c r="G489">
        <v>2</v>
      </c>
      <c r="H489">
        <v>17.579999999999998</v>
      </c>
      <c r="I489" t="s">
        <v>137</v>
      </c>
      <c r="J489">
        <v>26</v>
      </c>
      <c r="K489">
        <v>4.3899999999999997</v>
      </c>
    </row>
    <row r="490" spans="1:11" s="40" customFormat="1" x14ac:dyDescent="0.3">
      <c r="A490" s="41" t="s">
        <v>976</v>
      </c>
      <c r="B490" s="40">
        <f>D489*E490+G489*H490+J489*K490</f>
        <v>782.29028992230246</v>
      </c>
      <c r="E490" s="40">
        <v>26.372611416154825</v>
      </c>
      <c r="H490" s="40">
        <v>17.579688979321727</v>
      </c>
      <c r="K490" s="40">
        <v>4.3918553067670469</v>
      </c>
    </row>
    <row r="491" spans="1:11" x14ac:dyDescent="0.3">
      <c r="A491" t="s">
        <v>643</v>
      </c>
      <c r="B491">
        <v>782.29</v>
      </c>
      <c r="C491" t="s">
        <v>57</v>
      </c>
      <c r="D491">
        <v>24</v>
      </c>
      <c r="E491">
        <v>26.37</v>
      </c>
      <c r="F491" t="s">
        <v>119</v>
      </c>
      <c r="G491">
        <v>2</v>
      </c>
      <c r="H491">
        <v>17.579999999999998</v>
      </c>
      <c r="I491" t="s">
        <v>137</v>
      </c>
      <c r="J491">
        <v>26</v>
      </c>
      <c r="K491">
        <v>4.3899999999999997</v>
      </c>
    </row>
    <row r="492" spans="1:11" s="40" customFormat="1" x14ac:dyDescent="0.3">
      <c r="A492" s="41" t="s">
        <v>976</v>
      </c>
      <c r="B492" s="40">
        <f>D491*E492+G491*H492+J491*K492</f>
        <v>782.29028992230246</v>
      </c>
      <c r="E492" s="40">
        <v>26.372611416154825</v>
      </c>
      <c r="H492" s="40">
        <v>17.579688979321727</v>
      </c>
      <c r="K492" s="40">
        <v>4.3918553067670469</v>
      </c>
    </row>
    <row r="493" spans="1:11" x14ac:dyDescent="0.3">
      <c r="A493" t="s">
        <v>644</v>
      </c>
      <c r="B493">
        <v>536.22</v>
      </c>
      <c r="C493" t="s">
        <v>31</v>
      </c>
      <c r="D493">
        <v>24</v>
      </c>
      <c r="E493">
        <v>16.12</v>
      </c>
      <c r="F493" t="s">
        <v>110</v>
      </c>
      <c r="G493">
        <v>2</v>
      </c>
      <c r="H493">
        <v>17.579999999999998</v>
      </c>
      <c r="I493" t="s">
        <v>137</v>
      </c>
      <c r="J493">
        <v>26</v>
      </c>
      <c r="K493">
        <v>4.3899999999999997</v>
      </c>
    </row>
    <row r="494" spans="1:11" s="40" customFormat="1" x14ac:dyDescent="0.3">
      <c r="A494" s="41" t="s">
        <v>976</v>
      </c>
      <c r="B494" s="40">
        <f>D493*E494+G493*H494+J493*K494</f>
        <v>536.22223173646262</v>
      </c>
      <c r="E494" s="40">
        <v>16.119775658411498</v>
      </c>
      <c r="H494" s="40">
        <v>17.579688979321727</v>
      </c>
      <c r="K494" s="40">
        <v>4.3918553067670469</v>
      </c>
    </row>
    <row r="495" spans="1:11" x14ac:dyDescent="0.3">
      <c r="A495" t="s">
        <v>646</v>
      </c>
      <c r="B495">
        <v>536.22</v>
      </c>
      <c r="C495" t="s">
        <v>31</v>
      </c>
      <c r="D495">
        <v>24</v>
      </c>
      <c r="E495">
        <v>16.12</v>
      </c>
      <c r="F495" t="s">
        <v>110</v>
      </c>
      <c r="G495">
        <v>2</v>
      </c>
      <c r="H495">
        <v>17.579999999999998</v>
      </c>
      <c r="I495" t="s">
        <v>137</v>
      </c>
      <c r="J495">
        <v>26</v>
      </c>
      <c r="K495">
        <v>4.3899999999999997</v>
      </c>
    </row>
    <row r="496" spans="1:11" s="40" customFormat="1" x14ac:dyDescent="0.3">
      <c r="A496" s="41" t="s">
        <v>976</v>
      </c>
      <c r="B496" s="40">
        <f>D495*E496+G495*H496+J495*K496</f>
        <v>536.22223173646262</v>
      </c>
      <c r="E496" s="40">
        <v>16.119775658411498</v>
      </c>
      <c r="H496" s="40">
        <v>17.579688979321727</v>
      </c>
      <c r="K496" s="40">
        <v>4.3918553067670469</v>
      </c>
    </row>
    <row r="497" spans="1:11" x14ac:dyDescent="0.3">
      <c r="A497" t="s">
        <v>645</v>
      </c>
      <c r="B497">
        <v>536.22</v>
      </c>
      <c r="C497" t="s">
        <v>31</v>
      </c>
      <c r="D497">
        <v>24</v>
      </c>
      <c r="E497">
        <v>16.12</v>
      </c>
      <c r="F497" t="s">
        <v>110</v>
      </c>
      <c r="G497">
        <v>2</v>
      </c>
      <c r="H497">
        <v>17.579999999999998</v>
      </c>
      <c r="I497" t="s">
        <v>137</v>
      </c>
      <c r="J497">
        <v>26</v>
      </c>
      <c r="K497">
        <v>4.3899999999999997</v>
      </c>
    </row>
    <row r="498" spans="1:11" s="40" customFormat="1" x14ac:dyDescent="0.3">
      <c r="A498" s="41" t="s">
        <v>976</v>
      </c>
      <c r="B498" s="40">
        <f>D497*E498+G497*H498+J497*K498</f>
        <v>536.22223173646262</v>
      </c>
      <c r="E498" s="40">
        <v>16.119775658411498</v>
      </c>
      <c r="H498" s="40">
        <v>17.579688979321727</v>
      </c>
      <c r="K498" s="40">
        <v>4.3918553067670469</v>
      </c>
    </row>
    <row r="499" spans="1:11" x14ac:dyDescent="0.3">
      <c r="A499" t="s">
        <v>649</v>
      </c>
      <c r="B499">
        <v>316.51</v>
      </c>
      <c r="C499" t="s">
        <v>65</v>
      </c>
      <c r="D499">
        <v>22</v>
      </c>
      <c r="E499">
        <v>13.19</v>
      </c>
      <c r="F499" t="s">
        <v>72</v>
      </c>
      <c r="G499">
        <v>2</v>
      </c>
      <c r="H499">
        <v>13.19</v>
      </c>
    </row>
    <row r="500" spans="1:11" s="40" customFormat="1" x14ac:dyDescent="0.3">
      <c r="A500" s="41" t="s">
        <v>976</v>
      </c>
      <c r="B500" s="40">
        <f>D499*E500+G499*H500+J499*K500</f>
        <v>316.50860712557204</v>
      </c>
      <c r="E500" s="40">
        <v>13.187858630232169</v>
      </c>
      <c r="H500" s="40">
        <v>13.187858630232169</v>
      </c>
    </row>
    <row r="501" spans="1:11" x14ac:dyDescent="0.3">
      <c r="A501" t="s">
        <v>647</v>
      </c>
      <c r="B501">
        <v>536.22</v>
      </c>
      <c r="C501" t="s">
        <v>31</v>
      </c>
      <c r="D501">
        <v>24</v>
      </c>
      <c r="E501">
        <v>16.12</v>
      </c>
      <c r="F501" t="s">
        <v>110</v>
      </c>
      <c r="G501">
        <v>2</v>
      </c>
      <c r="H501">
        <v>17.579999999999998</v>
      </c>
      <c r="I501" t="s">
        <v>137</v>
      </c>
      <c r="J501">
        <v>26</v>
      </c>
      <c r="K501">
        <v>4.3899999999999997</v>
      </c>
    </row>
    <row r="502" spans="1:11" s="40" customFormat="1" x14ac:dyDescent="0.3">
      <c r="A502" s="41" t="s">
        <v>976</v>
      </c>
      <c r="B502" s="40">
        <f>D501*E502+G501*H502+J501*K502</f>
        <v>536.22223173646262</v>
      </c>
      <c r="E502" s="40">
        <v>16.119775658411498</v>
      </c>
      <c r="H502" s="40">
        <v>17.579688979321727</v>
      </c>
      <c r="K502" s="40">
        <v>4.3918553067670469</v>
      </c>
    </row>
    <row r="503" spans="1:11" x14ac:dyDescent="0.3">
      <c r="A503" t="s">
        <v>648</v>
      </c>
      <c r="B503">
        <v>381.01</v>
      </c>
      <c r="C503" t="s">
        <v>31</v>
      </c>
      <c r="D503">
        <v>22</v>
      </c>
      <c r="E503">
        <v>16.12</v>
      </c>
      <c r="F503" t="s">
        <v>74</v>
      </c>
      <c r="G503">
        <v>2</v>
      </c>
      <c r="H503">
        <v>13.19</v>
      </c>
    </row>
    <row r="504" spans="1:11" s="40" customFormat="1" x14ac:dyDescent="0.3">
      <c r="A504" s="41" t="s">
        <v>976</v>
      </c>
      <c r="B504" s="40">
        <f>D503*E504+G503*H504+J503*K504</f>
        <v>381.01078174551731</v>
      </c>
      <c r="E504" s="40">
        <v>16.119775658411498</v>
      </c>
      <c r="H504" s="40">
        <v>13.187858630232169</v>
      </c>
    </row>
    <row r="505" spans="1:11" x14ac:dyDescent="0.3">
      <c r="A505" t="s">
        <v>650</v>
      </c>
      <c r="B505">
        <v>364.89</v>
      </c>
      <c r="C505" t="s">
        <v>31</v>
      </c>
      <c r="D505">
        <v>21</v>
      </c>
      <c r="E505">
        <v>16.12</v>
      </c>
      <c r="F505" t="s">
        <v>74</v>
      </c>
      <c r="G505">
        <v>2</v>
      </c>
      <c r="H505">
        <v>13.19</v>
      </c>
    </row>
    <row r="506" spans="1:11" s="40" customFormat="1" x14ac:dyDescent="0.3">
      <c r="A506" s="41" t="s">
        <v>976</v>
      </c>
      <c r="B506" s="40">
        <f>D505*E506+G505*H506+J505*K506</f>
        <v>364.89100608710584</v>
      </c>
      <c r="E506" s="40">
        <v>16.119775658411498</v>
      </c>
      <c r="H506" s="40">
        <v>13.187858630232169</v>
      </c>
    </row>
    <row r="507" spans="1:11" x14ac:dyDescent="0.3">
      <c r="A507" t="s">
        <v>651</v>
      </c>
      <c r="B507">
        <v>553.83000000000004</v>
      </c>
      <c r="C507" t="s">
        <v>57</v>
      </c>
      <c r="D507">
        <v>20</v>
      </c>
      <c r="E507">
        <v>26.37</v>
      </c>
      <c r="F507" t="s">
        <v>83</v>
      </c>
      <c r="G507">
        <v>2</v>
      </c>
      <c r="H507">
        <v>13.19</v>
      </c>
    </row>
    <row r="508" spans="1:11" s="40" customFormat="1" x14ac:dyDescent="0.3">
      <c r="A508" s="41" t="s">
        <v>976</v>
      </c>
      <c r="B508" s="40">
        <f>D507*E508+G507*H508+J507*K508</f>
        <v>553.82794558356079</v>
      </c>
      <c r="E508" s="40">
        <v>26.372611416154825</v>
      </c>
      <c r="H508" s="40">
        <v>13.187858630232169</v>
      </c>
    </row>
    <row r="509" spans="1:11" x14ac:dyDescent="0.3">
      <c r="A509" t="s">
        <v>652</v>
      </c>
      <c r="B509">
        <v>231.49</v>
      </c>
      <c r="C509" t="s">
        <v>27</v>
      </c>
      <c r="D509">
        <v>20</v>
      </c>
      <c r="E509">
        <v>10.26</v>
      </c>
      <c r="F509" t="s">
        <v>72</v>
      </c>
      <c r="G509">
        <v>2</v>
      </c>
      <c r="H509">
        <v>13.19</v>
      </c>
    </row>
    <row r="510" spans="1:11" s="40" customFormat="1" x14ac:dyDescent="0.3">
      <c r="A510" s="41" t="s">
        <v>976</v>
      </c>
      <c r="B510" s="40">
        <f>D509*E510+G509*H510+J509*K510</f>
        <v>231.49233084130009</v>
      </c>
      <c r="E510" s="40">
        <v>10.255830679041788</v>
      </c>
      <c r="H510" s="40">
        <v>13.187858630232169</v>
      </c>
    </row>
    <row r="511" spans="1:11" x14ac:dyDescent="0.3">
      <c r="A511" t="s">
        <v>655</v>
      </c>
      <c r="B511">
        <v>231.49</v>
      </c>
      <c r="C511" t="s">
        <v>27</v>
      </c>
      <c r="D511">
        <v>20</v>
      </c>
      <c r="E511">
        <v>10.26</v>
      </c>
      <c r="F511" t="s">
        <v>72</v>
      </c>
      <c r="G511">
        <v>2</v>
      </c>
      <c r="H511">
        <v>13.19</v>
      </c>
    </row>
    <row r="512" spans="1:11" s="40" customFormat="1" x14ac:dyDescent="0.3">
      <c r="A512" s="41" t="s">
        <v>976</v>
      </c>
      <c r="B512" s="40">
        <f>D511*E512+G511*H512+J511*K512</f>
        <v>231.49233084130009</v>
      </c>
      <c r="E512" s="40">
        <v>10.255830679041788</v>
      </c>
      <c r="H512" s="40">
        <v>13.187858630232169</v>
      </c>
    </row>
    <row r="513" spans="1:11" x14ac:dyDescent="0.3">
      <c r="A513" t="s">
        <v>653</v>
      </c>
      <c r="B513">
        <v>290.13</v>
      </c>
      <c r="C513" t="s">
        <v>65</v>
      </c>
      <c r="D513">
        <v>20</v>
      </c>
      <c r="E513">
        <v>13.19</v>
      </c>
      <c r="F513" t="s">
        <v>72</v>
      </c>
      <c r="G513">
        <v>2</v>
      </c>
      <c r="H513">
        <v>13.19</v>
      </c>
    </row>
    <row r="514" spans="1:11" s="40" customFormat="1" x14ac:dyDescent="0.3">
      <c r="A514" s="41" t="s">
        <v>976</v>
      </c>
      <c r="B514" s="40">
        <f>D513*E514+G513*H514+J513*K514</f>
        <v>290.1328898651077</v>
      </c>
      <c r="E514" s="40">
        <v>13.187858630232169</v>
      </c>
      <c r="H514" s="40">
        <v>13.187858630232169</v>
      </c>
    </row>
    <row r="515" spans="1:11" x14ac:dyDescent="0.3">
      <c r="A515" t="s">
        <v>656</v>
      </c>
      <c r="B515">
        <v>231.49</v>
      </c>
      <c r="C515" t="s">
        <v>27</v>
      </c>
      <c r="D515">
        <v>20</v>
      </c>
      <c r="E515">
        <v>10.26</v>
      </c>
      <c r="F515" t="s">
        <v>72</v>
      </c>
      <c r="G515">
        <v>2</v>
      </c>
      <c r="H515">
        <v>13.19</v>
      </c>
    </row>
    <row r="516" spans="1:11" s="40" customFormat="1" x14ac:dyDescent="0.3">
      <c r="A516" s="41" t="s">
        <v>976</v>
      </c>
      <c r="B516" s="40">
        <f>D515*E516+G515*H516+J515*K516</f>
        <v>231.49233084130009</v>
      </c>
      <c r="E516" s="40">
        <v>10.255830679041788</v>
      </c>
      <c r="H516" s="40">
        <v>13.187858630232169</v>
      </c>
    </row>
    <row r="517" spans="1:11" x14ac:dyDescent="0.3">
      <c r="A517" t="s">
        <v>657</v>
      </c>
      <c r="B517">
        <v>231.49</v>
      </c>
      <c r="C517" t="s">
        <v>27</v>
      </c>
      <c r="D517">
        <v>20</v>
      </c>
      <c r="E517">
        <v>10.26</v>
      </c>
      <c r="F517" t="s">
        <v>72</v>
      </c>
      <c r="G517">
        <v>2</v>
      </c>
      <c r="H517">
        <v>13.19</v>
      </c>
    </row>
    <row r="518" spans="1:11" s="40" customFormat="1" x14ac:dyDescent="0.3">
      <c r="A518" s="41" t="s">
        <v>976</v>
      </c>
      <c r="B518" s="40">
        <f>D517*E518+G517*H518+J517*K518</f>
        <v>231.49233084130009</v>
      </c>
      <c r="E518" s="40">
        <v>10.255830679041788</v>
      </c>
      <c r="H518" s="40">
        <v>13.187858630232169</v>
      </c>
    </row>
    <row r="519" spans="1:11" x14ac:dyDescent="0.3">
      <c r="A519" t="s">
        <v>654</v>
      </c>
      <c r="B519">
        <v>231.49</v>
      </c>
      <c r="C519" t="s">
        <v>27</v>
      </c>
      <c r="D519">
        <v>20</v>
      </c>
      <c r="E519">
        <v>10.26</v>
      </c>
      <c r="F519" t="s">
        <v>72</v>
      </c>
      <c r="G519">
        <v>2</v>
      </c>
      <c r="H519">
        <v>13.19</v>
      </c>
    </row>
    <row r="520" spans="1:11" s="40" customFormat="1" x14ac:dyDescent="0.3">
      <c r="A520" s="41" t="s">
        <v>976</v>
      </c>
      <c r="B520" s="40">
        <f>D519*E520+G519*H520+J519*K520</f>
        <v>231.49233084130009</v>
      </c>
      <c r="E520" s="40">
        <v>10.255830679041788</v>
      </c>
      <c r="H520" s="40">
        <v>13.187858630232169</v>
      </c>
    </row>
    <row r="521" spans="1:11" x14ac:dyDescent="0.3">
      <c r="A521" t="s">
        <v>658</v>
      </c>
      <c r="B521">
        <v>231.49</v>
      </c>
      <c r="C521" t="s">
        <v>27</v>
      </c>
      <c r="D521">
        <v>20</v>
      </c>
      <c r="E521">
        <v>10.26</v>
      </c>
      <c r="F521" t="s">
        <v>72</v>
      </c>
      <c r="G521">
        <v>2</v>
      </c>
      <c r="H521">
        <v>13.19</v>
      </c>
    </row>
    <row r="522" spans="1:11" s="40" customFormat="1" x14ac:dyDescent="0.3">
      <c r="A522" s="41" t="s">
        <v>976</v>
      </c>
      <c r="B522" s="40">
        <f>D521*E522+G521*H522+J521*K522</f>
        <v>231.49233084130009</v>
      </c>
      <c r="E522" s="40">
        <v>10.255830679041788</v>
      </c>
      <c r="H522" s="40">
        <v>13.187858630232169</v>
      </c>
    </row>
    <row r="523" spans="1:11" x14ac:dyDescent="0.3">
      <c r="A523" t="s">
        <v>659</v>
      </c>
      <c r="B523">
        <v>290.13</v>
      </c>
      <c r="C523" t="s">
        <v>29</v>
      </c>
      <c r="D523">
        <v>20</v>
      </c>
      <c r="E523">
        <v>13.19</v>
      </c>
      <c r="F523" t="s">
        <v>74</v>
      </c>
      <c r="G523">
        <v>2</v>
      </c>
      <c r="H523">
        <v>13.19</v>
      </c>
    </row>
    <row r="524" spans="1:11" s="40" customFormat="1" x14ac:dyDescent="0.3">
      <c r="A524" s="41" t="s">
        <v>976</v>
      </c>
      <c r="B524" s="40">
        <f>D523*E524+G523*H524+J523*K524</f>
        <v>290.1328898651077</v>
      </c>
      <c r="E524" s="40">
        <v>13.187858630232169</v>
      </c>
      <c r="H524" s="40">
        <v>13.187858630232169</v>
      </c>
    </row>
    <row r="525" spans="1:11" x14ac:dyDescent="0.3">
      <c r="A525" t="s">
        <v>660</v>
      </c>
      <c r="B525">
        <v>290.13</v>
      </c>
      <c r="C525" t="s">
        <v>29</v>
      </c>
      <c r="D525">
        <v>20</v>
      </c>
      <c r="E525">
        <v>13.19</v>
      </c>
      <c r="F525" t="s">
        <v>74</v>
      </c>
      <c r="G525">
        <v>2</v>
      </c>
      <c r="H525">
        <v>13.19</v>
      </c>
    </row>
    <row r="526" spans="1:11" s="40" customFormat="1" x14ac:dyDescent="0.3">
      <c r="A526" s="41" t="s">
        <v>976</v>
      </c>
      <c r="B526" s="40">
        <f>D525*E526+G525*H526+J525*K526</f>
        <v>290.1328898651077</v>
      </c>
      <c r="E526" s="40">
        <v>13.187858630232169</v>
      </c>
      <c r="H526" s="40">
        <v>13.187858630232169</v>
      </c>
    </row>
    <row r="527" spans="1:11" x14ac:dyDescent="0.3">
      <c r="A527" t="s">
        <v>661</v>
      </c>
      <c r="B527">
        <v>436.67</v>
      </c>
      <c r="C527" t="s">
        <v>31</v>
      </c>
      <c r="D527">
        <v>20</v>
      </c>
      <c r="E527">
        <v>16.12</v>
      </c>
      <c r="F527" t="s">
        <v>74</v>
      </c>
      <c r="G527">
        <v>2</v>
      </c>
      <c r="H527">
        <v>13.19</v>
      </c>
      <c r="I527" t="s">
        <v>150</v>
      </c>
      <c r="J527">
        <v>5</v>
      </c>
      <c r="K527">
        <v>17.579999999999998</v>
      </c>
    </row>
    <row r="528" spans="1:11" s="40" customFormat="1" x14ac:dyDescent="0.3">
      <c r="A528" s="41" t="s">
        <v>976</v>
      </c>
      <c r="B528" s="40">
        <f>D527*E528+G527*H528+J527*K528</f>
        <v>436.66967532530293</v>
      </c>
      <c r="E528" s="40">
        <v>16.119775658411498</v>
      </c>
      <c r="H528" s="40">
        <v>13.187858630232169</v>
      </c>
      <c r="K528" s="40">
        <v>17.579688979321727</v>
      </c>
    </row>
    <row r="529" spans="1:8" x14ac:dyDescent="0.3">
      <c r="A529" t="s">
        <v>662</v>
      </c>
      <c r="B529">
        <v>348.77</v>
      </c>
      <c r="C529" t="s">
        <v>31</v>
      </c>
      <c r="D529">
        <v>20</v>
      </c>
      <c r="E529">
        <v>16.12</v>
      </c>
      <c r="F529" t="s">
        <v>74</v>
      </c>
      <c r="G529">
        <v>2</v>
      </c>
      <c r="H529">
        <v>13.19</v>
      </c>
    </row>
    <row r="530" spans="1:8" s="40" customFormat="1" x14ac:dyDescent="0.3">
      <c r="A530" s="41" t="s">
        <v>976</v>
      </c>
      <c r="B530" s="40">
        <f>D529*E530+G529*H530+J529*K530</f>
        <v>348.77123042869431</v>
      </c>
      <c r="E530" s="40">
        <v>16.119775658411498</v>
      </c>
      <c r="H530" s="40">
        <v>13.187858630232169</v>
      </c>
    </row>
    <row r="531" spans="1:8" x14ac:dyDescent="0.3">
      <c r="A531" t="s">
        <v>664</v>
      </c>
      <c r="B531">
        <v>348.77</v>
      </c>
      <c r="C531" t="s">
        <v>31</v>
      </c>
      <c r="D531">
        <v>20</v>
      </c>
      <c r="E531">
        <v>16.12</v>
      </c>
      <c r="F531" t="s">
        <v>74</v>
      </c>
      <c r="G531">
        <v>2</v>
      </c>
      <c r="H531">
        <v>13.19</v>
      </c>
    </row>
    <row r="532" spans="1:8" s="40" customFormat="1" x14ac:dyDescent="0.3">
      <c r="A532" s="41" t="s">
        <v>976</v>
      </c>
      <c r="B532" s="40">
        <f>D531*E532+G531*H532+J531*K532</f>
        <v>348.77123042869431</v>
      </c>
      <c r="E532" s="40">
        <v>16.119775658411498</v>
      </c>
      <c r="H532" s="40">
        <v>13.187858630232169</v>
      </c>
    </row>
    <row r="533" spans="1:8" x14ac:dyDescent="0.3">
      <c r="A533" t="s">
        <v>666</v>
      </c>
      <c r="B533">
        <v>348.77</v>
      </c>
      <c r="C533" t="s">
        <v>31</v>
      </c>
      <c r="D533">
        <v>20</v>
      </c>
      <c r="E533">
        <v>16.12</v>
      </c>
      <c r="F533" t="s">
        <v>74</v>
      </c>
      <c r="G533">
        <v>2</v>
      </c>
      <c r="H533">
        <v>13.19</v>
      </c>
    </row>
    <row r="534" spans="1:8" s="40" customFormat="1" x14ac:dyDescent="0.3">
      <c r="A534" s="41" t="s">
        <v>976</v>
      </c>
      <c r="B534" s="40">
        <f>D533*E534+G533*H534+J533*K534</f>
        <v>348.77123042869431</v>
      </c>
      <c r="E534" s="40">
        <v>16.119775658411498</v>
      </c>
      <c r="H534" s="40">
        <v>13.187858630232169</v>
      </c>
    </row>
    <row r="535" spans="1:8" x14ac:dyDescent="0.3">
      <c r="A535" t="s">
        <v>665</v>
      </c>
      <c r="B535">
        <v>407.31</v>
      </c>
      <c r="C535" t="s">
        <v>69</v>
      </c>
      <c r="D535">
        <v>20</v>
      </c>
      <c r="E535">
        <v>19.05</v>
      </c>
      <c r="F535" t="s">
        <v>74</v>
      </c>
      <c r="G535">
        <v>2</v>
      </c>
      <c r="H535">
        <v>13.19</v>
      </c>
    </row>
    <row r="536" spans="1:8" s="40" customFormat="1" x14ac:dyDescent="0.3">
      <c r="A536" s="41" t="s">
        <v>976</v>
      </c>
      <c r="B536" s="40">
        <f>D535*E536+G535*H536+J535*K536</f>
        <v>407.31417720277437</v>
      </c>
      <c r="E536" s="40">
        <v>19.046922997115502</v>
      </c>
      <c r="H536" s="40">
        <v>13.187858630232169</v>
      </c>
    </row>
    <row r="537" spans="1:8" x14ac:dyDescent="0.3">
      <c r="A537" t="s">
        <v>667</v>
      </c>
      <c r="B537">
        <v>348.77</v>
      </c>
      <c r="C537" t="s">
        <v>31</v>
      </c>
      <c r="D537">
        <v>20</v>
      </c>
      <c r="E537">
        <v>16.12</v>
      </c>
      <c r="F537" t="s">
        <v>74</v>
      </c>
      <c r="G537">
        <v>2</v>
      </c>
      <c r="H537">
        <v>13.19</v>
      </c>
    </row>
    <row r="538" spans="1:8" s="40" customFormat="1" x14ac:dyDescent="0.3">
      <c r="A538" s="41" t="s">
        <v>976</v>
      </c>
      <c r="B538" s="40">
        <f>D537*E538+G537*H538+J537*K538</f>
        <v>348.77123042869431</v>
      </c>
      <c r="E538" s="40">
        <v>16.119775658411498</v>
      </c>
      <c r="H538" s="40">
        <v>13.187858630232169</v>
      </c>
    </row>
    <row r="539" spans="1:8" x14ac:dyDescent="0.3">
      <c r="A539" t="s">
        <v>668</v>
      </c>
      <c r="B539">
        <v>407.31</v>
      </c>
      <c r="C539" t="s">
        <v>69</v>
      </c>
      <c r="D539">
        <v>20</v>
      </c>
      <c r="E539">
        <v>19.05</v>
      </c>
      <c r="F539" t="s">
        <v>74</v>
      </c>
      <c r="G539">
        <v>2</v>
      </c>
      <c r="H539">
        <v>13.19</v>
      </c>
    </row>
    <row r="540" spans="1:8" s="40" customFormat="1" x14ac:dyDescent="0.3">
      <c r="A540" s="41" t="s">
        <v>976</v>
      </c>
      <c r="B540" s="40">
        <f>D539*E540+G539*H540+J539*K540</f>
        <v>407.31417720277437</v>
      </c>
      <c r="E540" s="40">
        <v>19.046922997115502</v>
      </c>
      <c r="H540" s="40">
        <v>13.187858630232169</v>
      </c>
    </row>
    <row r="541" spans="1:8" x14ac:dyDescent="0.3">
      <c r="A541" t="s">
        <v>669</v>
      </c>
      <c r="B541">
        <v>348.77</v>
      </c>
      <c r="C541" t="s">
        <v>31</v>
      </c>
      <c r="D541">
        <v>20</v>
      </c>
      <c r="E541">
        <v>16.12</v>
      </c>
      <c r="F541" t="s">
        <v>74</v>
      </c>
      <c r="G541">
        <v>2</v>
      </c>
      <c r="H541">
        <v>13.19</v>
      </c>
    </row>
    <row r="542" spans="1:8" s="40" customFormat="1" x14ac:dyDescent="0.3">
      <c r="A542" s="41" t="s">
        <v>976</v>
      </c>
      <c r="B542" s="40">
        <f>D541*E542+G541*H542+J541*K542</f>
        <v>348.77123042869431</v>
      </c>
      <c r="E542" s="40">
        <v>16.119775658411498</v>
      </c>
      <c r="H542" s="40">
        <v>13.187858630232169</v>
      </c>
    </row>
    <row r="543" spans="1:8" x14ac:dyDescent="0.3">
      <c r="A543" t="s">
        <v>670</v>
      </c>
      <c r="B543">
        <v>348.77</v>
      </c>
      <c r="C543" t="s">
        <v>31</v>
      </c>
      <c r="D543">
        <v>20</v>
      </c>
      <c r="E543">
        <v>16.12</v>
      </c>
      <c r="F543" t="s">
        <v>74</v>
      </c>
      <c r="G543">
        <v>2</v>
      </c>
      <c r="H543">
        <v>13.19</v>
      </c>
    </row>
    <row r="544" spans="1:8" s="40" customFormat="1" x14ac:dyDescent="0.3">
      <c r="A544" s="41" t="s">
        <v>976</v>
      </c>
      <c r="B544" s="40">
        <f>D543*E544+G543*H544+J543*K544</f>
        <v>348.77123042869431</v>
      </c>
      <c r="E544" s="40">
        <v>16.119775658411498</v>
      </c>
      <c r="H544" s="40">
        <v>13.187858630232169</v>
      </c>
    </row>
    <row r="545" spans="1:11" x14ac:dyDescent="0.3">
      <c r="A545" t="s">
        <v>671</v>
      </c>
      <c r="B545">
        <v>348.77</v>
      </c>
      <c r="C545" t="s">
        <v>31</v>
      </c>
      <c r="D545">
        <v>20</v>
      </c>
      <c r="E545">
        <v>16.12</v>
      </c>
      <c r="F545" t="s">
        <v>74</v>
      </c>
      <c r="G545">
        <v>2</v>
      </c>
      <c r="H545">
        <v>13.19</v>
      </c>
    </row>
    <row r="546" spans="1:11" s="40" customFormat="1" x14ac:dyDescent="0.3">
      <c r="A546" s="41" t="s">
        <v>976</v>
      </c>
      <c r="B546" s="40">
        <f>D545*E546+G545*H546+J545*K546</f>
        <v>348.77123042869431</v>
      </c>
      <c r="E546" s="40">
        <v>16.119775658411498</v>
      </c>
      <c r="H546" s="40">
        <v>13.187858630232169</v>
      </c>
    </row>
    <row r="547" spans="1:11" x14ac:dyDescent="0.3">
      <c r="A547" t="s">
        <v>674</v>
      </c>
      <c r="B547">
        <v>348.77</v>
      </c>
      <c r="C547" t="s">
        <v>31</v>
      </c>
      <c r="D547">
        <v>20</v>
      </c>
      <c r="E547">
        <v>16.12</v>
      </c>
      <c r="F547" t="s">
        <v>74</v>
      </c>
      <c r="G547">
        <v>2</v>
      </c>
      <c r="H547">
        <v>13.19</v>
      </c>
    </row>
    <row r="548" spans="1:11" s="40" customFormat="1" x14ac:dyDescent="0.3">
      <c r="A548" s="41" t="s">
        <v>976</v>
      </c>
      <c r="B548" s="40">
        <f>D547*E548+G547*H548+J547*K548</f>
        <v>348.77123042869431</v>
      </c>
      <c r="E548" s="40">
        <v>16.119775658411498</v>
      </c>
      <c r="H548" s="40">
        <v>13.187858630232169</v>
      </c>
    </row>
    <row r="549" spans="1:11" x14ac:dyDescent="0.3">
      <c r="A549" t="s">
        <v>673</v>
      </c>
      <c r="B549">
        <v>348.77</v>
      </c>
      <c r="C549" t="s">
        <v>31</v>
      </c>
      <c r="D549">
        <v>20</v>
      </c>
      <c r="E549">
        <v>16.12</v>
      </c>
      <c r="F549" t="s">
        <v>74</v>
      </c>
      <c r="G549">
        <v>2</v>
      </c>
      <c r="H549">
        <v>13.19</v>
      </c>
    </row>
    <row r="550" spans="1:11" s="40" customFormat="1" x14ac:dyDescent="0.3">
      <c r="A550" s="41" t="s">
        <v>976</v>
      </c>
      <c r="B550" s="40">
        <f>D549*E550+G549*H550+J549*K550</f>
        <v>348.77123042869431</v>
      </c>
      <c r="E550" s="40">
        <v>16.119775658411498</v>
      </c>
      <c r="H550" s="40">
        <v>13.187858630232169</v>
      </c>
    </row>
    <row r="551" spans="1:11" x14ac:dyDescent="0.3">
      <c r="A551" t="s">
        <v>675</v>
      </c>
      <c r="B551">
        <v>407.31</v>
      </c>
      <c r="C551" t="s">
        <v>69</v>
      </c>
      <c r="D551">
        <v>20</v>
      </c>
      <c r="E551">
        <v>19.05</v>
      </c>
      <c r="F551" t="s">
        <v>74</v>
      </c>
      <c r="G551">
        <v>2</v>
      </c>
      <c r="H551">
        <v>13.19</v>
      </c>
    </row>
    <row r="552" spans="1:11" s="40" customFormat="1" x14ac:dyDescent="0.3">
      <c r="A552" s="41" t="s">
        <v>976</v>
      </c>
      <c r="B552" s="40">
        <f>D551*E552+G551*H552+J551*K552</f>
        <v>407.31417720277437</v>
      </c>
      <c r="E552" s="40">
        <v>19.046922997115502</v>
      </c>
      <c r="H552" s="40">
        <v>13.187858630232169</v>
      </c>
    </row>
    <row r="553" spans="1:11" x14ac:dyDescent="0.3">
      <c r="A553" t="s">
        <v>676</v>
      </c>
      <c r="B553">
        <v>348.77</v>
      </c>
      <c r="C553" t="s">
        <v>31</v>
      </c>
      <c r="D553">
        <v>20</v>
      </c>
      <c r="E553">
        <v>16.12</v>
      </c>
      <c r="F553" t="s">
        <v>74</v>
      </c>
      <c r="G553">
        <v>2</v>
      </c>
      <c r="H553">
        <v>13.19</v>
      </c>
    </row>
    <row r="554" spans="1:11" s="40" customFormat="1" x14ac:dyDescent="0.3">
      <c r="A554" s="41" t="s">
        <v>976</v>
      </c>
      <c r="B554" s="40">
        <f>D553*E554+G553*H554+J553*K554</f>
        <v>348.77123042869431</v>
      </c>
      <c r="E554" s="40">
        <v>16.119775658411498</v>
      </c>
      <c r="H554" s="40">
        <v>13.187858630232169</v>
      </c>
    </row>
    <row r="555" spans="1:11" x14ac:dyDescent="0.3">
      <c r="A555" t="s">
        <v>679</v>
      </c>
      <c r="B555">
        <v>312.06</v>
      </c>
      <c r="C555" t="s">
        <v>41</v>
      </c>
      <c r="D555">
        <v>20</v>
      </c>
      <c r="E555">
        <v>14.28</v>
      </c>
      <c r="F555" t="s">
        <v>74</v>
      </c>
      <c r="G555">
        <v>2</v>
      </c>
      <c r="H555">
        <v>13.19</v>
      </c>
    </row>
    <row r="556" spans="1:11" s="40" customFormat="1" x14ac:dyDescent="0.3">
      <c r="A556" s="41" t="s">
        <v>976</v>
      </c>
      <c r="B556" s="40">
        <f>D555*E556+G555*H556+J555*K556</f>
        <v>312.06458761070456</v>
      </c>
      <c r="E556" s="40">
        <v>14.284443517512011</v>
      </c>
      <c r="H556" s="40">
        <v>13.187858630232169</v>
      </c>
    </row>
    <row r="557" spans="1:11" x14ac:dyDescent="0.3">
      <c r="A557" t="s">
        <v>678</v>
      </c>
      <c r="B557">
        <v>378.01</v>
      </c>
      <c r="C557" t="s">
        <v>43</v>
      </c>
      <c r="D557">
        <v>20</v>
      </c>
      <c r="E557">
        <v>17.579999999999998</v>
      </c>
      <c r="F557" t="s">
        <v>74</v>
      </c>
      <c r="G557">
        <v>2</v>
      </c>
      <c r="H557">
        <v>13.19</v>
      </c>
    </row>
    <row r="558" spans="1:11" s="40" customFormat="1" x14ac:dyDescent="0.3">
      <c r="A558" s="41" t="s">
        <v>976</v>
      </c>
      <c r="B558" s="40">
        <f>D557*E558+G557*H558+J557*K558</f>
        <v>378.00609922208645</v>
      </c>
      <c r="E558" s="40">
        <v>17.581519098081106</v>
      </c>
      <c r="H558" s="40">
        <v>13.187858630232169</v>
      </c>
    </row>
    <row r="559" spans="1:11" x14ac:dyDescent="0.3">
      <c r="A559" t="s">
        <v>681</v>
      </c>
      <c r="B559">
        <v>454.18</v>
      </c>
      <c r="C559" t="s">
        <v>31</v>
      </c>
      <c r="D559">
        <v>20</v>
      </c>
      <c r="E559">
        <v>16.12</v>
      </c>
      <c r="F559" t="s">
        <v>110</v>
      </c>
      <c r="G559">
        <v>2</v>
      </c>
      <c r="H559">
        <v>17.579999999999998</v>
      </c>
      <c r="I559" t="s">
        <v>137</v>
      </c>
      <c r="J559">
        <v>22</v>
      </c>
      <c r="K559">
        <v>4.3899999999999997</v>
      </c>
    </row>
    <row r="560" spans="1:11" s="40" customFormat="1" x14ac:dyDescent="0.3">
      <c r="A560" s="41" t="s">
        <v>976</v>
      </c>
      <c r="B560" s="40">
        <f>D559*E560+G559*H560+J559*K560</f>
        <v>454.17570787574846</v>
      </c>
      <c r="E560" s="40">
        <v>16.119775658411498</v>
      </c>
      <c r="H560" s="40">
        <v>17.579688979321727</v>
      </c>
      <c r="K560" s="40">
        <v>4.3918553067670469</v>
      </c>
    </row>
    <row r="561" spans="1:11" x14ac:dyDescent="0.3">
      <c r="A561" t="s">
        <v>685</v>
      </c>
      <c r="B561">
        <v>501.08</v>
      </c>
      <c r="C561" t="s">
        <v>57</v>
      </c>
      <c r="D561">
        <v>18</v>
      </c>
      <c r="E561">
        <v>26.37</v>
      </c>
      <c r="F561" t="s">
        <v>83</v>
      </c>
      <c r="G561">
        <v>2</v>
      </c>
      <c r="H561">
        <v>13.19</v>
      </c>
    </row>
    <row r="562" spans="1:11" s="40" customFormat="1" x14ac:dyDescent="0.3">
      <c r="A562" s="41" t="s">
        <v>976</v>
      </c>
      <c r="B562" s="40">
        <f>D561*E562+G561*H562+J561*K562</f>
        <v>501.0827227512512</v>
      </c>
      <c r="E562" s="40">
        <v>26.372611416154825</v>
      </c>
      <c r="H562" s="40">
        <v>13.187858630232169</v>
      </c>
    </row>
    <row r="563" spans="1:11" x14ac:dyDescent="0.3">
      <c r="A563" t="s">
        <v>684</v>
      </c>
      <c r="B563">
        <v>454.18</v>
      </c>
      <c r="C563" t="s">
        <v>31</v>
      </c>
      <c r="D563">
        <v>20</v>
      </c>
      <c r="E563">
        <v>16.12</v>
      </c>
      <c r="F563" t="s">
        <v>110</v>
      </c>
      <c r="G563">
        <v>2</v>
      </c>
      <c r="H563">
        <v>17.579999999999998</v>
      </c>
      <c r="I563" t="s">
        <v>137</v>
      </c>
      <c r="J563">
        <v>22</v>
      </c>
      <c r="K563">
        <v>4.3899999999999997</v>
      </c>
    </row>
    <row r="564" spans="1:11" s="40" customFormat="1" x14ac:dyDescent="0.3">
      <c r="A564" s="41" t="s">
        <v>976</v>
      </c>
      <c r="B564" s="40">
        <f>D563*E564+G563*H564+J563*K564</f>
        <v>454.17570787574846</v>
      </c>
      <c r="E564" s="40">
        <v>16.119775658411498</v>
      </c>
      <c r="H564" s="40">
        <v>17.579688979321727</v>
      </c>
      <c r="K564" s="40">
        <v>4.3918553067670469</v>
      </c>
    </row>
    <row r="565" spans="1:11" x14ac:dyDescent="0.3">
      <c r="A565" t="s">
        <v>682</v>
      </c>
      <c r="B565">
        <v>512.72</v>
      </c>
      <c r="C565" t="s">
        <v>69</v>
      </c>
      <c r="D565">
        <v>20</v>
      </c>
      <c r="E565">
        <v>19.05</v>
      </c>
      <c r="F565" t="s">
        <v>110</v>
      </c>
      <c r="G565">
        <v>2</v>
      </c>
      <c r="H565">
        <v>17.579999999999998</v>
      </c>
      <c r="I565" t="s">
        <v>137</v>
      </c>
      <c r="J565">
        <v>22</v>
      </c>
      <c r="K565">
        <v>4.3899999999999997</v>
      </c>
    </row>
    <row r="566" spans="1:11" s="40" customFormat="1" x14ac:dyDescent="0.3">
      <c r="A566" s="41" t="s">
        <v>976</v>
      </c>
      <c r="B566" s="40">
        <f>D565*E566+G565*H566+J565*K566</f>
        <v>512.71865464982852</v>
      </c>
      <c r="E566" s="40">
        <v>19.046922997115502</v>
      </c>
      <c r="H566" s="40">
        <v>17.579688979321727</v>
      </c>
      <c r="K566" s="40">
        <v>4.3918553067670469</v>
      </c>
    </row>
    <row r="567" spans="1:11" x14ac:dyDescent="0.3">
      <c r="A567" t="s">
        <v>683</v>
      </c>
      <c r="B567">
        <v>501.08</v>
      </c>
      <c r="C567" t="s">
        <v>57</v>
      </c>
      <c r="D567">
        <v>18</v>
      </c>
      <c r="E567">
        <v>26.37</v>
      </c>
      <c r="F567" t="s">
        <v>83</v>
      </c>
      <c r="G567">
        <v>2</v>
      </c>
      <c r="H567">
        <v>13.19</v>
      </c>
    </row>
    <row r="568" spans="1:11" s="40" customFormat="1" x14ac:dyDescent="0.3">
      <c r="A568" s="41" t="s">
        <v>976</v>
      </c>
      <c r="B568" s="40">
        <f>D567*E568+G567*H568+J567*K568</f>
        <v>501.0827227512512</v>
      </c>
      <c r="E568" s="40">
        <v>26.372611416154825</v>
      </c>
      <c r="H568" s="40">
        <v>13.187858630232169</v>
      </c>
    </row>
    <row r="569" spans="1:11" x14ac:dyDescent="0.3">
      <c r="A569" t="s">
        <v>686</v>
      </c>
      <c r="B569">
        <v>501.08</v>
      </c>
      <c r="C569" t="s">
        <v>57</v>
      </c>
      <c r="D569">
        <v>18</v>
      </c>
      <c r="E569">
        <v>26.37</v>
      </c>
      <c r="F569" t="s">
        <v>83</v>
      </c>
      <c r="G569">
        <v>2</v>
      </c>
      <c r="H569">
        <v>13.19</v>
      </c>
    </row>
    <row r="570" spans="1:11" s="40" customFormat="1" x14ac:dyDescent="0.3">
      <c r="A570" s="41" t="s">
        <v>976</v>
      </c>
      <c r="B570" s="40">
        <f>D569*E570+G569*H570+J569*K570</f>
        <v>501.0827227512512</v>
      </c>
      <c r="E570" s="40">
        <v>26.372611416154825</v>
      </c>
      <c r="H570" s="40">
        <v>13.187858630232169</v>
      </c>
    </row>
    <row r="571" spans="1:11" x14ac:dyDescent="0.3">
      <c r="A571" t="s">
        <v>688</v>
      </c>
      <c r="B571">
        <v>210.98</v>
      </c>
      <c r="C571" t="s">
        <v>27</v>
      </c>
      <c r="D571">
        <v>18</v>
      </c>
      <c r="E571">
        <v>10.26</v>
      </c>
      <c r="F571" t="s">
        <v>72</v>
      </c>
      <c r="G571">
        <v>2</v>
      </c>
      <c r="H571">
        <v>13.19</v>
      </c>
    </row>
    <row r="572" spans="1:11" s="40" customFormat="1" x14ac:dyDescent="0.3">
      <c r="A572" s="41" t="s">
        <v>976</v>
      </c>
      <c r="B572" s="40">
        <f>D571*E572+G571*H572+J571*K572</f>
        <v>210.98066948321653</v>
      </c>
      <c r="E572" s="40">
        <v>10.255830679041788</v>
      </c>
      <c r="H572" s="40">
        <v>13.187858630232169</v>
      </c>
    </row>
    <row r="573" spans="1:11" x14ac:dyDescent="0.3">
      <c r="A573" t="s">
        <v>687</v>
      </c>
      <c r="B573">
        <v>158.19999999999999</v>
      </c>
      <c r="C573" t="s">
        <v>24</v>
      </c>
      <c r="D573">
        <v>18</v>
      </c>
      <c r="E573">
        <v>7.32</v>
      </c>
      <c r="F573" t="s">
        <v>72</v>
      </c>
      <c r="G573">
        <v>2</v>
      </c>
      <c r="H573">
        <v>13.19</v>
      </c>
    </row>
    <row r="574" spans="1:11" s="40" customFormat="1" x14ac:dyDescent="0.3">
      <c r="A574" s="41" t="s">
        <v>976</v>
      </c>
      <c r="B574" s="40">
        <f>D573*E574+G573*H574+J573*K574</f>
        <v>158.20416636178962</v>
      </c>
      <c r="E574" s="40">
        <v>7.3238027278514046</v>
      </c>
      <c r="H574" s="40">
        <v>13.187858630232169</v>
      </c>
    </row>
    <row r="575" spans="1:11" x14ac:dyDescent="0.3">
      <c r="A575" t="s">
        <v>689</v>
      </c>
      <c r="B575">
        <v>210.98</v>
      </c>
      <c r="C575" t="s">
        <v>27</v>
      </c>
      <c r="D575">
        <v>18</v>
      </c>
      <c r="E575">
        <v>10.26</v>
      </c>
      <c r="F575" t="s">
        <v>72</v>
      </c>
      <c r="G575">
        <v>2</v>
      </c>
      <c r="H575">
        <v>13.19</v>
      </c>
    </row>
    <row r="576" spans="1:11" s="40" customFormat="1" x14ac:dyDescent="0.3">
      <c r="A576" s="41" t="s">
        <v>976</v>
      </c>
      <c r="B576" s="40">
        <f>D575*E576+G575*H576+J575*K576</f>
        <v>210.98066948321653</v>
      </c>
      <c r="E576" s="40">
        <v>10.255830679041788</v>
      </c>
      <c r="H576" s="40">
        <v>13.187858630232169</v>
      </c>
    </row>
    <row r="577" spans="1:8" x14ac:dyDescent="0.3">
      <c r="A577" t="s">
        <v>690</v>
      </c>
      <c r="B577">
        <v>210.98</v>
      </c>
      <c r="C577" t="s">
        <v>27</v>
      </c>
      <c r="D577">
        <v>18</v>
      </c>
      <c r="E577">
        <v>10.26</v>
      </c>
      <c r="F577" t="s">
        <v>72</v>
      </c>
      <c r="G577">
        <v>2</v>
      </c>
      <c r="H577">
        <v>13.19</v>
      </c>
    </row>
    <row r="578" spans="1:8" s="40" customFormat="1" x14ac:dyDescent="0.3">
      <c r="A578" s="41" t="s">
        <v>976</v>
      </c>
      <c r="B578" s="40">
        <f>D577*E578+G577*H578+J577*K578</f>
        <v>210.98066948321653</v>
      </c>
      <c r="E578" s="40">
        <v>10.255830679041788</v>
      </c>
      <c r="H578" s="40">
        <v>13.187858630232169</v>
      </c>
    </row>
    <row r="579" spans="1:8" x14ac:dyDescent="0.3">
      <c r="A579" t="s">
        <v>691</v>
      </c>
      <c r="B579">
        <v>210.98</v>
      </c>
      <c r="C579" t="s">
        <v>27</v>
      </c>
      <c r="D579">
        <v>18</v>
      </c>
      <c r="E579">
        <v>10.26</v>
      </c>
      <c r="F579" t="s">
        <v>72</v>
      </c>
      <c r="G579">
        <v>2</v>
      </c>
      <c r="H579">
        <v>13.19</v>
      </c>
    </row>
    <row r="580" spans="1:8" s="40" customFormat="1" x14ac:dyDescent="0.3">
      <c r="A580" s="41" t="s">
        <v>976</v>
      </c>
      <c r="B580" s="40">
        <f>D579*E580+G579*H580+J579*K580</f>
        <v>210.98066948321653</v>
      </c>
      <c r="E580" s="40">
        <v>10.255830679041788</v>
      </c>
      <c r="H580" s="40">
        <v>13.187858630232169</v>
      </c>
    </row>
    <row r="581" spans="1:8" x14ac:dyDescent="0.3">
      <c r="A581" t="s">
        <v>692</v>
      </c>
      <c r="B581">
        <v>263.76</v>
      </c>
      <c r="C581" t="s">
        <v>65</v>
      </c>
      <c r="D581">
        <v>18</v>
      </c>
      <c r="E581">
        <v>13.19</v>
      </c>
      <c r="F581" t="s">
        <v>72</v>
      </c>
      <c r="G581">
        <v>2</v>
      </c>
      <c r="H581">
        <v>13.19</v>
      </c>
    </row>
    <row r="582" spans="1:8" s="40" customFormat="1" x14ac:dyDescent="0.3">
      <c r="A582" s="41" t="s">
        <v>976</v>
      </c>
      <c r="B582" s="40">
        <f>D581*E582+G581*H582+J581*K582</f>
        <v>263.75717260464336</v>
      </c>
      <c r="E582" s="40">
        <v>13.187858630232169</v>
      </c>
      <c r="H582" s="40">
        <v>13.187858630232169</v>
      </c>
    </row>
    <row r="583" spans="1:8" x14ac:dyDescent="0.3">
      <c r="A583" t="s">
        <v>693</v>
      </c>
      <c r="B583">
        <v>210.98</v>
      </c>
      <c r="C583" t="s">
        <v>27</v>
      </c>
      <c r="D583">
        <v>18</v>
      </c>
      <c r="E583">
        <v>10.26</v>
      </c>
      <c r="F583" t="s">
        <v>72</v>
      </c>
      <c r="G583">
        <v>2</v>
      </c>
      <c r="H583">
        <v>13.19</v>
      </c>
    </row>
    <row r="584" spans="1:8" s="40" customFormat="1" x14ac:dyDescent="0.3">
      <c r="A584" s="41" t="s">
        <v>976</v>
      </c>
      <c r="B584" s="40">
        <f>D583*E584+G583*H584+J583*K584</f>
        <v>210.98066948321653</v>
      </c>
      <c r="E584" s="40">
        <v>10.255830679041788</v>
      </c>
      <c r="H584" s="40">
        <v>13.187858630232169</v>
      </c>
    </row>
    <row r="585" spans="1:8" x14ac:dyDescent="0.3">
      <c r="A585" t="s">
        <v>696</v>
      </c>
      <c r="B585">
        <v>263.76</v>
      </c>
      <c r="C585" t="s">
        <v>29</v>
      </c>
      <c r="D585">
        <v>18</v>
      </c>
      <c r="E585">
        <v>13.19</v>
      </c>
      <c r="F585" t="s">
        <v>74</v>
      </c>
      <c r="G585">
        <v>2</v>
      </c>
      <c r="H585">
        <v>13.19</v>
      </c>
    </row>
    <row r="586" spans="1:8" s="40" customFormat="1" x14ac:dyDescent="0.3">
      <c r="A586" s="41" t="s">
        <v>976</v>
      </c>
      <c r="B586" s="40">
        <f>D585*E586+G585*H586+J585*K586</f>
        <v>263.75717260464336</v>
      </c>
      <c r="E586" s="40">
        <v>13.187858630232169</v>
      </c>
      <c r="H586" s="40">
        <v>13.187858630232169</v>
      </c>
    </row>
    <row r="587" spans="1:8" x14ac:dyDescent="0.3">
      <c r="A587" t="s">
        <v>694</v>
      </c>
      <c r="B587">
        <v>263.76</v>
      </c>
      <c r="C587" t="s">
        <v>29</v>
      </c>
      <c r="D587">
        <v>18</v>
      </c>
      <c r="E587">
        <v>13.19</v>
      </c>
      <c r="F587" t="s">
        <v>74</v>
      </c>
      <c r="G587">
        <v>2</v>
      </c>
      <c r="H587">
        <v>13.19</v>
      </c>
    </row>
    <row r="588" spans="1:8" s="40" customFormat="1" x14ac:dyDescent="0.3">
      <c r="A588" s="41" t="s">
        <v>976</v>
      </c>
      <c r="B588" s="40">
        <f>D587*E588+G587*H588+J587*K588</f>
        <v>263.75717260464336</v>
      </c>
      <c r="E588" s="40">
        <v>13.187858630232169</v>
      </c>
      <c r="H588" s="40">
        <v>13.187858630232169</v>
      </c>
    </row>
    <row r="589" spans="1:8" x14ac:dyDescent="0.3">
      <c r="A589" t="s">
        <v>695</v>
      </c>
      <c r="B589">
        <v>263.76</v>
      </c>
      <c r="C589" t="s">
        <v>29</v>
      </c>
      <c r="D589">
        <v>18</v>
      </c>
      <c r="E589">
        <v>13.19</v>
      </c>
      <c r="F589" t="s">
        <v>74</v>
      </c>
      <c r="G589">
        <v>2</v>
      </c>
      <c r="H589">
        <v>13.19</v>
      </c>
    </row>
    <row r="590" spans="1:8" s="40" customFormat="1" x14ac:dyDescent="0.3">
      <c r="A590" s="41" t="s">
        <v>976</v>
      </c>
      <c r="B590" s="40">
        <f>D589*E590+G589*H590+J589*K590</f>
        <v>263.75717260464336</v>
      </c>
      <c r="E590" s="40">
        <v>13.187858630232169</v>
      </c>
      <c r="H590" s="40">
        <v>13.187858630232169</v>
      </c>
    </row>
    <row r="591" spans="1:8" x14ac:dyDescent="0.3">
      <c r="A591" t="s">
        <v>697</v>
      </c>
      <c r="B591">
        <v>316.52999999999997</v>
      </c>
      <c r="C591" t="s">
        <v>31</v>
      </c>
      <c r="D591">
        <v>18</v>
      </c>
      <c r="E591">
        <v>16.12</v>
      </c>
      <c r="F591" t="s">
        <v>74</v>
      </c>
      <c r="G591">
        <v>2</v>
      </c>
      <c r="H591">
        <v>13.19</v>
      </c>
    </row>
    <row r="592" spans="1:8" s="40" customFormat="1" x14ac:dyDescent="0.3">
      <c r="A592" s="41" t="s">
        <v>976</v>
      </c>
      <c r="B592" s="40">
        <f>D591*E592+G591*H592+J591*K592</f>
        <v>316.53167911187131</v>
      </c>
      <c r="E592" s="40">
        <v>16.119775658411498</v>
      </c>
      <c r="H592" s="40">
        <v>13.187858630232169</v>
      </c>
    </row>
    <row r="593" spans="1:8" x14ac:dyDescent="0.3">
      <c r="A593" t="s">
        <v>699</v>
      </c>
      <c r="B593">
        <v>316.52999999999997</v>
      </c>
      <c r="C593" t="s">
        <v>31</v>
      </c>
      <c r="D593">
        <v>18</v>
      </c>
      <c r="E593">
        <v>16.12</v>
      </c>
      <c r="F593" t="s">
        <v>74</v>
      </c>
      <c r="G593">
        <v>2</v>
      </c>
      <c r="H593">
        <v>13.19</v>
      </c>
    </row>
    <row r="594" spans="1:8" s="40" customFormat="1" x14ac:dyDescent="0.3">
      <c r="A594" s="41" t="s">
        <v>976</v>
      </c>
      <c r="B594" s="40">
        <f>D593*E594+G593*H594+J593*K594</f>
        <v>316.53167911187131</v>
      </c>
      <c r="E594" s="40">
        <v>16.119775658411498</v>
      </c>
      <c r="H594" s="40">
        <v>13.187858630232169</v>
      </c>
    </row>
    <row r="595" spans="1:8" x14ac:dyDescent="0.3">
      <c r="A595" t="s">
        <v>698</v>
      </c>
      <c r="B595">
        <v>316.52999999999997</v>
      </c>
      <c r="C595" t="s">
        <v>31</v>
      </c>
      <c r="D595">
        <v>18</v>
      </c>
      <c r="E595">
        <v>16.12</v>
      </c>
      <c r="F595" t="s">
        <v>74</v>
      </c>
      <c r="G595">
        <v>2</v>
      </c>
      <c r="H595">
        <v>13.19</v>
      </c>
    </row>
    <row r="596" spans="1:8" s="40" customFormat="1" x14ac:dyDescent="0.3">
      <c r="A596" s="41" t="s">
        <v>976</v>
      </c>
      <c r="B596" s="40">
        <f>D595*E596+G595*H596+J595*K596</f>
        <v>316.53167911187131</v>
      </c>
      <c r="E596" s="40">
        <v>16.119775658411498</v>
      </c>
      <c r="H596" s="40">
        <v>13.187858630232169</v>
      </c>
    </row>
    <row r="597" spans="1:8" x14ac:dyDescent="0.3">
      <c r="A597" t="s">
        <v>700</v>
      </c>
      <c r="B597">
        <v>316.52999999999997</v>
      </c>
      <c r="C597" t="s">
        <v>31</v>
      </c>
      <c r="D597">
        <v>18</v>
      </c>
      <c r="E597">
        <v>16.12</v>
      </c>
      <c r="F597" t="s">
        <v>74</v>
      </c>
      <c r="G597">
        <v>2</v>
      </c>
      <c r="H597">
        <v>13.19</v>
      </c>
    </row>
    <row r="598" spans="1:8" s="40" customFormat="1" x14ac:dyDescent="0.3">
      <c r="A598" s="41" t="s">
        <v>976</v>
      </c>
      <c r="B598" s="40">
        <f>D597*E598+G597*H598+J597*K598</f>
        <v>316.53167911187131</v>
      </c>
      <c r="E598" s="40">
        <v>16.119775658411498</v>
      </c>
      <c r="H598" s="40">
        <v>13.187858630232169</v>
      </c>
    </row>
    <row r="599" spans="1:8" x14ac:dyDescent="0.3">
      <c r="A599" t="s">
        <v>701</v>
      </c>
      <c r="B599">
        <v>316.52999999999997</v>
      </c>
      <c r="C599" t="s">
        <v>31</v>
      </c>
      <c r="D599">
        <v>18</v>
      </c>
      <c r="E599">
        <v>16.12</v>
      </c>
      <c r="F599" t="s">
        <v>74</v>
      </c>
      <c r="G599">
        <v>2</v>
      </c>
      <c r="H599">
        <v>13.19</v>
      </c>
    </row>
    <row r="600" spans="1:8" s="40" customFormat="1" x14ac:dyDescent="0.3">
      <c r="A600" s="41" t="s">
        <v>976</v>
      </c>
      <c r="B600" s="40">
        <f>D599*E600+G599*H600+J599*K600</f>
        <v>316.53167911187131</v>
      </c>
      <c r="E600" s="40">
        <v>16.119775658411498</v>
      </c>
      <c r="H600" s="40">
        <v>13.187858630232169</v>
      </c>
    </row>
    <row r="601" spans="1:8" x14ac:dyDescent="0.3">
      <c r="A601" t="s">
        <v>703</v>
      </c>
      <c r="B601">
        <v>369.22</v>
      </c>
      <c r="C601" t="s">
        <v>69</v>
      </c>
      <c r="D601">
        <v>18</v>
      </c>
      <c r="E601">
        <v>19.05</v>
      </c>
      <c r="F601" t="s">
        <v>74</v>
      </c>
      <c r="G601">
        <v>2</v>
      </c>
      <c r="H601">
        <v>13.19</v>
      </c>
    </row>
    <row r="602" spans="1:8" s="40" customFormat="1" x14ac:dyDescent="0.3">
      <c r="A602" s="41" t="s">
        <v>976</v>
      </c>
      <c r="B602" s="40">
        <f>D601*E602+G601*H602+J601*K602</f>
        <v>369.22033120854337</v>
      </c>
      <c r="E602" s="40">
        <v>19.046922997115502</v>
      </c>
      <c r="H602" s="40">
        <v>13.187858630232169</v>
      </c>
    </row>
    <row r="603" spans="1:8" x14ac:dyDescent="0.3">
      <c r="A603" t="s">
        <v>702</v>
      </c>
      <c r="B603">
        <v>316.52999999999997</v>
      </c>
      <c r="C603" t="s">
        <v>31</v>
      </c>
      <c r="D603">
        <v>18</v>
      </c>
      <c r="E603">
        <v>16.12</v>
      </c>
      <c r="F603" t="s">
        <v>74</v>
      </c>
      <c r="G603">
        <v>2</v>
      </c>
      <c r="H603">
        <v>13.19</v>
      </c>
    </row>
    <row r="604" spans="1:8" s="40" customFormat="1" x14ac:dyDescent="0.3">
      <c r="A604" s="41" t="s">
        <v>976</v>
      </c>
      <c r="B604" s="40">
        <f>D603*E604+G603*H604+J603*K604</f>
        <v>316.53167911187131</v>
      </c>
      <c r="E604" s="40">
        <v>16.119775658411498</v>
      </c>
      <c r="H604" s="40">
        <v>13.187858630232169</v>
      </c>
    </row>
    <row r="605" spans="1:8" x14ac:dyDescent="0.3">
      <c r="A605" t="s">
        <v>704</v>
      </c>
      <c r="B605">
        <v>316.52999999999997</v>
      </c>
      <c r="C605" t="s">
        <v>31</v>
      </c>
      <c r="D605">
        <v>18</v>
      </c>
      <c r="E605">
        <v>16.12</v>
      </c>
      <c r="F605" t="s">
        <v>74</v>
      </c>
      <c r="G605">
        <v>2</v>
      </c>
      <c r="H605">
        <v>13.19</v>
      </c>
    </row>
    <row r="606" spans="1:8" s="40" customFormat="1" x14ac:dyDescent="0.3">
      <c r="A606" s="41" t="s">
        <v>976</v>
      </c>
      <c r="B606" s="40">
        <f>D605*E606+G605*H606+J605*K606</f>
        <v>316.53167911187131</v>
      </c>
      <c r="E606" s="40">
        <v>16.119775658411498</v>
      </c>
      <c r="H606" s="40">
        <v>13.187858630232169</v>
      </c>
    </row>
    <row r="607" spans="1:8" x14ac:dyDescent="0.3">
      <c r="A607" t="s">
        <v>706</v>
      </c>
      <c r="B607">
        <v>316.52999999999997</v>
      </c>
      <c r="C607" t="s">
        <v>31</v>
      </c>
      <c r="D607">
        <v>18</v>
      </c>
      <c r="E607">
        <v>16.12</v>
      </c>
      <c r="F607" t="s">
        <v>74</v>
      </c>
      <c r="G607">
        <v>2</v>
      </c>
      <c r="H607">
        <v>13.19</v>
      </c>
    </row>
    <row r="608" spans="1:8" s="40" customFormat="1" x14ac:dyDescent="0.3">
      <c r="A608" s="41" t="s">
        <v>976</v>
      </c>
      <c r="B608" s="40">
        <f>D607*E608+G607*H608+J607*K608</f>
        <v>316.53167911187131</v>
      </c>
      <c r="E608" s="40">
        <v>16.119775658411498</v>
      </c>
      <c r="H608" s="40">
        <v>13.187858630232169</v>
      </c>
    </row>
    <row r="609" spans="1:8" x14ac:dyDescent="0.3">
      <c r="A609" t="s">
        <v>705</v>
      </c>
      <c r="B609">
        <v>316.52999999999997</v>
      </c>
      <c r="C609" t="s">
        <v>31</v>
      </c>
      <c r="D609">
        <v>18</v>
      </c>
      <c r="E609">
        <v>16.12</v>
      </c>
      <c r="F609" t="s">
        <v>74</v>
      </c>
      <c r="G609">
        <v>2</v>
      </c>
      <c r="H609">
        <v>13.19</v>
      </c>
    </row>
    <row r="610" spans="1:8" s="40" customFormat="1" x14ac:dyDescent="0.3">
      <c r="A610" s="41" t="s">
        <v>976</v>
      </c>
      <c r="B610" s="40">
        <f>D609*E610+G609*H610+J609*K610</f>
        <v>316.53167911187131</v>
      </c>
      <c r="E610" s="40">
        <v>16.119775658411498</v>
      </c>
      <c r="H610" s="40">
        <v>13.187858630232169</v>
      </c>
    </row>
    <row r="611" spans="1:8" x14ac:dyDescent="0.3">
      <c r="A611" t="s">
        <v>708</v>
      </c>
      <c r="B611">
        <v>369.22</v>
      </c>
      <c r="C611" t="s">
        <v>69</v>
      </c>
      <c r="D611">
        <v>18</v>
      </c>
      <c r="E611">
        <v>19.05</v>
      </c>
      <c r="F611" t="s">
        <v>74</v>
      </c>
      <c r="G611">
        <v>2</v>
      </c>
      <c r="H611">
        <v>13.19</v>
      </c>
    </row>
    <row r="612" spans="1:8" s="40" customFormat="1" x14ac:dyDescent="0.3">
      <c r="A612" s="41" t="s">
        <v>976</v>
      </c>
      <c r="B612" s="40">
        <f>D611*E612+G611*H612+J611*K612</f>
        <v>369.22033120854337</v>
      </c>
      <c r="E612" s="40">
        <v>19.046922997115502</v>
      </c>
      <c r="H612" s="40">
        <v>13.187858630232169</v>
      </c>
    </row>
    <row r="613" spans="1:8" x14ac:dyDescent="0.3">
      <c r="A613" t="s">
        <v>707</v>
      </c>
      <c r="B613">
        <v>316.52999999999997</v>
      </c>
      <c r="C613" t="s">
        <v>31</v>
      </c>
      <c r="D613">
        <v>18</v>
      </c>
      <c r="E613">
        <v>16.12</v>
      </c>
      <c r="F613" t="s">
        <v>74</v>
      </c>
      <c r="G613">
        <v>2</v>
      </c>
      <c r="H613">
        <v>13.19</v>
      </c>
    </row>
    <row r="614" spans="1:8" s="40" customFormat="1" x14ac:dyDescent="0.3">
      <c r="A614" s="41" t="s">
        <v>976</v>
      </c>
      <c r="B614" s="40">
        <f>D613*E614+G613*H614+J613*K614</f>
        <v>316.53167911187131</v>
      </c>
      <c r="E614" s="40">
        <v>16.119775658411498</v>
      </c>
      <c r="H614" s="40">
        <v>13.187858630232169</v>
      </c>
    </row>
    <row r="615" spans="1:8" x14ac:dyDescent="0.3">
      <c r="A615" t="s">
        <v>709</v>
      </c>
      <c r="B615">
        <v>316.52999999999997</v>
      </c>
      <c r="C615" t="s">
        <v>31</v>
      </c>
      <c r="D615">
        <v>18</v>
      </c>
      <c r="E615">
        <v>16.12</v>
      </c>
      <c r="F615" t="s">
        <v>74</v>
      </c>
      <c r="G615">
        <v>2</v>
      </c>
      <c r="H615">
        <v>13.19</v>
      </c>
    </row>
    <row r="616" spans="1:8" s="40" customFormat="1" x14ac:dyDescent="0.3">
      <c r="A616" s="41" t="s">
        <v>976</v>
      </c>
      <c r="B616" s="40">
        <f>D615*E616+G615*H616+J615*K616</f>
        <v>316.53167911187131</v>
      </c>
      <c r="E616" s="40">
        <v>16.119775658411498</v>
      </c>
      <c r="H616" s="40">
        <v>13.187858630232169</v>
      </c>
    </row>
    <row r="617" spans="1:8" x14ac:dyDescent="0.3">
      <c r="A617" t="s">
        <v>711</v>
      </c>
      <c r="B617">
        <v>316.52999999999997</v>
      </c>
      <c r="C617" t="s">
        <v>31</v>
      </c>
      <c r="D617">
        <v>18</v>
      </c>
      <c r="E617">
        <v>16.12</v>
      </c>
      <c r="F617" t="s">
        <v>74</v>
      </c>
      <c r="G617">
        <v>2</v>
      </c>
      <c r="H617">
        <v>13.19</v>
      </c>
    </row>
    <row r="618" spans="1:8" s="40" customFormat="1" x14ac:dyDescent="0.3">
      <c r="A618" s="41" t="s">
        <v>976</v>
      </c>
      <c r="B618" s="40">
        <f>D617*E618+G617*H618+J617*K618</f>
        <v>316.53167911187131</v>
      </c>
      <c r="E618" s="40">
        <v>16.119775658411498</v>
      </c>
      <c r="H618" s="40">
        <v>13.187858630232169</v>
      </c>
    </row>
    <row r="619" spans="1:8" x14ac:dyDescent="0.3">
      <c r="A619" t="s">
        <v>710</v>
      </c>
      <c r="B619">
        <v>342.84</v>
      </c>
      <c r="C619" t="s">
        <v>43</v>
      </c>
      <c r="D619">
        <v>18</v>
      </c>
      <c r="E619">
        <v>17.579999999999998</v>
      </c>
      <c r="F619" t="s">
        <v>74</v>
      </c>
      <c r="G619">
        <v>2</v>
      </c>
      <c r="H619">
        <v>13.19</v>
      </c>
    </row>
    <row r="620" spans="1:8" s="40" customFormat="1" x14ac:dyDescent="0.3">
      <c r="A620" s="41" t="s">
        <v>976</v>
      </c>
      <c r="B620" s="40">
        <f>D619*E620+G619*H620+J619*K620</f>
        <v>342.84306102592427</v>
      </c>
      <c r="E620" s="40">
        <v>17.581519098081106</v>
      </c>
      <c r="H620" s="40">
        <v>13.187858630232169</v>
      </c>
    </row>
    <row r="621" spans="1:8" x14ac:dyDescent="0.3">
      <c r="A621" t="s">
        <v>712</v>
      </c>
      <c r="B621">
        <v>342.84</v>
      </c>
      <c r="C621" t="s">
        <v>43</v>
      </c>
      <c r="D621">
        <v>18</v>
      </c>
      <c r="E621">
        <v>17.579999999999998</v>
      </c>
      <c r="F621" t="s">
        <v>74</v>
      </c>
      <c r="G621">
        <v>2</v>
      </c>
      <c r="H621">
        <v>13.19</v>
      </c>
    </row>
    <row r="622" spans="1:8" s="40" customFormat="1" x14ac:dyDescent="0.3">
      <c r="A622" s="41" t="s">
        <v>976</v>
      </c>
      <c r="B622" s="40">
        <f>D621*E622+G621*H622+J621*K622</f>
        <v>342.84306102592427</v>
      </c>
      <c r="E622" s="40">
        <v>17.581519098081106</v>
      </c>
      <c r="H622" s="40">
        <v>13.187858630232169</v>
      </c>
    </row>
    <row r="623" spans="1:8" x14ac:dyDescent="0.3">
      <c r="A623" t="s">
        <v>715</v>
      </c>
      <c r="B623">
        <v>342.84</v>
      </c>
      <c r="C623" t="s">
        <v>43</v>
      </c>
      <c r="D623">
        <v>18</v>
      </c>
      <c r="E623">
        <v>17.579999999999998</v>
      </c>
      <c r="F623" t="s">
        <v>74</v>
      </c>
      <c r="G623">
        <v>2</v>
      </c>
      <c r="H623">
        <v>13.19</v>
      </c>
    </row>
    <row r="624" spans="1:8" s="40" customFormat="1" x14ac:dyDescent="0.3">
      <c r="A624" s="41" t="s">
        <v>976</v>
      </c>
      <c r="B624" s="40">
        <f>D623*E624+G623*H624+J623*K624</f>
        <v>342.84306102592427</v>
      </c>
      <c r="E624" s="40">
        <v>17.581519098081106</v>
      </c>
      <c r="H624" s="40">
        <v>13.187858630232169</v>
      </c>
    </row>
    <row r="625" spans="1:11" x14ac:dyDescent="0.3">
      <c r="A625" t="s">
        <v>714</v>
      </c>
      <c r="B625">
        <v>257.89</v>
      </c>
      <c r="C625" t="s">
        <v>29</v>
      </c>
      <c r="D625">
        <v>18</v>
      </c>
      <c r="E625">
        <v>13.19</v>
      </c>
      <c r="F625" t="s">
        <v>89</v>
      </c>
      <c r="G625">
        <v>2</v>
      </c>
      <c r="H625">
        <v>10.26</v>
      </c>
    </row>
    <row r="626" spans="1:11" s="40" customFormat="1" x14ac:dyDescent="0.3">
      <c r="A626" s="41" t="s">
        <v>976</v>
      </c>
      <c r="B626" s="40">
        <f>D625*E626+G625*H626+J625*K626</f>
        <v>257.8931167022626</v>
      </c>
      <c r="E626" s="40">
        <v>13.187858630232169</v>
      </c>
      <c r="H626" s="40">
        <v>10.255830679041788</v>
      </c>
    </row>
    <row r="627" spans="1:11" x14ac:dyDescent="0.3">
      <c r="A627" t="s">
        <v>713</v>
      </c>
      <c r="B627">
        <v>310.67</v>
      </c>
      <c r="C627" t="s">
        <v>31</v>
      </c>
      <c r="D627">
        <v>18</v>
      </c>
      <c r="E627">
        <v>16.12</v>
      </c>
      <c r="F627" t="s">
        <v>89</v>
      </c>
      <c r="G627">
        <v>2</v>
      </c>
      <c r="H627">
        <v>10.26</v>
      </c>
    </row>
    <row r="628" spans="1:11" s="40" customFormat="1" x14ac:dyDescent="0.3">
      <c r="A628" s="41" t="s">
        <v>976</v>
      </c>
      <c r="B628" s="40">
        <f>D627*E628+G627*H628+J627*K628</f>
        <v>310.66762320949056</v>
      </c>
      <c r="E628" s="40">
        <v>16.119775658411498</v>
      </c>
      <c r="H628" s="40">
        <v>10.255830679041788</v>
      </c>
    </row>
    <row r="629" spans="1:11" x14ac:dyDescent="0.3">
      <c r="A629" t="s">
        <v>716</v>
      </c>
      <c r="B629">
        <v>131.83000000000001</v>
      </c>
      <c r="C629" t="s">
        <v>24</v>
      </c>
      <c r="D629">
        <v>18</v>
      </c>
      <c r="E629">
        <v>7.32</v>
      </c>
    </row>
    <row r="630" spans="1:11" s="40" customFormat="1" x14ac:dyDescent="0.3">
      <c r="A630" s="41" t="s">
        <v>976</v>
      </c>
      <c r="B630" s="40">
        <f>D629*E630+G629*H630+J629*K630</f>
        <v>131.82844910132528</v>
      </c>
      <c r="E630" s="40">
        <v>7.3238027278514046</v>
      </c>
    </row>
    <row r="631" spans="1:11" x14ac:dyDescent="0.3">
      <c r="A631" t="s">
        <v>717</v>
      </c>
      <c r="B631">
        <v>237.38</v>
      </c>
      <c r="C631" t="s">
        <v>65</v>
      </c>
      <c r="D631">
        <v>18</v>
      </c>
      <c r="E631">
        <v>13.19</v>
      </c>
    </row>
    <row r="632" spans="1:11" s="40" customFormat="1" x14ac:dyDescent="0.3">
      <c r="A632" s="41" t="s">
        <v>976</v>
      </c>
      <c r="B632" s="40">
        <f>D631*E632+G631*H632+J631*K632</f>
        <v>237.38145534417905</v>
      </c>
      <c r="E632" s="40">
        <v>13.187858630232169</v>
      </c>
    </row>
    <row r="633" spans="1:11" x14ac:dyDescent="0.3">
      <c r="A633" t="s">
        <v>719</v>
      </c>
      <c r="B633">
        <v>413.15</v>
      </c>
      <c r="C633" t="s">
        <v>31</v>
      </c>
      <c r="D633">
        <v>18</v>
      </c>
      <c r="E633">
        <v>16.12</v>
      </c>
      <c r="F633" t="s">
        <v>110</v>
      </c>
      <c r="G633">
        <v>2</v>
      </c>
      <c r="H633">
        <v>17.579999999999998</v>
      </c>
      <c r="I633" t="s">
        <v>137</v>
      </c>
      <c r="J633">
        <v>20</v>
      </c>
      <c r="K633">
        <v>4.3899999999999997</v>
      </c>
    </row>
    <row r="634" spans="1:11" s="40" customFormat="1" x14ac:dyDescent="0.3">
      <c r="A634" s="41" t="s">
        <v>976</v>
      </c>
      <c r="B634" s="40">
        <f>D633*E634+G633*H634+J633*K634</f>
        <v>413.15244594539138</v>
      </c>
      <c r="E634" s="40">
        <v>16.119775658411498</v>
      </c>
      <c r="H634" s="40">
        <v>17.579688979321727</v>
      </c>
      <c r="K634" s="40">
        <v>4.3918553067670469</v>
      </c>
    </row>
    <row r="635" spans="1:11" x14ac:dyDescent="0.3">
      <c r="A635" t="s">
        <v>718</v>
      </c>
      <c r="B635">
        <v>465.84</v>
      </c>
      <c r="C635" t="s">
        <v>69</v>
      </c>
      <c r="D635">
        <v>18</v>
      </c>
      <c r="E635">
        <v>19.05</v>
      </c>
      <c r="F635" t="s">
        <v>110</v>
      </c>
      <c r="G635">
        <v>2</v>
      </c>
      <c r="H635">
        <v>17.579999999999998</v>
      </c>
      <c r="I635" t="s">
        <v>137</v>
      </c>
      <c r="J635">
        <v>20</v>
      </c>
      <c r="K635">
        <v>4.3899999999999997</v>
      </c>
    </row>
    <row r="636" spans="1:11" s="40" customFormat="1" x14ac:dyDescent="0.3">
      <c r="A636" s="41" t="s">
        <v>976</v>
      </c>
      <c r="B636" s="40">
        <f>D635*E636+G635*H636+J635*K636</f>
        <v>465.84109804206344</v>
      </c>
      <c r="E636" s="40">
        <v>19.046922997115502</v>
      </c>
      <c r="H636" s="40">
        <v>17.579688979321727</v>
      </c>
      <c r="K636" s="40">
        <v>4.3918553067670469</v>
      </c>
    </row>
    <row r="637" spans="1:11" x14ac:dyDescent="0.3">
      <c r="A637" t="s">
        <v>721</v>
      </c>
      <c r="B637">
        <v>413.15</v>
      </c>
      <c r="C637" t="s">
        <v>31</v>
      </c>
      <c r="D637">
        <v>18</v>
      </c>
      <c r="E637">
        <v>16.12</v>
      </c>
      <c r="F637" t="s">
        <v>110</v>
      </c>
      <c r="G637">
        <v>2</v>
      </c>
      <c r="H637">
        <v>17.579999999999998</v>
      </c>
      <c r="I637" t="s">
        <v>137</v>
      </c>
      <c r="J637">
        <v>20</v>
      </c>
      <c r="K637">
        <v>4.3899999999999997</v>
      </c>
    </row>
    <row r="638" spans="1:11" s="40" customFormat="1" x14ac:dyDescent="0.3">
      <c r="A638" s="41" t="s">
        <v>976</v>
      </c>
      <c r="B638" s="40">
        <f>D637*E638+G637*H638+J637*K638</f>
        <v>413.15244594539138</v>
      </c>
      <c r="E638" s="40">
        <v>16.119775658411498</v>
      </c>
      <c r="H638" s="40">
        <v>17.579688979321727</v>
      </c>
      <c r="K638" s="40">
        <v>4.3918553067670469</v>
      </c>
    </row>
    <row r="639" spans="1:11" x14ac:dyDescent="0.3">
      <c r="A639" t="s">
        <v>720</v>
      </c>
      <c r="B639">
        <v>448.34</v>
      </c>
      <c r="C639" t="s">
        <v>57</v>
      </c>
      <c r="D639">
        <v>16</v>
      </c>
      <c r="E639">
        <v>26.37</v>
      </c>
      <c r="F639" t="s">
        <v>83</v>
      </c>
      <c r="G639">
        <v>2</v>
      </c>
      <c r="H639">
        <v>13.19</v>
      </c>
    </row>
    <row r="640" spans="1:11" s="40" customFormat="1" x14ac:dyDescent="0.3">
      <c r="A640" s="41" t="s">
        <v>976</v>
      </c>
      <c r="B640" s="40">
        <f>D639*E640+G639*H640+J639*K640</f>
        <v>448.33749991894155</v>
      </c>
      <c r="E640" s="40">
        <v>26.372611416154825</v>
      </c>
      <c r="H640" s="40">
        <v>13.187858630232169</v>
      </c>
    </row>
    <row r="641" spans="1:8" x14ac:dyDescent="0.3">
      <c r="A641" t="s">
        <v>722</v>
      </c>
      <c r="B641">
        <v>448.34</v>
      </c>
      <c r="C641" t="s">
        <v>57</v>
      </c>
      <c r="D641">
        <v>16</v>
      </c>
      <c r="E641">
        <v>26.37</v>
      </c>
      <c r="F641" t="s">
        <v>83</v>
      </c>
      <c r="G641">
        <v>2</v>
      </c>
      <c r="H641">
        <v>13.19</v>
      </c>
    </row>
    <row r="642" spans="1:8" s="40" customFormat="1" x14ac:dyDescent="0.3">
      <c r="A642" s="41" t="s">
        <v>976</v>
      </c>
      <c r="B642" s="40">
        <f>D641*E642+G641*H642+J641*K642</f>
        <v>448.33749991894155</v>
      </c>
      <c r="E642" s="40">
        <v>26.372611416154825</v>
      </c>
      <c r="H642" s="40">
        <v>13.187858630232169</v>
      </c>
    </row>
    <row r="643" spans="1:8" x14ac:dyDescent="0.3">
      <c r="A643" t="s">
        <v>723</v>
      </c>
      <c r="B643">
        <v>448.34</v>
      </c>
      <c r="C643" t="s">
        <v>57</v>
      </c>
      <c r="D643">
        <v>16</v>
      </c>
      <c r="E643">
        <v>26.37</v>
      </c>
      <c r="F643" t="s">
        <v>83</v>
      </c>
      <c r="G643">
        <v>2</v>
      </c>
      <c r="H643">
        <v>13.19</v>
      </c>
    </row>
    <row r="644" spans="1:8" s="40" customFormat="1" x14ac:dyDescent="0.3">
      <c r="A644" s="41" t="s">
        <v>976</v>
      </c>
      <c r="B644" s="40">
        <f>D643*E644+G643*H644+J643*K644</f>
        <v>448.33749991894155</v>
      </c>
      <c r="E644" s="40">
        <v>26.372611416154825</v>
      </c>
      <c r="H644" s="40">
        <v>13.187858630232169</v>
      </c>
    </row>
    <row r="645" spans="1:8" x14ac:dyDescent="0.3">
      <c r="A645" t="s">
        <v>724</v>
      </c>
      <c r="B645">
        <v>143.56</v>
      </c>
      <c r="C645" t="s">
        <v>24</v>
      </c>
      <c r="D645">
        <v>16</v>
      </c>
      <c r="E645">
        <v>7.32</v>
      </c>
      <c r="F645" t="s">
        <v>72</v>
      </c>
      <c r="G645">
        <v>2</v>
      </c>
      <c r="H645">
        <v>13.19</v>
      </c>
    </row>
    <row r="646" spans="1:8" s="40" customFormat="1" x14ac:dyDescent="0.3">
      <c r="A646" s="41" t="s">
        <v>976</v>
      </c>
      <c r="B646" s="40">
        <f>D645*E646+G645*H646+J645*K646</f>
        <v>143.55656090608682</v>
      </c>
      <c r="E646" s="40">
        <v>7.3238027278514046</v>
      </c>
      <c r="H646" s="40">
        <v>13.187858630232169</v>
      </c>
    </row>
    <row r="647" spans="1:8" x14ac:dyDescent="0.3">
      <c r="A647" t="s">
        <v>726</v>
      </c>
      <c r="B647">
        <v>190.47</v>
      </c>
      <c r="C647" t="s">
        <v>27</v>
      </c>
      <c r="D647">
        <v>16</v>
      </c>
      <c r="E647">
        <v>10.26</v>
      </c>
      <c r="F647" t="s">
        <v>72</v>
      </c>
      <c r="G647">
        <v>2</v>
      </c>
      <c r="H647">
        <v>13.19</v>
      </c>
    </row>
    <row r="648" spans="1:8" s="40" customFormat="1" x14ac:dyDescent="0.3">
      <c r="A648" s="41" t="s">
        <v>976</v>
      </c>
      <c r="B648" s="40">
        <f>D647*E648+G647*H648+J647*K648</f>
        <v>190.46900812513294</v>
      </c>
      <c r="E648" s="40">
        <v>10.255830679041788</v>
      </c>
      <c r="H648" s="40">
        <v>13.187858630232169</v>
      </c>
    </row>
    <row r="649" spans="1:8" x14ac:dyDescent="0.3">
      <c r="A649" t="s">
        <v>725</v>
      </c>
      <c r="B649">
        <v>190.47</v>
      </c>
      <c r="C649" t="s">
        <v>27</v>
      </c>
      <c r="D649">
        <v>16</v>
      </c>
      <c r="E649">
        <v>10.26</v>
      </c>
      <c r="F649" t="s">
        <v>72</v>
      </c>
      <c r="G649">
        <v>2</v>
      </c>
      <c r="H649">
        <v>13.19</v>
      </c>
    </row>
    <row r="650" spans="1:8" s="40" customFormat="1" x14ac:dyDescent="0.3">
      <c r="A650" s="41" t="s">
        <v>976</v>
      </c>
      <c r="B650" s="40">
        <f>D649*E650+G649*H650+J649*K650</f>
        <v>190.46900812513294</v>
      </c>
      <c r="E650" s="40">
        <v>10.255830679041788</v>
      </c>
      <c r="H650" s="40">
        <v>13.187858630232169</v>
      </c>
    </row>
    <row r="651" spans="1:8" x14ac:dyDescent="0.3">
      <c r="A651" t="s">
        <v>727</v>
      </c>
      <c r="B651">
        <v>190.47</v>
      </c>
      <c r="C651" t="s">
        <v>27</v>
      </c>
      <c r="D651">
        <v>16</v>
      </c>
      <c r="E651">
        <v>10.26</v>
      </c>
      <c r="F651" t="s">
        <v>72</v>
      </c>
      <c r="G651">
        <v>2</v>
      </c>
      <c r="H651">
        <v>13.19</v>
      </c>
    </row>
    <row r="652" spans="1:8" s="40" customFormat="1" x14ac:dyDescent="0.3">
      <c r="A652" s="41" t="s">
        <v>976</v>
      </c>
      <c r="B652" s="40">
        <f>D651*E652+G651*H652+J651*K652</f>
        <v>190.46900812513294</v>
      </c>
      <c r="E652" s="40">
        <v>10.255830679041788</v>
      </c>
      <c r="H652" s="40">
        <v>13.187858630232169</v>
      </c>
    </row>
    <row r="653" spans="1:8" x14ac:dyDescent="0.3">
      <c r="A653" t="s">
        <v>728</v>
      </c>
      <c r="B653">
        <v>190.47</v>
      </c>
      <c r="C653" t="s">
        <v>27</v>
      </c>
      <c r="D653">
        <v>16</v>
      </c>
      <c r="E653">
        <v>10.26</v>
      </c>
      <c r="F653" t="s">
        <v>72</v>
      </c>
      <c r="G653">
        <v>2</v>
      </c>
      <c r="H653">
        <v>13.19</v>
      </c>
    </row>
    <row r="654" spans="1:8" s="40" customFormat="1" x14ac:dyDescent="0.3">
      <c r="A654" s="41" t="s">
        <v>976</v>
      </c>
      <c r="B654" s="40">
        <f>D653*E654+G653*H654+J653*K654</f>
        <v>190.46900812513294</v>
      </c>
      <c r="E654" s="40">
        <v>10.255830679041788</v>
      </c>
      <c r="H654" s="40">
        <v>13.187858630232169</v>
      </c>
    </row>
    <row r="655" spans="1:8" x14ac:dyDescent="0.3">
      <c r="A655" t="s">
        <v>730</v>
      </c>
      <c r="B655">
        <v>237.38</v>
      </c>
      <c r="C655" t="s">
        <v>65</v>
      </c>
      <c r="D655">
        <v>16</v>
      </c>
      <c r="E655">
        <v>13.19</v>
      </c>
      <c r="F655" t="s">
        <v>72</v>
      </c>
      <c r="G655">
        <v>2</v>
      </c>
      <c r="H655">
        <v>13.19</v>
      </c>
    </row>
    <row r="656" spans="1:8" s="40" customFormat="1" x14ac:dyDescent="0.3">
      <c r="A656" s="41" t="s">
        <v>976</v>
      </c>
      <c r="B656" s="40">
        <f>D655*E656+G655*H656+J655*K656</f>
        <v>237.38145534417905</v>
      </c>
      <c r="E656" s="40">
        <v>13.187858630232169</v>
      </c>
      <c r="H656" s="40">
        <v>13.187858630232169</v>
      </c>
    </row>
    <row r="657" spans="1:8" x14ac:dyDescent="0.3">
      <c r="A657" t="s">
        <v>731</v>
      </c>
      <c r="B657">
        <v>237.38</v>
      </c>
      <c r="C657" t="s">
        <v>29</v>
      </c>
      <c r="D657">
        <v>16</v>
      </c>
      <c r="E657">
        <v>13.19</v>
      </c>
      <c r="F657" t="s">
        <v>74</v>
      </c>
      <c r="G657">
        <v>2</v>
      </c>
      <c r="H657">
        <v>13.19</v>
      </c>
    </row>
    <row r="658" spans="1:8" s="40" customFormat="1" x14ac:dyDescent="0.3">
      <c r="A658" s="41" t="s">
        <v>976</v>
      </c>
      <c r="B658" s="40">
        <f>D657*E658+G657*H658+J657*K658</f>
        <v>237.38145534417905</v>
      </c>
      <c r="E658" s="40">
        <v>13.187858630232169</v>
      </c>
      <c r="H658" s="40">
        <v>13.187858630232169</v>
      </c>
    </row>
    <row r="659" spans="1:8" x14ac:dyDescent="0.3">
      <c r="A659" t="s">
        <v>729</v>
      </c>
      <c r="B659">
        <v>190.47</v>
      </c>
      <c r="C659" t="s">
        <v>27</v>
      </c>
      <c r="D659">
        <v>16</v>
      </c>
      <c r="E659">
        <v>10.26</v>
      </c>
      <c r="F659" t="s">
        <v>72</v>
      </c>
      <c r="G659">
        <v>2</v>
      </c>
      <c r="H659">
        <v>13.19</v>
      </c>
    </row>
    <row r="660" spans="1:8" s="40" customFormat="1" x14ac:dyDescent="0.3">
      <c r="A660" s="41" t="s">
        <v>976</v>
      </c>
      <c r="B660" s="40">
        <f>D659*E660+G659*H660+J659*K660</f>
        <v>190.46900812513294</v>
      </c>
      <c r="E660" s="40">
        <v>10.255830679041788</v>
      </c>
      <c r="H660" s="40">
        <v>13.187858630232169</v>
      </c>
    </row>
    <row r="661" spans="1:8" x14ac:dyDescent="0.3">
      <c r="A661" t="s">
        <v>732</v>
      </c>
      <c r="B661">
        <v>284.29000000000002</v>
      </c>
      <c r="C661" t="s">
        <v>31</v>
      </c>
      <c r="D661">
        <v>16</v>
      </c>
      <c r="E661">
        <v>16.12</v>
      </c>
      <c r="F661" t="s">
        <v>74</v>
      </c>
      <c r="G661">
        <v>2</v>
      </c>
      <c r="H661">
        <v>13.19</v>
      </c>
    </row>
    <row r="662" spans="1:8" s="40" customFormat="1" x14ac:dyDescent="0.3">
      <c r="A662" s="41" t="s">
        <v>976</v>
      </c>
      <c r="B662" s="40">
        <f>D661*E662+G661*H662+J661*K662</f>
        <v>284.29212779504832</v>
      </c>
      <c r="E662" s="40">
        <v>16.119775658411498</v>
      </c>
      <c r="H662" s="40">
        <v>13.187858630232169</v>
      </c>
    </row>
    <row r="663" spans="1:8" x14ac:dyDescent="0.3">
      <c r="A663" t="s">
        <v>735</v>
      </c>
      <c r="B663">
        <v>284.29000000000002</v>
      </c>
      <c r="C663" t="s">
        <v>31</v>
      </c>
      <c r="D663">
        <v>16</v>
      </c>
      <c r="E663">
        <v>16.12</v>
      </c>
      <c r="F663" t="s">
        <v>74</v>
      </c>
      <c r="G663">
        <v>2</v>
      </c>
      <c r="H663">
        <v>13.19</v>
      </c>
    </row>
    <row r="664" spans="1:8" s="40" customFormat="1" x14ac:dyDescent="0.3">
      <c r="A664" s="41" t="s">
        <v>976</v>
      </c>
      <c r="B664" s="40">
        <f>D663*E664+G663*H664+J663*K664</f>
        <v>284.29212779504832</v>
      </c>
      <c r="E664" s="40">
        <v>16.119775658411498</v>
      </c>
      <c r="H664" s="40">
        <v>13.187858630232169</v>
      </c>
    </row>
    <row r="665" spans="1:8" x14ac:dyDescent="0.3">
      <c r="A665" t="s">
        <v>733</v>
      </c>
      <c r="B665">
        <v>331.13</v>
      </c>
      <c r="C665" t="s">
        <v>69</v>
      </c>
      <c r="D665">
        <v>16</v>
      </c>
      <c r="E665">
        <v>19.05</v>
      </c>
      <c r="F665" t="s">
        <v>74</v>
      </c>
      <c r="G665">
        <v>2</v>
      </c>
      <c r="H665">
        <v>13.19</v>
      </c>
    </row>
    <row r="666" spans="1:8" s="40" customFormat="1" x14ac:dyDescent="0.3">
      <c r="A666" s="41" t="s">
        <v>976</v>
      </c>
      <c r="B666" s="40">
        <f>D665*E666+G665*H666+J665*K666</f>
        <v>331.12648521431237</v>
      </c>
      <c r="E666" s="40">
        <v>19.046922997115502</v>
      </c>
      <c r="H666" s="40">
        <v>13.187858630232169</v>
      </c>
    </row>
    <row r="667" spans="1:8" x14ac:dyDescent="0.3">
      <c r="A667" t="s">
        <v>736</v>
      </c>
      <c r="B667">
        <v>284.29000000000002</v>
      </c>
      <c r="C667" t="s">
        <v>31</v>
      </c>
      <c r="D667">
        <v>16</v>
      </c>
      <c r="E667">
        <v>16.12</v>
      </c>
      <c r="F667" t="s">
        <v>74</v>
      </c>
      <c r="G667">
        <v>2</v>
      </c>
      <c r="H667">
        <v>13.19</v>
      </c>
    </row>
    <row r="668" spans="1:8" s="40" customFormat="1" x14ac:dyDescent="0.3">
      <c r="A668" s="41" t="s">
        <v>976</v>
      </c>
      <c r="B668" s="40">
        <f>D667*E668+G667*H668+J667*K668</f>
        <v>284.29212779504832</v>
      </c>
      <c r="E668" s="40">
        <v>16.119775658411498</v>
      </c>
      <c r="H668" s="40">
        <v>13.187858630232169</v>
      </c>
    </row>
    <row r="669" spans="1:8" x14ac:dyDescent="0.3">
      <c r="A669" t="s">
        <v>739</v>
      </c>
      <c r="B669">
        <v>284.29000000000002</v>
      </c>
      <c r="C669" t="s">
        <v>31</v>
      </c>
      <c r="D669">
        <v>16</v>
      </c>
      <c r="E669">
        <v>16.12</v>
      </c>
      <c r="F669" t="s">
        <v>74</v>
      </c>
      <c r="G669">
        <v>2</v>
      </c>
      <c r="H669">
        <v>13.19</v>
      </c>
    </row>
    <row r="670" spans="1:8" s="40" customFormat="1" x14ac:dyDescent="0.3">
      <c r="A670" s="41" t="s">
        <v>976</v>
      </c>
      <c r="B670" s="40">
        <f>D669*E670+G669*H670+J669*K670</f>
        <v>284.29212779504832</v>
      </c>
      <c r="E670" s="40">
        <v>16.119775658411498</v>
      </c>
      <c r="H670" s="40">
        <v>13.187858630232169</v>
      </c>
    </row>
    <row r="671" spans="1:8" x14ac:dyDescent="0.3">
      <c r="A671" t="s">
        <v>737</v>
      </c>
      <c r="B671">
        <v>284.29000000000002</v>
      </c>
      <c r="C671" t="s">
        <v>31</v>
      </c>
      <c r="D671">
        <v>16</v>
      </c>
      <c r="E671">
        <v>16.12</v>
      </c>
      <c r="F671" t="s">
        <v>74</v>
      </c>
      <c r="G671">
        <v>2</v>
      </c>
      <c r="H671">
        <v>13.19</v>
      </c>
    </row>
    <row r="672" spans="1:8" s="40" customFormat="1" x14ac:dyDescent="0.3">
      <c r="A672" s="41" t="s">
        <v>976</v>
      </c>
      <c r="B672" s="40">
        <f>D671*E672+G671*H672+J671*K672</f>
        <v>284.29212779504832</v>
      </c>
      <c r="E672" s="40">
        <v>16.119775658411498</v>
      </c>
      <c r="H672" s="40">
        <v>13.187858630232169</v>
      </c>
    </row>
    <row r="673" spans="1:8" x14ac:dyDescent="0.3">
      <c r="A673" t="s">
        <v>738</v>
      </c>
      <c r="B673">
        <v>331.13</v>
      </c>
      <c r="C673" t="s">
        <v>69</v>
      </c>
      <c r="D673">
        <v>16</v>
      </c>
      <c r="E673">
        <v>19.05</v>
      </c>
      <c r="F673" t="s">
        <v>74</v>
      </c>
      <c r="G673">
        <v>2</v>
      </c>
      <c r="H673">
        <v>13.19</v>
      </c>
    </row>
    <row r="674" spans="1:8" s="40" customFormat="1" x14ac:dyDescent="0.3">
      <c r="A674" s="41" t="s">
        <v>976</v>
      </c>
      <c r="B674" s="40">
        <f>D673*E674+G673*H674+J673*K674</f>
        <v>331.12648521431237</v>
      </c>
      <c r="E674" s="40">
        <v>19.046922997115502</v>
      </c>
      <c r="H674" s="40">
        <v>13.187858630232169</v>
      </c>
    </row>
    <row r="675" spans="1:8" x14ac:dyDescent="0.3">
      <c r="A675" t="s">
        <v>740</v>
      </c>
      <c r="B675">
        <v>331.13</v>
      </c>
      <c r="C675" t="s">
        <v>69</v>
      </c>
      <c r="D675">
        <v>16</v>
      </c>
      <c r="E675">
        <v>19.05</v>
      </c>
      <c r="F675" t="s">
        <v>74</v>
      </c>
      <c r="G675">
        <v>2</v>
      </c>
      <c r="H675">
        <v>13.19</v>
      </c>
    </row>
    <row r="676" spans="1:8" s="40" customFormat="1" x14ac:dyDescent="0.3">
      <c r="A676" s="41" t="s">
        <v>976</v>
      </c>
      <c r="B676" s="40">
        <f>D675*E676+G675*H676+J675*K676</f>
        <v>331.12648521431237</v>
      </c>
      <c r="E676" s="40">
        <v>19.046922997115502</v>
      </c>
      <c r="H676" s="40">
        <v>13.187858630232169</v>
      </c>
    </row>
    <row r="677" spans="1:8" x14ac:dyDescent="0.3">
      <c r="A677" t="s">
        <v>743</v>
      </c>
      <c r="B677">
        <v>307.68</v>
      </c>
      <c r="C677" t="s">
        <v>43</v>
      </c>
      <c r="D677">
        <v>16</v>
      </c>
      <c r="E677">
        <v>17.579999999999998</v>
      </c>
      <c r="F677" t="s">
        <v>74</v>
      </c>
      <c r="G677">
        <v>2</v>
      </c>
      <c r="H677">
        <v>13.19</v>
      </c>
    </row>
    <row r="678" spans="1:8" s="40" customFormat="1" x14ac:dyDescent="0.3">
      <c r="A678" s="41" t="s">
        <v>976</v>
      </c>
      <c r="B678" s="40">
        <f>D677*E678+G677*H678+J677*K678</f>
        <v>307.68002282976204</v>
      </c>
      <c r="E678" s="40">
        <v>17.581519098081106</v>
      </c>
      <c r="H678" s="40">
        <v>13.187858630232169</v>
      </c>
    </row>
    <row r="679" spans="1:8" x14ac:dyDescent="0.3">
      <c r="A679" t="s">
        <v>741</v>
      </c>
      <c r="B679">
        <v>284.29000000000002</v>
      </c>
      <c r="C679" t="s">
        <v>31</v>
      </c>
      <c r="D679">
        <v>16</v>
      </c>
      <c r="E679">
        <v>16.12</v>
      </c>
      <c r="F679" t="s">
        <v>74</v>
      </c>
      <c r="G679">
        <v>2</v>
      </c>
      <c r="H679">
        <v>13.19</v>
      </c>
    </row>
    <row r="680" spans="1:8" s="40" customFormat="1" x14ac:dyDescent="0.3">
      <c r="A680" s="41" t="s">
        <v>976</v>
      </c>
      <c r="B680" s="40">
        <f>D679*E680+G679*H680+J679*K680</f>
        <v>284.29212779504832</v>
      </c>
      <c r="E680" s="40">
        <v>16.119775658411498</v>
      </c>
      <c r="H680" s="40">
        <v>13.187858630232169</v>
      </c>
    </row>
    <row r="681" spans="1:8" x14ac:dyDescent="0.3">
      <c r="A681" t="s">
        <v>742</v>
      </c>
      <c r="B681">
        <v>331.13</v>
      </c>
      <c r="C681" t="s">
        <v>69</v>
      </c>
      <c r="D681">
        <v>16</v>
      </c>
      <c r="E681">
        <v>19.05</v>
      </c>
      <c r="F681" t="s">
        <v>74</v>
      </c>
      <c r="G681">
        <v>2</v>
      </c>
      <c r="H681">
        <v>13.19</v>
      </c>
    </row>
    <row r="682" spans="1:8" s="40" customFormat="1" x14ac:dyDescent="0.3">
      <c r="A682" s="41" t="s">
        <v>976</v>
      </c>
      <c r="B682" s="40">
        <f>D681*E682+G681*H682+J681*K682</f>
        <v>331.12648521431237</v>
      </c>
      <c r="E682" s="40">
        <v>19.046922997115502</v>
      </c>
      <c r="H682" s="40">
        <v>13.187858630232169</v>
      </c>
    </row>
    <row r="683" spans="1:8" x14ac:dyDescent="0.3">
      <c r="A683" t="s">
        <v>744</v>
      </c>
      <c r="B683">
        <v>211.01</v>
      </c>
      <c r="C683" t="s">
        <v>29</v>
      </c>
      <c r="D683">
        <v>16</v>
      </c>
      <c r="E683">
        <v>13.19</v>
      </c>
    </row>
    <row r="684" spans="1:8" s="40" customFormat="1" x14ac:dyDescent="0.3">
      <c r="A684" s="41" t="s">
        <v>976</v>
      </c>
      <c r="B684" s="40">
        <f>D683*E684+G683*H684+J683*K684</f>
        <v>211.0057380837147</v>
      </c>
      <c r="E684" s="40">
        <v>13.187858630232169</v>
      </c>
    </row>
    <row r="685" spans="1:8" x14ac:dyDescent="0.3">
      <c r="A685" t="s">
        <v>745</v>
      </c>
      <c r="B685">
        <v>257.92</v>
      </c>
      <c r="C685" t="s">
        <v>31</v>
      </c>
      <c r="D685">
        <v>16</v>
      </c>
      <c r="E685">
        <v>16.12</v>
      </c>
    </row>
    <row r="686" spans="1:8" s="40" customFormat="1" x14ac:dyDescent="0.3">
      <c r="A686" s="41" t="s">
        <v>976</v>
      </c>
      <c r="B686" s="40">
        <f>D685*E686+G685*H686+J685*K686</f>
        <v>257.91641053458397</v>
      </c>
      <c r="E686" s="40">
        <v>16.119775658411498</v>
      </c>
    </row>
    <row r="687" spans="1:8" x14ac:dyDescent="0.3">
      <c r="A687" t="s">
        <v>746</v>
      </c>
      <c r="B687">
        <v>304.75</v>
      </c>
      <c r="C687" t="s">
        <v>69</v>
      </c>
      <c r="D687">
        <v>16</v>
      </c>
      <c r="E687">
        <v>19.05</v>
      </c>
    </row>
    <row r="688" spans="1:8" s="40" customFormat="1" x14ac:dyDescent="0.3">
      <c r="A688" s="41" t="s">
        <v>976</v>
      </c>
      <c r="B688" s="40">
        <f>D687*E688+G687*H688+J687*K688</f>
        <v>304.75076795384803</v>
      </c>
      <c r="E688" s="40">
        <v>19.046922997115502</v>
      </c>
    </row>
    <row r="689" spans="1:11" x14ac:dyDescent="0.3">
      <c r="A689" t="s">
        <v>747</v>
      </c>
      <c r="B689">
        <v>319.39999999999998</v>
      </c>
      <c r="C689" t="s">
        <v>69</v>
      </c>
      <c r="D689">
        <v>16</v>
      </c>
      <c r="E689">
        <v>19.05</v>
      </c>
      <c r="F689" t="s">
        <v>99</v>
      </c>
      <c r="G689">
        <v>2</v>
      </c>
      <c r="H689">
        <v>7.32</v>
      </c>
    </row>
    <row r="690" spans="1:11" s="40" customFormat="1" x14ac:dyDescent="0.3">
      <c r="A690" s="41" t="s">
        <v>976</v>
      </c>
      <c r="B690" s="40">
        <f>D689*E690+G689*H690+J689*K690</f>
        <v>319.39846414457389</v>
      </c>
      <c r="E690" s="40">
        <v>19.046922997115502</v>
      </c>
      <c r="H690" s="40">
        <v>7.3238480953629237</v>
      </c>
    </row>
    <row r="691" spans="1:11" x14ac:dyDescent="0.3">
      <c r="A691" t="s">
        <v>748</v>
      </c>
      <c r="B691">
        <v>372.13</v>
      </c>
      <c r="C691" t="s">
        <v>31</v>
      </c>
      <c r="D691">
        <v>16</v>
      </c>
      <c r="E691">
        <v>16.12</v>
      </c>
      <c r="F691" t="s">
        <v>110</v>
      </c>
      <c r="G691">
        <v>2</v>
      </c>
      <c r="H691">
        <v>17.579999999999998</v>
      </c>
      <c r="I691" t="s">
        <v>137</v>
      </c>
      <c r="J691">
        <v>18</v>
      </c>
      <c r="K691">
        <v>4.3899999999999997</v>
      </c>
    </row>
    <row r="692" spans="1:11" s="40" customFormat="1" x14ac:dyDescent="0.3">
      <c r="A692" s="41" t="s">
        <v>976</v>
      </c>
      <c r="B692" s="40">
        <f>D691*E692+G691*H692+J691*K692</f>
        <v>372.1291840150343</v>
      </c>
      <c r="E692" s="40">
        <v>16.119775658411498</v>
      </c>
      <c r="H692" s="40">
        <v>17.579688979321727</v>
      </c>
      <c r="K692" s="40">
        <v>4.3918553067670469</v>
      </c>
    </row>
    <row r="693" spans="1:11" x14ac:dyDescent="0.3">
      <c r="A693" t="s">
        <v>749</v>
      </c>
      <c r="B693">
        <v>418.96</v>
      </c>
      <c r="C693" t="s">
        <v>69</v>
      </c>
      <c r="D693">
        <v>16</v>
      </c>
      <c r="E693">
        <v>19.05</v>
      </c>
      <c r="F693" t="s">
        <v>110</v>
      </c>
      <c r="G693">
        <v>2</v>
      </c>
      <c r="H693">
        <v>17.579999999999998</v>
      </c>
      <c r="I693" t="s">
        <v>137</v>
      </c>
      <c r="J693">
        <v>18</v>
      </c>
      <c r="K693">
        <v>4.3899999999999997</v>
      </c>
    </row>
    <row r="694" spans="1:11" s="40" customFormat="1" x14ac:dyDescent="0.3">
      <c r="A694" s="41" t="s">
        <v>976</v>
      </c>
      <c r="B694" s="40">
        <f>D693*E694+G693*H694+J693*K694</f>
        <v>418.96354143429835</v>
      </c>
      <c r="E694" s="40">
        <v>19.046922997115502</v>
      </c>
      <c r="H694" s="40">
        <v>17.579688979321727</v>
      </c>
      <c r="K694" s="40">
        <v>4.3918553067670469</v>
      </c>
    </row>
    <row r="695" spans="1:11" x14ac:dyDescent="0.3">
      <c r="A695" t="s">
        <v>751</v>
      </c>
      <c r="B695">
        <v>224.19</v>
      </c>
      <c r="C695" t="s">
        <v>65</v>
      </c>
      <c r="D695">
        <v>15</v>
      </c>
      <c r="E695">
        <v>13.19</v>
      </c>
      <c r="F695" t="s">
        <v>72</v>
      </c>
      <c r="G695">
        <v>2</v>
      </c>
      <c r="H695">
        <v>13.19</v>
      </c>
    </row>
    <row r="696" spans="1:11" s="40" customFormat="1" x14ac:dyDescent="0.3">
      <c r="A696" s="41" t="s">
        <v>976</v>
      </c>
      <c r="B696" s="40">
        <f>D695*E696+G695*H696+J695*K696</f>
        <v>224.19359671394687</v>
      </c>
      <c r="E696" s="40">
        <v>13.187858630232169</v>
      </c>
      <c r="H696" s="40">
        <v>13.187858630232169</v>
      </c>
    </row>
    <row r="697" spans="1:11" x14ac:dyDescent="0.3">
      <c r="A697" t="s">
        <v>750</v>
      </c>
      <c r="B697">
        <v>224.19</v>
      </c>
      <c r="C697" t="s">
        <v>65</v>
      </c>
      <c r="D697">
        <v>15</v>
      </c>
      <c r="E697">
        <v>13.19</v>
      </c>
      <c r="F697" t="s">
        <v>72</v>
      </c>
      <c r="G697">
        <v>2</v>
      </c>
      <c r="H697">
        <v>13.19</v>
      </c>
    </row>
    <row r="698" spans="1:11" s="40" customFormat="1" x14ac:dyDescent="0.3">
      <c r="A698" s="41" t="s">
        <v>976</v>
      </c>
      <c r="B698" s="40">
        <f>D697*E698+G697*H698+J697*K698</f>
        <v>224.19359671394687</v>
      </c>
      <c r="E698" s="40">
        <v>13.187858630232169</v>
      </c>
      <c r="H698" s="40">
        <v>13.187858630232169</v>
      </c>
    </row>
    <row r="699" spans="1:11" x14ac:dyDescent="0.3">
      <c r="A699" t="s">
        <v>752</v>
      </c>
      <c r="B699">
        <v>180.21</v>
      </c>
      <c r="C699" t="s">
        <v>27</v>
      </c>
      <c r="D699">
        <v>15</v>
      </c>
      <c r="E699">
        <v>10.26</v>
      </c>
      <c r="F699" t="s">
        <v>72</v>
      </c>
      <c r="G699">
        <v>2</v>
      </c>
      <c r="H699">
        <v>13.19</v>
      </c>
    </row>
    <row r="700" spans="1:11" s="40" customFormat="1" x14ac:dyDescent="0.3">
      <c r="A700" s="41" t="s">
        <v>976</v>
      </c>
      <c r="B700" s="40">
        <f>D699*E700+G699*H700+J699*K700</f>
        <v>180.21317744609115</v>
      </c>
      <c r="E700" s="40">
        <v>10.255830679041788</v>
      </c>
      <c r="H700" s="40">
        <v>13.187858630232169</v>
      </c>
    </row>
    <row r="701" spans="1:11" x14ac:dyDescent="0.3">
      <c r="A701" t="s">
        <v>753</v>
      </c>
      <c r="B701">
        <v>180.21</v>
      </c>
      <c r="C701" t="s">
        <v>27</v>
      </c>
      <c r="D701">
        <v>15</v>
      </c>
      <c r="E701">
        <v>10.26</v>
      </c>
      <c r="F701" t="s">
        <v>72</v>
      </c>
      <c r="G701">
        <v>2</v>
      </c>
      <c r="H701">
        <v>13.19</v>
      </c>
    </row>
    <row r="702" spans="1:11" s="40" customFormat="1" x14ac:dyDescent="0.3">
      <c r="A702" s="41" t="s">
        <v>976</v>
      </c>
      <c r="B702" s="40">
        <f>D701*E702+G701*H702+J701*K702</f>
        <v>180.21317744609115</v>
      </c>
      <c r="E702" s="40">
        <v>10.255830679041788</v>
      </c>
      <c r="H702" s="40">
        <v>13.187858630232169</v>
      </c>
    </row>
    <row r="703" spans="1:11" x14ac:dyDescent="0.3">
      <c r="A703" t="s">
        <v>755</v>
      </c>
      <c r="B703">
        <v>180.21</v>
      </c>
      <c r="C703" t="s">
        <v>27</v>
      </c>
      <c r="D703">
        <v>15</v>
      </c>
      <c r="E703">
        <v>10.26</v>
      </c>
      <c r="F703" t="s">
        <v>72</v>
      </c>
      <c r="G703">
        <v>2</v>
      </c>
      <c r="H703">
        <v>13.19</v>
      </c>
    </row>
    <row r="704" spans="1:11" s="40" customFormat="1" x14ac:dyDescent="0.3">
      <c r="A704" s="41" t="s">
        <v>976</v>
      </c>
      <c r="B704" s="40">
        <f>D703*E704+G703*H704+J703*K704</f>
        <v>180.21317744609115</v>
      </c>
      <c r="E704" s="40">
        <v>10.255830679041788</v>
      </c>
      <c r="H704" s="40">
        <v>13.187858630232169</v>
      </c>
    </row>
    <row r="705" spans="1:8" x14ac:dyDescent="0.3">
      <c r="A705" t="s">
        <v>756</v>
      </c>
      <c r="B705">
        <v>224.19</v>
      </c>
      <c r="C705" t="s">
        <v>65</v>
      </c>
      <c r="D705">
        <v>15</v>
      </c>
      <c r="E705">
        <v>13.19</v>
      </c>
      <c r="F705" t="s">
        <v>72</v>
      </c>
      <c r="G705">
        <v>2</v>
      </c>
      <c r="H705">
        <v>13.19</v>
      </c>
    </row>
    <row r="706" spans="1:8" s="40" customFormat="1" x14ac:dyDescent="0.3">
      <c r="A706" s="41" t="s">
        <v>976</v>
      </c>
      <c r="B706" s="40">
        <f>D705*E706+G705*H706+J705*K706</f>
        <v>224.19359671394687</v>
      </c>
      <c r="E706" s="40">
        <v>13.187858630232169</v>
      </c>
      <c r="H706" s="40">
        <v>13.187858630232169</v>
      </c>
    </row>
    <row r="707" spans="1:8" x14ac:dyDescent="0.3">
      <c r="A707" t="s">
        <v>754</v>
      </c>
      <c r="B707">
        <v>268.17</v>
      </c>
      <c r="C707" t="s">
        <v>31</v>
      </c>
      <c r="D707">
        <v>15</v>
      </c>
      <c r="E707">
        <v>16.12</v>
      </c>
      <c r="F707" t="s">
        <v>74</v>
      </c>
      <c r="G707">
        <v>2</v>
      </c>
      <c r="H707">
        <v>13.19</v>
      </c>
    </row>
    <row r="708" spans="1:8" s="40" customFormat="1" x14ac:dyDescent="0.3">
      <c r="A708" s="41" t="s">
        <v>976</v>
      </c>
      <c r="B708" s="40">
        <f>D707*E708+G707*H708+J707*K708</f>
        <v>268.17235213663679</v>
      </c>
      <c r="E708" s="40">
        <v>16.119775658411498</v>
      </c>
      <c r="H708" s="40">
        <v>13.187858630232169</v>
      </c>
    </row>
    <row r="709" spans="1:8" x14ac:dyDescent="0.3">
      <c r="A709" t="s">
        <v>757</v>
      </c>
      <c r="B709">
        <v>312.08</v>
      </c>
      <c r="C709" t="s">
        <v>69</v>
      </c>
      <c r="D709">
        <v>15</v>
      </c>
      <c r="E709">
        <v>19.05</v>
      </c>
      <c r="F709" t="s">
        <v>74</v>
      </c>
      <c r="G709">
        <v>2</v>
      </c>
      <c r="H709">
        <v>13.19</v>
      </c>
    </row>
    <row r="710" spans="1:8" s="40" customFormat="1" x14ac:dyDescent="0.3">
      <c r="A710" s="41" t="s">
        <v>976</v>
      </c>
      <c r="B710" s="40">
        <f>D709*E710+G709*H710+J709*K710</f>
        <v>312.07956221719684</v>
      </c>
      <c r="E710" s="40">
        <v>19.046922997115502</v>
      </c>
      <c r="H710" s="40">
        <v>13.187858630232169</v>
      </c>
    </row>
    <row r="711" spans="1:8" x14ac:dyDescent="0.3">
      <c r="A711" t="s">
        <v>758</v>
      </c>
      <c r="B711">
        <v>268.17</v>
      </c>
      <c r="C711" t="s">
        <v>31</v>
      </c>
      <c r="D711">
        <v>15</v>
      </c>
      <c r="E711">
        <v>16.12</v>
      </c>
      <c r="F711" t="s">
        <v>74</v>
      </c>
      <c r="G711">
        <v>2</v>
      </c>
      <c r="H711">
        <v>13.19</v>
      </c>
    </row>
    <row r="712" spans="1:8" s="40" customFormat="1" x14ac:dyDescent="0.3">
      <c r="A712" s="41" t="s">
        <v>976</v>
      </c>
      <c r="B712" s="40">
        <f>D711*E712+G711*H712+J711*K712</f>
        <v>268.17235213663679</v>
      </c>
      <c r="E712" s="40">
        <v>16.119775658411498</v>
      </c>
      <c r="H712" s="40">
        <v>13.187858630232169</v>
      </c>
    </row>
    <row r="713" spans="1:8" x14ac:dyDescent="0.3">
      <c r="A713" t="s">
        <v>759</v>
      </c>
      <c r="B713">
        <v>268.17</v>
      </c>
      <c r="C713" t="s">
        <v>31</v>
      </c>
      <c r="D713">
        <v>15</v>
      </c>
      <c r="E713">
        <v>16.12</v>
      </c>
      <c r="F713" t="s">
        <v>74</v>
      </c>
      <c r="G713">
        <v>2</v>
      </c>
      <c r="H713">
        <v>13.19</v>
      </c>
    </row>
    <row r="714" spans="1:8" s="40" customFormat="1" x14ac:dyDescent="0.3">
      <c r="A714" s="41" t="s">
        <v>976</v>
      </c>
      <c r="B714" s="40">
        <f>D713*E714+G713*H714+J713*K714</f>
        <v>268.17235213663679</v>
      </c>
      <c r="E714" s="40">
        <v>16.119775658411498</v>
      </c>
      <c r="H714" s="40">
        <v>13.187858630232169</v>
      </c>
    </row>
    <row r="715" spans="1:8" x14ac:dyDescent="0.3">
      <c r="A715" t="s">
        <v>760</v>
      </c>
      <c r="B715">
        <v>153.84</v>
      </c>
      <c r="C715" t="s">
        <v>27</v>
      </c>
      <c r="D715">
        <v>15</v>
      </c>
      <c r="E715">
        <v>10.26</v>
      </c>
    </row>
    <row r="716" spans="1:8" s="40" customFormat="1" x14ac:dyDescent="0.3">
      <c r="A716" s="41" t="s">
        <v>976</v>
      </c>
      <c r="B716" s="40">
        <f>D715*E716+G715*H716+J715*K716</f>
        <v>153.83746018562681</v>
      </c>
      <c r="E716" s="40">
        <v>10.255830679041788</v>
      </c>
    </row>
    <row r="717" spans="1:8" x14ac:dyDescent="0.3">
      <c r="A717" t="s">
        <v>761</v>
      </c>
      <c r="B717">
        <v>395.59</v>
      </c>
      <c r="C717" t="s">
        <v>57</v>
      </c>
      <c r="D717">
        <v>14</v>
      </c>
      <c r="E717">
        <v>26.37</v>
      </c>
      <c r="F717" t="s">
        <v>83</v>
      </c>
      <c r="G717">
        <v>2</v>
      </c>
      <c r="H717">
        <v>13.19</v>
      </c>
    </row>
    <row r="718" spans="1:8" s="40" customFormat="1" x14ac:dyDescent="0.3">
      <c r="A718" s="41" t="s">
        <v>976</v>
      </c>
      <c r="B718" s="40">
        <f>D717*E718+G717*H718+J717*K718</f>
        <v>395.5922770866319</v>
      </c>
      <c r="E718" s="40">
        <v>26.372611416154825</v>
      </c>
      <c r="H718" s="40">
        <v>13.187858630232169</v>
      </c>
    </row>
    <row r="719" spans="1:8" x14ac:dyDescent="0.3">
      <c r="A719" t="s">
        <v>762</v>
      </c>
      <c r="B719">
        <v>169.96</v>
      </c>
      <c r="C719" t="s">
        <v>27</v>
      </c>
      <c r="D719">
        <v>14</v>
      </c>
      <c r="E719">
        <v>10.26</v>
      </c>
      <c r="F719" t="s">
        <v>72</v>
      </c>
      <c r="G719">
        <v>2</v>
      </c>
      <c r="H719">
        <v>13.19</v>
      </c>
    </row>
    <row r="720" spans="1:8" s="40" customFormat="1" x14ac:dyDescent="0.3">
      <c r="A720" s="41" t="s">
        <v>976</v>
      </c>
      <c r="B720" s="40">
        <f>D719*E720+G719*H720+J719*K720</f>
        <v>169.95734676704936</v>
      </c>
      <c r="E720" s="40">
        <v>10.255830679041788</v>
      </c>
      <c r="H720" s="40">
        <v>13.187858630232169</v>
      </c>
    </row>
    <row r="721" spans="1:8" x14ac:dyDescent="0.3">
      <c r="A721" t="s">
        <v>764</v>
      </c>
      <c r="B721">
        <v>169.96</v>
      </c>
      <c r="C721" t="s">
        <v>27</v>
      </c>
      <c r="D721">
        <v>14</v>
      </c>
      <c r="E721">
        <v>10.26</v>
      </c>
      <c r="F721" t="s">
        <v>72</v>
      </c>
      <c r="G721">
        <v>2</v>
      </c>
      <c r="H721">
        <v>13.19</v>
      </c>
    </row>
    <row r="722" spans="1:8" s="40" customFormat="1" x14ac:dyDescent="0.3">
      <c r="A722" s="41" t="s">
        <v>976</v>
      </c>
      <c r="B722" s="40">
        <f>D721*E722+G721*H722+J721*K722</f>
        <v>169.95734676704936</v>
      </c>
      <c r="E722" s="40">
        <v>10.255830679041788</v>
      </c>
      <c r="H722" s="40">
        <v>13.187858630232169</v>
      </c>
    </row>
    <row r="723" spans="1:8" x14ac:dyDescent="0.3">
      <c r="A723" t="s">
        <v>763</v>
      </c>
      <c r="B723">
        <v>211.01</v>
      </c>
      <c r="C723" t="s">
        <v>65</v>
      </c>
      <c r="D723">
        <v>14</v>
      </c>
      <c r="E723">
        <v>13.19</v>
      </c>
      <c r="F723" t="s">
        <v>72</v>
      </c>
      <c r="G723">
        <v>2</v>
      </c>
      <c r="H723">
        <v>13.19</v>
      </c>
    </row>
    <row r="724" spans="1:8" s="40" customFormat="1" x14ac:dyDescent="0.3">
      <c r="A724" s="41" t="s">
        <v>976</v>
      </c>
      <c r="B724" s="40">
        <f>D723*E724+G723*H724+J723*K724</f>
        <v>211.0057380837147</v>
      </c>
      <c r="E724" s="40">
        <v>13.187858630232169</v>
      </c>
      <c r="H724" s="40">
        <v>13.187858630232169</v>
      </c>
    </row>
    <row r="725" spans="1:8" x14ac:dyDescent="0.3">
      <c r="A725" t="s">
        <v>765</v>
      </c>
      <c r="B725">
        <v>211.01</v>
      </c>
      <c r="C725" t="s">
        <v>65</v>
      </c>
      <c r="D725">
        <v>14</v>
      </c>
      <c r="E725">
        <v>13.19</v>
      </c>
      <c r="F725" t="s">
        <v>72</v>
      </c>
      <c r="G725">
        <v>2</v>
      </c>
      <c r="H725">
        <v>13.19</v>
      </c>
    </row>
    <row r="726" spans="1:8" s="40" customFormat="1" x14ac:dyDescent="0.3">
      <c r="A726" s="41" t="s">
        <v>976</v>
      </c>
      <c r="B726" s="40">
        <f>D725*E726+G725*H726+J725*K726</f>
        <v>211.0057380837147</v>
      </c>
      <c r="E726" s="40">
        <v>13.187858630232169</v>
      </c>
      <c r="H726" s="40">
        <v>13.187858630232169</v>
      </c>
    </row>
    <row r="727" spans="1:8" x14ac:dyDescent="0.3">
      <c r="A727" t="s">
        <v>766</v>
      </c>
      <c r="B727">
        <v>169.96</v>
      </c>
      <c r="C727" t="s">
        <v>27</v>
      </c>
      <c r="D727">
        <v>14</v>
      </c>
      <c r="E727">
        <v>10.26</v>
      </c>
      <c r="F727" t="s">
        <v>72</v>
      </c>
      <c r="G727">
        <v>2</v>
      </c>
      <c r="H727">
        <v>13.19</v>
      </c>
    </row>
    <row r="728" spans="1:8" s="40" customFormat="1" x14ac:dyDescent="0.3">
      <c r="A728" s="41" t="s">
        <v>976</v>
      </c>
      <c r="B728" s="40">
        <f>D727*E728+G727*H728+J727*K728</f>
        <v>169.95734676704936</v>
      </c>
      <c r="E728" s="40">
        <v>10.255830679041788</v>
      </c>
      <c r="H728" s="40">
        <v>13.187858630232169</v>
      </c>
    </row>
    <row r="729" spans="1:8" x14ac:dyDescent="0.3">
      <c r="A729" t="s">
        <v>767</v>
      </c>
      <c r="B729">
        <v>169.96</v>
      </c>
      <c r="C729" t="s">
        <v>27</v>
      </c>
      <c r="D729">
        <v>14</v>
      </c>
      <c r="E729">
        <v>10.26</v>
      </c>
      <c r="F729" t="s">
        <v>72</v>
      </c>
      <c r="G729">
        <v>2</v>
      </c>
      <c r="H729">
        <v>13.19</v>
      </c>
    </row>
    <row r="730" spans="1:8" s="40" customFormat="1" x14ac:dyDescent="0.3">
      <c r="A730" s="41" t="s">
        <v>976</v>
      </c>
      <c r="B730" s="40">
        <f>D729*E730+G729*H730+J729*K730</f>
        <v>169.95734676704936</v>
      </c>
      <c r="E730" s="40">
        <v>10.255830679041788</v>
      </c>
      <c r="H730" s="40">
        <v>13.187858630232169</v>
      </c>
    </row>
    <row r="731" spans="1:8" x14ac:dyDescent="0.3">
      <c r="A731" t="s">
        <v>768</v>
      </c>
      <c r="B731">
        <v>252.05</v>
      </c>
      <c r="C731" t="s">
        <v>31</v>
      </c>
      <c r="D731">
        <v>14</v>
      </c>
      <c r="E731">
        <v>16.12</v>
      </c>
      <c r="F731" t="s">
        <v>74</v>
      </c>
      <c r="G731">
        <v>2</v>
      </c>
      <c r="H731">
        <v>13.19</v>
      </c>
    </row>
    <row r="732" spans="1:8" s="40" customFormat="1" x14ac:dyDescent="0.3">
      <c r="A732" s="41" t="s">
        <v>976</v>
      </c>
      <c r="B732" s="40">
        <f>D731*E732+G731*H732+J731*K732</f>
        <v>252.05257647822532</v>
      </c>
      <c r="E732" s="40">
        <v>16.119775658411498</v>
      </c>
      <c r="H732" s="40">
        <v>13.187858630232169</v>
      </c>
    </row>
    <row r="733" spans="1:8" x14ac:dyDescent="0.3">
      <c r="A733" t="s">
        <v>769</v>
      </c>
      <c r="B733">
        <v>252.05</v>
      </c>
      <c r="C733" t="s">
        <v>31</v>
      </c>
      <c r="D733">
        <v>14</v>
      </c>
      <c r="E733">
        <v>16.12</v>
      </c>
      <c r="F733" t="s">
        <v>74</v>
      </c>
      <c r="G733">
        <v>2</v>
      </c>
      <c r="H733">
        <v>13.19</v>
      </c>
    </row>
    <row r="734" spans="1:8" s="40" customFormat="1" x14ac:dyDescent="0.3">
      <c r="A734" s="41" t="s">
        <v>976</v>
      </c>
      <c r="B734" s="40">
        <f>D733*E734+G733*H734+J733*K734</f>
        <v>252.05257647822532</v>
      </c>
      <c r="E734" s="40">
        <v>16.119775658411498</v>
      </c>
      <c r="H734" s="40">
        <v>13.187858630232169</v>
      </c>
    </row>
    <row r="735" spans="1:8" x14ac:dyDescent="0.3">
      <c r="A735" t="s">
        <v>770</v>
      </c>
      <c r="B735">
        <v>252.05</v>
      </c>
      <c r="C735" t="s">
        <v>31</v>
      </c>
      <c r="D735">
        <v>14</v>
      </c>
      <c r="E735">
        <v>16.12</v>
      </c>
      <c r="F735" t="s">
        <v>74</v>
      </c>
      <c r="G735">
        <v>2</v>
      </c>
      <c r="H735">
        <v>13.19</v>
      </c>
    </row>
    <row r="736" spans="1:8" s="40" customFormat="1" x14ac:dyDescent="0.3">
      <c r="A736" s="41" t="s">
        <v>976</v>
      </c>
      <c r="B736" s="40">
        <f>D735*E736+G735*H736+J735*K736</f>
        <v>252.05257647822532</v>
      </c>
      <c r="E736" s="40">
        <v>16.119775658411498</v>
      </c>
      <c r="H736" s="40">
        <v>13.187858630232169</v>
      </c>
    </row>
    <row r="737" spans="1:8" x14ac:dyDescent="0.3">
      <c r="A737" t="s">
        <v>772</v>
      </c>
      <c r="B737">
        <v>252.05</v>
      </c>
      <c r="C737" t="s">
        <v>31</v>
      </c>
      <c r="D737">
        <v>14</v>
      </c>
      <c r="E737">
        <v>16.12</v>
      </c>
      <c r="F737" t="s">
        <v>74</v>
      </c>
      <c r="G737">
        <v>2</v>
      </c>
      <c r="H737">
        <v>13.19</v>
      </c>
    </row>
    <row r="738" spans="1:8" s="40" customFormat="1" x14ac:dyDescent="0.3">
      <c r="A738" s="41" t="s">
        <v>976</v>
      </c>
      <c r="B738" s="40">
        <f>D737*E738+G737*H738+J737*K738</f>
        <v>252.05257647822532</v>
      </c>
      <c r="E738" s="40">
        <v>16.119775658411498</v>
      </c>
      <c r="H738" s="40">
        <v>13.187858630232169</v>
      </c>
    </row>
    <row r="739" spans="1:8" x14ac:dyDescent="0.3">
      <c r="A739" t="s">
        <v>771</v>
      </c>
      <c r="B739">
        <v>252.05</v>
      </c>
      <c r="C739" t="s">
        <v>31</v>
      </c>
      <c r="D739">
        <v>14</v>
      </c>
      <c r="E739">
        <v>16.12</v>
      </c>
      <c r="F739" t="s">
        <v>74</v>
      </c>
      <c r="G739">
        <v>2</v>
      </c>
      <c r="H739">
        <v>13.19</v>
      </c>
    </row>
    <row r="740" spans="1:8" s="40" customFormat="1" x14ac:dyDescent="0.3">
      <c r="A740" s="41" t="s">
        <v>976</v>
      </c>
      <c r="B740" s="40">
        <f>D739*E740+G739*H740+J739*K740</f>
        <v>252.05257647822532</v>
      </c>
      <c r="E740" s="40">
        <v>16.119775658411498</v>
      </c>
      <c r="H740" s="40">
        <v>13.187858630232169</v>
      </c>
    </row>
    <row r="741" spans="1:8" x14ac:dyDescent="0.3">
      <c r="A741" t="s">
        <v>774</v>
      </c>
      <c r="B741">
        <v>252.05</v>
      </c>
      <c r="C741" t="s">
        <v>31</v>
      </c>
      <c r="D741">
        <v>14</v>
      </c>
      <c r="E741">
        <v>16.12</v>
      </c>
      <c r="F741" t="s">
        <v>74</v>
      </c>
      <c r="G741">
        <v>2</v>
      </c>
      <c r="H741">
        <v>13.19</v>
      </c>
    </row>
    <row r="742" spans="1:8" s="40" customFormat="1" x14ac:dyDescent="0.3">
      <c r="A742" s="41" t="s">
        <v>976</v>
      </c>
      <c r="B742" s="40">
        <f>D741*E742+G741*H742+J741*K742</f>
        <v>252.05257647822532</v>
      </c>
      <c r="E742" s="40">
        <v>16.119775658411498</v>
      </c>
      <c r="H742" s="40">
        <v>13.187858630232169</v>
      </c>
    </row>
    <row r="743" spans="1:8" x14ac:dyDescent="0.3">
      <c r="A743" t="s">
        <v>773</v>
      </c>
      <c r="B743">
        <v>252.05</v>
      </c>
      <c r="C743" t="s">
        <v>31</v>
      </c>
      <c r="D743">
        <v>14</v>
      </c>
      <c r="E743">
        <v>16.12</v>
      </c>
      <c r="F743" t="s">
        <v>74</v>
      </c>
      <c r="G743">
        <v>2</v>
      </c>
      <c r="H743">
        <v>13.19</v>
      </c>
    </row>
    <row r="744" spans="1:8" s="40" customFormat="1" x14ac:dyDescent="0.3">
      <c r="A744" s="41" t="s">
        <v>976</v>
      </c>
      <c r="B744" s="40">
        <f>D743*E744+G743*H744+J743*K744</f>
        <v>252.05257647822532</v>
      </c>
      <c r="E744" s="40">
        <v>16.119775658411498</v>
      </c>
      <c r="H744" s="40">
        <v>13.187858630232169</v>
      </c>
    </row>
    <row r="745" spans="1:8" x14ac:dyDescent="0.3">
      <c r="A745" t="s">
        <v>775</v>
      </c>
      <c r="B745">
        <v>252.05</v>
      </c>
      <c r="C745" t="s">
        <v>31</v>
      </c>
      <c r="D745">
        <v>14</v>
      </c>
      <c r="E745">
        <v>16.12</v>
      </c>
      <c r="F745" t="s">
        <v>74</v>
      </c>
      <c r="G745">
        <v>2</v>
      </c>
      <c r="H745">
        <v>13.19</v>
      </c>
    </row>
    <row r="746" spans="1:8" s="40" customFormat="1" x14ac:dyDescent="0.3">
      <c r="A746" s="41" t="s">
        <v>976</v>
      </c>
      <c r="B746" s="40">
        <f>D745*E746+G745*H746+J745*K746</f>
        <v>252.05257647822532</v>
      </c>
      <c r="E746" s="40">
        <v>16.119775658411498</v>
      </c>
      <c r="H746" s="40">
        <v>13.187858630232169</v>
      </c>
    </row>
    <row r="747" spans="1:8" x14ac:dyDescent="0.3">
      <c r="A747" t="s">
        <v>776</v>
      </c>
      <c r="B747">
        <v>252.05</v>
      </c>
      <c r="C747" t="s">
        <v>31</v>
      </c>
      <c r="D747">
        <v>14</v>
      </c>
      <c r="E747">
        <v>16.12</v>
      </c>
      <c r="F747" t="s">
        <v>74</v>
      </c>
      <c r="G747">
        <v>2</v>
      </c>
      <c r="H747">
        <v>13.19</v>
      </c>
    </row>
    <row r="748" spans="1:8" s="40" customFormat="1" x14ac:dyDescent="0.3">
      <c r="A748" s="41" t="s">
        <v>976</v>
      </c>
      <c r="B748" s="40">
        <f>D747*E748+G747*H748+J747*K748</f>
        <v>252.05257647822532</v>
      </c>
      <c r="E748" s="40">
        <v>16.119775658411498</v>
      </c>
      <c r="H748" s="40">
        <v>13.187858630232169</v>
      </c>
    </row>
    <row r="749" spans="1:8" x14ac:dyDescent="0.3">
      <c r="A749" t="s">
        <v>779</v>
      </c>
      <c r="B749">
        <v>252.05</v>
      </c>
      <c r="C749" t="s">
        <v>31</v>
      </c>
      <c r="D749">
        <v>14</v>
      </c>
      <c r="E749">
        <v>16.12</v>
      </c>
      <c r="F749" t="s">
        <v>74</v>
      </c>
      <c r="G749">
        <v>2</v>
      </c>
      <c r="H749">
        <v>13.19</v>
      </c>
    </row>
    <row r="750" spans="1:8" s="40" customFormat="1" x14ac:dyDescent="0.3">
      <c r="A750" s="41" t="s">
        <v>976</v>
      </c>
      <c r="B750" s="40">
        <f>D749*E750+G749*H750+J749*K750</f>
        <v>252.05257647822532</v>
      </c>
      <c r="E750" s="40">
        <v>16.119775658411498</v>
      </c>
      <c r="H750" s="40">
        <v>13.187858630232169</v>
      </c>
    </row>
    <row r="751" spans="1:8" x14ac:dyDescent="0.3">
      <c r="A751" t="s">
        <v>777</v>
      </c>
      <c r="B751">
        <v>252.05</v>
      </c>
      <c r="C751" t="s">
        <v>31</v>
      </c>
      <c r="D751">
        <v>14</v>
      </c>
      <c r="E751">
        <v>16.12</v>
      </c>
      <c r="F751" t="s">
        <v>74</v>
      </c>
      <c r="G751">
        <v>2</v>
      </c>
      <c r="H751">
        <v>13.19</v>
      </c>
    </row>
    <row r="752" spans="1:8" s="40" customFormat="1" x14ac:dyDescent="0.3">
      <c r="A752" s="41" t="s">
        <v>976</v>
      </c>
      <c r="B752" s="40">
        <f>D751*E752+G751*H752+J751*K752</f>
        <v>252.05257647822532</v>
      </c>
      <c r="E752" s="40">
        <v>16.119775658411498</v>
      </c>
      <c r="H752" s="40">
        <v>13.187858630232169</v>
      </c>
    </row>
    <row r="753" spans="1:8" x14ac:dyDescent="0.3">
      <c r="A753" t="s">
        <v>778</v>
      </c>
      <c r="B753">
        <v>252.05</v>
      </c>
      <c r="C753" t="s">
        <v>31</v>
      </c>
      <c r="D753">
        <v>14</v>
      </c>
      <c r="E753">
        <v>16.12</v>
      </c>
      <c r="F753" t="s">
        <v>74</v>
      </c>
      <c r="G753">
        <v>2</v>
      </c>
      <c r="H753">
        <v>13.19</v>
      </c>
    </row>
    <row r="754" spans="1:8" s="40" customFormat="1" x14ac:dyDescent="0.3">
      <c r="A754" s="41" t="s">
        <v>976</v>
      </c>
      <c r="B754" s="40">
        <f>D753*E754+G753*H754+J753*K754</f>
        <v>252.05257647822532</v>
      </c>
      <c r="E754" s="40">
        <v>16.119775658411498</v>
      </c>
      <c r="H754" s="40">
        <v>13.187858630232169</v>
      </c>
    </row>
    <row r="755" spans="1:8" x14ac:dyDescent="0.3">
      <c r="A755" t="s">
        <v>780</v>
      </c>
      <c r="B755">
        <v>164.09</v>
      </c>
      <c r="C755" t="s">
        <v>27</v>
      </c>
      <c r="D755">
        <v>14</v>
      </c>
      <c r="E755">
        <v>10.26</v>
      </c>
      <c r="F755" t="s">
        <v>87</v>
      </c>
      <c r="G755">
        <v>2</v>
      </c>
      <c r="H755">
        <v>10.26</v>
      </c>
    </row>
    <row r="756" spans="1:8" s="40" customFormat="1" x14ac:dyDescent="0.3">
      <c r="A756" s="41" t="s">
        <v>976</v>
      </c>
      <c r="B756" s="40">
        <f>D755*E756+G755*H756+J755*K756</f>
        <v>164.0932908646686</v>
      </c>
      <c r="E756" s="40">
        <v>10.255830679041788</v>
      </c>
      <c r="H756" s="40">
        <v>10.255830679041788</v>
      </c>
    </row>
    <row r="757" spans="1:8" x14ac:dyDescent="0.3">
      <c r="A757" t="s">
        <v>781</v>
      </c>
      <c r="B757">
        <v>246.19</v>
      </c>
      <c r="C757" t="s">
        <v>31</v>
      </c>
      <c r="D757">
        <v>14</v>
      </c>
      <c r="E757">
        <v>16.12</v>
      </c>
      <c r="F757" t="s">
        <v>89</v>
      </c>
      <c r="G757">
        <v>2</v>
      </c>
      <c r="H757">
        <v>10.26</v>
      </c>
    </row>
    <row r="758" spans="1:8" s="40" customFormat="1" x14ac:dyDescent="0.3">
      <c r="A758" s="41" t="s">
        <v>976</v>
      </c>
      <c r="B758" s="40">
        <f>D757*E758+G757*H758+J757*K758</f>
        <v>246.18852057584456</v>
      </c>
      <c r="E758" s="40">
        <v>16.119775658411498</v>
      </c>
      <c r="H758" s="40">
        <v>10.255830679041788</v>
      </c>
    </row>
    <row r="759" spans="1:8" x14ac:dyDescent="0.3">
      <c r="A759" t="s">
        <v>782</v>
      </c>
      <c r="B759">
        <v>159.69999999999999</v>
      </c>
      <c r="C759" t="s">
        <v>27</v>
      </c>
      <c r="D759">
        <v>13</v>
      </c>
      <c r="E759">
        <v>10.26</v>
      </c>
      <c r="F759" t="s">
        <v>72</v>
      </c>
      <c r="G759">
        <v>2</v>
      </c>
      <c r="H759">
        <v>13.19</v>
      </c>
    </row>
    <row r="760" spans="1:8" s="40" customFormat="1" x14ac:dyDescent="0.3">
      <c r="A760" s="41" t="s">
        <v>976</v>
      </c>
      <c r="B760" s="40">
        <f>D759*E760+G759*H760+J759*K760</f>
        <v>159.70151608800759</v>
      </c>
      <c r="E760" s="40">
        <v>10.255830679041788</v>
      </c>
      <c r="H760" s="40">
        <v>13.187858630232169</v>
      </c>
    </row>
    <row r="761" spans="1:8" x14ac:dyDescent="0.3">
      <c r="A761" t="s">
        <v>783</v>
      </c>
      <c r="B761">
        <v>230.07</v>
      </c>
      <c r="C761" t="s">
        <v>67</v>
      </c>
      <c r="D761">
        <v>13</v>
      </c>
      <c r="E761">
        <v>16.12</v>
      </c>
      <c r="F761" t="s">
        <v>89</v>
      </c>
      <c r="G761">
        <v>2</v>
      </c>
      <c r="H761">
        <v>10.26</v>
      </c>
    </row>
    <row r="762" spans="1:8" s="40" customFormat="1" x14ac:dyDescent="0.3">
      <c r="A762" s="41" t="s">
        <v>976</v>
      </c>
      <c r="B762" s="40">
        <f>D761*E762+G761*H762+J761*K762</f>
        <v>230.06874491743307</v>
      </c>
      <c r="E762" s="40">
        <v>16.119775658411498</v>
      </c>
      <c r="H762" s="40">
        <v>10.255830679041788</v>
      </c>
    </row>
    <row r="763" spans="1:8" x14ac:dyDescent="0.3">
      <c r="A763" t="s">
        <v>784</v>
      </c>
      <c r="B763">
        <v>133.33000000000001</v>
      </c>
      <c r="C763" t="s">
        <v>27</v>
      </c>
      <c r="D763">
        <v>13</v>
      </c>
      <c r="E763">
        <v>10.26</v>
      </c>
    </row>
    <row r="764" spans="1:8" s="40" customFormat="1" x14ac:dyDescent="0.3">
      <c r="A764" s="41" t="s">
        <v>976</v>
      </c>
      <c r="B764" s="40">
        <f>D763*E764+G763*H764+J763*K764</f>
        <v>133.32579882754325</v>
      </c>
      <c r="E764" s="40">
        <v>10.255830679041788</v>
      </c>
    </row>
    <row r="765" spans="1:8" x14ac:dyDescent="0.3">
      <c r="A765" t="s">
        <v>785</v>
      </c>
      <c r="B765">
        <v>342.85</v>
      </c>
      <c r="C765" t="s">
        <v>57</v>
      </c>
      <c r="D765">
        <v>12</v>
      </c>
      <c r="E765">
        <v>26.37</v>
      </c>
      <c r="F765" t="s">
        <v>83</v>
      </c>
      <c r="G765">
        <v>2</v>
      </c>
      <c r="H765">
        <v>13.19</v>
      </c>
    </row>
    <row r="766" spans="1:8" s="40" customFormat="1" x14ac:dyDescent="0.3">
      <c r="A766" s="41" t="s">
        <v>976</v>
      </c>
      <c r="B766" s="40">
        <f>D765*E766+G765*H766+J765*K766</f>
        <v>342.84705425432225</v>
      </c>
      <c r="E766" s="40">
        <v>26.372611416154825</v>
      </c>
      <c r="H766" s="40">
        <v>13.187858630232169</v>
      </c>
    </row>
    <row r="767" spans="1:8" x14ac:dyDescent="0.3">
      <c r="A767" t="s">
        <v>787</v>
      </c>
      <c r="B767">
        <v>342.85</v>
      </c>
      <c r="C767" t="s">
        <v>57</v>
      </c>
      <c r="D767">
        <v>12</v>
      </c>
      <c r="E767">
        <v>26.37</v>
      </c>
      <c r="F767" t="s">
        <v>83</v>
      </c>
      <c r="G767">
        <v>2</v>
      </c>
      <c r="H767">
        <v>13.19</v>
      </c>
    </row>
    <row r="768" spans="1:8" s="40" customFormat="1" x14ac:dyDescent="0.3">
      <c r="A768" s="41" t="s">
        <v>976</v>
      </c>
      <c r="B768" s="40">
        <f>D767*E768+G767*H768+J767*K768</f>
        <v>342.84705425432225</v>
      </c>
      <c r="E768" s="40">
        <v>26.372611416154825</v>
      </c>
      <c r="H768" s="40">
        <v>13.187858630232169</v>
      </c>
    </row>
    <row r="769" spans="1:8" x14ac:dyDescent="0.3">
      <c r="A769" t="s">
        <v>786</v>
      </c>
      <c r="B769">
        <v>307.69</v>
      </c>
      <c r="C769" t="s">
        <v>53</v>
      </c>
      <c r="D769">
        <v>12</v>
      </c>
      <c r="E769">
        <v>23.44</v>
      </c>
      <c r="F769" t="s">
        <v>81</v>
      </c>
      <c r="G769">
        <v>2</v>
      </c>
      <c r="H769">
        <v>13.19</v>
      </c>
    </row>
    <row r="770" spans="1:8" s="40" customFormat="1" x14ac:dyDescent="0.3">
      <c r="A770" s="41" t="s">
        <v>976</v>
      </c>
      <c r="B770" s="40">
        <f>D769*E770+G769*H770+J769*K770</f>
        <v>307.68534713429267</v>
      </c>
      <c r="E770" s="40">
        <v>23.442469156152359</v>
      </c>
      <c r="H770" s="40">
        <v>13.187858630232169</v>
      </c>
    </row>
    <row r="771" spans="1:8" x14ac:dyDescent="0.3">
      <c r="A771" t="s">
        <v>789</v>
      </c>
      <c r="B771">
        <v>342.85</v>
      </c>
      <c r="C771" t="s">
        <v>57</v>
      </c>
      <c r="D771">
        <v>12</v>
      </c>
      <c r="E771">
        <v>26.37</v>
      </c>
      <c r="F771" t="s">
        <v>83</v>
      </c>
      <c r="G771">
        <v>2</v>
      </c>
      <c r="H771">
        <v>13.19</v>
      </c>
    </row>
    <row r="772" spans="1:8" s="40" customFormat="1" x14ac:dyDescent="0.3">
      <c r="A772" s="41" t="s">
        <v>976</v>
      </c>
      <c r="B772" s="40">
        <f>D771*E772+G771*H772+J771*K772</f>
        <v>342.84705425432225</v>
      </c>
      <c r="E772" s="40">
        <v>26.372611416154825</v>
      </c>
      <c r="H772" s="40">
        <v>13.187858630232169</v>
      </c>
    </row>
    <row r="773" spans="1:8" x14ac:dyDescent="0.3">
      <c r="A773" t="s">
        <v>788</v>
      </c>
      <c r="B773">
        <v>342.85</v>
      </c>
      <c r="C773" t="s">
        <v>57</v>
      </c>
      <c r="D773">
        <v>12</v>
      </c>
      <c r="E773">
        <v>26.37</v>
      </c>
      <c r="F773" t="s">
        <v>83</v>
      </c>
      <c r="G773">
        <v>2</v>
      </c>
      <c r="H773">
        <v>13.19</v>
      </c>
    </row>
    <row r="774" spans="1:8" s="40" customFormat="1" x14ac:dyDescent="0.3">
      <c r="A774" s="41" t="s">
        <v>976</v>
      </c>
      <c r="B774" s="40">
        <f>D773*E774+G773*H774+J773*K774</f>
        <v>342.84705425432225</v>
      </c>
      <c r="E774" s="40">
        <v>26.372611416154825</v>
      </c>
      <c r="H774" s="40">
        <v>13.187858630232169</v>
      </c>
    </row>
    <row r="775" spans="1:8" x14ac:dyDescent="0.3">
      <c r="A775" t="s">
        <v>790</v>
      </c>
      <c r="B775">
        <v>404.37</v>
      </c>
      <c r="C775" t="s">
        <v>59</v>
      </c>
      <c r="D775">
        <v>12</v>
      </c>
      <c r="E775">
        <v>29.3</v>
      </c>
      <c r="F775" t="s">
        <v>85</v>
      </c>
      <c r="G775">
        <v>2</v>
      </c>
      <c r="H775">
        <v>26.36</v>
      </c>
    </row>
    <row r="776" spans="1:8" s="40" customFormat="1" x14ac:dyDescent="0.3">
      <c r="A776" s="41" t="s">
        <v>976</v>
      </c>
      <c r="B776" s="40">
        <f>D775*E776+G775*H776+J775*K776</f>
        <v>404.36784018315802</v>
      </c>
      <c r="E776" s="40">
        <v>29.303419214223613</v>
      </c>
      <c r="H776" s="40">
        <v>26.363404806237337</v>
      </c>
    </row>
    <row r="777" spans="1:8" x14ac:dyDescent="0.3">
      <c r="A777" t="s">
        <v>792</v>
      </c>
      <c r="B777">
        <v>114.26</v>
      </c>
      <c r="C777" t="s">
        <v>24</v>
      </c>
      <c r="D777">
        <v>12</v>
      </c>
      <c r="E777">
        <v>7.32</v>
      </c>
      <c r="F777" t="s">
        <v>72</v>
      </c>
      <c r="G777">
        <v>2</v>
      </c>
      <c r="H777">
        <v>13.19</v>
      </c>
    </row>
    <row r="778" spans="1:8" s="40" customFormat="1" x14ac:dyDescent="0.3">
      <c r="A778" s="41" t="s">
        <v>976</v>
      </c>
      <c r="B778" s="40">
        <f>D777*E778+G777*H778+J777*K778</f>
        <v>114.2613499946812</v>
      </c>
      <c r="E778" s="40">
        <v>7.3238027278514046</v>
      </c>
      <c r="H778" s="40">
        <v>13.187858630232169</v>
      </c>
    </row>
    <row r="779" spans="1:8" x14ac:dyDescent="0.3">
      <c r="A779" t="s">
        <v>791</v>
      </c>
      <c r="B779">
        <v>404.37</v>
      </c>
      <c r="C779" t="s">
        <v>59</v>
      </c>
      <c r="D779">
        <v>12</v>
      </c>
      <c r="E779">
        <v>29.3</v>
      </c>
      <c r="F779" t="s">
        <v>85</v>
      </c>
      <c r="G779">
        <v>2</v>
      </c>
      <c r="H779">
        <v>26.36</v>
      </c>
    </row>
    <row r="780" spans="1:8" s="40" customFormat="1" x14ac:dyDescent="0.3">
      <c r="A780" s="41" t="s">
        <v>976</v>
      </c>
      <c r="B780" s="40">
        <f>D779*E780+G779*H780+J779*K780</f>
        <v>404.36784018315802</v>
      </c>
      <c r="E780" s="40">
        <v>29.303419214223613</v>
      </c>
      <c r="H780" s="40">
        <v>26.363404806237337</v>
      </c>
    </row>
    <row r="781" spans="1:8" x14ac:dyDescent="0.3">
      <c r="A781" t="s">
        <v>793</v>
      </c>
      <c r="B781">
        <v>114.26</v>
      </c>
      <c r="C781" t="s">
        <v>24</v>
      </c>
      <c r="D781">
        <v>12</v>
      </c>
      <c r="E781">
        <v>7.32</v>
      </c>
      <c r="F781" t="s">
        <v>72</v>
      </c>
      <c r="G781">
        <v>2</v>
      </c>
      <c r="H781">
        <v>13.19</v>
      </c>
    </row>
    <row r="782" spans="1:8" s="40" customFormat="1" x14ac:dyDescent="0.3">
      <c r="A782" s="41" t="s">
        <v>976</v>
      </c>
      <c r="B782" s="40">
        <f>D781*E782+G781*H782+J781*K782</f>
        <v>114.2613499946812</v>
      </c>
      <c r="E782" s="40">
        <v>7.3238027278514046</v>
      </c>
      <c r="H782" s="40">
        <v>13.187858630232169</v>
      </c>
    </row>
    <row r="783" spans="1:8" x14ac:dyDescent="0.3">
      <c r="A783" t="s">
        <v>794</v>
      </c>
      <c r="B783">
        <v>114.26</v>
      </c>
      <c r="C783" t="s">
        <v>24</v>
      </c>
      <c r="D783">
        <v>12</v>
      </c>
      <c r="E783">
        <v>7.32</v>
      </c>
      <c r="F783" t="s">
        <v>72</v>
      </c>
      <c r="G783">
        <v>2</v>
      </c>
      <c r="H783">
        <v>13.19</v>
      </c>
    </row>
    <row r="784" spans="1:8" s="40" customFormat="1" x14ac:dyDescent="0.3">
      <c r="A784" s="41" t="s">
        <v>976</v>
      </c>
      <c r="B784" s="40">
        <f>D783*E784+G783*H784+J783*K784</f>
        <v>114.2613499946812</v>
      </c>
      <c r="E784" s="40">
        <v>7.3238027278514046</v>
      </c>
      <c r="H784" s="40">
        <v>13.187858630232169</v>
      </c>
    </row>
    <row r="785" spans="1:11" x14ac:dyDescent="0.3">
      <c r="A785" t="s">
        <v>795</v>
      </c>
      <c r="B785">
        <v>290.08</v>
      </c>
      <c r="C785" t="s">
        <v>27</v>
      </c>
      <c r="D785">
        <v>12</v>
      </c>
      <c r="E785">
        <v>10.26</v>
      </c>
      <c r="F785" t="s">
        <v>72</v>
      </c>
      <c r="G785">
        <v>2</v>
      </c>
      <c r="H785">
        <v>13.19</v>
      </c>
      <c r="I785" t="s">
        <v>160</v>
      </c>
      <c r="J785">
        <v>8</v>
      </c>
      <c r="K785">
        <v>17.579999999999998</v>
      </c>
    </row>
    <row r="786" spans="1:11" s="40" customFormat="1" x14ac:dyDescent="0.3">
      <c r="A786" s="41" t="s">
        <v>976</v>
      </c>
      <c r="B786" s="40">
        <f>D785*E786+G785*H786+J785*K786</f>
        <v>290.08319724353964</v>
      </c>
      <c r="E786" s="40">
        <v>10.255830679041788</v>
      </c>
      <c r="H786" s="40">
        <v>13.187858630232169</v>
      </c>
      <c r="K786" s="40">
        <v>17.579688979321727</v>
      </c>
    </row>
    <row r="787" spans="1:11" x14ac:dyDescent="0.3">
      <c r="A787" t="s">
        <v>796</v>
      </c>
      <c r="B787">
        <v>149.44999999999999</v>
      </c>
      <c r="C787" t="s">
        <v>27</v>
      </c>
      <c r="D787">
        <v>12</v>
      </c>
      <c r="E787">
        <v>10.26</v>
      </c>
      <c r="F787" t="s">
        <v>72</v>
      </c>
      <c r="G787">
        <v>2</v>
      </c>
      <c r="H787">
        <v>13.19</v>
      </c>
    </row>
    <row r="788" spans="1:11" s="40" customFormat="1" x14ac:dyDescent="0.3">
      <c r="A788" s="41" t="s">
        <v>976</v>
      </c>
      <c r="B788" s="40">
        <f>D787*E788+G787*H788+J787*K788</f>
        <v>149.4456854089658</v>
      </c>
      <c r="E788" s="40">
        <v>10.255830679041788</v>
      </c>
      <c r="H788" s="40">
        <v>13.187858630232169</v>
      </c>
    </row>
    <row r="789" spans="1:11" x14ac:dyDescent="0.3">
      <c r="A789" t="s">
        <v>797</v>
      </c>
      <c r="B789">
        <v>184.63</v>
      </c>
      <c r="C789" t="s">
        <v>65</v>
      </c>
      <c r="D789">
        <v>12</v>
      </c>
      <c r="E789">
        <v>13.19</v>
      </c>
      <c r="F789" t="s">
        <v>72</v>
      </c>
      <c r="G789">
        <v>2</v>
      </c>
      <c r="H789">
        <v>13.19</v>
      </c>
    </row>
    <row r="790" spans="1:11" s="40" customFormat="1" x14ac:dyDescent="0.3">
      <c r="A790" s="41" t="s">
        <v>976</v>
      </c>
      <c r="B790" s="40">
        <f>D789*E790+G789*H790+J789*K790</f>
        <v>184.63002082325036</v>
      </c>
      <c r="E790" s="40">
        <v>13.187858630232169</v>
      </c>
      <c r="H790" s="40">
        <v>13.187858630232169</v>
      </c>
    </row>
    <row r="791" spans="1:11" x14ac:dyDescent="0.3">
      <c r="A791" t="s">
        <v>798</v>
      </c>
      <c r="B791">
        <v>149.44999999999999</v>
      </c>
      <c r="C791" t="s">
        <v>27</v>
      </c>
      <c r="D791">
        <v>12</v>
      </c>
      <c r="E791">
        <v>10.26</v>
      </c>
      <c r="F791" t="s">
        <v>72</v>
      </c>
      <c r="G791">
        <v>2</v>
      </c>
      <c r="H791">
        <v>13.19</v>
      </c>
    </row>
    <row r="792" spans="1:11" s="40" customFormat="1" x14ac:dyDescent="0.3">
      <c r="A792" s="41" t="s">
        <v>976</v>
      </c>
      <c r="B792" s="40">
        <f>D791*E792+G791*H792+J791*K792</f>
        <v>149.4456854089658</v>
      </c>
      <c r="E792" s="40">
        <v>10.255830679041788</v>
      </c>
      <c r="H792" s="40">
        <v>13.187858630232169</v>
      </c>
    </row>
    <row r="793" spans="1:11" x14ac:dyDescent="0.3">
      <c r="A793" t="s">
        <v>800</v>
      </c>
      <c r="B793">
        <v>184.63</v>
      </c>
      <c r="C793" t="s">
        <v>65</v>
      </c>
      <c r="D793">
        <v>12</v>
      </c>
      <c r="E793">
        <v>13.19</v>
      </c>
      <c r="F793" t="s">
        <v>72</v>
      </c>
      <c r="G793">
        <v>2</v>
      </c>
      <c r="H793">
        <v>13.19</v>
      </c>
    </row>
    <row r="794" spans="1:11" s="40" customFormat="1" x14ac:dyDescent="0.3">
      <c r="A794" s="41" t="s">
        <v>976</v>
      </c>
      <c r="B794" s="40">
        <f>D793*E794+G793*H794+J793*K794</f>
        <v>184.63002082325036</v>
      </c>
      <c r="E794" s="40">
        <v>13.187858630232169</v>
      </c>
      <c r="H794" s="40">
        <v>13.187858630232169</v>
      </c>
    </row>
    <row r="795" spans="1:11" x14ac:dyDescent="0.3">
      <c r="A795" t="s">
        <v>799</v>
      </c>
      <c r="B795">
        <v>149.44999999999999</v>
      </c>
      <c r="C795" t="s">
        <v>27</v>
      </c>
      <c r="D795">
        <v>12</v>
      </c>
      <c r="E795">
        <v>10.26</v>
      </c>
      <c r="F795" t="s">
        <v>72</v>
      </c>
      <c r="G795">
        <v>2</v>
      </c>
      <c r="H795">
        <v>13.19</v>
      </c>
    </row>
    <row r="796" spans="1:11" s="40" customFormat="1" x14ac:dyDescent="0.3">
      <c r="A796" s="41" t="s">
        <v>976</v>
      </c>
      <c r="B796" s="40">
        <f>D795*E796+G795*H796+J795*K796</f>
        <v>149.4456854089658</v>
      </c>
      <c r="E796" s="40">
        <v>10.255830679041788</v>
      </c>
      <c r="H796" s="40">
        <v>13.187858630232169</v>
      </c>
    </row>
    <row r="797" spans="1:11" x14ac:dyDescent="0.3">
      <c r="A797" t="s">
        <v>801</v>
      </c>
      <c r="B797">
        <v>184.63</v>
      </c>
      <c r="C797" t="s">
        <v>65</v>
      </c>
      <c r="D797">
        <v>12</v>
      </c>
      <c r="E797">
        <v>13.19</v>
      </c>
      <c r="F797" t="s">
        <v>72</v>
      </c>
      <c r="G797">
        <v>2</v>
      </c>
      <c r="H797">
        <v>13.19</v>
      </c>
    </row>
    <row r="798" spans="1:11" s="40" customFormat="1" x14ac:dyDescent="0.3">
      <c r="A798" s="41" t="s">
        <v>976</v>
      </c>
      <c r="B798" s="40">
        <f>D797*E798+G797*H798+J797*K798</f>
        <v>184.63002082325036</v>
      </c>
      <c r="E798" s="40">
        <v>13.187858630232169</v>
      </c>
      <c r="H798" s="40">
        <v>13.187858630232169</v>
      </c>
    </row>
    <row r="799" spans="1:11" x14ac:dyDescent="0.3">
      <c r="A799" t="s">
        <v>802</v>
      </c>
      <c r="B799">
        <v>149.44999999999999</v>
      </c>
      <c r="C799" t="s">
        <v>27</v>
      </c>
      <c r="D799">
        <v>12</v>
      </c>
      <c r="E799">
        <v>10.26</v>
      </c>
      <c r="F799" t="s">
        <v>72</v>
      </c>
      <c r="G799">
        <v>2</v>
      </c>
      <c r="H799">
        <v>13.19</v>
      </c>
    </row>
    <row r="800" spans="1:11" s="40" customFormat="1" x14ac:dyDescent="0.3">
      <c r="A800" s="41" t="s">
        <v>976</v>
      </c>
      <c r="B800" s="40">
        <f>D799*E800+G799*H800+J799*K800</f>
        <v>149.4456854089658</v>
      </c>
      <c r="E800" s="40">
        <v>10.255830679041788</v>
      </c>
      <c r="H800" s="40">
        <v>13.187858630232169</v>
      </c>
    </row>
    <row r="801" spans="1:11" x14ac:dyDescent="0.3">
      <c r="A801" t="s">
        <v>803</v>
      </c>
      <c r="B801">
        <v>149.44999999999999</v>
      </c>
      <c r="C801" t="s">
        <v>27</v>
      </c>
      <c r="D801">
        <v>12</v>
      </c>
      <c r="E801">
        <v>10.26</v>
      </c>
      <c r="F801" t="s">
        <v>72</v>
      </c>
      <c r="G801">
        <v>2</v>
      </c>
      <c r="H801">
        <v>13.19</v>
      </c>
    </row>
    <row r="802" spans="1:11" s="40" customFormat="1" x14ac:dyDescent="0.3">
      <c r="A802" s="41" t="s">
        <v>976</v>
      </c>
      <c r="B802" s="40">
        <f>D801*E802+G801*H802+J801*K802</f>
        <v>149.4456854089658</v>
      </c>
      <c r="E802" s="40">
        <v>10.255830679041788</v>
      </c>
      <c r="H802" s="40">
        <v>13.187858630232169</v>
      </c>
    </row>
    <row r="803" spans="1:11" x14ac:dyDescent="0.3">
      <c r="A803" t="s">
        <v>804</v>
      </c>
      <c r="B803">
        <v>184.63</v>
      </c>
      <c r="C803" t="s">
        <v>65</v>
      </c>
      <c r="D803">
        <v>12</v>
      </c>
      <c r="E803">
        <v>13.19</v>
      </c>
      <c r="F803" t="s">
        <v>72</v>
      </c>
      <c r="G803">
        <v>2</v>
      </c>
      <c r="H803">
        <v>13.19</v>
      </c>
    </row>
    <row r="804" spans="1:11" s="40" customFormat="1" x14ac:dyDescent="0.3">
      <c r="A804" s="41" t="s">
        <v>976</v>
      </c>
      <c r="B804" s="40">
        <f>D803*E804+G803*H804+J803*K804</f>
        <v>184.63002082325036</v>
      </c>
      <c r="E804" s="40">
        <v>13.187858630232169</v>
      </c>
      <c r="H804" s="40">
        <v>13.187858630232169</v>
      </c>
    </row>
    <row r="805" spans="1:11" x14ac:dyDescent="0.3">
      <c r="A805" t="s">
        <v>805</v>
      </c>
      <c r="B805">
        <v>149.44999999999999</v>
      </c>
      <c r="C805" t="s">
        <v>27</v>
      </c>
      <c r="D805">
        <v>12</v>
      </c>
      <c r="E805">
        <v>10.26</v>
      </c>
      <c r="F805" t="s">
        <v>72</v>
      </c>
      <c r="G805">
        <v>2</v>
      </c>
      <c r="H805">
        <v>13.19</v>
      </c>
    </row>
    <row r="806" spans="1:11" s="40" customFormat="1" x14ac:dyDescent="0.3">
      <c r="A806" s="41" t="s">
        <v>976</v>
      </c>
      <c r="B806" s="40">
        <f>D805*E806+G805*H806+J805*K806</f>
        <v>149.4456854089658</v>
      </c>
      <c r="E806" s="40">
        <v>10.255830679041788</v>
      </c>
      <c r="H806" s="40">
        <v>13.187858630232169</v>
      </c>
    </row>
    <row r="807" spans="1:11" x14ac:dyDescent="0.3">
      <c r="A807" t="s">
        <v>806</v>
      </c>
      <c r="B807">
        <v>149.44999999999999</v>
      </c>
      <c r="C807" t="s">
        <v>27</v>
      </c>
      <c r="D807">
        <v>12</v>
      </c>
      <c r="E807">
        <v>10.26</v>
      </c>
      <c r="F807" t="s">
        <v>72</v>
      </c>
      <c r="G807">
        <v>2</v>
      </c>
      <c r="H807">
        <v>13.19</v>
      </c>
    </row>
    <row r="808" spans="1:11" s="40" customFormat="1" x14ac:dyDescent="0.3">
      <c r="A808" s="41" t="s">
        <v>976</v>
      </c>
      <c r="B808" s="40">
        <f>D807*E808+G807*H808+J807*K808</f>
        <v>149.4456854089658</v>
      </c>
      <c r="E808" s="40">
        <v>10.255830679041788</v>
      </c>
      <c r="H808" s="40">
        <v>13.187858630232169</v>
      </c>
    </row>
    <row r="809" spans="1:11" x14ac:dyDescent="0.3">
      <c r="A809" t="s">
        <v>807</v>
      </c>
      <c r="B809">
        <v>149.44999999999999</v>
      </c>
      <c r="C809" t="s">
        <v>27</v>
      </c>
      <c r="D809">
        <v>12</v>
      </c>
      <c r="E809">
        <v>10.26</v>
      </c>
      <c r="F809" t="s">
        <v>72</v>
      </c>
      <c r="G809">
        <v>2</v>
      </c>
      <c r="H809">
        <v>13.19</v>
      </c>
    </row>
    <row r="810" spans="1:11" s="40" customFormat="1" x14ac:dyDescent="0.3">
      <c r="A810" s="41" t="s">
        <v>976</v>
      </c>
      <c r="B810" s="40">
        <f>D809*E810+G809*H810+J809*K810</f>
        <v>149.4456854089658</v>
      </c>
      <c r="E810" s="40">
        <v>10.255830679041788</v>
      </c>
      <c r="H810" s="40">
        <v>13.187858630232169</v>
      </c>
    </row>
    <row r="811" spans="1:11" x14ac:dyDescent="0.3">
      <c r="A811" t="s">
        <v>809</v>
      </c>
      <c r="B811">
        <v>184.63</v>
      </c>
      <c r="C811" t="s">
        <v>65</v>
      </c>
      <c r="D811">
        <v>12</v>
      </c>
      <c r="E811">
        <v>13.19</v>
      </c>
      <c r="F811" t="s">
        <v>72</v>
      </c>
      <c r="G811">
        <v>2</v>
      </c>
      <c r="H811">
        <v>13.19</v>
      </c>
    </row>
    <row r="812" spans="1:11" s="40" customFormat="1" x14ac:dyDescent="0.3">
      <c r="A812" s="41" t="s">
        <v>976</v>
      </c>
      <c r="B812" s="40">
        <f>D811*E812+G811*H812+J811*K812</f>
        <v>184.63002082325036</v>
      </c>
      <c r="E812" s="40">
        <v>13.187858630232169</v>
      </c>
      <c r="H812" s="40">
        <v>13.187858630232169</v>
      </c>
    </row>
    <row r="813" spans="1:11" x14ac:dyDescent="0.3">
      <c r="A813" t="s">
        <v>812</v>
      </c>
      <c r="B813">
        <v>202.21</v>
      </c>
      <c r="C813" t="s">
        <v>29</v>
      </c>
      <c r="D813">
        <v>12</v>
      </c>
      <c r="E813">
        <v>13.19</v>
      </c>
      <c r="F813" t="s">
        <v>74</v>
      </c>
      <c r="G813">
        <v>2</v>
      </c>
      <c r="H813">
        <v>13.19</v>
      </c>
      <c r="I813" t="s">
        <v>164</v>
      </c>
      <c r="J813">
        <v>1</v>
      </c>
      <c r="K813">
        <v>17.579999999999998</v>
      </c>
    </row>
    <row r="814" spans="1:11" s="40" customFormat="1" x14ac:dyDescent="0.3">
      <c r="A814" s="41" t="s">
        <v>976</v>
      </c>
      <c r="B814" s="40">
        <f>D813*E814+G813*H814+J813*K814</f>
        <v>202.20970980257209</v>
      </c>
      <c r="E814" s="40">
        <v>13.187858630232169</v>
      </c>
      <c r="H814" s="40">
        <v>13.187858630232169</v>
      </c>
      <c r="K814" s="40">
        <v>17.579688979321727</v>
      </c>
    </row>
    <row r="815" spans="1:11" x14ac:dyDescent="0.3">
      <c r="A815" t="s">
        <v>810</v>
      </c>
      <c r="B815">
        <v>149.44999999999999</v>
      </c>
      <c r="C815" t="s">
        <v>27</v>
      </c>
      <c r="D815">
        <v>12</v>
      </c>
      <c r="E815">
        <v>10.26</v>
      </c>
      <c r="F815" t="s">
        <v>72</v>
      </c>
      <c r="G815">
        <v>2</v>
      </c>
      <c r="H815">
        <v>13.19</v>
      </c>
    </row>
    <row r="816" spans="1:11" s="40" customFormat="1" x14ac:dyDescent="0.3">
      <c r="A816" s="41" t="s">
        <v>976</v>
      </c>
      <c r="B816" s="40">
        <f>D815*E816+G815*H816+J815*K816</f>
        <v>149.4456854089658</v>
      </c>
      <c r="E816" s="40">
        <v>10.255830679041788</v>
      </c>
      <c r="H816" s="40">
        <v>13.187858630232169</v>
      </c>
    </row>
    <row r="817" spans="1:8" x14ac:dyDescent="0.3">
      <c r="A817" t="s">
        <v>811</v>
      </c>
      <c r="B817">
        <v>184.63</v>
      </c>
      <c r="C817" t="s">
        <v>65</v>
      </c>
      <c r="D817">
        <v>12</v>
      </c>
      <c r="E817">
        <v>13.19</v>
      </c>
      <c r="F817" t="s">
        <v>72</v>
      </c>
      <c r="G817">
        <v>2</v>
      </c>
      <c r="H817">
        <v>13.19</v>
      </c>
    </row>
    <row r="818" spans="1:8" s="40" customFormat="1" x14ac:dyDescent="0.3">
      <c r="A818" s="41" t="s">
        <v>976</v>
      </c>
      <c r="B818" s="40">
        <f>D817*E818+G817*H818+J817*K818</f>
        <v>184.63002082325036</v>
      </c>
      <c r="E818" s="40">
        <v>13.187858630232169</v>
      </c>
      <c r="H818" s="40">
        <v>13.187858630232169</v>
      </c>
    </row>
    <row r="819" spans="1:8" x14ac:dyDescent="0.3">
      <c r="A819" t="s">
        <v>813</v>
      </c>
      <c r="B819">
        <v>184.63</v>
      </c>
      <c r="C819" t="s">
        <v>29</v>
      </c>
      <c r="D819">
        <v>12</v>
      </c>
      <c r="E819">
        <v>13.19</v>
      </c>
      <c r="F819" t="s">
        <v>74</v>
      </c>
      <c r="G819">
        <v>2</v>
      </c>
      <c r="H819">
        <v>13.19</v>
      </c>
    </row>
    <row r="820" spans="1:8" s="40" customFormat="1" x14ac:dyDescent="0.3">
      <c r="A820" s="41" t="s">
        <v>976</v>
      </c>
      <c r="B820" s="40">
        <f>D819*E820+G819*H820+J819*K820</f>
        <v>184.63002082325036</v>
      </c>
      <c r="E820" s="40">
        <v>13.187858630232169</v>
      </c>
      <c r="H820" s="40">
        <v>13.187858630232169</v>
      </c>
    </row>
    <row r="821" spans="1:8" x14ac:dyDescent="0.3">
      <c r="A821" t="s">
        <v>816</v>
      </c>
      <c r="B821">
        <v>184.63</v>
      </c>
      <c r="C821" t="s">
        <v>29</v>
      </c>
      <c r="D821">
        <v>12</v>
      </c>
      <c r="E821">
        <v>13.19</v>
      </c>
      <c r="F821" t="s">
        <v>74</v>
      </c>
      <c r="G821">
        <v>2</v>
      </c>
      <c r="H821">
        <v>13.19</v>
      </c>
    </row>
    <row r="822" spans="1:8" s="40" customFormat="1" x14ac:dyDescent="0.3">
      <c r="A822" s="41" t="s">
        <v>976</v>
      </c>
      <c r="B822" s="40">
        <f>D821*E822+G821*H822+J821*K822</f>
        <v>184.63002082325036</v>
      </c>
      <c r="E822" s="40">
        <v>13.187858630232169</v>
      </c>
      <c r="H822" s="40">
        <v>13.187858630232169</v>
      </c>
    </row>
    <row r="823" spans="1:8" x14ac:dyDescent="0.3">
      <c r="A823" t="s">
        <v>814</v>
      </c>
      <c r="B823">
        <v>219.81</v>
      </c>
      <c r="C823" t="s">
        <v>67</v>
      </c>
      <c r="D823">
        <v>12</v>
      </c>
      <c r="E823">
        <v>16.12</v>
      </c>
      <c r="F823" t="s">
        <v>74</v>
      </c>
      <c r="G823">
        <v>2</v>
      </c>
      <c r="H823">
        <v>13.19</v>
      </c>
    </row>
    <row r="824" spans="1:8" s="40" customFormat="1" x14ac:dyDescent="0.3">
      <c r="A824" s="41" t="s">
        <v>976</v>
      </c>
      <c r="B824" s="40">
        <f>D823*E824+G823*H824+J823*K824</f>
        <v>219.81302516140232</v>
      </c>
      <c r="E824" s="40">
        <v>16.119775658411498</v>
      </c>
      <c r="H824" s="40">
        <v>13.187858630232169</v>
      </c>
    </row>
    <row r="825" spans="1:8" x14ac:dyDescent="0.3">
      <c r="A825" t="s">
        <v>815</v>
      </c>
      <c r="B825">
        <v>184.63</v>
      </c>
      <c r="C825" t="s">
        <v>29</v>
      </c>
      <c r="D825">
        <v>12</v>
      </c>
      <c r="E825">
        <v>13.19</v>
      </c>
      <c r="F825" t="s">
        <v>74</v>
      </c>
      <c r="G825">
        <v>2</v>
      </c>
      <c r="H825">
        <v>13.19</v>
      </c>
    </row>
    <row r="826" spans="1:8" s="40" customFormat="1" x14ac:dyDescent="0.3">
      <c r="A826" s="41" t="s">
        <v>976</v>
      </c>
      <c r="B826" s="40">
        <f>D825*E826+G825*H826+J825*K826</f>
        <v>184.63002082325036</v>
      </c>
      <c r="E826" s="40">
        <v>13.187858630232169</v>
      </c>
      <c r="H826" s="40">
        <v>13.187858630232169</v>
      </c>
    </row>
    <row r="827" spans="1:8" x14ac:dyDescent="0.3">
      <c r="A827" t="s">
        <v>817</v>
      </c>
      <c r="B827">
        <v>184.63</v>
      </c>
      <c r="C827" t="s">
        <v>29</v>
      </c>
      <c r="D827">
        <v>12</v>
      </c>
      <c r="E827">
        <v>13.19</v>
      </c>
      <c r="F827" t="s">
        <v>74</v>
      </c>
      <c r="G827">
        <v>2</v>
      </c>
      <c r="H827">
        <v>13.19</v>
      </c>
    </row>
    <row r="828" spans="1:8" s="40" customFormat="1" x14ac:dyDescent="0.3">
      <c r="A828" s="41" t="s">
        <v>976</v>
      </c>
      <c r="B828" s="40">
        <f>D827*E828+G827*H828+J827*K828</f>
        <v>184.63002082325036</v>
      </c>
      <c r="E828" s="40">
        <v>13.187858630232169</v>
      </c>
      <c r="H828" s="40">
        <v>13.187858630232169</v>
      </c>
    </row>
    <row r="829" spans="1:8" x14ac:dyDescent="0.3">
      <c r="A829" t="s">
        <v>818</v>
      </c>
      <c r="B829">
        <v>184.63</v>
      </c>
      <c r="C829" t="s">
        <v>29</v>
      </c>
      <c r="D829">
        <v>12</v>
      </c>
      <c r="E829">
        <v>13.19</v>
      </c>
      <c r="F829" t="s">
        <v>74</v>
      </c>
      <c r="G829">
        <v>2</v>
      </c>
      <c r="H829">
        <v>13.19</v>
      </c>
    </row>
    <row r="830" spans="1:8" s="40" customFormat="1" x14ac:dyDescent="0.3">
      <c r="A830" s="41" t="s">
        <v>976</v>
      </c>
      <c r="B830" s="40">
        <f>D829*E830+G829*H830+J829*K830</f>
        <v>184.63002082325036</v>
      </c>
      <c r="E830" s="40">
        <v>13.187858630232169</v>
      </c>
      <c r="H830" s="40">
        <v>13.187858630232169</v>
      </c>
    </row>
    <row r="831" spans="1:8" x14ac:dyDescent="0.3">
      <c r="A831" t="s">
        <v>819</v>
      </c>
      <c r="B831">
        <v>184.63</v>
      </c>
      <c r="C831" t="s">
        <v>29</v>
      </c>
      <c r="D831">
        <v>12</v>
      </c>
      <c r="E831">
        <v>13.19</v>
      </c>
      <c r="F831" t="s">
        <v>74</v>
      </c>
      <c r="G831">
        <v>2</v>
      </c>
      <c r="H831">
        <v>13.19</v>
      </c>
    </row>
    <row r="832" spans="1:8" s="40" customFormat="1" x14ac:dyDescent="0.3">
      <c r="A832" s="41" t="s">
        <v>976</v>
      </c>
      <c r="B832" s="40">
        <f>D831*E832+G831*H832+J831*K832</f>
        <v>184.63002082325036</v>
      </c>
      <c r="E832" s="40">
        <v>13.187858630232169</v>
      </c>
      <c r="H832" s="40">
        <v>13.187858630232169</v>
      </c>
    </row>
    <row r="833" spans="1:11" x14ac:dyDescent="0.3">
      <c r="A833" t="s">
        <v>820</v>
      </c>
      <c r="B833">
        <v>184.63</v>
      </c>
      <c r="C833" t="s">
        <v>29</v>
      </c>
      <c r="D833">
        <v>12</v>
      </c>
      <c r="E833">
        <v>13.19</v>
      </c>
      <c r="F833" t="s">
        <v>74</v>
      </c>
      <c r="G833">
        <v>2</v>
      </c>
      <c r="H833">
        <v>13.19</v>
      </c>
    </row>
    <row r="834" spans="1:11" s="40" customFormat="1" x14ac:dyDescent="0.3">
      <c r="A834" s="41" t="s">
        <v>976</v>
      </c>
      <c r="B834" s="40">
        <f>D833*E834+G833*H834+J833*K834</f>
        <v>184.63002082325036</v>
      </c>
      <c r="E834" s="40">
        <v>13.187858630232169</v>
      </c>
      <c r="H834" s="40">
        <v>13.187858630232169</v>
      </c>
    </row>
    <row r="835" spans="1:11" x14ac:dyDescent="0.3">
      <c r="A835" t="s">
        <v>821</v>
      </c>
      <c r="B835">
        <v>219.81</v>
      </c>
      <c r="C835" t="s">
        <v>67</v>
      </c>
      <c r="D835">
        <v>12</v>
      </c>
      <c r="E835">
        <v>16.12</v>
      </c>
      <c r="F835" t="s">
        <v>74</v>
      </c>
      <c r="G835">
        <v>2</v>
      </c>
      <c r="H835">
        <v>13.19</v>
      </c>
    </row>
    <row r="836" spans="1:11" s="40" customFormat="1" x14ac:dyDescent="0.3">
      <c r="A836" s="41" t="s">
        <v>976</v>
      </c>
      <c r="B836" s="40">
        <f>D835*E836+G835*H836+J835*K836</f>
        <v>219.81302516140232</v>
      </c>
      <c r="E836" s="40">
        <v>16.119775658411498</v>
      </c>
      <c r="H836" s="40">
        <v>13.187858630232169</v>
      </c>
    </row>
    <row r="837" spans="1:11" x14ac:dyDescent="0.3">
      <c r="A837" t="s">
        <v>822</v>
      </c>
      <c r="B837">
        <v>184.63</v>
      </c>
      <c r="C837" t="s">
        <v>29</v>
      </c>
      <c r="D837">
        <v>12</v>
      </c>
      <c r="E837">
        <v>13.19</v>
      </c>
      <c r="F837" t="s">
        <v>74</v>
      </c>
      <c r="G837">
        <v>2</v>
      </c>
      <c r="H837">
        <v>13.19</v>
      </c>
    </row>
    <row r="838" spans="1:11" s="40" customFormat="1" x14ac:dyDescent="0.3">
      <c r="A838" s="41" t="s">
        <v>976</v>
      </c>
      <c r="B838" s="40">
        <f>D837*E838+G837*H838+J837*K838</f>
        <v>184.63002082325036</v>
      </c>
      <c r="E838" s="40">
        <v>13.187858630232169</v>
      </c>
      <c r="H838" s="40">
        <v>13.187858630232169</v>
      </c>
    </row>
    <row r="839" spans="1:11" x14ac:dyDescent="0.3">
      <c r="A839" t="s">
        <v>964</v>
      </c>
      <c r="B839">
        <v>430.74</v>
      </c>
      <c r="C839" t="s">
        <v>69</v>
      </c>
      <c r="D839">
        <v>12</v>
      </c>
      <c r="E839">
        <v>19.05</v>
      </c>
      <c r="F839" t="s">
        <v>74</v>
      </c>
      <c r="G839">
        <v>2</v>
      </c>
      <c r="H839">
        <v>13.19</v>
      </c>
      <c r="I839" t="s">
        <v>150</v>
      </c>
      <c r="J839">
        <v>10</v>
      </c>
      <c r="K839">
        <v>17.579999999999998</v>
      </c>
    </row>
    <row r="840" spans="1:11" s="40" customFormat="1" x14ac:dyDescent="0.3">
      <c r="A840" s="41" t="s">
        <v>976</v>
      </c>
      <c r="B840" s="40">
        <f>D839*E840+G839*H840+J839*K840</f>
        <v>430.73568301906766</v>
      </c>
      <c r="E840" s="40">
        <v>19.046922997115502</v>
      </c>
      <c r="H840" s="40">
        <v>13.187858630232169</v>
      </c>
      <c r="K840" s="40">
        <v>17.579688979321727</v>
      </c>
    </row>
    <row r="841" spans="1:11" x14ac:dyDescent="0.3">
      <c r="A841" t="s">
        <v>825</v>
      </c>
      <c r="B841">
        <v>219.81</v>
      </c>
      <c r="C841" t="s">
        <v>31</v>
      </c>
      <c r="D841">
        <v>12</v>
      </c>
      <c r="E841">
        <v>16.12</v>
      </c>
      <c r="F841" t="s">
        <v>74</v>
      </c>
      <c r="G841">
        <v>2</v>
      </c>
      <c r="H841">
        <v>13.19</v>
      </c>
    </row>
    <row r="842" spans="1:11" s="40" customFormat="1" x14ac:dyDescent="0.3">
      <c r="A842" s="41" t="s">
        <v>976</v>
      </c>
      <c r="B842" s="40">
        <f>D841*E842+G841*H842+J841*K842</f>
        <v>219.81302516140232</v>
      </c>
      <c r="E842" s="40">
        <v>16.119775658411498</v>
      </c>
      <c r="H842" s="40">
        <v>13.187858630232169</v>
      </c>
    </row>
    <row r="843" spans="1:11" x14ac:dyDescent="0.3">
      <c r="A843" t="s">
        <v>826</v>
      </c>
      <c r="B843">
        <v>254.94</v>
      </c>
      <c r="C843" t="s">
        <v>69</v>
      </c>
      <c r="D843">
        <v>12</v>
      </c>
      <c r="E843">
        <v>19.05</v>
      </c>
      <c r="F843" t="s">
        <v>74</v>
      </c>
      <c r="G843">
        <v>2</v>
      </c>
      <c r="H843">
        <v>13.19</v>
      </c>
    </row>
    <row r="844" spans="1:11" s="40" customFormat="1" x14ac:dyDescent="0.3">
      <c r="A844" s="41" t="s">
        <v>976</v>
      </c>
      <c r="B844" s="40">
        <f>D843*E844+G843*H844+J843*K844</f>
        <v>254.93879322585036</v>
      </c>
      <c r="E844" s="40">
        <v>19.046922997115502</v>
      </c>
      <c r="H844" s="40">
        <v>13.187858630232169</v>
      </c>
    </row>
    <row r="845" spans="1:11" x14ac:dyDescent="0.3">
      <c r="A845" t="s">
        <v>827</v>
      </c>
      <c r="B845">
        <v>219.81</v>
      </c>
      <c r="C845" t="s">
        <v>31</v>
      </c>
      <c r="D845">
        <v>12</v>
      </c>
      <c r="E845">
        <v>16.12</v>
      </c>
      <c r="F845" t="s">
        <v>74</v>
      </c>
      <c r="G845">
        <v>2</v>
      </c>
      <c r="H845">
        <v>13.19</v>
      </c>
    </row>
    <row r="846" spans="1:11" s="40" customFormat="1" x14ac:dyDescent="0.3">
      <c r="A846" s="41" t="s">
        <v>976</v>
      </c>
      <c r="B846" s="40">
        <f>D845*E846+G845*H846+J845*K846</f>
        <v>219.81302516140232</v>
      </c>
      <c r="E846" s="40">
        <v>16.119775658411498</v>
      </c>
      <c r="H846" s="40">
        <v>13.187858630232169</v>
      </c>
    </row>
    <row r="847" spans="1:11" x14ac:dyDescent="0.3">
      <c r="A847" t="s">
        <v>828</v>
      </c>
      <c r="B847">
        <v>254.94</v>
      </c>
      <c r="C847" t="s">
        <v>69</v>
      </c>
      <c r="D847">
        <v>12</v>
      </c>
      <c r="E847">
        <v>19.05</v>
      </c>
      <c r="F847" t="s">
        <v>74</v>
      </c>
      <c r="G847">
        <v>2</v>
      </c>
      <c r="H847">
        <v>13.19</v>
      </c>
    </row>
    <row r="848" spans="1:11" s="40" customFormat="1" x14ac:dyDescent="0.3">
      <c r="A848" s="41" t="s">
        <v>976</v>
      </c>
      <c r="B848" s="40">
        <f>D847*E848+G847*H848+J847*K848</f>
        <v>254.93879322585036</v>
      </c>
      <c r="E848" s="40">
        <v>19.046922997115502</v>
      </c>
      <c r="H848" s="40">
        <v>13.187858630232169</v>
      </c>
    </row>
    <row r="849" spans="1:8" x14ac:dyDescent="0.3">
      <c r="A849" t="s">
        <v>830</v>
      </c>
      <c r="B849">
        <v>219.81</v>
      </c>
      <c r="C849" t="s">
        <v>31</v>
      </c>
      <c r="D849">
        <v>12</v>
      </c>
      <c r="E849">
        <v>16.12</v>
      </c>
      <c r="F849" t="s">
        <v>74</v>
      </c>
      <c r="G849">
        <v>2</v>
      </c>
      <c r="H849">
        <v>13.19</v>
      </c>
    </row>
    <row r="850" spans="1:8" s="40" customFormat="1" x14ac:dyDescent="0.3">
      <c r="A850" s="41" t="s">
        <v>976</v>
      </c>
      <c r="B850" s="40">
        <f>D849*E850+G849*H850+J849*K850</f>
        <v>219.81302516140232</v>
      </c>
      <c r="E850" s="40">
        <v>16.119775658411498</v>
      </c>
      <c r="H850" s="40">
        <v>13.187858630232169</v>
      </c>
    </row>
    <row r="851" spans="1:8" x14ac:dyDescent="0.3">
      <c r="A851" t="s">
        <v>829</v>
      </c>
      <c r="B851">
        <v>219.81</v>
      </c>
      <c r="C851" t="s">
        <v>31</v>
      </c>
      <c r="D851">
        <v>12</v>
      </c>
      <c r="E851">
        <v>16.12</v>
      </c>
      <c r="F851" t="s">
        <v>74</v>
      </c>
      <c r="G851">
        <v>2</v>
      </c>
      <c r="H851">
        <v>13.19</v>
      </c>
    </row>
    <row r="852" spans="1:8" s="40" customFormat="1" x14ac:dyDescent="0.3">
      <c r="A852" s="41" t="s">
        <v>976</v>
      </c>
      <c r="B852" s="40">
        <f>D851*E852+G851*H852+J851*K852</f>
        <v>219.81302516140232</v>
      </c>
      <c r="E852" s="40">
        <v>16.119775658411498</v>
      </c>
      <c r="H852" s="40">
        <v>13.187858630232169</v>
      </c>
    </row>
    <row r="853" spans="1:8" x14ac:dyDescent="0.3">
      <c r="A853" t="s">
        <v>831</v>
      </c>
      <c r="B853">
        <v>219.81</v>
      </c>
      <c r="C853" t="s">
        <v>31</v>
      </c>
      <c r="D853">
        <v>12</v>
      </c>
      <c r="E853">
        <v>16.12</v>
      </c>
      <c r="F853" t="s">
        <v>74</v>
      </c>
      <c r="G853">
        <v>2</v>
      </c>
      <c r="H853">
        <v>13.19</v>
      </c>
    </row>
    <row r="854" spans="1:8" s="40" customFormat="1" x14ac:dyDescent="0.3">
      <c r="A854" s="41" t="s">
        <v>976</v>
      </c>
      <c r="B854" s="40">
        <f>D853*E854+G853*H854+J853*K854</f>
        <v>219.81302516140232</v>
      </c>
      <c r="E854" s="40">
        <v>16.119775658411498</v>
      </c>
      <c r="H854" s="40">
        <v>13.187858630232169</v>
      </c>
    </row>
    <row r="855" spans="1:8" x14ac:dyDescent="0.3">
      <c r="A855" t="s">
        <v>832</v>
      </c>
      <c r="B855">
        <v>254.94</v>
      </c>
      <c r="C855" t="s">
        <v>69</v>
      </c>
      <c r="D855">
        <v>12</v>
      </c>
      <c r="E855">
        <v>19.05</v>
      </c>
      <c r="F855" t="s">
        <v>74</v>
      </c>
      <c r="G855">
        <v>2</v>
      </c>
      <c r="H855">
        <v>13.19</v>
      </c>
    </row>
    <row r="856" spans="1:8" s="40" customFormat="1" x14ac:dyDescent="0.3">
      <c r="A856" s="41" t="s">
        <v>976</v>
      </c>
      <c r="B856" s="40">
        <f>D855*E856+G855*H856+J855*K856</f>
        <v>254.93879322585036</v>
      </c>
      <c r="E856" s="40">
        <v>19.046922997115502</v>
      </c>
      <c r="H856" s="40">
        <v>13.187858630232169</v>
      </c>
    </row>
    <row r="857" spans="1:8" x14ac:dyDescent="0.3">
      <c r="A857" t="s">
        <v>833</v>
      </c>
      <c r="B857">
        <v>219.81</v>
      </c>
      <c r="C857" t="s">
        <v>31</v>
      </c>
      <c r="D857">
        <v>12</v>
      </c>
      <c r="E857">
        <v>16.12</v>
      </c>
      <c r="F857" t="s">
        <v>74</v>
      </c>
      <c r="G857">
        <v>2</v>
      </c>
      <c r="H857">
        <v>13.19</v>
      </c>
    </row>
    <row r="858" spans="1:8" s="40" customFormat="1" x14ac:dyDescent="0.3">
      <c r="A858" s="41" t="s">
        <v>976</v>
      </c>
      <c r="B858" s="40">
        <f>D857*E858+G857*H858+J857*K858</f>
        <v>219.81302516140232</v>
      </c>
      <c r="E858" s="40">
        <v>16.119775658411498</v>
      </c>
      <c r="H858" s="40">
        <v>13.187858630232169</v>
      </c>
    </row>
    <row r="859" spans="1:8" x14ac:dyDescent="0.3">
      <c r="A859" t="s">
        <v>835</v>
      </c>
      <c r="B859">
        <v>219.81</v>
      </c>
      <c r="C859" t="s">
        <v>31</v>
      </c>
      <c r="D859">
        <v>12</v>
      </c>
      <c r="E859">
        <v>16.12</v>
      </c>
      <c r="F859" t="s">
        <v>74</v>
      </c>
      <c r="G859">
        <v>2</v>
      </c>
      <c r="H859">
        <v>13.19</v>
      </c>
    </row>
    <row r="860" spans="1:8" s="40" customFormat="1" x14ac:dyDescent="0.3">
      <c r="A860" s="41" t="s">
        <v>976</v>
      </c>
      <c r="B860" s="40">
        <f>D859*E860+G859*H860+J859*K860</f>
        <v>219.81302516140232</v>
      </c>
      <c r="E860" s="40">
        <v>16.119775658411498</v>
      </c>
      <c r="H860" s="40">
        <v>13.187858630232169</v>
      </c>
    </row>
    <row r="861" spans="1:8" x14ac:dyDescent="0.3">
      <c r="A861" t="s">
        <v>834</v>
      </c>
      <c r="B861">
        <v>254.94</v>
      </c>
      <c r="C861" t="s">
        <v>69</v>
      </c>
      <c r="D861">
        <v>12</v>
      </c>
      <c r="E861">
        <v>19.05</v>
      </c>
      <c r="F861" t="s">
        <v>74</v>
      </c>
      <c r="G861">
        <v>2</v>
      </c>
      <c r="H861">
        <v>13.19</v>
      </c>
    </row>
    <row r="862" spans="1:8" s="40" customFormat="1" x14ac:dyDescent="0.3">
      <c r="A862" s="41" t="s">
        <v>976</v>
      </c>
      <c r="B862" s="40">
        <f>D861*E862+G861*H862+J861*K862</f>
        <v>254.93879322585036</v>
      </c>
      <c r="E862" s="40">
        <v>19.046922997115502</v>
      </c>
      <c r="H862" s="40">
        <v>13.187858630232169</v>
      </c>
    </row>
    <row r="863" spans="1:8" x14ac:dyDescent="0.3">
      <c r="A863" t="s">
        <v>836</v>
      </c>
      <c r="B863">
        <v>219.81</v>
      </c>
      <c r="C863" t="s">
        <v>31</v>
      </c>
      <c r="D863">
        <v>12</v>
      </c>
      <c r="E863">
        <v>16.12</v>
      </c>
      <c r="F863" t="s">
        <v>74</v>
      </c>
      <c r="G863">
        <v>2</v>
      </c>
      <c r="H863">
        <v>13.19</v>
      </c>
    </row>
    <row r="864" spans="1:8" s="40" customFormat="1" x14ac:dyDescent="0.3">
      <c r="A864" s="41" t="s">
        <v>976</v>
      </c>
      <c r="B864" s="40">
        <f>D863*E864+G863*H864+J863*K864</f>
        <v>219.81302516140232</v>
      </c>
      <c r="E864" s="40">
        <v>16.119775658411498</v>
      </c>
      <c r="H864" s="40">
        <v>13.187858630232169</v>
      </c>
    </row>
    <row r="865" spans="1:8" x14ac:dyDescent="0.3">
      <c r="A865" t="s">
        <v>838</v>
      </c>
      <c r="B865">
        <v>219.81</v>
      </c>
      <c r="C865" t="s">
        <v>31</v>
      </c>
      <c r="D865">
        <v>12</v>
      </c>
      <c r="E865">
        <v>16.12</v>
      </c>
      <c r="F865" t="s">
        <v>74</v>
      </c>
      <c r="G865">
        <v>2</v>
      </c>
      <c r="H865">
        <v>13.19</v>
      </c>
    </row>
    <row r="866" spans="1:8" s="40" customFormat="1" x14ac:dyDescent="0.3">
      <c r="A866" s="41" t="s">
        <v>976</v>
      </c>
      <c r="B866" s="40">
        <f>D865*E866+G865*H866+J865*K866</f>
        <v>219.81302516140232</v>
      </c>
      <c r="E866" s="40">
        <v>16.119775658411498</v>
      </c>
      <c r="H866" s="40">
        <v>13.187858630232169</v>
      </c>
    </row>
    <row r="867" spans="1:8" x14ac:dyDescent="0.3">
      <c r="A867" t="s">
        <v>837</v>
      </c>
      <c r="B867">
        <v>219.81</v>
      </c>
      <c r="C867" t="s">
        <v>31</v>
      </c>
      <c r="D867">
        <v>12</v>
      </c>
      <c r="E867">
        <v>16.12</v>
      </c>
      <c r="F867" t="s">
        <v>74</v>
      </c>
      <c r="G867">
        <v>2</v>
      </c>
      <c r="H867">
        <v>13.19</v>
      </c>
    </row>
    <row r="868" spans="1:8" s="40" customFormat="1" x14ac:dyDescent="0.3">
      <c r="A868" s="41" t="s">
        <v>976</v>
      </c>
      <c r="B868" s="40">
        <f>D867*E868+G867*H868+J867*K868</f>
        <v>219.81302516140232</v>
      </c>
      <c r="E868" s="40">
        <v>16.119775658411498</v>
      </c>
      <c r="H868" s="40">
        <v>13.187858630232169</v>
      </c>
    </row>
    <row r="869" spans="1:8" x14ac:dyDescent="0.3">
      <c r="A869" t="s">
        <v>839</v>
      </c>
      <c r="B869">
        <v>219.81</v>
      </c>
      <c r="C869" t="s">
        <v>31</v>
      </c>
      <c r="D869">
        <v>12</v>
      </c>
      <c r="E869">
        <v>16.12</v>
      </c>
      <c r="F869" t="s">
        <v>74</v>
      </c>
      <c r="G869">
        <v>2</v>
      </c>
      <c r="H869">
        <v>13.19</v>
      </c>
    </row>
    <row r="870" spans="1:8" s="40" customFormat="1" x14ac:dyDescent="0.3">
      <c r="A870" s="41" t="s">
        <v>976</v>
      </c>
      <c r="B870" s="40">
        <f>D869*E870+G869*H870+J869*K870</f>
        <v>219.81302516140232</v>
      </c>
      <c r="E870" s="40">
        <v>16.119775658411498</v>
      </c>
      <c r="H870" s="40">
        <v>13.187858630232169</v>
      </c>
    </row>
    <row r="871" spans="1:8" x14ac:dyDescent="0.3">
      <c r="A871" t="s">
        <v>840</v>
      </c>
      <c r="B871">
        <v>254.94</v>
      </c>
      <c r="C871" t="s">
        <v>69</v>
      </c>
      <c r="D871">
        <v>12</v>
      </c>
      <c r="E871">
        <v>19.05</v>
      </c>
      <c r="F871" t="s">
        <v>74</v>
      </c>
      <c r="G871">
        <v>2</v>
      </c>
      <c r="H871">
        <v>13.19</v>
      </c>
    </row>
    <row r="872" spans="1:8" s="40" customFormat="1" x14ac:dyDescent="0.3">
      <c r="A872" s="41" t="s">
        <v>976</v>
      </c>
      <c r="B872" s="40">
        <f>D871*E872+G871*H872+J871*K872</f>
        <v>254.93879322585036</v>
      </c>
      <c r="E872" s="40">
        <v>19.046922997115502</v>
      </c>
      <c r="H872" s="40">
        <v>13.187858630232169</v>
      </c>
    </row>
    <row r="873" spans="1:8" x14ac:dyDescent="0.3">
      <c r="A873" t="s">
        <v>841</v>
      </c>
      <c r="B873">
        <v>254.94</v>
      </c>
      <c r="C873" t="s">
        <v>69</v>
      </c>
      <c r="D873">
        <v>12</v>
      </c>
      <c r="E873">
        <v>19.05</v>
      </c>
      <c r="F873" t="s">
        <v>74</v>
      </c>
      <c r="G873">
        <v>2</v>
      </c>
      <c r="H873">
        <v>13.19</v>
      </c>
    </row>
    <row r="874" spans="1:8" s="40" customFormat="1" x14ac:dyDescent="0.3">
      <c r="A874" s="41" t="s">
        <v>976</v>
      </c>
      <c r="B874" s="40">
        <f>D873*E874+G873*H874+J873*K874</f>
        <v>254.93879322585036</v>
      </c>
      <c r="E874" s="40">
        <v>19.046922997115502</v>
      </c>
      <c r="H874" s="40">
        <v>13.187858630232169</v>
      </c>
    </row>
    <row r="875" spans="1:8" x14ac:dyDescent="0.3">
      <c r="A875" t="s">
        <v>842</v>
      </c>
      <c r="B875">
        <v>219.81</v>
      </c>
      <c r="C875" t="s">
        <v>31</v>
      </c>
      <c r="D875">
        <v>12</v>
      </c>
      <c r="E875">
        <v>16.12</v>
      </c>
      <c r="F875" t="s">
        <v>74</v>
      </c>
      <c r="G875">
        <v>2</v>
      </c>
      <c r="H875">
        <v>13.19</v>
      </c>
    </row>
    <row r="876" spans="1:8" s="40" customFormat="1" x14ac:dyDescent="0.3">
      <c r="A876" s="41" t="s">
        <v>976</v>
      </c>
      <c r="B876" s="40">
        <f>D875*E876+G875*H876+J875*K876</f>
        <v>219.81302516140232</v>
      </c>
      <c r="E876" s="40">
        <v>16.119775658411498</v>
      </c>
      <c r="H876" s="40">
        <v>13.187858630232169</v>
      </c>
    </row>
    <row r="877" spans="1:8" x14ac:dyDescent="0.3">
      <c r="A877" t="s">
        <v>962</v>
      </c>
      <c r="B877">
        <v>219.81</v>
      </c>
      <c r="C877" t="s">
        <v>31</v>
      </c>
      <c r="D877">
        <v>12</v>
      </c>
      <c r="E877">
        <v>16.12</v>
      </c>
      <c r="F877" t="s">
        <v>74</v>
      </c>
      <c r="G877">
        <v>2</v>
      </c>
      <c r="H877">
        <v>13.19</v>
      </c>
    </row>
    <row r="878" spans="1:8" s="40" customFormat="1" x14ac:dyDescent="0.3">
      <c r="A878" s="41" t="s">
        <v>976</v>
      </c>
      <c r="B878" s="40">
        <f>D877*E878+G877*H878+J877*K878</f>
        <v>219.81302516140232</v>
      </c>
      <c r="E878" s="40">
        <v>16.119775658411498</v>
      </c>
      <c r="H878" s="40">
        <v>13.187858630232169</v>
      </c>
    </row>
    <row r="879" spans="1:8" x14ac:dyDescent="0.3">
      <c r="A879" t="s">
        <v>843</v>
      </c>
      <c r="B879">
        <v>219.81</v>
      </c>
      <c r="C879" t="s">
        <v>31</v>
      </c>
      <c r="D879">
        <v>12</v>
      </c>
      <c r="E879">
        <v>16.12</v>
      </c>
      <c r="F879" t="s">
        <v>74</v>
      </c>
      <c r="G879">
        <v>2</v>
      </c>
      <c r="H879">
        <v>13.19</v>
      </c>
    </row>
    <row r="880" spans="1:8" s="40" customFormat="1" x14ac:dyDescent="0.3">
      <c r="A880" s="41" t="s">
        <v>976</v>
      </c>
      <c r="B880" s="40">
        <f>D879*E880+G879*H880+J879*K880</f>
        <v>219.81302516140232</v>
      </c>
      <c r="E880" s="40">
        <v>16.119775658411498</v>
      </c>
      <c r="H880" s="40">
        <v>13.187858630232169</v>
      </c>
    </row>
    <row r="881" spans="1:8" x14ac:dyDescent="0.3">
      <c r="A881" t="s">
        <v>845</v>
      </c>
      <c r="B881">
        <v>219.81</v>
      </c>
      <c r="C881" t="s">
        <v>31</v>
      </c>
      <c r="D881">
        <v>12</v>
      </c>
      <c r="E881">
        <v>16.12</v>
      </c>
      <c r="F881" t="s">
        <v>74</v>
      </c>
      <c r="G881">
        <v>2</v>
      </c>
      <c r="H881">
        <v>13.19</v>
      </c>
    </row>
    <row r="882" spans="1:8" s="40" customFormat="1" x14ac:dyDescent="0.3">
      <c r="A882" s="41" t="s">
        <v>976</v>
      </c>
      <c r="B882" s="40">
        <f>D881*E882+G881*H882+J881*K882</f>
        <v>219.81302516140232</v>
      </c>
      <c r="E882" s="40">
        <v>16.119775658411498</v>
      </c>
      <c r="H882" s="40">
        <v>13.187858630232169</v>
      </c>
    </row>
    <row r="883" spans="1:8" x14ac:dyDescent="0.3">
      <c r="A883" t="s">
        <v>844</v>
      </c>
      <c r="B883">
        <v>219.81</v>
      </c>
      <c r="C883" t="s">
        <v>31</v>
      </c>
      <c r="D883">
        <v>12</v>
      </c>
      <c r="E883">
        <v>16.12</v>
      </c>
      <c r="F883" t="s">
        <v>74</v>
      </c>
      <c r="G883">
        <v>2</v>
      </c>
      <c r="H883">
        <v>13.19</v>
      </c>
    </row>
    <row r="884" spans="1:8" s="40" customFormat="1" x14ac:dyDescent="0.3">
      <c r="A884" s="41" t="s">
        <v>976</v>
      </c>
      <c r="B884" s="40">
        <f>D883*E884+G883*H884+J883*K884</f>
        <v>219.81302516140232</v>
      </c>
      <c r="E884" s="40">
        <v>16.119775658411498</v>
      </c>
      <c r="H884" s="40">
        <v>13.187858630232169</v>
      </c>
    </row>
    <row r="885" spans="1:8" x14ac:dyDescent="0.3">
      <c r="A885" t="s">
        <v>847</v>
      </c>
      <c r="B885">
        <v>254.94</v>
      </c>
      <c r="C885" t="s">
        <v>69</v>
      </c>
      <c r="D885">
        <v>12</v>
      </c>
      <c r="E885">
        <v>19.05</v>
      </c>
      <c r="F885" t="s">
        <v>74</v>
      </c>
      <c r="G885">
        <v>2</v>
      </c>
      <c r="H885">
        <v>13.19</v>
      </c>
    </row>
    <row r="886" spans="1:8" s="40" customFormat="1" x14ac:dyDescent="0.3">
      <c r="A886" s="41" t="s">
        <v>976</v>
      </c>
      <c r="B886" s="40">
        <f>D885*E886+G885*H886+J885*K886</f>
        <v>254.93879322585036</v>
      </c>
      <c r="E886" s="40">
        <v>19.046922997115502</v>
      </c>
      <c r="H886" s="40">
        <v>13.187858630232169</v>
      </c>
    </row>
    <row r="887" spans="1:8" x14ac:dyDescent="0.3">
      <c r="A887" t="s">
        <v>848</v>
      </c>
      <c r="B887">
        <v>219.81</v>
      </c>
      <c r="C887" t="s">
        <v>31</v>
      </c>
      <c r="D887">
        <v>12</v>
      </c>
      <c r="E887">
        <v>16.12</v>
      </c>
      <c r="F887" t="s">
        <v>74</v>
      </c>
      <c r="G887">
        <v>2</v>
      </c>
      <c r="H887">
        <v>13.19</v>
      </c>
    </row>
    <row r="888" spans="1:8" s="40" customFormat="1" x14ac:dyDescent="0.3">
      <c r="A888" s="41" t="s">
        <v>976</v>
      </c>
      <c r="B888" s="40">
        <f>D887*E888+G887*H888+J887*K888</f>
        <v>219.81302516140232</v>
      </c>
      <c r="E888" s="40">
        <v>16.119775658411498</v>
      </c>
      <c r="H888" s="40">
        <v>13.187858630232169</v>
      </c>
    </row>
    <row r="889" spans="1:8" x14ac:dyDescent="0.3">
      <c r="A889" t="s">
        <v>850</v>
      </c>
      <c r="B889">
        <v>219.81</v>
      </c>
      <c r="C889" t="s">
        <v>31</v>
      </c>
      <c r="D889">
        <v>12</v>
      </c>
      <c r="E889">
        <v>16.12</v>
      </c>
      <c r="F889" t="s">
        <v>74</v>
      </c>
      <c r="G889">
        <v>2</v>
      </c>
      <c r="H889">
        <v>13.19</v>
      </c>
    </row>
    <row r="890" spans="1:8" s="40" customFormat="1" x14ac:dyDescent="0.3">
      <c r="A890" s="41" t="s">
        <v>976</v>
      </c>
      <c r="B890" s="40">
        <f>D889*E890+G889*H890+J889*K890</f>
        <v>219.81302516140232</v>
      </c>
      <c r="E890" s="40">
        <v>16.119775658411498</v>
      </c>
      <c r="H890" s="40">
        <v>13.187858630232169</v>
      </c>
    </row>
    <row r="891" spans="1:8" x14ac:dyDescent="0.3">
      <c r="A891" t="s">
        <v>851</v>
      </c>
      <c r="B891">
        <v>254.94</v>
      </c>
      <c r="C891" t="s">
        <v>69</v>
      </c>
      <c r="D891">
        <v>12</v>
      </c>
      <c r="E891">
        <v>19.05</v>
      </c>
      <c r="F891" t="s">
        <v>74</v>
      </c>
      <c r="G891">
        <v>2</v>
      </c>
      <c r="H891">
        <v>13.19</v>
      </c>
    </row>
    <row r="892" spans="1:8" s="40" customFormat="1" x14ac:dyDescent="0.3">
      <c r="A892" s="41" t="s">
        <v>976</v>
      </c>
      <c r="B892" s="40">
        <f>D891*E892+G891*H892+J891*K892</f>
        <v>254.93879322585036</v>
      </c>
      <c r="E892" s="40">
        <v>19.046922997115502</v>
      </c>
      <c r="H892" s="40">
        <v>13.187858630232169</v>
      </c>
    </row>
    <row r="893" spans="1:8" x14ac:dyDescent="0.3">
      <c r="A893" t="s">
        <v>853</v>
      </c>
      <c r="B893">
        <v>219.81</v>
      </c>
      <c r="C893" t="s">
        <v>31</v>
      </c>
      <c r="D893">
        <v>12</v>
      </c>
      <c r="E893">
        <v>16.12</v>
      </c>
      <c r="F893" t="s">
        <v>74</v>
      </c>
      <c r="G893">
        <v>2</v>
      </c>
      <c r="H893">
        <v>13.19</v>
      </c>
    </row>
    <row r="894" spans="1:8" s="40" customFormat="1" x14ac:dyDescent="0.3">
      <c r="A894" s="41" t="s">
        <v>976</v>
      </c>
      <c r="B894" s="40">
        <f>D893*E894+G893*H894+J893*K894</f>
        <v>219.81302516140232</v>
      </c>
      <c r="E894" s="40">
        <v>16.119775658411498</v>
      </c>
      <c r="H894" s="40">
        <v>13.187858630232169</v>
      </c>
    </row>
    <row r="895" spans="1:8" x14ac:dyDescent="0.3">
      <c r="A895" t="s">
        <v>852</v>
      </c>
      <c r="B895">
        <v>254.94</v>
      </c>
      <c r="C895" t="s">
        <v>69</v>
      </c>
      <c r="D895">
        <v>12</v>
      </c>
      <c r="E895">
        <v>19.05</v>
      </c>
      <c r="F895" t="s">
        <v>74</v>
      </c>
      <c r="G895">
        <v>2</v>
      </c>
      <c r="H895">
        <v>13.19</v>
      </c>
    </row>
    <row r="896" spans="1:8" s="40" customFormat="1" x14ac:dyDescent="0.3">
      <c r="A896" s="41" t="s">
        <v>976</v>
      </c>
      <c r="B896" s="40">
        <f>D895*E896+G895*H896+J895*K896</f>
        <v>254.93879322585036</v>
      </c>
      <c r="E896" s="40">
        <v>19.046922997115502</v>
      </c>
      <c r="H896" s="40">
        <v>13.187858630232169</v>
      </c>
    </row>
    <row r="897" spans="1:8" x14ac:dyDescent="0.3">
      <c r="A897" t="s">
        <v>854</v>
      </c>
      <c r="B897">
        <v>254.94</v>
      </c>
      <c r="C897" t="s">
        <v>69</v>
      </c>
      <c r="D897">
        <v>12</v>
      </c>
      <c r="E897">
        <v>19.05</v>
      </c>
      <c r="F897" t="s">
        <v>74</v>
      </c>
      <c r="G897">
        <v>2</v>
      </c>
      <c r="H897">
        <v>13.19</v>
      </c>
    </row>
    <row r="898" spans="1:8" s="40" customFormat="1" x14ac:dyDescent="0.3">
      <c r="A898" s="41" t="s">
        <v>976</v>
      </c>
      <c r="B898" s="40">
        <f>D897*E898+G897*H898+J897*K898</f>
        <v>254.93879322585036</v>
      </c>
      <c r="E898" s="40">
        <v>19.046922997115502</v>
      </c>
      <c r="H898" s="40">
        <v>13.187858630232169</v>
      </c>
    </row>
    <row r="899" spans="1:8" x14ac:dyDescent="0.3">
      <c r="A899" t="s">
        <v>855</v>
      </c>
      <c r="B899">
        <v>316.45999999999998</v>
      </c>
      <c r="C899" t="s">
        <v>33</v>
      </c>
      <c r="D899">
        <v>12</v>
      </c>
      <c r="E899">
        <v>21.98</v>
      </c>
      <c r="F899" t="s">
        <v>79</v>
      </c>
      <c r="G899">
        <v>2</v>
      </c>
      <c r="H899">
        <v>26.36</v>
      </c>
    </row>
    <row r="900" spans="1:8" s="40" customFormat="1" x14ac:dyDescent="0.3">
      <c r="A900" s="41" t="s">
        <v>976</v>
      </c>
      <c r="B900" s="40">
        <f>D899*E900+G899*H900+J899*K900</f>
        <v>316.45957915468614</v>
      </c>
      <c r="E900" s="40">
        <v>21.977730795184293</v>
      </c>
      <c r="H900" s="40">
        <v>26.363404806237337</v>
      </c>
    </row>
    <row r="901" spans="1:8" x14ac:dyDescent="0.3">
      <c r="A901" t="s">
        <v>856</v>
      </c>
      <c r="B901">
        <v>316.45999999999998</v>
      </c>
      <c r="C901" t="s">
        <v>33</v>
      </c>
      <c r="D901">
        <v>12</v>
      </c>
      <c r="E901">
        <v>21.98</v>
      </c>
      <c r="F901" t="s">
        <v>79</v>
      </c>
      <c r="G901">
        <v>2</v>
      </c>
      <c r="H901">
        <v>26.36</v>
      </c>
    </row>
    <row r="902" spans="1:8" s="40" customFormat="1" x14ac:dyDescent="0.3">
      <c r="A902" s="41" t="s">
        <v>976</v>
      </c>
      <c r="B902" s="40">
        <f>D901*E902+G901*H902+J901*K902</f>
        <v>316.45957915468614</v>
      </c>
      <c r="E902" s="40">
        <v>21.977730795184293</v>
      </c>
      <c r="H902" s="40">
        <v>26.363404806237337</v>
      </c>
    </row>
    <row r="903" spans="1:8" x14ac:dyDescent="0.3">
      <c r="A903" t="s">
        <v>858</v>
      </c>
      <c r="B903">
        <v>316.45999999999998</v>
      </c>
      <c r="C903" t="s">
        <v>33</v>
      </c>
      <c r="D903">
        <v>12</v>
      </c>
      <c r="E903">
        <v>21.98</v>
      </c>
      <c r="F903" t="s">
        <v>79</v>
      </c>
      <c r="G903">
        <v>2</v>
      </c>
      <c r="H903">
        <v>26.36</v>
      </c>
    </row>
    <row r="904" spans="1:8" s="40" customFormat="1" x14ac:dyDescent="0.3">
      <c r="A904" s="41" t="s">
        <v>976</v>
      </c>
      <c r="B904" s="40">
        <f>D903*E904+G903*H904+J903*K904</f>
        <v>316.45957915468614</v>
      </c>
      <c r="E904" s="40">
        <v>21.977730795184293</v>
      </c>
      <c r="H904" s="40">
        <v>26.363404806237337</v>
      </c>
    </row>
    <row r="905" spans="1:8" x14ac:dyDescent="0.3">
      <c r="A905" t="s">
        <v>857</v>
      </c>
      <c r="B905">
        <v>316.45999999999998</v>
      </c>
      <c r="C905" t="s">
        <v>33</v>
      </c>
      <c r="D905">
        <v>12</v>
      </c>
      <c r="E905">
        <v>21.98</v>
      </c>
      <c r="F905" t="s">
        <v>79</v>
      </c>
      <c r="G905">
        <v>2</v>
      </c>
      <c r="H905">
        <v>26.36</v>
      </c>
    </row>
    <row r="906" spans="1:8" s="40" customFormat="1" x14ac:dyDescent="0.3">
      <c r="A906" s="41" t="s">
        <v>976</v>
      </c>
      <c r="B906" s="40">
        <f>D905*E906+G905*H906+J905*K906</f>
        <v>316.45957915468614</v>
      </c>
      <c r="E906" s="40">
        <v>21.977730795184293</v>
      </c>
      <c r="H906" s="40">
        <v>26.363404806237337</v>
      </c>
    </row>
    <row r="907" spans="1:8" x14ac:dyDescent="0.3">
      <c r="A907" t="s">
        <v>859</v>
      </c>
      <c r="B907">
        <v>351.62</v>
      </c>
      <c r="C907" t="s">
        <v>35</v>
      </c>
      <c r="D907">
        <v>12</v>
      </c>
      <c r="E907">
        <v>24.91</v>
      </c>
      <c r="F907" t="s">
        <v>79</v>
      </c>
      <c r="G907">
        <v>2</v>
      </c>
      <c r="H907">
        <v>26.36</v>
      </c>
    </row>
    <row r="908" spans="1:8" s="40" customFormat="1" x14ac:dyDescent="0.3">
      <c r="A908" s="41" t="s">
        <v>976</v>
      </c>
      <c r="B908" s="40">
        <f>D907*E908+G907*H908+J907*K908</f>
        <v>351.62128627471577</v>
      </c>
      <c r="E908" s="40">
        <v>24.907873055186759</v>
      </c>
      <c r="H908" s="40">
        <v>26.363404806237337</v>
      </c>
    </row>
    <row r="909" spans="1:8" x14ac:dyDescent="0.3">
      <c r="A909" t="s">
        <v>860</v>
      </c>
      <c r="B909">
        <v>158.24</v>
      </c>
      <c r="C909" t="s">
        <v>39</v>
      </c>
      <c r="D909">
        <v>12</v>
      </c>
      <c r="E909">
        <v>10.99</v>
      </c>
      <c r="F909" t="s">
        <v>72</v>
      </c>
      <c r="G909">
        <v>2</v>
      </c>
      <c r="H909">
        <v>13.19</v>
      </c>
    </row>
    <row r="910" spans="1:8" s="40" customFormat="1" x14ac:dyDescent="0.3">
      <c r="A910" s="41" t="s">
        <v>976</v>
      </c>
      <c r="B910" s="40">
        <f>D909*E910+G909*H910+J909*K910</f>
        <v>158.23877434123847</v>
      </c>
      <c r="E910" s="40">
        <v>10.988588090064511</v>
      </c>
      <c r="H910" s="40">
        <v>13.187858630232169</v>
      </c>
    </row>
    <row r="911" spans="1:8" x14ac:dyDescent="0.3">
      <c r="A911" t="s">
        <v>861</v>
      </c>
      <c r="B911">
        <v>237.35</v>
      </c>
      <c r="C911" t="s">
        <v>43</v>
      </c>
      <c r="D911">
        <v>12</v>
      </c>
      <c r="E911">
        <v>17.579999999999998</v>
      </c>
      <c r="F911" t="s">
        <v>74</v>
      </c>
      <c r="G911">
        <v>2</v>
      </c>
      <c r="H911">
        <v>13.19</v>
      </c>
    </row>
    <row r="912" spans="1:8" s="40" customFormat="1" x14ac:dyDescent="0.3">
      <c r="A912" s="41" t="s">
        <v>976</v>
      </c>
      <c r="B912" s="40">
        <f>D911*E912+G911*H912+J911*K912</f>
        <v>237.35394643743763</v>
      </c>
      <c r="E912" s="40">
        <v>17.581519098081106</v>
      </c>
      <c r="H912" s="40">
        <v>13.187858630232169</v>
      </c>
    </row>
    <row r="913" spans="1:8" x14ac:dyDescent="0.3">
      <c r="A913" t="s">
        <v>862</v>
      </c>
      <c r="B913">
        <v>237.35</v>
      </c>
      <c r="C913" t="s">
        <v>43</v>
      </c>
      <c r="D913">
        <v>12</v>
      </c>
      <c r="E913">
        <v>17.579999999999998</v>
      </c>
      <c r="F913" t="s">
        <v>74</v>
      </c>
      <c r="G913">
        <v>2</v>
      </c>
      <c r="H913">
        <v>13.19</v>
      </c>
    </row>
    <row r="914" spans="1:8" s="40" customFormat="1" x14ac:dyDescent="0.3">
      <c r="A914" s="41" t="s">
        <v>976</v>
      </c>
      <c r="B914" s="40">
        <f>D913*E914+G913*H914+J913*K914</f>
        <v>237.35394643743763</v>
      </c>
      <c r="E914" s="40">
        <v>17.581519098081106</v>
      </c>
      <c r="H914" s="40">
        <v>13.187858630232169</v>
      </c>
    </row>
    <row r="915" spans="1:8" x14ac:dyDescent="0.3">
      <c r="A915" t="s">
        <v>864</v>
      </c>
      <c r="B915">
        <v>237.35</v>
      </c>
      <c r="C915" t="s">
        <v>43</v>
      </c>
      <c r="D915">
        <v>12</v>
      </c>
      <c r="E915">
        <v>17.579999999999998</v>
      </c>
      <c r="F915" t="s">
        <v>74</v>
      </c>
      <c r="G915">
        <v>2</v>
      </c>
      <c r="H915">
        <v>13.19</v>
      </c>
    </row>
    <row r="916" spans="1:8" s="40" customFormat="1" x14ac:dyDescent="0.3">
      <c r="A916" s="41" t="s">
        <v>976</v>
      </c>
      <c r="B916" s="40">
        <f>D915*E916+G915*H916+J915*K916</f>
        <v>237.35394643743763</v>
      </c>
      <c r="E916" s="40">
        <v>17.581519098081106</v>
      </c>
      <c r="H916" s="40">
        <v>13.187858630232169</v>
      </c>
    </row>
    <row r="917" spans="1:8" x14ac:dyDescent="0.3">
      <c r="A917" t="s">
        <v>863</v>
      </c>
      <c r="B917">
        <v>158.24</v>
      </c>
      <c r="C917" t="s">
        <v>39</v>
      </c>
      <c r="D917">
        <v>12</v>
      </c>
      <c r="E917">
        <v>10.99</v>
      </c>
      <c r="F917" t="s">
        <v>72</v>
      </c>
      <c r="G917">
        <v>2</v>
      </c>
      <c r="H917">
        <v>13.19</v>
      </c>
    </row>
    <row r="918" spans="1:8" s="40" customFormat="1" x14ac:dyDescent="0.3">
      <c r="A918" s="41" t="s">
        <v>976</v>
      </c>
      <c r="B918" s="40">
        <f>D917*E918+G917*H918+J917*K918</f>
        <v>158.23877434123847</v>
      </c>
      <c r="E918" s="40">
        <v>10.988588090064511</v>
      </c>
      <c r="H918" s="40">
        <v>13.187858630232169</v>
      </c>
    </row>
    <row r="919" spans="1:8" x14ac:dyDescent="0.3">
      <c r="A919" t="s">
        <v>963</v>
      </c>
      <c r="B919">
        <v>237.35</v>
      </c>
      <c r="C919" t="s">
        <v>43</v>
      </c>
      <c r="D919">
        <v>12</v>
      </c>
      <c r="E919">
        <v>17.579999999999998</v>
      </c>
      <c r="F919" t="s">
        <v>74</v>
      </c>
      <c r="G919">
        <v>2</v>
      </c>
      <c r="H919">
        <v>13.19</v>
      </c>
    </row>
    <row r="920" spans="1:8" s="40" customFormat="1" x14ac:dyDescent="0.3">
      <c r="A920" s="41" t="s">
        <v>976</v>
      </c>
      <c r="B920" s="40">
        <f>D919*E920+G919*H920+J919*K920</f>
        <v>237.35394643743763</v>
      </c>
      <c r="E920" s="40">
        <v>17.581519098081106</v>
      </c>
      <c r="H920" s="40">
        <v>13.187858630232169</v>
      </c>
    </row>
    <row r="921" spans="1:8" x14ac:dyDescent="0.3">
      <c r="A921" t="s">
        <v>865</v>
      </c>
      <c r="B921">
        <v>237.35</v>
      </c>
      <c r="C921" t="s">
        <v>43</v>
      </c>
      <c r="D921">
        <v>12</v>
      </c>
      <c r="E921">
        <v>17.579999999999998</v>
      </c>
      <c r="F921" t="s">
        <v>74</v>
      </c>
      <c r="G921">
        <v>2</v>
      </c>
      <c r="H921">
        <v>13.19</v>
      </c>
    </row>
    <row r="922" spans="1:8" s="40" customFormat="1" x14ac:dyDescent="0.3">
      <c r="A922" s="41" t="s">
        <v>976</v>
      </c>
      <c r="B922" s="40">
        <f>D921*E922+G921*H922+J921*K922</f>
        <v>237.35394643743763</v>
      </c>
      <c r="E922" s="40">
        <v>17.581519098081106</v>
      </c>
      <c r="H922" s="40">
        <v>13.187858630232169</v>
      </c>
    </row>
    <row r="923" spans="1:8" x14ac:dyDescent="0.3">
      <c r="A923" t="s">
        <v>866</v>
      </c>
      <c r="B923">
        <v>237.35</v>
      </c>
      <c r="C923" t="s">
        <v>43</v>
      </c>
      <c r="D923">
        <v>12</v>
      </c>
      <c r="E923">
        <v>17.579999999999998</v>
      </c>
      <c r="F923" t="s">
        <v>74</v>
      </c>
      <c r="G923">
        <v>2</v>
      </c>
      <c r="H923">
        <v>13.19</v>
      </c>
    </row>
    <row r="924" spans="1:8" s="40" customFormat="1" x14ac:dyDescent="0.3">
      <c r="A924" s="41" t="s">
        <v>976</v>
      </c>
      <c r="B924" s="40">
        <f>D923*E924+G923*H924+J923*K924</f>
        <v>237.35394643743763</v>
      </c>
      <c r="E924" s="40">
        <v>17.581519098081106</v>
      </c>
      <c r="H924" s="40">
        <v>13.187858630232169</v>
      </c>
    </row>
    <row r="925" spans="1:8" x14ac:dyDescent="0.3">
      <c r="A925" t="s">
        <v>867</v>
      </c>
      <c r="B925">
        <v>404.37</v>
      </c>
      <c r="C925" t="s">
        <v>47</v>
      </c>
      <c r="D925">
        <v>12</v>
      </c>
      <c r="E925">
        <v>29.3</v>
      </c>
      <c r="F925" t="s">
        <v>79</v>
      </c>
      <c r="G925">
        <v>2</v>
      </c>
      <c r="H925">
        <v>26.36</v>
      </c>
    </row>
    <row r="926" spans="1:8" s="40" customFormat="1" x14ac:dyDescent="0.3">
      <c r="A926" s="41" t="s">
        <v>976</v>
      </c>
      <c r="B926" s="40">
        <f>D925*E926+G925*H926+J925*K926</f>
        <v>404.36784018315802</v>
      </c>
      <c r="E926" s="40">
        <v>29.303419214223613</v>
      </c>
      <c r="H926" s="40">
        <v>26.363404806237337</v>
      </c>
    </row>
    <row r="927" spans="1:8" x14ac:dyDescent="0.3">
      <c r="A927" t="s">
        <v>870</v>
      </c>
      <c r="B927">
        <v>178.77</v>
      </c>
      <c r="C927" t="s">
        <v>29</v>
      </c>
      <c r="D927">
        <v>12</v>
      </c>
      <c r="E927">
        <v>13.19</v>
      </c>
      <c r="F927" t="s">
        <v>89</v>
      </c>
      <c r="G927">
        <v>2</v>
      </c>
      <c r="H927">
        <v>10.26</v>
      </c>
    </row>
    <row r="928" spans="1:8" s="40" customFormat="1" x14ac:dyDescent="0.3">
      <c r="A928" s="41" t="s">
        <v>976</v>
      </c>
      <c r="B928" s="40">
        <f>D927*E928+G927*H928+J927*K928</f>
        <v>178.76596492086961</v>
      </c>
      <c r="E928" s="40">
        <v>13.187858630232169</v>
      </c>
      <c r="H928" s="40">
        <v>10.255830679041788</v>
      </c>
    </row>
    <row r="929" spans="1:8" x14ac:dyDescent="0.3">
      <c r="A929" t="s">
        <v>869</v>
      </c>
      <c r="B929">
        <v>108.4</v>
      </c>
      <c r="C929" t="s">
        <v>24</v>
      </c>
      <c r="D929">
        <v>12</v>
      </c>
      <c r="E929">
        <v>7.32</v>
      </c>
      <c r="F929" t="s">
        <v>87</v>
      </c>
      <c r="G929">
        <v>2</v>
      </c>
      <c r="H929">
        <v>10.26</v>
      </c>
    </row>
    <row r="930" spans="1:8" s="40" customFormat="1" x14ac:dyDescent="0.3">
      <c r="A930" s="41" t="s">
        <v>976</v>
      </c>
      <c r="B930" s="40">
        <f>D929*E930+G929*H930+J929*K930</f>
        <v>108.39729409230043</v>
      </c>
      <c r="E930" s="40">
        <v>7.3238027278514046</v>
      </c>
      <c r="H930" s="40">
        <v>10.255830679041788</v>
      </c>
    </row>
    <row r="931" spans="1:8" x14ac:dyDescent="0.3">
      <c r="A931" t="s">
        <v>868</v>
      </c>
      <c r="B931">
        <v>143.58000000000001</v>
      </c>
      <c r="C931" t="s">
        <v>27</v>
      </c>
      <c r="D931">
        <v>12</v>
      </c>
      <c r="E931">
        <v>10.26</v>
      </c>
      <c r="F931" t="s">
        <v>87</v>
      </c>
      <c r="G931">
        <v>2</v>
      </c>
      <c r="H931">
        <v>10.26</v>
      </c>
    </row>
    <row r="932" spans="1:8" s="40" customFormat="1" x14ac:dyDescent="0.3">
      <c r="A932" s="41" t="s">
        <v>976</v>
      </c>
      <c r="B932" s="40">
        <f>D931*E932+G931*H932+J931*K932</f>
        <v>143.58162950658505</v>
      </c>
      <c r="E932" s="40">
        <v>10.255830679041788</v>
      </c>
      <c r="H932" s="40">
        <v>10.255830679041788</v>
      </c>
    </row>
    <row r="933" spans="1:8" x14ac:dyDescent="0.3">
      <c r="A933" t="s">
        <v>871</v>
      </c>
      <c r="B933">
        <v>213.95</v>
      </c>
      <c r="C933" t="s">
        <v>31</v>
      </c>
      <c r="D933">
        <v>12</v>
      </c>
      <c r="E933">
        <v>16.12</v>
      </c>
      <c r="F933" t="s">
        <v>89</v>
      </c>
      <c r="G933">
        <v>2</v>
      </c>
      <c r="H933">
        <v>10.26</v>
      </c>
    </row>
    <row r="934" spans="1:8" s="40" customFormat="1" x14ac:dyDescent="0.3">
      <c r="A934" s="41" t="s">
        <v>976</v>
      </c>
      <c r="B934" s="40">
        <f>D933*E934+G933*H934+J933*K934</f>
        <v>213.94896925902157</v>
      </c>
      <c r="E934" s="40">
        <v>16.119775658411498</v>
      </c>
      <c r="H934" s="40">
        <v>10.255830679041788</v>
      </c>
    </row>
    <row r="935" spans="1:8" x14ac:dyDescent="0.3">
      <c r="A935" t="s">
        <v>872</v>
      </c>
      <c r="B935">
        <v>213.95</v>
      </c>
      <c r="C935" t="s">
        <v>31</v>
      </c>
      <c r="D935">
        <v>12</v>
      </c>
      <c r="E935">
        <v>16.12</v>
      </c>
      <c r="F935" t="s">
        <v>89</v>
      </c>
      <c r="G935">
        <v>2</v>
      </c>
      <c r="H935">
        <v>10.26</v>
      </c>
    </row>
    <row r="936" spans="1:8" s="40" customFormat="1" x14ac:dyDescent="0.3">
      <c r="A936" s="41" t="s">
        <v>976</v>
      </c>
      <c r="B936" s="40">
        <f>D935*E936+G935*H936+J935*K936</f>
        <v>213.94896925902157</v>
      </c>
      <c r="E936" s="40">
        <v>16.119775658411498</v>
      </c>
      <c r="H936" s="40">
        <v>10.255830679041788</v>
      </c>
    </row>
    <row r="937" spans="1:8" x14ac:dyDescent="0.3">
      <c r="A937" t="s">
        <v>873</v>
      </c>
      <c r="B937">
        <v>249.07</v>
      </c>
      <c r="C937" t="s">
        <v>69</v>
      </c>
      <c r="D937">
        <v>12</v>
      </c>
      <c r="E937">
        <v>19.05</v>
      </c>
      <c r="F937" t="s">
        <v>89</v>
      </c>
      <c r="G937">
        <v>2</v>
      </c>
      <c r="H937">
        <v>10.26</v>
      </c>
    </row>
    <row r="938" spans="1:8" s="40" customFormat="1" x14ac:dyDescent="0.3">
      <c r="A938" s="41" t="s">
        <v>976</v>
      </c>
      <c r="B938" s="40">
        <f>D937*E938+G937*H938+J937*K938</f>
        <v>249.07473732346961</v>
      </c>
      <c r="E938" s="40">
        <v>19.046922997115502</v>
      </c>
      <c r="H938" s="40">
        <v>10.255830679041788</v>
      </c>
    </row>
    <row r="939" spans="1:8" x14ac:dyDescent="0.3">
      <c r="A939" t="s">
        <v>875</v>
      </c>
      <c r="B939">
        <v>158.25</v>
      </c>
      <c r="C939" t="s">
        <v>65</v>
      </c>
      <c r="D939">
        <v>12</v>
      </c>
      <c r="E939">
        <v>13.19</v>
      </c>
    </row>
    <row r="940" spans="1:8" s="40" customFormat="1" x14ac:dyDescent="0.3">
      <c r="A940" s="41" t="s">
        <v>976</v>
      </c>
      <c r="B940" s="40">
        <f>D939*E940+G939*H940+J939*K940</f>
        <v>158.25430356278602</v>
      </c>
      <c r="E940" s="40">
        <v>13.187858630232169</v>
      </c>
    </row>
    <row r="941" spans="1:8" x14ac:dyDescent="0.3">
      <c r="A941" t="s">
        <v>874</v>
      </c>
      <c r="B941">
        <v>123.07</v>
      </c>
      <c r="C941" t="s">
        <v>27</v>
      </c>
      <c r="D941">
        <v>12</v>
      </c>
      <c r="E941">
        <v>10.26</v>
      </c>
    </row>
    <row r="942" spans="1:8" s="40" customFormat="1" x14ac:dyDescent="0.3">
      <c r="A942" s="41" t="s">
        <v>976</v>
      </c>
      <c r="B942" s="40">
        <f>D941*E942+G941*H942+J941*K942</f>
        <v>123.06996814850146</v>
      </c>
      <c r="E942" s="40">
        <v>10.255830679041788</v>
      </c>
    </row>
    <row r="943" spans="1:8" x14ac:dyDescent="0.3">
      <c r="A943" t="s">
        <v>965</v>
      </c>
      <c r="B943">
        <v>123.07</v>
      </c>
      <c r="C943" t="s">
        <v>27</v>
      </c>
      <c r="D943">
        <v>12</v>
      </c>
      <c r="E943">
        <v>10.26</v>
      </c>
    </row>
    <row r="944" spans="1:8" s="40" customFormat="1" x14ac:dyDescent="0.3">
      <c r="A944" s="41" t="s">
        <v>976</v>
      </c>
      <c r="B944" s="40">
        <f>D943*E944+G943*H944+J943*K944</f>
        <v>123.06996814850146</v>
      </c>
      <c r="E944" s="40">
        <v>10.255830679041788</v>
      </c>
    </row>
    <row r="945" spans="1:11" x14ac:dyDescent="0.3">
      <c r="A945" t="s">
        <v>876</v>
      </c>
      <c r="B945">
        <v>123.07</v>
      </c>
      <c r="C945" t="s">
        <v>27</v>
      </c>
      <c r="D945">
        <v>12</v>
      </c>
      <c r="E945">
        <v>10.26</v>
      </c>
    </row>
    <row r="946" spans="1:11" s="40" customFormat="1" x14ac:dyDescent="0.3">
      <c r="A946" s="41" t="s">
        <v>976</v>
      </c>
      <c r="B946" s="40">
        <f>D945*E946+G945*H946+J945*K946</f>
        <v>123.06996814850146</v>
      </c>
      <c r="E946" s="40">
        <v>10.255830679041788</v>
      </c>
    </row>
    <row r="947" spans="1:11" x14ac:dyDescent="0.3">
      <c r="A947" t="s">
        <v>877</v>
      </c>
      <c r="B947">
        <v>158.25</v>
      </c>
      <c r="C947" t="s">
        <v>29</v>
      </c>
      <c r="D947">
        <v>12</v>
      </c>
      <c r="E947">
        <v>13.19</v>
      </c>
    </row>
    <row r="948" spans="1:11" s="40" customFormat="1" x14ac:dyDescent="0.3">
      <c r="A948" s="41" t="s">
        <v>976</v>
      </c>
      <c r="B948" s="40">
        <f>D947*E948+G947*H948+J947*K948</f>
        <v>158.25430356278602</v>
      </c>
      <c r="E948" s="40">
        <v>13.187858630232169</v>
      </c>
    </row>
    <row r="949" spans="1:11" x14ac:dyDescent="0.3">
      <c r="A949" t="s">
        <v>878</v>
      </c>
      <c r="B949">
        <v>193.44</v>
      </c>
      <c r="C949" t="s">
        <v>31</v>
      </c>
      <c r="D949">
        <v>12</v>
      </c>
      <c r="E949">
        <v>16.12</v>
      </c>
    </row>
    <row r="950" spans="1:11" s="40" customFormat="1" x14ac:dyDescent="0.3">
      <c r="A950" s="41" t="s">
        <v>976</v>
      </c>
      <c r="B950" s="40">
        <f>D949*E950+G949*H950+J949*K950</f>
        <v>193.43730790093798</v>
      </c>
      <c r="E950" s="40">
        <v>16.119775658411498</v>
      </c>
    </row>
    <row r="951" spans="1:11" x14ac:dyDescent="0.3">
      <c r="A951" t="s">
        <v>879</v>
      </c>
      <c r="B951">
        <v>228.56</v>
      </c>
      <c r="C951" t="s">
        <v>69</v>
      </c>
      <c r="D951">
        <v>12</v>
      </c>
      <c r="E951">
        <v>19.05</v>
      </c>
    </row>
    <row r="952" spans="1:11" s="40" customFormat="1" x14ac:dyDescent="0.3">
      <c r="A952" s="41" t="s">
        <v>976</v>
      </c>
      <c r="B952" s="40">
        <f>D951*E952+G951*H952+J951*K952</f>
        <v>228.56307596538602</v>
      </c>
      <c r="E952" s="40">
        <v>19.046922997115502</v>
      </c>
    </row>
    <row r="953" spans="1:11" x14ac:dyDescent="0.3">
      <c r="A953" t="s">
        <v>880</v>
      </c>
      <c r="B953">
        <v>137.72</v>
      </c>
      <c r="C953" t="s">
        <v>27</v>
      </c>
      <c r="D953">
        <v>12</v>
      </c>
      <c r="E953">
        <v>10.26</v>
      </c>
      <c r="F953" t="s">
        <v>99</v>
      </c>
      <c r="G953">
        <v>2</v>
      </c>
      <c r="H953">
        <v>7.32</v>
      </c>
    </row>
    <row r="954" spans="1:11" s="40" customFormat="1" x14ac:dyDescent="0.3">
      <c r="A954" s="41" t="s">
        <v>976</v>
      </c>
      <c r="B954" s="40">
        <f>D953*E954+G953*H954+J953*K954</f>
        <v>137.7176643392273</v>
      </c>
      <c r="E954" s="40">
        <v>10.255830679041788</v>
      </c>
      <c r="H954" s="40">
        <v>7.3238480953629237</v>
      </c>
    </row>
    <row r="955" spans="1:11" x14ac:dyDescent="0.3">
      <c r="A955" t="s">
        <v>881</v>
      </c>
      <c r="B955">
        <v>208.09</v>
      </c>
      <c r="C955" t="s">
        <v>31</v>
      </c>
      <c r="D955">
        <v>12</v>
      </c>
      <c r="E955">
        <v>16.12</v>
      </c>
      <c r="F955" t="s">
        <v>99</v>
      </c>
      <c r="G955">
        <v>2</v>
      </c>
      <c r="H955">
        <v>7.32</v>
      </c>
    </row>
    <row r="956" spans="1:11" s="40" customFormat="1" x14ac:dyDescent="0.3">
      <c r="A956" s="41" t="s">
        <v>976</v>
      </c>
      <c r="B956" s="40">
        <f>D955*E956+G955*H956+J955*K956</f>
        <v>208.08500409166382</v>
      </c>
      <c r="E956" s="40">
        <v>16.119775658411498</v>
      </c>
      <c r="H956" s="40">
        <v>7.3238480953629237</v>
      </c>
    </row>
    <row r="957" spans="1:11" x14ac:dyDescent="0.3">
      <c r="A957" t="s">
        <v>882</v>
      </c>
      <c r="B957">
        <v>290.08</v>
      </c>
      <c r="C957" t="s">
        <v>31</v>
      </c>
      <c r="D957">
        <v>12</v>
      </c>
      <c r="E957">
        <v>16.12</v>
      </c>
      <c r="F957" t="s">
        <v>110</v>
      </c>
      <c r="G957">
        <v>2</v>
      </c>
      <c r="H957">
        <v>17.579999999999998</v>
      </c>
      <c r="I957" t="s">
        <v>137</v>
      </c>
      <c r="J957">
        <v>14</v>
      </c>
      <c r="K957">
        <v>4.3899999999999997</v>
      </c>
    </row>
    <row r="958" spans="1:11" s="40" customFormat="1" x14ac:dyDescent="0.3">
      <c r="A958" s="41" t="s">
        <v>976</v>
      </c>
      <c r="B958" s="40">
        <f>D957*E958+G957*H958+J957*K958</f>
        <v>290.08266015432008</v>
      </c>
      <c r="E958" s="40">
        <v>16.119775658411498</v>
      </c>
      <c r="H958" s="40">
        <v>17.579688979321727</v>
      </c>
      <c r="K958" s="40">
        <v>4.3918553067670469</v>
      </c>
    </row>
    <row r="959" spans="1:11" x14ac:dyDescent="0.3">
      <c r="A959" t="s">
        <v>967</v>
      </c>
      <c r="B959">
        <v>99.61</v>
      </c>
      <c r="C959" t="s">
        <v>24</v>
      </c>
      <c r="D959">
        <v>10</v>
      </c>
      <c r="E959">
        <v>7.32</v>
      </c>
      <c r="F959" t="s">
        <v>72</v>
      </c>
      <c r="G959">
        <v>2</v>
      </c>
      <c r="H959">
        <v>13.19</v>
      </c>
    </row>
    <row r="960" spans="1:11" s="40" customFormat="1" x14ac:dyDescent="0.3">
      <c r="A960" s="41" t="s">
        <v>976</v>
      </c>
      <c r="B960" s="40">
        <f>D959*E960+G959*H960+J959*K960</f>
        <v>99.613744538978381</v>
      </c>
      <c r="E960" s="40">
        <v>7.3238027278514046</v>
      </c>
      <c r="H960" s="40">
        <v>13.187858630232169</v>
      </c>
    </row>
    <row r="961" spans="1:11" x14ac:dyDescent="0.3">
      <c r="A961" t="s">
        <v>885</v>
      </c>
      <c r="B961">
        <v>325.20999999999998</v>
      </c>
      <c r="C961" t="s">
        <v>69</v>
      </c>
      <c r="D961">
        <v>12</v>
      </c>
      <c r="E961">
        <v>19.05</v>
      </c>
      <c r="F961" t="s">
        <v>110</v>
      </c>
      <c r="G961">
        <v>2</v>
      </c>
      <c r="H961">
        <v>17.579999999999998</v>
      </c>
      <c r="I961" t="s">
        <v>137</v>
      </c>
      <c r="J961">
        <v>14</v>
      </c>
      <c r="K961">
        <v>4.3899999999999997</v>
      </c>
    </row>
    <row r="962" spans="1:11" s="40" customFormat="1" x14ac:dyDescent="0.3">
      <c r="A962" s="41" t="s">
        <v>976</v>
      </c>
      <c r="B962" s="40">
        <f>D961*E962+G961*H962+J961*K962</f>
        <v>325.20842821876812</v>
      </c>
      <c r="E962" s="40">
        <v>19.046922997115502</v>
      </c>
      <c r="H962" s="40">
        <v>17.579688979321727</v>
      </c>
      <c r="K962" s="40">
        <v>4.3918553067670469</v>
      </c>
    </row>
    <row r="963" spans="1:11" x14ac:dyDescent="0.3">
      <c r="A963" t="s">
        <v>884</v>
      </c>
      <c r="B963">
        <v>260.8</v>
      </c>
      <c r="C963" t="s">
        <v>53</v>
      </c>
      <c r="D963">
        <v>10</v>
      </c>
      <c r="E963">
        <v>23.44</v>
      </c>
      <c r="F963" t="s">
        <v>81</v>
      </c>
      <c r="G963">
        <v>2</v>
      </c>
      <c r="H963">
        <v>13.19</v>
      </c>
    </row>
    <row r="964" spans="1:11" s="40" customFormat="1" x14ac:dyDescent="0.3">
      <c r="A964" s="41" t="s">
        <v>976</v>
      </c>
      <c r="B964" s="40">
        <f>D963*E964+G963*H964+J963*K964</f>
        <v>260.8004088219879</v>
      </c>
      <c r="E964" s="40">
        <v>23.442469156152359</v>
      </c>
      <c r="H964" s="40">
        <v>13.187858630232169</v>
      </c>
    </row>
    <row r="965" spans="1:11" x14ac:dyDescent="0.3">
      <c r="A965" t="s">
        <v>886</v>
      </c>
      <c r="B965">
        <v>128.93</v>
      </c>
      <c r="C965" t="s">
        <v>27</v>
      </c>
      <c r="D965">
        <v>10</v>
      </c>
      <c r="E965">
        <v>10.26</v>
      </c>
      <c r="F965" t="s">
        <v>72</v>
      </c>
      <c r="G965">
        <v>2</v>
      </c>
      <c r="H965">
        <v>13.19</v>
      </c>
    </row>
    <row r="966" spans="1:11" s="40" customFormat="1" x14ac:dyDescent="0.3">
      <c r="A966" s="41" t="s">
        <v>976</v>
      </c>
      <c r="B966" s="40">
        <f>D965*E966+G965*H966+J965*K966</f>
        <v>128.93402405088221</v>
      </c>
      <c r="E966" s="40">
        <v>10.255830679041788</v>
      </c>
      <c r="H966" s="40">
        <v>13.187858630232169</v>
      </c>
    </row>
    <row r="967" spans="1:11" x14ac:dyDescent="0.3">
      <c r="A967" t="s">
        <v>887</v>
      </c>
      <c r="B967">
        <v>128.93</v>
      </c>
      <c r="C967" t="s">
        <v>27</v>
      </c>
      <c r="D967">
        <v>10</v>
      </c>
      <c r="E967">
        <v>10.26</v>
      </c>
      <c r="F967" t="s">
        <v>72</v>
      </c>
      <c r="G967">
        <v>2</v>
      </c>
      <c r="H967">
        <v>13.19</v>
      </c>
    </row>
    <row r="968" spans="1:11" s="40" customFormat="1" x14ac:dyDescent="0.3">
      <c r="A968" s="41" t="s">
        <v>976</v>
      </c>
      <c r="B968" s="40">
        <f>D967*E968+G967*H968+J967*K968</f>
        <v>128.93402405088221</v>
      </c>
      <c r="E968" s="40">
        <v>10.255830679041788</v>
      </c>
      <c r="H968" s="40">
        <v>13.187858630232169</v>
      </c>
    </row>
    <row r="969" spans="1:11" x14ac:dyDescent="0.3">
      <c r="A969" t="s">
        <v>888</v>
      </c>
      <c r="B969">
        <v>128.93</v>
      </c>
      <c r="C969" t="s">
        <v>27</v>
      </c>
      <c r="D969">
        <v>10</v>
      </c>
      <c r="E969">
        <v>10.26</v>
      </c>
      <c r="F969" t="s">
        <v>72</v>
      </c>
      <c r="G969">
        <v>2</v>
      </c>
      <c r="H969">
        <v>13.19</v>
      </c>
    </row>
    <row r="970" spans="1:11" s="40" customFormat="1" x14ac:dyDescent="0.3">
      <c r="A970" s="41" t="s">
        <v>976</v>
      </c>
      <c r="B970" s="40">
        <f>D969*E970+G969*H970+J969*K970</f>
        <v>128.93402405088221</v>
      </c>
      <c r="E970" s="40">
        <v>10.255830679041788</v>
      </c>
      <c r="H970" s="40">
        <v>13.187858630232169</v>
      </c>
    </row>
    <row r="971" spans="1:11" x14ac:dyDescent="0.3">
      <c r="A971" t="s">
        <v>890</v>
      </c>
      <c r="B971">
        <v>128.93</v>
      </c>
      <c r="C971" t="s">
        <v>27</v>
      </c>
      <c r="D971">
        <v>10</v>
      </c>
      <c r="E971">
        <v>10.26</v>
      </c>
      <c r="F971" t="s">
        <v>72</v>
      </c>
      <c r="G971">
        <v>2</v>
      </c>
      <c r="H971">
        <v>13.19</v>
      </c>
    </row>
    <row r="972" spans="1:11" s="40" customFormat="1" x14ac:dyDescent="0.3">
      <c r="A972" s="41" t="s">
        <v>976</v>
      </c>
      <c r="B972" s="40">
        <f>D971*E972+G971*H972+J971*K972</f>
        <v>128.93402405088221</v>
      </c>
      <c r="E972" s="40">
        <v>10.255830679041788</v>
      </c>
      <c r="H972" s="40">
        <v>13.187858630232169</v>
      </c>
    </row>
    <row r="973" spans="1:11" x14ac:dyDescent="0.3">
      <c r="A973" t="s">
        <v>889</v>
      </c>
      <c r="B973">
        <v>128.93</v>
      </c>
      <c r="C973" t="s">
        <v>27</v>
      </c>
      <c r="D973">
        <v>10</v>
      </c>
      <c r="E973">
        <v>10.26</v>
      </c>
      <c r="F973" t="s">
        <v>72</v>
      </c>
      <c r="G973">
        <v>2</v>
      </c>
      <c r="H973">
        <v>13.19</v>
      </c>
    </row>
    <row r="974" spans="1:11" s="40" customFormat="1" x14ac:dyDescent="0.3">
      <c r="A974" s="41" t="s">
        <v>976</v>
      </c>
      <c r="B974" s="40">
        <f>D973*E974+G973*H974+J973*K974</f>
        <v>128.93402405088221</v>
      </c>
      <c r="E974" s="40">
        <v>10.255830679041788</v>
      </c>
      <c r="H974" s="40">
        <v>13.187858630232169</v>
      </c>
    </row>
    <row r="975" spans="1:11" x14ac:dyDescent="0.3">
      <c r="A975" t="s">
        <v>892</v>
      </c>
      <c r="B975">
        <v>128.93</v>
      </c>
      <c r="C975" t="s">
        <v>27</v>
      </c>
      <c r="D975">
        <v>10</v>
      </c>
      <c r="E975">
        <v>10.26</v>
      </c>
      <c r="F975" t="s">
        <v>72</v>
      </c>
      <c r="G975">
        <v>2</v>
      </c>
      <c r="H975">
        <v>13.19</v>
      </c>
    </row>
    <row r="976" spans="1:11" s="40" customFormat="1" x14ac:dyDescent="0.3">
      <c r="A976" s="41" t="s">
        <v>976</v>
      </c>
      <c r="B976" s="40">
        <f>D975*E976+G975*H976+J975*K976</f>
        <v>128.93402405088221</v>
      </c>
      <c r="E976" s="40">
        <v>10.255830679041788</v>
      </c>
      <c r="H976" s="40">
        <v>13.187858630232169</v>
      </c>
    </row>
    <row r="977" spans="1:8" x14ac:dyDescent="0.3">
      <c r="A977" t="s">
        <v>891</v>
      </c>
      <c r="B977">
        <v>128.93</v>
      </c>
      <c r="C977" t="s">
        <v>27</v>
      </c>
      <c r="D977">
        <v>10</v>
      </c>
      <c r="E977">
        <v>10.26</v>
      </c>
      <c r="F977" t="s">
        <v>72</v>
      </c>
      <c r="G977">
        <v>2</v>
      </c>
      <c r="H977">
        <v>13.19</v>
      </c>
    </row>
    <row r="978" spans="1:8" s="40" customFormat="1" x14ac:dyDescent="0.3">
      <c r="A978" s="41" t="s">
        <v>976</v>
      </c>
      <c r="B978" s="40">
        <f>D977*E978+G977*H978+J977*K978</f>
        <v>128.93402405088221</v>
      </c>
      <c r="E978" s="40">
        <v>10.255830679041788</v>
      </c>
      <c r="H978" s="40">
        <v>13.187858630232169</v>
      </c>
    </row>
    <row r="979" spans="1:8" x14ac:dyDescent="0.3">
      <c r="A979" t="s">
        <v>894</v>
      </c>
      <c r="B979">
        <v>128.93</v>
      </c>
      <c r="C979" t="s">
        <v>27</v>
      </c>
      <c r="D979">
        <v>10</v>
      </c>
      <c r="E979">
        <v>10.26</v>
      </c>
      <c r="F979" t="s">
        <v>72</v>
      </c>
      <c r="G979">
        <v>2</v>
      </c>
      <c r="H979">
        <v>13.19</v>
      </c>
    </row>
    <row r="980" spans="1:8" s="40" customFormat="1" x14ac:dyDescent="0.3">
      <c r="A980" s="41" t="s">
        <v>976</v>
      </c>
      <c r="B980" s="40">
        <f>D979*E980+G979*H980+J979*K980</f>
        <v>128.93402405088221</v>
      </c>
      <c r="E980" s="40">
        <v>10.255830679041788</v>
      </c>
      <c r="H980" s="40">
        <v>13.187858630232169</v>
      </c>
    </row>
    <row r="981" spans="1:8" x14ac:dyDescent="0.3">
      <c r="A981" t="s">
        <v>893</v>
      </c>
      <c r="B981">
        <v>128.93</v>
      </c>
      <c r="C981" t="s">
        <v>27</v>
      </c>
      <c r="D981">
        <v>10</v>
      </c>
      <c r="E981">
        <v>10.26</v>
      </c>
      <c r="F981" t="s">
        <v>72</v>
      </c>
      <c r="G981">
        <v>2</v>
      </c>
      <c r="H981">
        <v>13.19</v>
      </c>
    </row>
    <row r="982" spans="1:8" s="40" customFormat="1" x14ac:dyDescent="0.3">
      <c r="A982" s="41" t="s">
        <v>976</v>
      </c>
      <c r="B982" s="40">
        <f>D981*E982+G981*H982+J981*K982</f>
        <v>128.93402405088221</v>
      </c>
      <c r="E982" s="40">
        <v>10.255830679041788</v>
      </c>
      <c r="H982" s="40">
        <v>13.187858630232169</v>
      </c>
    </row>
    <row r="983" spans="1:8" x14ac:dyDescent="0.3">
      <c r="A983" t="s">
        <v>895</v>
      </c>
      <c r="B983">
        <v>128.93</v>
      </c>
      <c r="C983" t="s">
        <v>27</v>
      </c>
      <c r="D983">
        <v>10</v>
      </c>
      <c r="E983">
        <v>10.26</v>
      </c>
      <c r="F983" t="s">
        <v>72</v>
      </c>
      <c r="G983">
        <v>2</v>
      </c>
      <c r="H983">
        <v>13.19</v>
      </c>
    </row>
    <row r="984" spans="1:8" s="40" customFormat="1" x14ac:dyDescent="0.3">
      <c r="A984" s="41" t="s">
        <v>976</v>
      </c>
      <c r="B984" s="40">
        <f>D983*E984+G983*H984+J983*K984</f>
        <v>128.93402405088221</v>
      </c>
      <c r="E984" s="40">
        <v>10.255830679041788</v>
      </c>
      <c r="H984" s="40">
        <v>13.187858630232169</v>
      </c>
    </row>
    <row r="985" spans="1:8" x14ac:dyDescent="0.3">
      <c r="A985" t="s">
        <v>897</v>
      </c>
      <c r="B985">
        <v>216.84</v>
      </c>
      <c r="C985" t="s">
        <v>69</v>
      </c>
      <c r="D985">
        <v>10</v>
      </c>
      <c r="E985">
        <v>19.05</v>
      </c>
      <c r="F985" t="s">
        <v>74</v>
      </c>
      <c r="G985">
        <v>2</v>
      </c>
      <c r="H985">
        <v>13.19</v>
      </c>
    </row>
    <row r="986" spans="1:8" s="40" customFormat="1" x14ac:dyDescent="0.3">
      <c r="A986" s="41" t="s">
        <v>976</v>
      </c>
      <c r="B986" s="40">
        <f>D985*E986+G985*H986+J985*K986</f>
        <v>216.84494723161936</v>
      </c>
      <c r="E986" s="40">
        <v>19.046922997115502</v>
      </c>
      <c r="H986" s="40">
        <v>13.187858630232169</v>
      </c>
    </row>
    <row r="987" spans="1:8" x14ac:dyDescent="0.3">
      <c r="A987" t="s">
        <v>896</v>
      </c>
      <c r="B987">
        <v>187.57</v>
      </c>
      <c r="C987" t="s">
        <v>31</v>
      </c>
      <c r="D987">
        <v>10</v>
      </c>
      <c r="E987">
        <v>16.12</v>
      </c>
      <c r="F987" t="s">
        <v>74</v>
      </c>
      <c r="G987">
        <v>2</v>
      </c>
      <c r="H987">
        <v>13.19</v>
      </c>
    </row>
    <row r="988" spans="1:8" s="40" customFormat="1" x14ac:dyDescent="0.3">
      <c r="A988" s="41" t="s">
        <v>976</v>
      </c>
      <c r="B988" s="40">
        <f>D987*E988+G987*H988+J987*K988</f>
        <v>187.57347384457933</v>
      </c>
      <c r="E988" s="40">
        <v>16.119775658411498</v>
      </c>
      <c r="H988" s="40">
        <v>13.187858630232169</v>
      </c>
    </row>
    <row r="989" spans="1:8" x14ac:dyDescent="0.3">
      <c r="A989" t="s">
        <v>898</v>
      </c>
      <c r="B989">
        <v>158.25</v>
      </c>
      <c r="C989" t="s">
        <v>29</v>
      </c>
      <c r="D989">
        <v>10</v>
      </c>
      <c r="E989">
        <v>13.19</v>
      </c>
      <c r="F989" t="s">
        <v>74</v>
      </c>
      <c r="G989">
        <v>2</v>
      </c>
      <c r="H989">
        <v>13.19</v>
      </c>
    </row>
    <row r="990" spans="1:8" s="40" customFormat="1" x14ac:dyDescent="0.3">
      <c r="A990" s="41" t="s">
        <v>976</v>
      </c>
      <c r="B990" s="40">
        <f>D989*E990+G989*H990+J989*K990</f>
        <v>158.25430356278602</v>
      </c>
      <c r="E990" s="40">
        <v>13.187858630232169</v>
      </c>
      <c r="H990" s="40">
        <v>13.187858630232169</v>
      </c>
    </row>
    <row r="991" spans="1:8" x14ac:dyDescent="0.3">
      <c r="A991" t="s">
        <v>899</v>
      </c>
      <c r="B991">
        <v>187.57</v>
      </c>
      <c r="C991" t="s">
        <v>31</v>
      </c>
      <c r="D991">
        <v>10</v>
      </c>
      <c r="E991">
        <v>16.12</v>
      </c>
      <c r="F991" t="s">
        <v>74</v>
      </c>
      <c r="G991">
        <v>2</v>
      </c>
      <c r="H991">
        <v>13.19</v>
      </c>
    </row>
    <row r="992" spans="1:8" s="40" customFormat="1" x14ac:dyDescent="0.3">
      <c r="A992" s="41" t="s">
        <v>976</v>
      </c>
      <c r="B992" s="40">
        <f>D991*E992+G991*H992+J991*K992</f>
        <v>187.57347384457933</v>
      </c>
      <c r="E992" s="40">
        <v>16.119775658411498</v>
      </c>
      <c r="H992" s="40">
        <v>13.187858630232169</v>
      </c>
    </row>
    <row r="993" spans="1:8" x14ac:dyDescent="0.3">
      <c r="A993" t="s">
        <v>900</v>
      </c>
      <c r="B993">
        <v>187.57</v>
      </c>
      <c r="C993" t="s">
        <v>31</v>
      </c>
      <c r="D993">
        <v>10</v>
      </c>
      <c r="E993">
        <v>16.12</v>
      </c>
      <c r="F993" t="s">
        <v>74</v>
      </c>
      <c r="G993">
        <v>2</v>
      </c>
      <c r="H993">
        <v>13.19</v>
      </c>
    </row>
    <row r="994" spans="1:8" s="40" customFormat="1" x14ac:dyDescent="0.3">
      <c r="A994" s="41" t="s">
        <v>976</v>
      </c>
      <c r="B994" s="40">
        <f>D993*E994+G993*H994+J993*K994</f>
        <v>187.57347384457933</v>
      </c>
      <c r="E994" s="40">
        <v>16.119775658411498</v>
      </c>
      <c r="H994" s="40">
        <v>13.187858630232169</v>
      </c>
    </row>
    <row r="995" spans="1:8" x14ac:dyDescent="0.3">
      <c r="A995" t="s">
        <v>901</v>
      </c>
      <c r="B995">
        <v>187.57</v>
      </c>
      <c r="C995" t="s">
        <v>31</v>
      </c>
      <c r="D995">
        <v>10</v>
      </c>
      <c r="E995">
        <v>16.12</v>
      </c>
      <c r="F995" t="s">
        <v>74</v>
      </c>
      <c r="G995">
        <v>2</v>
      </c>
      <c r="H995">
        <v>13.19</v>
      </c>
    </row>
    <row r="996" spans="1:8" s="40" customFormat="1" x14ac:dyDescent="0.3">
      <c r="A996" s="41" t="s">
        <v>976</v>
      </c>
      <c r="B996" s="40">
        <f>D995*E996+G995*H996+J995*K996</f>
        <v>187.57347384457933</v>
      </c>
      <c r="E996" s="40">
        <v>16.119775658411498</v>
      </c>
      <c r="H996" s="40">
        <v>13.187858630232169</v>
      </c>
    </row>
    <row r="997" spans="1:8" x14ac:dyDescent="0.3">
      <c r="A997" t="s">
        <v>902</v>
      </c>
      <c r="B997">
        <v>187.57</v>
      </c>
      <c r="C997" t="s">
        <v>31</v>
      </c>
      <c r="D997">
        <v>10</v>
      </c>
      <c r="E997">
        <v>16.12</v>
      </c>
      <c r="F997" t="s">
        <v>74</v>
      </c>
      <c r="G997">
        <v>2</v>
      </c>
      <c r="H997">
        <v>13.19</v>
      </c>
    </row>
    <row r="998" spans="1:8" s="40" customFormat="1" x14ac:dyDescent="0.3">
      <c r="A998" s="41" t="s">
        <v>976</v>
      </c>
      <c r="B998" s="40">
        <f>D997*E998+G997*H998+J997*K998</f>
        <v>187.57347384457933</v>
      </c>
      <c r="E998" s="40">
        <v>16.119775658411498</v>
      </c>
      <c r="H998" s="40">
        <v>13.187858630232169</v>
      </c>
    </row>
    <row r="999" spans="1:8" x14ac:dyDescent="0.3">
      <c r="A999" t="s">
        <v>904</v>
      </c>
      <c r="B999">
        <v>216.84</v>
      </c>
      <c r="C999" t="s">
        <v>69</v>
      </c>
      <c r="D999">
        <v>10</v>
      </c>
      <c r="E999">
        <v>19.05</v>
      </c>
      <c r="F999" t="s">
        <v>74</v>
      </c>
      <c r="G999">
        <v>2</v>
      </c>
      <c r="H999">
        <v>13.19</v>
      </c>
    </row>
    <row r="1000" spans="1:8" s="40" customFormat="1" x14ac:dyDescent="0.3">
      <c r="A1000" s="41" t="s">
        <v>976</v>
      </c>
      <c r="B1000" s="40">
        <f>D999*E1000+G999*H1000+J999*K1000</f>
        <v>216.84494723161936</v>
      </c>
      <c r="E1000" s="40">
        <v>19.046922997115502</v>
      </c>
      <c r="H1000" s="40">
        <v>13.187858630232169</v>
      </c>
    </row>
    <row r="1001" spans="1:8" x14ac:dyDescent="0.3">
      <c r="A1001" t="s">
        <v>903</v>
      </c>
      <c r="B1001">
        <v>187.57</v>
      </c>
      <c r="C1001" t="s">
        <v>31</v>
      </c>
      <c r="D1001">
        <v>10</v>
      </c>
      <c r="E1001">
        <v>16.12</v>
      </c>
      <c r="F1001" t="s">
        <v>74</v>
      </c>
      <c r="G1001">
        <v>2</v>
      </c>
      <c r="H1001">
        <v>13.19</v>
      </c>
    </row>
    <row r="1002" spans="1:8" s="40" customFormat="1" x14ac:dyDescent="0.3">
      <c r="A1002" s="41" t="s">
        <v>976</v>
      </c>
      <c r="B1002" s="40">
        <f>D1001*E1002+G1001*H1002+J1001*K1002</f>
        <v>187.57347384457933</v>
      </c>
      <c r="E1002" s="40">
        <v>16.119775658411498</v>
      </c>
      <c r="H1002" s="40">
        <v>13.187858630232169</v>
      </c>
    </row>
    <row r="1003" spans="1:8" x14ac:dyDescent="0.3">
      <c r="A1003" t="s">
        <v>905</v>
      </c>
      <c r="B1003">
        <v>187.57</v>
      </c>
      <c r="C1003" t="s">
        <v>31</v>
      </c>
      <c r="D1003">
        <v>10</v>
      </c>
      <c r="E1003">
        <v>16.12</v>
      </c>
      <c r="F1003" t="s">
        <v>74</v>
      </c>
      <c r="G1003">
        <v>2</v>
      </c>
      <c r="H1003">
        <v>13.19</v>
      </c>
    </row>
    <row r="1004" spans="1:8" s="40" customFormat="1" x14ac:dyDescent="0.3">
      <c r="A1004" s="41" t="s">
        <v>976</v>
      </c>
      <c r="B1004" s="40">
        <f>D1003*E1004+G1003*H1004+J1003*K1004</f>
        <v>187.57347384457933</v>
      </c>
      <c r="E1004" s="40">
        <v>16.119775658411498</v>
      </c>
      <c r="H1004" s="40">
        <v>13.187858630232169</v>
      </c>
    </row>
    <row r="1005" spans="1:8" x14ac:dyDescent="0.3">
      <c r="A1005" t="s">
        <v>906</v>
      </c>
      <c r="B1005">
        <v>216.84</v>
      </c>
      <c r="C1005" t="s">
        <v>69</v>
      </c>
      <c r="D1005">
        <v>10</v>
      </c>
      <c r="E1005">
        <v>19.05</v>
      </c>
      <c r="F1005" t="s">
        <v>74</v>
      </c>
      <c r="G1005">
        <v>2</v>
      </c>
      <c r="H1005">
        <v>13.19</v>
      </c>
    </row>
    <row r="1006" spans="1:8" s="40" customFormat="1" x14ac:dyDescent="0.3">
      <c r="A1006" s="41" t="s">
        <v>976</v>
      </c>
      <c r="B1006" s="40">
        <f>D1005*E1006+G1005*H1006+J1005*K1006</f>
        <v>216.84494723161936</v>
      </c>
      <c r="E1006" s="40">
        <v>19.046922997115502</v>
      </c>
      <c r="H1006" s="40">
        <v>13.187858630232169</v>
      </c>
    </row>
    <row r="1007" spans="1:8" x14ac:dyDescent="0.3">
      <c r="A1007" t="s">
        <v>909</v>
      </c>
      <c r="B1007">
        <v>73.239999999999995</v>
      </c>
      <c r="C1007" t="s">
        <v>24</v>
      </c>
      <c r="D1007">
        <v>10</v>
      </c>
      <c r="E1007">
        <v>7.32</v>
      </c>
    </row>
    <row r="1008" spans="1:8" s="40" customFormat="1" x14ac:dyDescent="0.3">
      <c r="A1008" s="41" t="s">
        <v>976</v>
      </c>
      <c r="B1008" s="40">
        <f>D1007*E1008+G1007*H1008+J1007*K1008</f>
        <v>73.238027278514039</v>
      </c>
      <c r="E1008" s="40">
        <v>7.3238027278514046</v>
      </c>
    </row>
    <row r="1009" spans="1:8" x14ac:dyDescent="0.3">
      <c r="A1009" t="s">
        <v>907</v>
      </c>
      <c r="B1009">
        <v>187.57</v>
      </c>
      <c r="C1009" t="s">
        <v>31</v>
      </c>
      <c r="D1009">
        <v>10</v>
      </c>
      <c r="E1009">
        <v>16.12</v>
      </c>
      <c r="F1009" t="s">
        <v>74</v>
      </c>
      <c r="G1009">
        <v>2</v>
      </c>
      <c r="H1009">
        <v>13.19</v>
      </c>
    </row>
    <row r="1010" spans="1:8" s="40" customFormat="1" x14ac:dyDescent="0.3">
      <c r="A1010" s="41" t="s">
        <v>976</v>
      </c>
      <c r="B1010" s="40">
        <f>D1009*E1010+G1009*H1010+J1009*K1010</f>
        <v>187.57347384457933</v>
      </c>
      <c r="E1010" s="40">
        <v>16.119775658411498</v>
      </c>
      <c r="H1010" s="40">
        <v>13.187858630232169</v>
      </c>
    </row>
    <row r="1011" spans="1:8" x14ac:dyDescent="0.3">
      <c r="A1011" t="s">
        <v>908</v>
      </c>
      <c r="B1011">
        <v>202.19</v>
      </c>
      <c r="C1011" t="s">
        <v>43</v>
      </c>
      <c r="D1011">
        <v>10</v>
      </c>
      <c r="E1011">
        <v>17.579999999999998</v>
      </c>
      <c r="F1011" t="s">
        <v>74</v>
      </c>
      <c r="G1011">
        <v>2</v>
      </c>
      <c r="H1011">
        <v>13.19</v>
      </c>
    </row>
    <row r="1012" spans="1:8" s="40" customFormat="1" x14ac:dyDescent="0.3">
      <c r="A1012" s="41" t="s">
        <v>976</v>
      </c>
      <c r="B1012" s="40">
        <f>D1011*E1012+G1011*H1012+J1011*K1012</f>
        <v>202.19090824127539</v>
      </c>
      <c r="E1012" s="40">
        <v>17.581519098081106</v>
      </c>
      <c r="H1012" s="40">
        <v>13.187858630232169</v>
      </c>
    </row>
    <row r="1013" spans="1:8" x14ac:dyDescent="0.3">
      <c r="A1013" t="s">
        <v>910</v>
      </c>
      <c r="B1013">
        <v>131.88</v>
      </c>
      <c r="C1013" t="s">
        <v>29</v>
      </c>
      <c r="D1013">
        <v>10</v>
      </c>
      <c r="E1013">
        <v>13.19</v>
      </c>
    </row>
    <row r="1014" spans="1:8" s="40" customFormat="1" x14ac:dyDescent="0.3">
      <c r="A1014" s="41" t="s">
        <v>976</v>
      </c>
      <c r="B1014" s="40">
        <f>D1013*E1014+G1013*H1014+J1013*K1014</f>
        <v>131.87858630232168</v>
      </c>
      <c r="E1014" s="40">
        <v>13.187858630232169</v>
      </c>
    </row>
    <row r="1015" spans="1:8" x14ac:dyDescent="0.3">
      <c r="A1015" t="s">
        <v>912</v>
      </c>
      <c r="B1015">
        <v>145.07</v>
      </c>
      <c r="C1015" t="s">
        <v>65</v>
      </c>
      <c r="D1015">
        <v>9</v>
      </c>
      <c r="E1015">
        <v>13.19</v>
      </c>
      <c r="F1015" t="s">
        <v>72</v>
      </c>
      <c r="G1015">
        <v>2</v>
      </c>
      <c r="H1015">
        <v>13.19</v>
      </c>
    </row>
    <row r="1016" spans="1:8" s="40" customFormat="1" x14ac:dyDescent="0.3">
      <c r="A1016" s="41" t="s">
        <v>976</v>
      </c>
      <c r="B1016" s="40">
        <f>D1015*E1016+G1015*H1016+J1015*K1016</f>
        <v>145.06644493255385</v>
      </c>
      <c r="E1016" s="40">
        <v>13.187858630232169</v>
      </c>
      <c r="H1016" s="40">
        <v>13.187858630232169</v>
      </c>
    </row>
    <row r="1017" spans="1:8" x14ac:dyDescent="0.3">
      <c r="A1017" t="s">
        <v>911</v>
      </c>
      <c r="B1017">
        <v>263.72000000000003</v>
      </c>
      <c r="C1017" t="s">
        <v>45</v>
      </c>
      <c r="D1017">
        <v>9</v>
      </c>
      <c r="E1017">
        <v>23.44</v>
      </c>
      <c r="F1017" t="s">
        <v>79</v>
      </c>
      <c r="G1017">
        <v>2</v>
      </c>
      <c r="H1017">
        <v>26.36</v>
      </c>
    </row>
    <row r="1018" spans="1:8" s="40" customFormat="1" x14ac:dyDescent="0.3">
      <c r="A1018" s="41" t="s">
        <v>976</v>
      </c>
      <c r="B1018" s="40">
        <f>D1017*E1018+G1017*H1018+J1017*K1018</f>
        <v>263.72001339594027</v>
      </c>
      <c r="E1018" s="40">
        <v>23.443689309273957</v>
      </c>
      <c r="H1018" s="40">
        <v>26.363404806237337</v>
      </c>
    </row>
    <row r="1019" spans="1:8" x14ac:dyDescent="0.3">
      <c r="A1019" t="s">
        <v>913</v>
      </c>
      <c r="B1019">
        <v>237.36</v>
      </c>
      <c r="C1019" t="s">
        <v>57</v>
      </c>
      <c r="D1019">
        <v>8</v>
      </c>
      <c r="E1019">
        <v>26.37</v>
      </c>
      <c r="F1019" t="s">
        <v>83</v>
      </c>
      <c r="G1019">
        <v>2</v>
      </c>
      <c r="H1019">
        <v>13.19</v>
      </c>
    </row>
    <row r="1020" spans="1:8" s="40" customFormat="1" x14ac:dyDescent="0.3">
      <c r="A1020" s="41" t="s">
        <v>976</v>
      </c>
      <c r="B1020" s="40">
        <f>D1019*E1020+G1019*H1020+J1019*K1020</f>
        <v>237.35660858970294</v>
      </c>
      <c r="E1020" s="40">
        <v>26.372611416154825</v>
      </c>
      <c r="H1020" s="40">
        <v>13.187858630232169</v>
      </c>
    </row>
    <row r="1021" spans="1:8" x14ac:dyDescent="0.3">
      <c r="A1021" t="s">
        <v>914</v>
      </c>
      <c r="B1021">
        <v>139.19999999999999</v>
      </c>
      <c r="C1021" t="s">
        <v>65</v>
      </c>
      <c r="D1021">
        <v>9</v>
      </c>
      <c r="E1021">
        <v>13.19</v>
      </c>
      <c r="F1021" t="s">
        <v>87</v>
      </c>
      <c r="G1021">
        <v>2</v>
      </c>
      <c r="H1021">
        <v>10.26</v>
      </c>
    </row>
    <row r="1022" spans="1:8" s="40" customFormat="1" x14ac:dyDescent="0.3">
      <c r="A1022" s="41" t="s">
        <v>976</v>
      </c>
      <c r="B1022" s="40">
        <f>D1021*E1022+G1021*H1022+J1021*K1022</f>
        <v>139.20238903017309</v>
      </c>
      <c r="E1022" s="40">
        <v>13.187858630232169</v>
      </c>
      <c r="H1022" s="40">
        <v>10.255830679041788</v>
      </c>
    </row>
    <row r="1023" spans="1:8" x14ac:dyDescent="0.3">
      <c r="A1023" t="s">
        <v>916</v>
      </c>
      <c r="B1023">
        <v>108.42</v>
      </c>
      <c r="C1023" t="s">
        <v>27</v>
      </c>
      <c r="D1023">
        <v>8</v>
      </c>
      <c r="E1023">
        <v>10.26</v>
      </c>
      <c r="F1023" t="s">
        <v>72</v>
      </c>
      <c r="G1023">
        <v>2</v>
      </c>
      <c r="H1023">
        <v>13.19</v>
      </c>
    </row>
    <row r="1024" spans="1:8" s="40" customFormat="1" x14ac:dyDescent="0.3">
      <c r="A1024" s="41" t="s">
        <v>976</v>
      </c>
      <c r="B1024" s="40">
        <f>D1023*E1024+G1023*H1024+J1023*K1024</f>
        <v>108.42236269279864</v>
      </c>
      <c r="E1024" s="40">
        <v>10.255830679041788</v>
      </c>
      <c r="H1024" s="40">
        <v>13.187858630232169</v>
      </c>
    </row>
    <row r="1025" spans="1:8" x14ac:dyDescent="0.3">
      <c r="A1025" t="s">
        <v>917</v>
      </c>
      <c r="B1025">
        <v>108.42</v>
      </c>
      <c r="C1025" t="s">
        <v>27</v>
      </c>
      <c r="D1025">
        <v>8</v>
      </c>
      <c r="E1025">
        <v>10.26</v>
      </c>
      <c r="F1025" t="s">
        <v>72</v>
      </c>
      <c r="G1025">
        <v>2</v>
      </c>
      <c r="H1025">
        <v>13.19</v>
      </c>
    </row>
    <row r="1026" spans="1:8" s="40" customFormat="1" x14ac:dyDescent="0.3">
      <c r="A1026" s="41" t="s">
        <v>976</v>
      </c>
      <c r="B1026" s="40">
        <f>D1025*E1026+G1025*H1026+J1025*K1026</f>
        <v>108.42236269279864</v>
      </c>
      <c r="E1026" s="40">
        <v>10.255830679041788</v>
      </c>
      <c r="H1026" s="40">
        <v>13.187858630232169</v>
      </c>
    </row>
    <row r="1027" spans="1:8" x14ac:dyDescent="0.3">
      <c r="A1027" t="s">
        <v>918</v>
      </c>
      <c r="B1027">
        <v>108.42</v>
      </c>
      <c r="C1027" t="s">
        <v>27</v>
      </c>
      <c r="D1027">
        <v>8</v>
      </c>
      <c r="E1027">
        <v>10.26</v>
      </c>
      <c r="F1027" t="s">
        <v>72</v>
      </c>
      <c r="G1027">
        <v>2</v>
      </c>
      <c r="H1027">
        <v>13.19</v>
      </c>
    </row>
    <row r="1028" spans="1:8" s="40" customFormat="1" x14ac:dyDescent="0.3">
      <c r="A1028" s="41" t="s">
        <v>976</v>
      </c>
      <c r="B1028" s="40">
        <f>D1027*E1028+G1027*H1028+J1027*K1028</f>
        <v>108.42236269279864</v>
      </c>
      <c r="E1028" s="40">
        <v>10.255830679041788</v>
      </c>
      <c r="H1028" s="40">
        <v>13.187858630232169</v>
      </c>
    </row>
    <row r="1029" spans="1:8" x14ac:dyDescent="0.3">
      <c r="A1029" t="s">
        <v>919</v>
      </c>
      <c r="B1029">
        <v>131.88</v>
      </c>
      <c r="C1029" t="s">
        <v>65</v>
      </c>
      <c r="D1029">
        <v>8</v>
      </c>
      <c r="E1029">
        <v>13.19</v>
      </c>
      <c r="F1029" t="s">
        <v>72</v>
      </c>
      <c r="G1029">
        <v>2</v>
      </c>
      <c r="H1029">
        <v>13.19</v>
      </c>
    </row>
    <row r="1030" spans="1:8" s="40" customFormat="1" x14ac:dyDescent="0.3">
      <c r="A1030" s="41" t="s">
        <v>976</v>
      </c>
      <c r="B1030" s="40">
        <f>D1029*E1030+G1029*H1030+J1029*K1030</f>
        <v>131.87858630232168</v>
      </c>
      <c r="E1030" s="40">
        <v>13.187858630232169</v>
      </c>
      <c r="H1030" s="40">
        <v>13.187858630232169</v>
      </c>
    </row>
    <row r="1031" spans="1:8" x14ac:dyDescent="0.3">
      <c r="A1031" t="s">
        <v>920</v>
      </c>
      <c r="B1031">
        <v>108.42</v>
      </c>
      <c r="C1031" t="s">
        <v>27</v>
      </c>
      <c r="D1031">
        <v>8</v>
      </c>
      <c r="E1031">
        <v>10.26</v>
      </c>
      <c r="F1031" t="s">
        <v>72</v>
      </c>
      <c r="G1031">
        <v>2</v>
      </c>
      <c r="H1031">
        <v>13.19</v>
      </c>
    </row>
    <row r="1032" spans="1:8" s="40" customFormat="1" x14ac:dyDescent="0.3">
      <c r="A1032" s="41" t="s">
        <v>976</v>
      </c>
      <c r="B1032" s="40">
        <f>D1031*E1032+G1031*H1032+J1031*K1032</f>
        <v>108.42236269279864</v>
      </c>
      <c r="E1032" s="40">
        <v>10.255830679041788</v>
      </c>
      <c r="H1032" s="40">
        <v>13.187858630232169</v>
      </c>
    </row>
    <row r="1033" spans="1:8" x14ac:dyDescent="0.3">
      <c r="A1033" t="s">
        <v>921</v>
      </c>
      <c r="B1033">
        <v>131.88</v>
      </c>
      <c r="C1033" t="s">
        <v>29</v>
      </c>
      <c r="D1033">
        <v>8</v>
      </c>
      <c r="E1033">
        <v>13.19</v>
      </c>
      <c r="F1033" t="s">
        <v>74</v>
      </c>
      <c r="G1033">
        <v>2</v>
      </c>
      <c r="H1033">
        <v>13.19</v>
      </c>
    </row>
    <row r="1034" spans="1:8" s="40" customFormat="1" x14ac:dyDescent="0.3">
      <c r="A1034" s="41" t="s">
        <v>976</v>
      </c>
      <c r="B1034" s="40">
        <f>D1033*E1034+G1033*H1034+J1033*K1034</f>
        <v>131.87858630232168</v>
      </c>
      <c r="E1034" s="40">
        <v>13.187858630232169</v>
      </c>
      <c r="H1034" s="40">
        <v>13.187858630232169</v>
      </c>
    </row>
    <row r="1035" spans="1:8" x14ac:dyDescent="0.3">
      <c r="A1035" t="s">
        <v>922</v>
      </c>
      <c r="B1035">
        <v>155.33000000000001</v>
      </c>
      <c r="C1035" t="s">
        <v>31</v>
      </c>
      <c r="D1035">
        <v>8</v>
      </c>
      <c r="E1035">
        <v>16.12</v>
      </c>
      <c r="F1035" t="s">
        <v>74</v>
      </c>
      <c r="G1035">
        <v>2</v>
      </c>
      <c r="H1035">
        <v>13.19</v>
      </c>
    </row>
    <row r="1036" spans="1:8" s="40" customFormat="1" x14ac:dyDescent="0.3">
      <c r="A1036" s="41" t="s">
        <v>976</v>
      </c>
      <c r="B1036" s="40">
        <f>D1035*E1036+G1035*H1036+J1035*K1036</f>
        <v>155.33392252775633</v>
      </c>
      <c r="E1036" s="40">
        <v>16.119775658411498</v>
      </c>
      <c r="H1036" s="40">
        <v>13.187858630232169</v>
      </c>
    </row>
    <row r="1037" spans="1:8" x14ac:dyDescent="0.3">
      <c r="A1037" t="s">
        <v>923</v>
      </c>
      <c r="B1037">
        <v>131.88</v>
      </c>
      <c r="C1037" t="s">
        <v>29</v>
      </c>
      <c r="D1037">
        <v>8</v>
      </c>
      <c r="E1037">
        <v>13.19</v>
      </c>
      <c r="F1037" t="s">
        <v>74</v>
      </c>
      <c r="G1037">
        <v>2</v>
      </c>
      <c r="H1037">
        <v>13.19</v>
      </c>
    </row>
    <row r="1038" spans="1:8" s="40" customFormat="1" x14ac:dyDescent="0.3">
      <c r="A1038" s="41" t="s">
        <v>976</v>
      </c>
      <c r="B1038" s="40">
        <f>D1037*E1038+G1037*H1038+J1037*K1038</f>
        <v>131.87858630232168</v>
      </c>
      <c r="E1038" s="40">
        <v>13.187858630232169</v>
      </c>
      <c r="H1038" s="40">
        <v>13.187858630232169</v>
      </c>
    </row>
    <row r="1039" spans="1:8" x14ac:dyDescent="0.3">
      <c r="A1039" t="s">
        <v>924</v>
      </c>
      <c r="B1039">
        <v>155.33000000000001</v>
      </c>
      <c r="C1039" t="s">
        <v>31</v>
      </c>
      <c r="D1039">
        <v>8</v>
      </c>
      <c r="E1039">
        <v>16.12</v>
      </c>
      <c r="F1039" t="s">
        <v>74</v>
      </c>
      <c r="G1039">
        <v>2</v>
      </c>
      <c r="H1039">
        <v>13.19</v>
      </c>
    </row>
    <row r="1040" spans="1:8" s="40" customFormat="1" x14ac:dyDescent="0.3">
      <c r="A1040" s="41" t="s">
        <v>976</v>
      </c>
      <c r="B1040" s="40">
        <f>D1039*E1040+G1039*H1040+J1039*K1040</f>
        <v>155.33392252775633</v>
      </c>
      <c r="E1040" s="40">
        <v>16.119775658411498</v>
      </c>
      <c r="H1040" s="40">
        <v>13.187858630232169</v>
      </c>
    </row>
    <row r="1041" spans="1:8" x14ac:dyDescent="0.3">
      <c r="A1041" t="s">
        <v>925</v>
      </c>
      <c r="B1041">
        <v>155.33000000000001</v>
      </c>
      <c r="C1041" t="s">
        <v>31</v>
      </c>
      <c r="D1041">
        <v>8</v>
      </c>
      <c r="E1041">
        <v>16.12</v>
      </c>
      <c r="F1041" t="s">
        <v>74</v>
      </c>
      <c r="G1041">
        <v>2</v>
      </c>
      <c r="H1041">
        <v>13.19</v>
      </c>
    </row>
    <row r="1042" spans="1:8" s="40" customFormat="1" x14ac:dyDescent="0.3">
      <c r="A1042" s="41" t="s">
        <v>976</v>
      </c>
      <c r="B1042" s="40">
        <f>D1041*E1042+G1041*H1042+J1041*K1042</f>
        <v>155.33392252775633</v>
      </c>
      <c r="E1042" s="40">
        <v>16.119775658411498</v>
      </c>
      <c r="H1042" s="40">
        <v>13.187858630232169</v>
      </c>
    </row>
    <row r="1043" spans="1:8" x14ac:dyDescent="0.3">
      <c r="A1043" t="s">
        <v>927</v>
      </c>
      <c r="B1043">
        <v>128.96</v>
      </c>
      <c r="C1043" t="s">
        <v>31</v>
      </c>
      <c r="D1043">
        <v>8</v>
      </c>
      <c r="E1043">
        <v>16.12</v>
      </c>
    </row>
    <row r="1044" spans="1:8" s="40" customFormat="1" x14ac:dyDescent="0.3">
      <c r="A1044" s="41" t="s">
        <v>976</v>
      </c>
      <c r="B1044" s="40">
        <f>D1043*E1044+G1043*H1044+J1043*K1044</f>
        <v>128.95820526729199</v>
      </c>
      <c r="E1044" s="40">
        <v>16.119775658411498</v>
      </c>
    </row>
    <row r="1045" spans="1:8" x14ac:dyDescent="0.3">
      <c r="A1045" t="s">
        <v>928</v>
      </c>
      <c r="B1045">
        <v>140.65</v>
      </c>
      <c r="C1045" t="s">
        <v>41</v>
      </c>
      <c r="D1045">
        <v>8</v>
      </c>
      <c r="E1045">
        <v>14.28</v>
      </c>
      <c r="F1045" t="s">
        <v>74</v>
      </c>
      <c r="G1045">
        <v>2</v>
      </c>
      <c r="H1045">
        <v>13.19</v>
      </c>
    </row>
    <row r="1046" spans="1:8" s="40" customFormat="1" x14ac:dyDescent="0.3">
      <c r="A1046" s="41" t="s">
        <v>976</v>
      </c>
      <c r="B1046" s="40">
        <f>D1045*E1046+G1045*H1046+J1045*K1046</f>
        <v>140.65126540056042</v>
      </c>
      <c r="E1046" s="40">
        <v>14.284443517512011</v>
      </c>
      <c r="H1046" s="40">
        <v>13.187858630232169</v>
      </c>
    </row>
    <row r="1047" spans="1:8" x14ac:dyDescent="0.3">
      <c r="A1047" t="s">
        <v>926</v>
      </c>
      <c r="B1047">
        <v>228.55</v>
      </c>
      <c r="C1047" t="s">
        <v>33</v>
      </c>
      <c r="D1047">
        <v>8</v>
      </c>
      <c r="E1047">
        <v>21.98</v>
      </c>
      <c r="F1047" t="s">
        <v>79</v>
      </c>
      <c r="G1047">
        <v>2</v>
      </c>
      <c r="H1047">
        <v>26.36</v>
      </c>
    </row>
    <row r="1048" spans="1:8" s="40" customFormat="1" x14ac:dyDescent="0.3">
      <c r="A1048" s="41" t="s">
        <v>976</v>
      </c>
      <c r="B1048" s="40">
        <f>D1047*E1048+G1047*H1048+J1047*K1048</f>
        <v>228.54865597394902</v>
      </c>
      <c r="E1048" s="40">
        <v>21.977730795184293</v>
      </c>
      <c r="H1048" s="40">
        <v>26.363404806237337</v>
      </c>
    </row>
    <row r="1049" spans="1:8" x14ac:dyDescent="0.3">
      <c r="A1049" t="s">
        <v>929</v>
      </c>
      <c r="B1049">
        <v>128.96</v>
      </c>
      <c r="C1049" t="s">
        <v>67</v>
      </c>
      <c r="D1049">
        <v>8</v>
      </c>
      <c r="E1049">
        <v>16.12</v>
      </c>
    </row>
    <row r="1050" spans="1:8" s="40" customFormat="1" x14ac:dyDescent="0.3">
      <c r="A1050" s="41" t="s">
        <v>976</v>
      </c>
      <c r="B1050" s="40">
        <f>D1049*E1050+G1049*H1050+J1049*K1050</f>
        <v>128.95820526729199</v>
      </c>
      <c r="E1050" s="40">
        <v>16.119775658411498</v>
      </c>
    </row>
    <row r="1051" spans="1:8" x14ac:dyDescent="0.3">
      <c r="A1051" t="s">
        <v>930</v>
      </c>
      <c r="B1051">
        <v>98.17</v>
      </c>
      <c r="C1051" t="s">
        <v>27</v>
      </c>
      <c r="D1051">
        <v>7</v>
      </c>
      <c r="E1051">
        <v>10.26</v>
      </c>
      <c r="F1051" t="s">
        <v>72</v>
      </c>
      <c r="G1051">
        <v>2</v>
      </c>
      <c r="H1051">
        <v>13.19</v>
      </c>
    </row>
    <row r="1052" spans="1:8" s="40" customFormat="1" x14ac:dyDescent="0.3">
      <c r="A1052" s="41" t="s">
        <v>976</v>
      </c>
      <c r="B1052" s="40">
        <f>D1051*E1052+G1051*H1052+J1051*K1052</f>
        <v>98.16653201375685</v>
      </c>
      <c r="E1052" s="40">
        <v>10.255830679041788</v>
      </c>
      <c r="H1052" s="40">
        <v>13.187858630232169</v>
      </c>
    </row>
    <row r="1053" spans="1:8" x14ac:dyDescent="0.3">
      <c r="A1053" t="s">
        <v>931</v>
      </c>
      <c r="B1053">
        <v>167.03</v>
      </c>
      <c r="C1053" t="s">
        <v>53</v>
      </c>
      <c r="D1053">
        <v>6</v>
      </c>
      <c r="E1053">
        <v>23.44</v>
      </c>
      <c r="F1053" t="s">
        <v>81</v>
      </c>
      <c r="G1053">
        <v>2</v>
      </c>
      <c r="H1053">
        <v>13.19</v>
      </c>
    </row>
    <row r="1054" spans="1:8" s="40" customFormat="1" x14ac:dyDescent="0.3">
      <c r="A1054" s="41" t="s">
        <v>976</v>
      </c>
      <c r="B1054" s="40">
        <f>D1053*E1054+G1053*H1054+J1053*K1054</f>
        <v>167.03053219737851</v>
      </c>
      <c r="E1054" s="40">
        <v>23.442469156152359</v>
      </c>
      <c r="H1054" s="40">
        <v>13.187858630232169</v>
      </c>
    </row>
    <row r="1055" spans="1:8" x14ac:dyDescent="0.3">
      <c r="A1055" t="s">
        <v>932</v>
      </c>
      <c r="B1055">
        <v>92.32</v>
      </c>
      <c r="C1055" t="s">
        <v>29</v>
      </c>
      <c r="D1055">
        <v>7</v>
      </c>
      <c r="E1055">
        <v>13.19</v>
      </c>
    </row>
    <row r="1056" spans="1:8" s="40" customFormat="1" x14ac:dyDescent="0.3">
      <c r="A1056" s="41" t="s">
        <v>976</v>
      </c>
      <c r="B1056" s="40">
        <f>D1055*E1056+G1055*H1056+J1055*K1056</f>
        <v>92.315010411625181</v>
      </c>
      <c r="E1056" s="40">
        <v>13.187858630232169</v>
      </c>
    </row>
    <row r="1057" spans="1:8" x14ac:dyDescent="0.3">
      <c r="A1057" t="s">
        <v>933</v>
      </c>
      <c r="B1057">
        <v>70.319999999999993</v>
      </c>
      <c r="C1057" t="s">
        <v>24</v>
      </c>
      <c r="D1057">
        <v>6</v>
      </c>
      <c r="E1057">
        <v>7.32</v>
      </c>
      <c r="F1057" t="s">
        <v>72</v>
      </c>
      <c r="G1057">
        <v>2</v>
      </c>
      <c r="H1057">
        <v>13.19</v>
      </c>
    </row>
    <row r="1058" spans="1:8" s="40" customFormat="1" x14ac:dyDescent="0.3">
      <c r="A1058" s="41" t="s">
        <v>976</v>
      </c>
      <c r="B1058" s="40">
        <f>D1057*E1058+G1057*H1058+J1057*K1058</f>
        <v>70.318533627572762</v>
      </c>
      <c r="E1058" s="40">
        <v>7.3238027278514046</v>
      </c>
      <c r="H1058" s="40">
        <v>13.187858630232169</v>
      </c>
    </row>
    <row r="1059" spans="1:8" x14ac:dyDescent="0.3">
      <c r="A1059" t="s">
        <v>936</v>
      </c>
      <c r="B1059">
        <v>70.319999999999993</v>
      </c>
      <c r="C1059" t="s">
        <v>24</v>
      </c>
      <c r="D1059">
        <v>6</v>
      </c>
      <c r="E1059">
        <v>7.32</v>
      </c>
      <c r="F1059" t="s">
        <v>72</v>
      </c>
      <c r="G1059">
        <v>2</v>
      </c>
      <c r="H1059">
        <v>13.19</v>
      </c>
    </row>
    <row r="1060" spans="1:8" s="40" customFormat="1" x14ac:dyDescent="0.3">
      <c r="A1060" s="41" t="s">
        <v>976</v>
      </c>
      <c r="B1060" s="40">
        <f>D1059*E1060+G1059*H1060+J1059*K1060</f>
        <v>70.318533627572762</v>
      </c>
      <c r="E1060" s="40">
        <v>7.3238027278514046</v>
      </c>
      <c r="H1060" s="40">
        <v>13.187858630232169</v>
      </c>
    </row>
    <row r="1061" spans="1:8" x14ac:dyDescent="0.3">
      <c r="A1061" t="s">
        <v>935</v>
      </c>
      <c r="B1061">
        <v>87.91</v>
      </c>
      <c r="C1061" t="s">
        <v>27</v>
      </c>
      <c r="D1061">
        <v>6</v>
      </c>
      <c r="E1061">
        <v>10.26</v>
      </c>
      <c r="F1061" t="s">
        <v>72</v>
      </c>
      <c r="G1061">
        <v>2</v>
      </c>
      <c r="H1061">
        <v>13.19</v>
      </c>
    </row>
    <row r="1062" spans="1:8" s="40" customFormat="1" x14ac:dyDescent="0.3">
      <c r="A1062" s="41" t="s">
        <v>976</v>
      </c>
      <c r="B1062" s="40">
        <f>D1061*E1062+G1061*H1062+J1061*K1062</f>
        <v>87.910701334715071</v>
      </c>
      <c r="E1062" s="40">
        <v>10.255830679041788</v>
      </c>
      <c r="H1062" s="40">
        <v>13.187858630232169</v>
      </c>
    </row>
    <row r="1063" spans="1:8" x14ac:dyDescent="0.3">
      <c r="A1063" t="s">
        <v>934</v>
      </c>
      <c r="B1063">
        <v>87.91</v>
      </c>
      <c r="C1063" t="s">
        <v>63</v>
      </c>
      <c r="D1063">
        <v>6</v>
      </c>
      <c r="E1063">
        <v>10.26</v>
      </c>
      <c r="F1063" t="s">
        <v>72</v>
      </c>
      <c r="G1063">
        <v>2</v>
      </c>
      <c r="H1063">
        <v>13.19</v>
      </c>
    </row>
    <row r="1064" spans="1:8" s="40" customFormat="1" x14ac:dyDescent="0.3">
      <c r="A1064" s="41" t="s">
        <v>976</v>
      </c>
      <c r="B1064" s="40">
        <f>D1063*E1064+G1063*H1064+J1063*K1064</f>
        <v>87.910701334715071</v>
      </c>
      <c r="E1064" s="40">
        <v>10.255830679041788</v>
      </c>
      <c r="H1064" s="40">
        <v>13.187858630232169</v>
      </c>
    </row>
    <row r="1065" spans="1:8" x14ac:dyDescent="0.3">
      <c r="A1065" t="s">
        <v>938</v>
      </c>
      <c r="B1065">
        <v>87.91</v>
      </c>
      <c r="C1065" t="s">
        <v>27</v>
      </c>
      <c r="D1065">
        <v>6</v>
      </c>
      <c r="E1065">
        <v>10.26</v>
      </c>
      <c r="F1065" t="s">
        <v>72</v>
      </c>
      <c r="G1065">
        <v>2</v>
      </c>
      <c r="H1065">
        <v>13.19</v>
      </c>
    </row>
    <row r="1066" spans="1:8" s="40" customFormat="1" x14ac:dyDescent="0.3">
      <c r="A1066" s="41" t="s">
        <v>976</v>
      </c>
      <c r="B1066" s="40">
        <f>D1065*E1066+G1065*H1066+J1065*K1066</f>
        <v>87.910701334715071</v>
      </c>
      <c r="E1066" s="40">
        <v>10.255830679041788</v>
      </c>
      <c r="H1066" s="40">
        <v>13.187858630232169</v>
      </c>
    </row>
    <row r="1067" spans="1:8" x14ac:dyDescent="0.3">
      <c r="A1067" t="s">
        <v>937</v>
      </c>
      <c r="B1067">
        <v>87.91</v>
      </c>
      <c r="C1067" t="s">
        <v>27</v>
      </c>
      <c r="D1067">
        <v>6</v>
      </c>
      <c r="E1067">
        <v>10.26</v>
      </c>
      <c r="F1067" t="s">
        <v>72</v>
      </c>
      <c r="G1067">
        <v>2</v>
      </c>
      <c r="H1067">
        <v>13.19</v>
      </c>
    </row>
    <row r="1068" spans="1:8" s="40" customFormat="1" x14ac:dyDescent="0.3">
      <c r="A1068" s="41" t="s">
        <v>976</v>
      </c>
      <c r="B1068" s="40">
        <f>D1067*E1068+G1067*H1068+J1067*K1068</f>
        <v>87.910701334715071</v>
      </c>
      <c r="E1068" s="40">
        <v>10.255830679041788</v>
      </c>
      <c r="H1068" s="40">
        <v>13.187858630232169</v>
      </c>
    </row>
    <row r="1069" spans="1:8" x14ac:dyDescent="0.3">
      <c r="A1069" t="s">
        <v>939</v>
      </c>
      <c r="B1069">
        <v>87.91</v>
      </c>
      <c r="C1069" t="s">
        <v>27</v>
      </c>
      <c r="D1069">
        <v>6</v>
      </c>
      <c r="E1069">
        <v>10.26</v>
      </c>
      <c r="F1069" t="s">
        <v>72</v>
      </c>
      <c r="G1069">
        <v>2</v>
      </c>
      <c r="H1069">
        <v>13.19</v>
      </c>
    </row>
    <row r="1070" spans="1:8" s="40" customFormat="1" x14ac:dyDescent="0.3">
      <c r="A1070" s="41" t="s">
        <v>976</v>
      </c>
      <c r="B1070" s="40">
        <f>D1069*E1070+G1069*H1070+J1069*K1070</f>
        <v>87.910701334715071</v>
      </c>
      <c r="E1070" s="40">
        <v>10.255830679041788</v>
      </c>
      <c r="H1070" s="40">
        <v>13.187858630232169</v>
      </c>
    </row>
    <row r="1071" spans="1:8" x14ac:dyDescent="0.3">
      <c r="A1071" t="s">
        <v>940</v>
      </c>
      <c r="B1071">
        <v>105.5</v>
      </c>
      <c r="C1071" t="s">
        <v>65</v>
      </c>
      <c r="D1071">
        <v>6</v>
      </c>
      <c r="E1071">
        <v>13.19</v>
      </c>
      <c r="F1071" t="s">
        <v>72</v>
      </c>
      <c r="G1071">
        <v>2</v>
      </c>
      <c r="H1071">
        <v>13.19</v>
      </c>
    </row>
    <row r="1072" spans="1:8" s="40" customFormat="1" x14ac:dyDescent="0.3">
      <c r="A1072" s="41" t="s">
        <v>976</v>
      </c>
      <c r="B1072" s="40">
        <f>D1071*E1072+G1071*H1072+J1071*K1072</f>
        <v>105.50286904185735</v>
      </c>
      <c r="E1072" s="40">
        <v>13.187858630232169</v>
      </c>
      <c r="H1072" s="40">
        <v>13.187858630232169</v>
      </c>
    </row>
    <row r="1073" spans="1:8" x14ac:dyDescent="0.3">
      <c r="A1073" t="s">
        <v>941</v>
      </c>
      <c r="B1073">
        <v>87.91</v>
      </c>
      <c r="C1073" t="s">
        <v>27</v>
      </c>
      <c r="D1073">
        <v>6</v>
      </c>
      <c r="E1073">
        <v>10.26</v>
      </c>
      <c r="F1073" t="s">
        <v>72</v>
      </c>
      <c r="G1073">
        <v>2</v>
      </c>
      <c r="H1073">
        <v>13.19</v>
      </c>
    </row>
    <row r="1074" spans="1:8" s="40" customFormat="1" x14ac:dyDescent="0.3">
      <c r="A1074" s="41" t="s">
        <v>976</v>
      </c>
      <c r="B1074" s="40">
        <f>D1073*E1074+G1073*H1074+J1073*K1074</f>
        <v>87.910701334715071</v>
      </c>
      <c r="E1074" s="40">
        <v>10.255830679041788</v>
      </c>
      <c r="H1074" s="40">
        <v>13.187858630232169</v>
      </c>
    </row>
    <row r="1075" spans="1:8" x14ac:dyDescent="0.3">
      <c r="A1075" t="s">
        <v>944</v>
      </c>
      <c r="B1075">
        <v>87.91</v>
      </c>
      <c r="C1075" t="s">
        <v>27</v>
      </c>
      <c r="D1075">
        <v>6</v>
      </c>
      <c r="E1075">
        <v>10.26</v>
      </c>
      <c r="F1075" t="s">
        <v>72</v>
      </c>
      <c r="G1075">
        <v>2</v>
      </c>
      <c r="H1075">
        <v>13.19</v>
      </c>
    </row>
    <row r="1076" spans="1:8" s="40" customFormat="1" x14ac:dyDescent="0.3">
      <c r="A1076" s="41" t="s">
        <v>976</v>
      </c>
      <c r="B1076" s="40">
        <f>D1075*E1076+G1075*H1076+J1075*K1076</f>
        <v>87.910701334715071</v>
      </c>
      <c r="E1076" s="40">
        <v>10.255830679041788</v>
      </c>
      <c r="H1076" s="40">
        <v>13.187858630232169</v>
      </c>
    </row>
    <row r="1077" spans="1:8" x14ac:dyDescent="0.3">
      <c r="A1077" t="s">
        <v>942</v>
      </c>
      <c r="B1077">
        <v>87.91</v>
      </c>
      <c r="C1077" t="s">
        <v>27</v>
      </c>
      <c r="D1077">
        <v>6</v>
      </c>
      <c r="E1077">
        <v>10.26</v>
      </c>
      <c r="F1077" t="s">
        <v>72</v>
      </c>
      <c r="G1077">
        <v>2</v>
      </c>
      <c r="H1077">
        <v>13.19</v>
      </c>
    </row>
    <row r="1078" spans="1:8" s="40" customFormat="1" x14ac:dyDescent="0.3">
      <c r="A1078" s="41" t="s">
        <v>976</v>
      </c>
      <c r="B1078" s="40">
        <f>D1077*E1078+G1077*H1078+J1077*K1078</f>
        <v>87.910701334715071</v>
      </c>
      <c r="E1078" s="40">
        <v>10.255830679041788</v>
      </c>
      <c r="H1078" s="40">
        <v>13.187858630232169</v>
      </c>
    </row>
    <row r="1079" spans="1:8" x14ac:dyDescent="0.3">
      <c r="A1079" t="s">
        <v>945</v>
      </c>
      <c r="B1079">
        <v>87.91</v>
      </c>
      <c r="C1079" t="s">
        <v>27</v>
      </c>
      <c r="D1079">
        <v>6</v>
      </c>
      <c r="E1079">
        <v>10.26</v>
      </c>
      <c r="F1079" t="s">
        <v>72</v>
      </c>
      <c r="G1079">
        <v>2</v>
      </c>
      <c r="H1079">
        <v>13.19</v>
      </c>
    </row>
    <row r="1080" spans="1:8" s="40" customFormat="1" x14ac:dyDescent="0.3">
      <c r="A1080" s="41" t="s">
        <v>976</v>
      </c>
      <c r="B1080" s="40">
        <f>D1079*E1080+G1079*H1080+J1079*K1080</f>
        <v>87.910701334715071</v>
      </c>
      <c r="E1080" s="40">
        <v>10.255830679041788</v>
      </c>
      <c r="H1080" s="40">
        <v>13.187858630232169</v>
      </c>
    </row>
    <row r="1081" spans="1:8" x14ac:dyDescent="0.3">
      <c r="A1081" t="s">
        <v>943</v>
      </c>
      <c r="B1081">
        <v>105.5</v>
      </c>
      <c r="C1081" t="s">
        <v>65</v>
      </c>
      <c r="D1081">
        <v>6</v>
      </c>
      <c r="E1081">
        <v>13.19</v>
      </c>
      <c r="F1081" t="s">
        <v>72</v>
      </c>
      <c r="G1081">
        <v>2</v>
      </c>
      <c r="H1081">
        <v>13.19</v>
      </c>
    </row>
    <row r="1082" spans="1:8" s="40" customFormat="1" x14ac:dyDescent="0.3">
      <c r="A1082" s="41" t="s">
        <v>976</v>
      </c>
      <c r="B1082" s="40">
        <f>D1081*E1082+G1081*H1082+J1081*K1082</f>
        <v>105.50286904185735</v>
      </c>
      <c r="E1082" s="40">
        <v>13.187858630232169</v>
      </c>
      <c r="H1082" s="40">
        <v>13.187858630232169</v>
      </c>
    </row>
    <row r="1083" spans="1:8" x14ac:dyDescent="0.3">
      <c r="A1083" t="s">
        <v>946</v>
      </c>
      <c r="B1083">
        <v>105.5</v>
      </c>
      <c r="C1083" t="s">
        <v>29</v>
      </c>
      <c r="D1083">
        <v>6</v>
      </c>
      <c r="E1083">
        <v>13.19</v>
      </c>
      <c r="F1083" t="s">
        <v>74</v>
      </c>
      <c r="G1083">
        <v>2</v>
      </c>
      <c r="H1083">
        <v>13.19</v>
      </c>
    </row>
    <row r="1084" spans="1:8" s="40" customFormat="1" x14ac:dyDescent="0.3">
      <c r="A1084" s="41" t="s">
        <v>976</v>
      </c>
      <c r="B1084" s="40">
        <f>D1083*E1084+G1083*H1084+J1083*K1084</f>
        <v>105.50286904185735</v>
      </c>
      <c r="E1084" s="40">
        <v>13.187858630232169</v>
      </c>
      <c r="H1084" s="40">
        <v>13.187858630232169</v>
      </c>
    </row>
    <row r="1085" spans="1:8" x14ac:dyDescent="0.3">
      <c r="A1085" t="s">
        <v>947</v>
      </c>
      <c r="B1085">
        <v>105.5</v>
      </c>
      <c r="C1085" t="s">
        <v>29</v>
      </c>
      <c r="D1085">
        <v>6</v>
      </c>
      <c r="E1085">
        <v>13.19</v>
      </c>
      <c r="F1085" t="s">
        <v>74</v>
      </c>
      <c r="G1085">
        <v>2</v>
      </c>
      <c r="H1085">
        <v>13.19</v>
      </c>
    </row>
    <row r="1086" spans="1:8" s="40" customFormat="1" x14ac:dyDescent="0.3">
      <c r="A1086" s="41" t="s">
        <v>976</v>
      </c>
      <c r="B1086" s="40">
        <f>D1085*E1086+G1085*H1086+J1085*K1086</f>
        <v>105.50286904185735</v>
      </c>
      <c r="E1086" s="40">
        <v>13.187858630232169</v>
      </c>
      <c r="H1086" s="40">
        <v>13.187858630232169</v>
      </c>
    </row>
    <row r="1087" spans="1:8" x14ac:dyDescent="0.3">
      <c r="A1087" t="s">
        <v>949</v>
      </c>
      <c r="B1087">
        <v>123.09</v>
      </c>
      <c r="C1087" t="s">
        <v>31</v>
      </c>
      <c r="D1087">
        <v>6</v>
      </c>
      <c r="E1087">
        <v>16.12</v>
      </c>
      <c r="F1087" t="s">
        <v>74</v>
      </c>
      <c r="G1087">
        <v>2</v>
      </c>
      <c r="H1087">
        <v>13.19</v>
      </c>
    </row>
    <row r="1088" spans="1:8" s="40" customFormat="1" x14ac:dyDescent="0.3">
      <c r="A1088" s="41" t="s">
        <v>976</v>
      </c>
      <c r="B1088" s="40">
        <f>D1087*E1088+G1087*H1088+J1087*K1088</f>
        <v>123.09437121093333</v>
      </c>
      <c r="E1088" s="40">
        <v>16.119775658411498</v>
      </c>
      <c r="H1088" s="40">
        <v>13.187858630232169</v>
      </c>
    </row>
    <row r="1089" spans="1:11" x14ac:dyDescent="0.3">
      <c r="A1089" t="s">
        <v>948</v>
      </c>
      <c r="B1089">
        <v>175.83</v>
      </c>
      <c r="C1089" t="s">
        <v>31</v>
      </c>
      <c r="D1089">
        <v>6</v>
      </c>
      <c r="E1089">
        <v>16.12</v>
      </c>
      <c r="F1089" t="s">
        <v>74</v>
      </c>
      <c r="G1089">
        <v>2</v>
      </c>
      <c r="H1089">
        <v>13.19</v>
      </c>
      <c r="I1089" t="s">
        <v>164</v>
      </c>
      <c r="J1089">
        <v>3</v>
      </c>
      <c r="K1089">
        <v>17.579999999999998</v>
      </c>
    </row>
    <row r="1090" spans="1:11" s="40" customFormat="1" x14ac:dyDescent="0.3">
      <c r="A1090" s="41" t="s">
        <v>976</v>
      </c>
      <c r="B1090" s="40">
        <f>D1089*E1090+G1089*H1090+J1089*K1090</f>
        <v>175.83343814889849</v>
      </c>
      <c r="E1090" s="40">
        <v>16.119775658411498</v>
      </c>
      <c r="H1090" s="40">
        <v>13.187858630232169</v>
      </c>
      <c r="K1090" s="40">
        <v>17.579688979321727</v>
      </c>
    </row>
    <row r="1091" spans="1:11" x14ac:dyDescent="0.3">
      <c r="A1091" t="s">
        <v>950</v>
      </c>
      <c r="B1091">
        <v>140.66</v>
      </c>
      <c r="C1091" t="s">
        <v>69</v>
      </c>
      <c r="D1091">
        <v>6</v>
      </c>
      <c r="E1091">
        <v>19.05</v>
      </c>
      <c r="F1091" t="s">
        <v>74</v>
      </c>
      <c r="G1091">
        <v>2</v>
      </c>
      <c r="H1091">
        <v>13.19</v>
      </c>
    </row>
    <row r="1092" spans="1:11" s="40" customFormat="1" x14ac:dyDescent="0.3">
      <c r="A1092" s="41" t="s">
        <v>976</v>
      </c>
      <c r="B1092" s="40">
        <f>D1091*E1092+G1091*H1092+J1091*K1092</f>
        <v>140.65725524315735</v>
      </c>
      <c r="E1092" s="40">
        <v>19.046922997115502</v>
      </c>
      <c r="H1092" s="40">
        <v>13.187858630232169</v>
      </c>
    </row>
    <row r="1093" spans="1:11" x14ac:dyDescent="0.3">
      <c r="A1093" t="s">
        <v>953</v>
      </c>
      <c r="B1093">
        <v>123.09</v>
      </c>
      <c r="C1093" t="s">
        <v>31</v>
      </c>
      <c r="D1093">
        <v>6</v>
      </c>
      <c r="E1093">
        <v>16.12</v>
      </c>
      <c r="F1093" t="s">
        <v>74</v>
      </c>
      <c r="G1093">
        <v>2</v>
      </c>
      <c r="H1093">
        <v>13.19</v>
      </c>
    </row>
    <row r="1094" spans="1:11" s="40" customFormat="1" x14ac:dyDescent="0.3">
      <c r="A1094" s="41" t="s">
        <v>976</v>
      </c>
      <c r="B1094" s="40">
        <f>D1093*E1094+G1093*H1094+J1093*K1094</f>
        <v>123.09437121093333</v>
      </c>
      <c r="E1094" s="40">
        <v>16.119775658411498</v>
      </c>
      <c r="H1094" s="40">
        <v>13.187858630232169</v>
      </c>
    </row>
    <row r="1095" spans="1:11" x14ac:dyDescent="0.3">
      <c r="A1095" t="s">
        <v>952</v>
      </c>
      <c r="B1095">
        <v>123.09</v>
      </c>
      <c r="C1095" t="s">
        <v>31</v>
      </c>
      <c r="D1095">
        <v>6</v>
      </c>
      <c r="E1095">
        <v>16.12</v>
      </c>
      <c r="F1095" t="s">
        <v>74</v>
      </c>
      <c r="G1095">
        <v>2</v>
      </c>
      <c r="H1095">
        <v>13.19</v>
      </c>
    </row>
    <row r="1096" spans="1:11" s="40" customFormat="1" x14ac:dyDescent="0.3">
      <c r="A1096" s="41" t="s">
        <v>976</v>
      </c>
      <c r="B1096" s="40">
        <f>D1095*E1096+G1095*H1096+J1095*K1096</f>
        <v>123.09437121093333</v>
      </c>
      <c r="E1096" s="40">
        <v>16.119775658411498</v>
      </c>
      <c r="H1096" s="40">
        <v>13.187858630232169</v>
      </c>
    </row>
    <row r="1097" spans="1:11" x14ac:dyDescent="0.3">
      <c r="A1097" t="s">
        <v>951</v>
      </c>
      <c r="B1097">
        <v>64.45</v>
      </c>
      <c r="C1097" t="s">
        <v>24</v>
      </c>
      <c r="D1097">
        <v>6</v>
      </c>
      <c r="E1097">
        <v>7.32</v>
      </c>
      <c r="F1097" t="s">
        <v>87</v>
      </c>
      <c r="G1097">
        <v>2</v>
      </c>
      <c r="H1097">
        <v>10.26</v>
      </c>
    </row>
    <row r="1098" spans="1:11" s="40" customFormat="1" x14ac:dyDescent="0.3">
      <c r="A1098" s="41" t="s">
        <v>976</v>
      </c>
      <c r="B1098" s="40">
        <f>D1097*E1098+G1097*H1098+J1097*K1098</f>
        <v>64.454477725192007</v>
      </c>
      <c r="E1098" s="40">
        <v>7.3238027278514046</v>
      </c>
      <c r="H1098" s="40">
        <v>10.255830679041788</v>
      </c>
    </row>
    <row r="1099" spans="1:11" x14ac:dyDescent="0.3">
      <c r="A1099" t="s">
        <v>956</v>
      </c>
      <c r="B1099">
        <v>99.64</v>
      </c>
      <c r="C1099" t="s">
        <v>65</v>
      </c>
      <c r="D1099">
        <v>6</v>
      </c>
      <c r="E1099">
        <v>13.19</v>
      </c>
      <c r="F1099" t="s">
        <v>87</v>
      </c>
      <c r="G1099">
        <v>2</v>
      </c>
      <c r="H1099">
        <v>10.26</v>
      </c>
    </row>
    <row r="1100" spans="1:11" s="40" customFormat="1" x14ac:dyDescent="0.3">
      <c r="A1100" s="41" t="s">
        <v>976</v>
      </c>
      <c r="B1100" s="40">
        <f>D1099*E1100+G1099*H1100+J1099*K1100</f>
        <v>99.638813139476582</v>
      </c>
      <c r="E1100" s="40">
        <v>13.187858630232169</v>
      </c>
      <c r="H1100" s="40">
        <v>10.255830679041788</v>
      </c>
    </row>
    <row r="1101" spans="1:11" x14ac:dyDescent="0.3">
      <c r="A1101" t="s">
        <v>969</v>
      </c>
      <c r="B1101">
        <v>82.05</v>
      </c>
      <c r="C1101" t="s">
        <v>27</v>
      </c>
      <c r="D1101">
        <v>6</v>
      </c>
      <c r="E1101">
        <v>10.26</v>
      </c>
      <c r="F1101" t="s">
        <v>87</v>
      </c>
      <c r="G1101">
        <v>2</v>
      </c>
      <c r="H1101">
        <v>10.26</v>
      </c>
    </row>
    <row r="1102" spans="1:11" s="40" customFormat="1" x14ac:dyDescent="0.3">
      <c r="A1102" s="41" t="s">
        <v>976</v>
      </c>
      <c r="B1102" s="40">
        <f>D1101*E1102+G1101*H1102+J1101*K1102</f>
        <v>82.046645432334302</v>
      </c>
      <c r="E1102" s="40">
        <v>10.255830679041788</v>
      </c>
      <c r="H1102" s="40">
        <v>10.255830679041788</v>
      </c>
    </row>
    <row r="1103" spans="1:11" x14ac:dyDescent="0.3">
      <c r="A1103" t="s">
        <v>955</v>
      </c>
      <c r="B1103">
        <v>43.94</v>
      </c>
      <c r="C1103" t="s">
        <v>24</v>
      </c>
      <c r="D1103">
        <v>6</v>
      </c>
      <c r="E1103">
        <v>7.32</v>
      </c>
    </row>
    <row r="1104" spans="1:11" s="40" customFormat="1" x14ac:dyDescent="0.3">
      <c r="A1104" s="41" t="s">
        <v>976</v>
      </c>
      <c r="B1104" s="40">
        <f>D1103*E1104+G1103*H1104+J1103*K1104</f>
        <v>43.942816367108428</v>
      </c>
      <c r="E1104" s="40">
        <v>7.3238027278514046</v>
      </c>
    </row>
    <row r="1105" spans="1:11" x14ac:dyDescent="0.3">
      <c r="A1105" t="s">
        <v>970</v>
      </c>
      <c r="B1105">
        <v>61.53</v>
      </c>
      <c r="C1105" t="s">
        <v>27</v>
      </c>
      <c r="D1105">
        <v>6</v>
      </c>
      <c r="E1105">
        <v>10.26</v>
      </c>
    </row>
    <row r="1106" spans="1:11" s="40" customFormat="1" x14ac:dyDescent="0.3">
      <c r="A1106" s="41" t="s">
        <v>976</v>
      </c>
      <c r="B1106" s="40">
        <f>D1105*E1106+G1105*H1106+J1105*K1106</f>
        <v>61.53498407425073</v>
      </c>
      <c r="E1106" s="40">
        <v>10.255830679041788</v>
      </c>
    </row>
    <row r="1107" spans="1:11" x14ac:dyDescent="0.3">
      <c r="A1107" t="s">
        <v>971</v>
      </c>
      <c r="B1107">
        <v>184.58</v>
      </c>
      <c r="C1107" t="s">
        <v>69</v>
      </c>
      <c r="D1107">
        <v>6</v>
      </c>
      <c r="E1107">
        <v>19.05</v>
      </c>
      <c r="F1107" t="s">
        <v>110</v>
      </c>
      <c r="G1107">
        <v>2</v>
      </c>
      <c r="H1107">
        <v>17.579999999999998</v>
      </c>
      <c r="I1107" t="s">
        <v>137</v>
      </c>
      <c r="J1107">
        <v>8</v>
      </c>
      <c r="K1107">
        <v>4.3899999999999997</v>
      </c>
    </row>
    <row r="1108" spans="1:11" s="40" customFormat="1" x14ac:dyDescent="0.3">
      <c r="A1108" s="41" t="s">
        <v>976</v>
      </c>
      <c r="B1108" s="40">
        <f>D1107*E1108+G1107*H1108+J1107*K1108</f>
        <v>184.57575839547286</v>
      </c>
      <c r="E1108" s="40">
        <v>19.046922997115502</v>
      </c>
      <c r="H1108" s="40">
        <v>17.579688979321727</v>
      </c>
      <c r="K1108" s="40">
        <v>4.3918553067670469</v>
      </c>
    </row>
    <row r="1109" spans="1:11" x14ac:dyDescent="0.3">
      <c r="A1109" t="s">
        <v>954</v>
      </c>
      <c r="B1109">
        <v>167.01</v>
      </c>
      <c r="C1109" t="s">
        <v>31</v>
      </c>
      <c r="D1109">
        <v>6</v>
      </c>
      <c r="E1109">
        <v>16.12</v>
      </c>
      <c r="F1109" t="s">
        <v>110</v>
      </c>
      <c r="G1109">
        <v>2</v>
      </c>
      <c r="H1109">
        <v>17.579999999999998</v>
      </c>
      <c r="I1109" t="s">
        <v>137</v>
      </c>
      <c r="J1109">
        <v>8</v>
      </c>
      <c r="K1109">
        <v>4.3899999999999997</v>
      </c>
    </row>
    <row r="1110" spans="1:11" s="40" customFormat="1" x14ac:dyDescent="0.3">
      <c r="A1110" s="41" t="s">
        <v>976</v>
      </c>
      <c r="B1110" s="40">
        <f>D1109*E1110+G1109*H1110+J1109*K1110</f>
        <v>167.01287436324884</v>
      </c>
      <c r="E1110" s="40">
        <v>16.119775658411498</v>
      </c>
      <c r="H1110" s="40">
        <v>17.579688979321727</v>
      </c>
      <c r="K1110" s="40">
        <v>4.3918553067670469</v>
      </c>
    </row>
    <row r="1111" spans="1:11" x14ac:dyDescent="0.3">
      <c r="A1111" t="s">
        <v>957</v>
      </c>
      <c r="B1111">
        <v>413.25</v>
      </c>
      <c r="C1111" t="s">
        <v>31</v>
      </c>
      <c r="D1111">
        <v>24</v>
      </c>
      <c r="E1111">
        <v>16.12</v>
      </c>
      <c r="F1111" t="s">
        <v>74</v>
      </c>
      <c r="G1111">
        <v>2</v>
      </c>
      <c r="H1111">
        <v>13.19</v>
      </c>
    </row>
    <row r="1112" spans="1:11" s="40" customFormat="1" x14ac:dyDescent="0.3">
      <c r="A1112" s="41" t="s">
        <v>976</v>
      </c>
      <c r="B1112" s="40">
        <f>D1111*E1112+G1111*H1112+J1111*K1112</f>
        <v>413.2503330623403</v>
      </c>
      <c r="E1112" s="40">
        <v>16.119775658411498</v>
      </c>
      <c r="H1112" s="40">
        <v>13.187858630232169</v>
      </c>
    </row>
    <row r="1113" spans="1:11" x14ac:dyDescent="0.3">
      <c r="A1113" t="s">
        <v>958</v>
      </c>
      <c r="B1113">
        <v>413.25</v>
      </c>
      <c r="C1113" t="s">
        <v>31</v>
      </c>
      <c r="D1113">
        <v>24</v>
      </c>
      <c r="E1113">
        <v>16.12</v>
      </c>
      <c r="F1113" t="s">
        <v>74</v>
      </c>
      <c r="G1113">
        <v>2</v>
      </c>
      <c r="H1113">
        <v>13.19</v>
      </c>
    </row>
    <row r="1114" spans="1:11" s="40" customFormat="1" x14ac:dyDescent="0.3">
      <c r="A1114" s="41" t="s">
        <v>976</v>
      </c>
      <c r="B1114" s="40">
        <f>D1113*E1114+G1113*H1114+J1113*K1114</f>
        <v>413.2503330623403</v>
      </c>
      <c r="E1114" s="40">
        <v>16.119775658411498</v>
      </c>
      <c r="H1114" s="40">
        <v>13.187858630232169</v>
      </c>
    </row>
    <row r="1115" spans="1:11" x14ac:dyDescent="0.3">
      <c r="A1115" t="s">
        <v>972</v>
      </c>
      <c r="B1115">
        <v>219.81</v>
      </c>
      <c r="C1115" t="s">
        <v>31</v>
      </c>
      <c r="D1115">
        <v>12</v>
      </c>
      <c r="E1115">
        <v>16.12</v>
      </c>
      <c r="F1115" t="s">
        <v>74</v>
      </c>
      <c r="G1115">
        <v>2</v>
      </c>
      <c r="H1115">
        <v>13.19</v>
      </c>
    </row>
    <row r="1116" spans="1:11" s="40" customFormat="1" x14ac:dyDescent="0.3">
      <c r="A1116" s="41" t="s">
        <v>976</v>
      </c>
      <c r="B1116" s="40">
        <f>D1115*E1116+G1115*H1116+J1115*K1116</f>
        <v>219.81302516140232</v>
      </c>
      <c r="E1116" s="40">
        <v>16.119775658411498</v>
      </c>
      <c r="H1116" s="40">
        <v>13.187858630232169</v>
      </c>
    </row>
    <row r="1117" spans="1:11" x14ac:dyDescent="0.3">
      <c r="A1117" t="s">
        <v>974</v>
      </c>
      <c r="B1117">
        <v>219.81</v>
      </c>
      <c r="C1117" t="s">
        <v>31</v>
      </c>
      <c r="D1117">
        <v>12</v>
      </c>
      <c r="E1117">
        <v>16.12</v>
      </c>
      <c r="F1117" t="s">
        <v>74</v>
      </c>
      <c r="G1117">
        <v>2</v>
      </c>
      <c r="H1117">
        <v>13.19</v>
      </c>
    </row>
    <row r="1118" spans="1:11" s="40" customFormat="1" x14ac:dyDescent="0.3">
      <c r="A1118" s="41" t="s">
        <v>976</v>
      </c>
      <c r="B1118" s="40">
        <f>D1117*E1118+G1117*H1118+J1117*K1118</f>
        <v>219.81302516140232</v>
      </c>
      <c r="E1118" s="40">
        <v>16.119775658411498</v>
      </c>
      <c r="H1118" s="40">
        <v>13.187858630232169</v>
      </c>
    </row>
    <row r="1119" spans="1:11" x14ac:dyDescent="0.3">
      <c r="A1119" t="s">
        <v>959</v>
      </c>
      <c r="B1119">
        <v>448.33</v>
      </c>
      <c r="C1119" t="s">
        <v>33</v>
      </c>
      <c r="D1119">
        <v>18</v>
      </c>
      <c r="E1119">
        <v>21.98</v>
      </c>
      <c r="F1119" t="s">
        <v>79</v>
      </c>
      <c r="G1119">
        <v>2</v>
      </c>
      <c r="H1119">
        <v>26.36</v>
      </c>
    </row>
    <row r="1120" spans="1:11" s="40" customFormat="1" x14ac:dyDescent="0.3">
      <c r="A1120" s="41" t="s">
        <v>976</v>
      </c>
      <c r="B1120" s="40">
        <f>D1119*E1120+G1119*H1120+J1119*K1120</f>
        <v>448.32596392579194</v>
      </c>
      <c r="E1120" s="40">
        <v>21.977730795184293</v>
      </c>
      <c r="H1120" s="40">
        <v>26.363404806237337</v>
      </c>
    </row>
    <row r="1121" spans="1:11" x14ac:dyDescent="0.3">
      <c r="A1121" t="s">
        <v>973</v>
      </c>
      <c r="B1121">
        <v>712.06</v>
      </c>
      <c r="C1121" t="s">
        <v>33</v>
      </c>
      <c r="D1121">
        <v>30</v>
      </c>
      <c r="E1121">
        <v>21.98</v>
      </c>
      <c r="F1121" t="s">
        <v>79</v>
      </c>
      <c r="G1121">
        <v>2</v>
      </c>
      <c r="H1121">
        <v>26.36</v>
      </c>
    </row>
    <row r="1122" spans="1:11" s="40" customFormat="1" x14ac:dyDescent="0.3">
      <c r="A1122" s="41" t="s">
        <v>976</v>
      </c>
      <c r="B1122" s="40">
        <f>D1121*E1122+G1121*H1122+J1121*K1122</f>
        <v>712.05873346800342</v>
      </c>
      <c r="E1122" s="40">
        <v>21.977730795184293</v>
      </c>
      <c r="H1122" s="40">
        <v>26.363404806237337</v>
      </c>
    </row>
    <row r="1123" spans="1:11" x14ac:dyDescent="0.3">
      <c r="A1123" t="s">
        <v>960</v>
      </c>
      <c r="B1123">
        <v>316.45999999999998</v>
      </c>
      <c r="C1123" t="s">
        <v>33</v>
      </c>
      <c r="D1123">
        <v>12</v>
      </c>
      <c r="E1123">
        <v>21.98</v>
      </c>
      <c r="F1123" t="s">
        <v>79</v>
      </c>
      <c r="G1123">
        <v>2</v>
      </c>
      <c r="H1123">
        <v>26.36</v>
      </c>
    </row>
    <row r="1124" spans="1:11" s="40" customFormat="1" x14ac:dyDescent="0.3">
      <c r="A1124" s="41" t="s">
        <v>976</v>
      </c>
      <c r="B1124" s="40">
        <f>D1123*E1124+G1123*H1124+J1123*K1124</f>
        <v>316.45957915468614</v>
      </c>
      <c r="E1124" s="40">
        <v>21.977730795184293</v>
      </c>
      <c r="H1124" s="40">
        <v>26.363404806237337</v>
      </c>
    </row>
    <row r="1125" spans="1:11" x14ac:dyDescent="0.3">
      <c r="A1125" t="s">
        <v>975</v>
      </c>
      <c r="B1125">
        <v>580.19000000000005</v>
      </c>
      <c r="C1125" t="s">
        <v>33</v>
      </c>
      <c r="D1125">
        <v>24</v>
      </c>
      <c r="E1125">
        <v>21.98</v>
      </c>
      <c r="F1125" t="s">
        <v>79</v>
      </c>
      <c r="G1125">
        <v>2</v>
      </c>
      <c r="H1125">
        <v>26.36</v>
      </c>
    </row>
    <row r="1126" spans="1:11" s="40" customFormat="1" x14ac:dyDescent="0.3">
      <c r="A1126" s="41" t="s">
        <v>976</v>
      </c>
      <c r="B1126" s="40">
        <f>D1125*E1126+G1125*H1126+J1125*K1126</f>
        <v>580.19234869689762</v>
      </c>
      <c r="E1126" s="40">
        <v>21.977730795184293</v>
      </c>
      <c r="H1126" s="40">
        <v>26.363404806237337</v>
      </c>
    </row>
    <row r="1127" spans="1:11" x14ac:dyDescent="0.3">
      <c r="A1127" t="s">
        <v>961</v>
      </c>
      <c r="B1127">
        <v>316.45999999999998</v>
      </c>
      <c r="C1127" t="s">
        <v>33</v>
      </c>
      <c r="D1127">
        <v>12</v>
      </c>
      <c r="E1127">
        <v>21.98</v>
      </c>
      <c r="F1127" t="s">
        <v>79</v>
      </c>
      <c r="G1127">
        <v>2</v>
      </c>
      <c r="H1127">
        <v>26.36</v>
      </c>
    </row>
    <row r="1128" spans="1:11" s="40" customFormat="1" x14ac:dyDescent="0.3">
      <c r="A1128" s="41" t="s">
        <v>976</v>
      </c>
      <c r="B1128" s="40">
        <f>D1127*E1128+G1127*H1128+J1127*K1128</f>
        <v>316.45957915468614</v>
      </c>
      <c r="E1128" s="40">
        <v>21.977730795184293</v>
      </c>
      <c r="H1128" s="40">
        <v>26.363404806237337</v>
      </c>
    </row>
    <row r="1129" spans="1:11" x14ac:dyDescent="0.3">
      <c r="A1129" t="s">
        <v>506</v>
      </c>
      <c r="B1129">
        <v>606.69000000000005</v>
      </c>
      <c r="C1129" t="s">
        <v>31</v>
      </c>
      <c r="D1129">
        <v>36</v>
      </c>
      <c r="E1129">
        <v>16.12</v>
      </c>
      <c r="F1129" t="s">
        <v>74</v>
      </c>
      <c r="G1129">
        <v>2</v>
      </c>
      <c r="H1129">
        <v>13.19</v>
      </c>
    </row>
    <row r="1130" spans="1:11" s="40" customFormat="1" x14ac:dyDescent="0.3">
      <c r="A1130" s="41" t="s">
        <v>976</v>
      </c>
      <c r="B1130" s="40">
        <f>D1129*E1130+G1129*H1130+J1129*K1130</f>
        <v>606.68764096327823</v>
      </c>
      <c r="E1130" s="40">
        <v>16.119775658411498</v>
      </c>
      <c r="H1130" s="40">
        <v>13.187858630232169</v>
      </c>
    </row>
    <row r="1131" spans="1:11" x14ac:dyDescent="0.3">
      <c r="A1131" t="s">
        <v>407</v>
      </c>
      <c r="B1131">
        <v>1037.31</v>
      </c>
      <c r="C1131" t="s">
        <v>27</v>
      </c>
      <c r="D1131">
        <v>96</v>
      </c>
      <c r="E1131">
        <v>10.26</v>
      </c>
      <c r="F1131" t="s">
        <v>72</v>
      </c>
      <c r="G1131">
        <v>4</v>
      </c>
      <c r="H1131">
        <v>13.19</v>
      </c>
    </row>
    <row r="1132" spans="1:11" s="40" customFormat="1" x14ac:dyDescent="0.3">
      <c r="A1132" s="41" t="s">
        <v>976</v>
      </c>
      <c r="B1132" s="40">
        <f>D1131*E1132+G1131*H1132+J1131*K1132</f>
        <v>1037.3111797089402</v>
      </c>
      <c r="E1132" s="40">
        <v>10.255830679041788</v>
      </c>
      <c r="H1132" s="40">
        <v>13.187858630232169</v>
      </c>
    </row>
    <row r="1133" spans="1:11" x14ac:dyDescent="0.3">
      <c r="A1133" t="s">
        <v>422</v>
      </c>
      <c r="B1133">
        <v>757.47</v>
      </c>
      <c r="C1133" t="s">
        <v>27</v>
      </c>
      <c r="D1133">
        <v>70</v>
      </c>
      <c r="E1133">
        <v>10.26</v>
      </c>
      <c r="F1133" t="s">
        <v>72</v>
      </c>
      <c r="G1133">
        <v>3</v>
      </c>
      <c r="H1133">
        <v>13.19</v>
      </c>
    </row>
    <row r="1134" spans="1:11" s="40" customFormat="1" x14ac:dyDescent="0.3">
      <c r="A1134" s="41" t="s">
        <v>976</v>
      </c>
      <c r="B1134" s="40">
        <f>D1133*E1134+G1133*H1134+J1133*K1134</f>
        <v>757.4717234236216</v>
      </c>
      <c r="E1134" s="40">
        <v>10.255830679041788</v>
      </c>
      <c r="H1134" s="40">
        <v>13.187858630232169</v>
      </c>
    </row>
    <row r="1135" spans="1:11" x14ac:dyDescent="0.3">
      <c r="A1135" t="s">
        <v>663</v>
      </c>
      <c r="B1135">
        <v>864.39</v>
      </c>
      <c r="C1135" t="s">
        <v>69</v>
      </c>
      <c r="D1135">
        <v>20</v>
      </c>
      <c r="E1135">
        <v>19.05</v>
      </c>
      <c r="F1135" t="s">
        <v>74</v>
      </c>
      <c r="G1135">
        <v>2</v>
      </c>
      <c r="H1135">
        <v>13.19</v>
      </c>
      <c r="I1135" t="s">
        <v>160</v>
      </c>
      <c r="J1135">
        <v>26</v>
      </c>
      <c r="K1135">
        <v>17.579999999999998</v>
      </c>
    </row>
    <row r="1136" spans="1:11" s="40" customFormat="1" x14ac:dyDescent="0.3">
      <c r="A1136" s="41" t="s">
        <v>976</v>
      </c>
      <c r="B1136" s="40">
        <f>D1135*E1136+G1135*H1136+J1135*K1136</f>
        <v>864.38609066513925</v>
      </c>
      <c r="E1136" s="40">
        <v>19.046922997115502</v>
      </c>
      <c r="H1136" s="40">
        <v>13.187858630232169</v>
      </c>
      <c r="K1136" s="40">
        <v>17.579688979321727</v>
      </c>
    </row>
    <row r="1137" spans="1:11" x14ac:dyDescent="0.3">
      <c r="A1137" t="s">
        <v>680</v>
      </c>
      <c r="B1137">
        <v>342.91</v>
      </c>
      <c r="C1137" t="s">
        <v>31</v>
      </c>
      <c r="D1137">
        <v>20</v>
      </c>
      <c r="E1137">
        <v>16.12</v>
      </c>
      <c r="F1137" t="s">
        <v>89</v>
      </c>
      <c r="G1137">
        <v>2</v>
      </c>
      <c r="H1137">
        <v>10.26</v>
      </c>
    </row>
    <row r="1138" spans="1:11" s="40" customFormat="1" x14ac:dyDescent="0.3">
      <c r="A1138" s="41" t="s">
        <v>976</v>
      </c>
      <c r="B1138" s="40">
        <f>D1137*E1138+G1137*H1138+J1137*K1138</f>
        <v>342.90717452631355</v>
      </c>
      <c r="E1138" s="40">
        <v>16.119775658411498</v>
      </c>
      <c r="H1138" s="40">
        <v>10.255830679041788</v>
      </c>
    </row>
    <row r="1139" spans="1:11" x14ac:dyDescent="0.3">
      <c r="A1139" t="s">
        <v>677</v>
      </c>
      <c r="B1139">
        <v>348.77</v>
      </c>
      <c r="C1139" t="s">
        <v>31</v>
      </c>
      <c r="D1139">
        <v>20</v>
      </c>
      <c r="E1139">
        <v>16.12</v>
      </c>
      <c r="F1139" t="s">
        <v>74</v>
      </c>
      <c r="G1139">
        <v>2</v>
      </c>
      <c r="H1139">
        <v>13.19</v>
      </c>
    </row>
    <row r="1140" spans="1:11" s="40" customFormat="1" x14ac:dyDescent="0.3">
      <c r="A1140" s="41" t="s">
        <v>976</v>
      </c>
      <c r="B1140" s="40">
        <f>D1139*E1140+G1139*H1140+J1139*K1140</f>
        <v>348.77123042869431</v>
      </c>
      <c r="E1140" s="40">
        <v>16.119775658411498</v>
      </c>
      <c r="H1140" s="40">
        <v>13.187858630232169</v>
      </c>
    </row>
    <row r="1141" spans="1:11" x14ac:dyDescent="0.3">
      <c r="A1141" t="s">
        <v>672</v>
      </c>
      <c r="B1141">
        <v>407.31</v>
      </c>
      <c r="C1141" t="s">
        <v>69</v>
      </c>
      <c r="D1141">
        <v>20</v>
      </c>
      <c r="E1141">
        <v>19.05</v>
      </c>
      <c r="F1141" t="s">
        <v>74</v>
      </c>
      <c r="G1141">
        <v>2</v>
      </c>
      <c r="H1141">
        <v>13.19</v>
      </c>
    </row>
    <row r="1142" spans="1:11" s="40" customFormat="1" x14ac:dyDescent="0.3">
      <c r="A1142" s="41" t="s">
        <v>976</v>
      </c>
      <c r="B1142" s="40">
        <f>D1141*E1142+G1141*H1142+J1141*K1142</f>
        <v>407.31417720277437</v>
      </c>
      <c r="E1142" s="40">
        <v>19.046922997115502</v>
      </c>
      <c r="H1142" s="40">
        <v>13.187858630232169</v>
      </c>
    </row>
    <row r="1143" spans="1:11" x14ac:dyDescent="0.3">
      <c r="A1143" t="s">
        <v>734</v>
      </c>
      <c r="B1143">
        <v>284.29000000000002</v>
      </c>
      <c r="C1143" t="s">
        <v>31</v>
      </c>
      <c r="D1143">
        <v>16</v>
      </c>
      <c r="E1143">
        <v>16.12</v>
      </c>
      <c r="F1143" t="s">
        <v>74</v>
      </c>
      <c r="G1143">
        <v>2</v>
      </c>
      <c r="H1143">
        <v>13.19</v>
      </c>
    </row>
    <row r="1144" spans="1:11" s="40" customFormat="1" x14ac:dyDescent="0.3">
      <c r="A1144" s="41" t="s">
        <v>976</v>
      </c>
      <c r="B1144" s="40">
        <f>D1143*E1144+G1143*H1144+J1143*K1144</f>
        <v>284.29212779504832</v>
      </c>
      <c r="E1144" s="40">
        <v>16.119775658411498</v>
      </c>
      <c r="H1144" s="40">
        <v>13.187858630232169</v>
      </c>
    </row>
    <row r="1145" spans="1:11" x14ac:dyDescent="0.3">
      <c r="A1145" t="s">
        <v>823</v>
      </c>
      <c r="B1145">
        <v>290.13</v>
      </c>
      <c r="C1145" t="s">
        <v>31</v>
      </c>
      <c r="D1145">
        <v>12</v>
      </c>
      <c r="E1145">
        <v>16.12</v>
      </c>
      <c r="F1145" t="s">
        <v>74</v>
      </c>
      <c r="G1145">
        <v>2</v>
      </c>
      <c r="H1145">
        <v>13.19</v>
      </c>
      <c r="I1145" t="s">
        <v>150</v>
      </c>
      <c r="J1145">
        <v>4</v>
      </c>
      <c r="K1145">
        <v>17.579999999999998</v>
      </c>
    </row>
    <row r="1146" spans="1:11" s="40" customFormat="1" x14ac:dyDescent="0.3">
      <c r="A1146" s="41" t="s">
        <v>976</v>
      </c>
      <c r="B1146" s="40">
        <f>D1145*E1146+G1145*H1146+J1145*K1146</f>
        <v>290.13178107868924</v>
      </c>
      <c r="E1146" s="40">
        <v>16.119775658411498</v>
      </c>
      <c r="H1146" s="40">
        <v>13.187858630232169</v>
      </c>
      <c r="K1146" s="40">
        <v>17.579688979321727</v>
      </c>
    </row>
    <row r="1147" spans="1:11" x14ac:dyDescent="0.3">
      <c r="A1147" t="s">
        <v>808</v>
      </c>
      <c r="B1147">
        <v>184.63</v>
      </c>
      <c r="C1147" t="s">
        <v>65</v>
      </c>
      <c r="D1147">
        <v>12</v>
      </c>
      <c r="E1147">
        <v>13.19</v>
      </c>
      <c r="F1147" t="s">
        <v>72</v>
      </c>
      <c r="G1147">
        <v>2</v>
      </c>
      <c r="H1147">
        <v>13.19</v>
      </c>
    </row>
    <row r="1148" spans="1:11" s="40" customFormat="1" x14ac:dyDescent="0.3">
      <c r="A1148" s="41" t="s">
        <v>976</v>
      </c>
      <c r="B1148" s="40">
        <f>D1147*E1148+G1147*H1148+J1147*K1148</f>
        <v>184.63002082325036</v>
      </c>
      <c r="E1148" s="40">
        <v>13.187858630232169</v>
      </c>
      <c r="H1148" s="40">
        <v>13.187858630232169</v>
      </c>
    </row>
    <row r="1149" spans="1:11" x14ac:dyDescent="0.3">
      <c r="A1149" t="s">
        <v>846</v>
      </c>
      <c r="B1149">
        <v>219.81</v>
      </c>
      <c r="C1149" t="s">
        <v>31</v>
      </c>
      <c r="D1149">
        <v>12</v>
      </c>
      <c r="E1149">
        <v>16.12</v>
      </c>
      <c r="F1149" t="s">
        <v>74</v>
      </c>
      <c r="G1149">
        <v>2</v>
      </c>
      <c r="H1149">
        <v>13.19</v>
      </c>
    </row>
    <row r="1150" spans="1:11" s="40" customFormat="1" x14ac:dyDescent="0.3">
      <c r="A1150" s="41" t="s">
        <v>976</v>
      </c>
      <c r="B1150" s="40">
        <f>D1149*E1150+G1149*H1150+J1149*K1150</f>
        <v>219.81302516140232</v>
      </c>
      <c r="E1150" s="40">
        <v>16.119775658411498</v>
      </c>
      <c r="H1150" s="40">
        <v>13.187858630232169</v>
      </c>
    </row>
    <row r="1151" spans="1:11" x14ac:dyDescent="0.3">
      <c r="A1151" t="s">
        <v>824</v>
      </c>
      <c r="B1151">
        <v>430.74</v>
      </c>
      <c r="C1151" t="s">
        <v>69</v>
      </c>
      <c r="D1151">
        <v>12</v>
      </c>
      <c r="E1151">
        <v>19.05</v>
      </c>
      <c r="F1151" t="s">
        <v>74</v>
      </c>
      <c r="G1151">
        <v>2</v>
      </c>
      <c r="H1151">
        <v>13.19</v>
      </c>
      <c r="I1151" t="s">
        <v>160</v>
      </c>
      <c r="J1151">
        <v>10</v>
      </c>
      <c r="K1151">
        <v>17.579999999999998</v>
      </c>
    </row>
    <row r="1152" spans="1:11" s="40" customFormat="1" x14ac:dyDescent="0.3">
      <c r="A1152" s="41" t="s">
        <v>976</v>
      </c>
      <c r="B1152" s="40">
        <f>D1151*E1152+G1151*H1152+J1151*K1152</f>
        <v>430.73568301906766</v>
      </c>
      <c r="E1152" s="40">
        <v>19.046922997115502</v>
      </c>
      <c r="H1152" s="40">
        <v>13.187858630232169</v>
      </c>
      <c r="K1152" s="40">
        <v>17.579688979321727</v>
      </c>
    </row>
    <row r="1153" spans="1:11" x14ac:dyDescent="0.3">
      <c r="A1153" t="s">
        <v>849</v>
      </c>
      <c r="B1153">
        <v>254.94</v>
      </c>
      <c r="C1153" t="s">
        <v>69</v>
      </c>
      <c r="D1153">
        <v>12</v>
      </c>
      <c r="E1153">
        <v>19.05</v>
      </c>
      <c r="F1153" t="s">
        <v>74</v>
      </c>
      <c r="G1153">
        <v>2</v>
      </c>
      <c r="H1153">
        <v>13.19</v>
      </c>
    </row>
    <row r="1154" spans="1:11" s="40" customFormat="1" x14ac:dyDescent="0.3">
      <c r="A1154" s="41" t="s">
        <v>976</v>
      </c>
      <c r="B1154" s="40">
        <f>D1153*E1154+G1153*H1154+J1153*K1154</f>
        <v>254.93879322585036</v>
      </c>
      <c r="E1154" s="40">
        <v>19.046922997115502</v>
      </c>
      <c r="H1154" s="40">
        <v>13.187858630232169</v>
      </c>
    </row>
    <row r="1155" spans="1:11" x14ac:dyDescent="0.3">
      <c r="A1155" t="s">
        <v>966</v>
      </c>
      <c r="B1155">
        <v>348.7</v>
      </c>
      <c r="C1155" t="s">
        <v>29</v>
      </c>
      <c r="D1155">
        <v>12</v>
      </c>
      <c r="E1155">
        <v>13.19</v>
      </c>
      <c r="F1155" t="s">
        <v>99</v>
      </c>
      <c r="G1155">
        <v>2</v>
      </c>
      <c r="H1155">
        <v>7.32</v>
      </c>
      <c r="I1155" t="s">
        <v>164</v>
      </c>
      <c r="J1155">
        <v>10</v>
      </c>
      <c r="K1155">
        <v>17.579999999999998</v>
      </c>
    </row>
    <row r="1156" spans="1:11" s="40" customFormat="1" x14ac:dyDescent="0.3">
      <c r="A1156" s="41" t="s">
        <v>976</v>
      </c>
      <c r="B1156" s="40">
        <f>D1155*E1156+G1155*H1156+J1155*K1156</f>
        <v>348.69888954672911</v>
      </c>
      <c r="E1156" s="40">
        <v>13.187858630232169</v>
      </c>
      <c r="H1156" s="40">
        <v>7.3238480953629237</v>
      </c>
      <c r="K1156" s="40">
        <v>17.579688979321727</v>
      </c>
    </row>
    <row r="1157" spans="1:11" x14ac:dyDescent="0.3">
      <c r="A1157" t="s">
        <v>883</v>
      </c>
      <c r="B1157">
        <v>290.08</v>
      </c>
      <c r="C1157" t="s">
        <v>31</v>
      </c>
      <c r="D1157">
        <v>12</v>
      </c>
      <c r="E1157">
        <v>16.12</v>
      </c>
      <c r="F1157" t="s">
        <v>110</v>
      </c>
      <c r="G1157">
        <v>2</v>
      </c>
      <c r="H1157">
        <v>17.579999999999998</v>
      </c>
      <c r="I1157" t="s">
        <v>137</v>
      </c>
      <c r="J1157">
        <v>14</v>
      </c>
      <c r="K1157">
        <v>4.3899999999999997</v>
      </c>
    </row>
    <row r="1158" spans="1:11" s="40" customFormat="1" x14ac:dyDescent="0.3">
      <c r="A1158" s="41" t="s">
        <v>976</v>
      </c>
      <c r="B1158" s="40">
        <f>D1157*E1158+G1157*H1158+J1157*K1158</f>
        <v>290.08266015432008</v>
      </c>
      <c r="E1158" s="40">
        <v>16.119775658411498</v>
      </c>
      <c r="H1158" s="40">
        <v>17.579688979321727</v>
      </c>
      <c r="K1158" s="40">
        <v>4.3918553067670469</v>
      </c>
    </row>
    <row r="1159" spans="1:11" x14ac:dyDescent="0.3">
      <c r="A1159" t="s">
        <v>915</v>
      </c>
      <c r="B1159">
        <v>108.42</v>
      </c>
      <c r="C1159" t="s">
        <v>27</v>
      </c>
      <c r="D1159">
        <v>8</v>
      </c>
      <c r="E1159">
        <v>10.26</v>
      </c>
      <c r="F1159" t="s">
        <v>72</v>
      </c>
      <c r="G1159">
        <v>2</v>
      </c>
      <c r="H1159">
        <v>13.19</v>
      </c>
    </row>
    <row r="1160" spans="1:11" s="40" customFormat="1" x14ac:dyDescent="0.3">
      <c r="A1160" s="41" t="s">
        <v>976</v>
      </c>
      <c r="B1160" s="40">
        <f>D1159*E1160+G1159*H1160+J1159*K1160</f>
        <v>108.42236269279864</v>
      </c>
      <c r="E1160" s="40">
        <v>10.255830679041788</v>
      </c>
      <c r="H1160" s="40">
        <v>13.187858630232169</v>
      </c>
    </row>
    <row r="1161" spans="1:11" x14ac:dyDescent="0.3">
      <c r="A1161" t="s">
        <v>968</v>
      </c>
      <c r="B1161">
        <v>307.68</v>
      </c>
      <c r="C1161" t="s">
        <v>29</v>
      </c>
      <c r="D1161">
        <v>8</v>
      </c>
      <c r="E1161">
        <v>13.19</v>
      </c>
      <c r="F1161" t="s">
        <v>74</v>
      </c>
      <c r="G1161">
        <v>2</v>
      </c>
      <c r="H1161">
        <v>13.19</v>
      </c>
      <c r="I1161" t="s">
        <v>150</v>
      </c>
      <c r="J1161">
        <v>10</v>
      </c>
      <c r="K1161">
        <v>17.579999999999998</v>
      </c>
    </row>
    <row r="1162" spans="1:11" s="40" customFormat="1" x14ac:dyDescent="0.3">
      <c r="A1162" s="41" t="s">
        <v>976</v>
      </c>
      <c r="B1162" s="40">
        <f>D1161*E1162+G1161*H1162+J1161*K1162</f>
        <v>307.67547609553895</v>
      </c>
      <c r="E1162" s="40">
        <v>13.187858630232169</v>
      </c>
      <c r="H1162" s="40">
        <v>13.187858630232169</v>
      </c>
      <c r="K1162" s="40">
        <v>17.579688979321727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6041D-8C3B-4C42-B9A4-441A4DB86B2D}">
  <sheetPr codeName="Sheet4"/>
  <dimension ref="A1:K581"/>
  <sheetViews>
    <sheetView workbookViewId="0"/>
  </sheetViews>
  <sheetFormatPr defaultRowHeight="14.4" x14ac:dyDescent="0.3"/>
  <cols>
    <col min="1" max="1" width="17.44140625" bestFit="1" customWidth="1"/>
    <col min="2" max="2" width="9" bestFit="1" customWidth="1"/>
    <col min="3" max="3" width="8.77734375" bestFit="1" customWidth="1"/>
    <col min="4" max="4" width="4" bestFit="1" customWidth="1"/>
    <col min="5" max="5" width="7" bestFit="1" customWidth="1"/>
    <col min="6" max="6" width="14.109375" bestFit="1" customWidth="1"/>
    <col min="7" max="7" width="2" bestFit="1" customWidth="1"/>
    <col min="8" max="8" width="7" bestFit="1" customWidth="1"/>
    <col min="9" max="9" width="9.33203125" bestFit="1" customWidth="1"/>
    <col min="10" max="10" width="3" bestFit="1" customWidth="1"/>
    <col min="11" max="11" width="6" bestFit="1" customWidth="1"/>
  </cols>
  <sheetData>
    <row r="1" spans="1:8" x14ac:dyDescent="0.3">
      <c r="A1" s="38" t="s">
        <v>401</v>
      </c>
      <c r="B1" s="39">
        <v>11143.7</v>
      </c>
      <c r="C1" t="s">
        <v>31</v>
      </c>
      <c r="D1">
        <v>120</v>
      </c>
      <c r="E1">
        <v>89.8</v>
      </c>
      <c r="F1" t="s">
        <v>74</v>
      </c>
      <c r="G1">
        <v>5</v>
      </c>
      <c r="H1">
        <v>73.47</v>
      </c>
    </row>
    <row r="2" spans="1:8" x14ac:dyDescent="0.3">
      <c r="A2" t="s">
        <v>400</v>
      </c>
      <c r="B2" s="39">
        <v>13100.55</v>
      </c>
      <c r="C2" t="s">
        <v>69</v>
      </c>
      <c r="D2">
        <v>120</v>
      </c>
      <c r="E2">
        <v>106.11</v>
      </c>
      <c r="F2" t="s">
        <v>74</v>
      </c>
      <c r="G2">
        <v>5</v>
      </c>
      <c r="H2">
        <v>73.47</v>
      </c>
    </row>
    <row r="3" spans="1:8" x14ac:dyDescent="0.3">
      <c r="A3" t="s">
        <v>396</v>
      </c>
      <c r="B3" s="39">
        <v>13372.44</v>
      </c>
      <c r="C3" t="s">
        <v>31</v>
      </c>
      <c r="D3">
        <v>144</v>
      </c>
      <c r="E3">
        <v>89.8</v>
      </c>
      <c r="F3" t="s">
        <v>74</v>
      </c>
      <c r="G3">
        <v>6</v>
      </c>
      <c r="H3">
        <v>73.47</v>
      </c>
    </row>
    <row r="4" spans="1:8" x14ac:dyDescent="0.3">
      <c r="A4" t="s">
        <v>398</v>
      </c>
      <c r="B4" s="39">
        <v>7223.55</v>
      </c>
      <c r="C4" t="s">
        <v>27</v>
      </c>
      <c r="D4">
        <v>120</v>
      </c>
      <c r="E4">
        <v>57.14</v>
      </c>
      <c r="F4" t="s">
        <v>72</v>
      </c>
      <c r="G4">
        <v>5</v>
      </c>
      <c r="H4">
        <v>73.47</v>
      </c>
    </row>
    <row r="5" spans="1:8" x14ac:dyDescent="0.3">
      <c r="A5" t="s">
        <v>397</v>
      </c>
      <c r="B5" s="39">
        <v>7223.55</v>
      </c>
      <c r="C5" t="s">
        <v>27</v>
      </c>
      <c r="D5">
        <v>120</v>
      </c>
      <c r="E5">
        <v>57.14</v>
      </c>
      <c r="F5" t="s">
        <v>72</v>
      </c>
      <c r="G5">
        <v>5</v>
      </c>
      <c r="H5">
        <v>73.47</v>
      </c>
    </row>
    <row r="6" spans="1:8" x14ac:dyDescent="0.3">
      <c r="A6" t="s">
        <v>395</v>
      </c>
      <c r="B6" s="39">
        <v>8668.26</v>
      </c>
      <c r="C6" t="s">
        <v>27</v>
      </c>
      <c r="D6">
        <v>144</v>
      </c>
      <c r="E6">
        <v>57.14</v>
      </c>
      <c r="F6" t="s">
        <v>72</v>
      </c>
      <c r="G6">
        <v>6</v>
      </c>
      <c r="H6">
        <v>73.47</v>
      </c>
    </row>
    <row r="7" spans="1:8" x14ac:dyDescent="0.3">
      <c r="A7" t="s">
        <v>404</v>
      </c>
      <c r="B7" s="39">
        <v>15426.85</v>
      </c>
      <c r="C7" t="s">
        <v>33</v>
      </c>
      <c r="D7">
        <v>120</v>
      </c>
      <c r="E7">
        <v>122.44</v>
      </c>
      <c r="F7" t="s">
        <v>79</v>
      </c>
      <c r="G7">
        <v>5</v>
      </c>
      <c r="H7">
        <v>146.87</v>
      </c>
    </row>
    <row r="8" spans="1:8" x14ac:dyDescent="0.3">
      <c r="A8" t="s">
        <v>399</v>
      </c>
      <c r="B8" s="39">
        <v>11143.7</v>
      </c>
      <c r="C8" t="s">
        <v>67</v>
      </c>
      <c r="D8">
        <v>120</v>
      </c>
      <c r="E8">
        <v>89.8</v>
      </c>
      <c r="F8" t="s">
        <v>74</v>
      </c>
      <c r="G8">
        <v>5</v>
      </c>
      <c r="H8">
        <v>73.47</v>
      </c>
    </row>
    <row r="9" spans="1:8" x14ac:dyDescent="0.3">
      <c r="A9" t="s">
        <v>402</v>
      </c>
      <c r="B9" s="39">
        <v>12120.9</v>
      </c>
      <c r="C9" t="s">
        <v>43</v>
      </c>
      <c r="D9">
        <v>120</v>
      </c>
      <c r="E9">
        <v>97.95</v>
      </c>
      <c r="F9" t="s">
        <v>74</v>
      </c>
      <c r="G9">
        <v>5</v>
      </c>
      <c r="H9">
        <v>73.47</v>
      </c>
    </row>
    <row r="10" spans="1:8" x14ac:dyDescent="0.3">
      <c r="A10" t="s">
        <v>407</v>
      </c>
      <c r="B10" s="39">
        <v>5778.84</v>
      </c>
      <c r="C10" t="s">
        <v>27</v>
      </c>
      <c r="D10">
        <v>96</v>
      </c>
      <c r="E10">
        <v>57.14</v>
      </c>
      <c r="F10" t="s">
        <v>72</v>
      </c>
      <c r="G10">
        <v>4</v>
      </c>
      <c r="H10">
        <v>73.47</v>
      </c>
    </row>
    <row r="11" spans="1:8" x14ac:dyDescent="0.3">
      <c r="A11" t="s">
        <v>409</v>
      </c>
      <c r="B11" s="39">
        <v>5778.84</v>
      </c>
      <c r="C11" t="s">
        <v>27</v>
      </c>
      <c r="D11">
        <v>96</v>
      </c>
      <c r="E11">
        <v>57.14</v>
      </c>
      <c r="F11" t="s">
        <v>72</v>
      </c>
      <c r="G11">
        <v>4</v>
      </c>
      <c r="H11">
        <v>73.47</v>
      </c>
    </row>
    <row r="12" spans="1:8" x14ac:dyDescent="0.3">
      <c r="A12" t="s">
        <v>408</v>
      </c>
      <c r="B12" s="39">
        <v>7346.93</v>
      </c>
      <c r="C12" t="s">
        <v>29</v>
      </c>
      <c r="D12">
        <v>96</v>
      </c>
      <c r="E12">
        <v>73.47</v>
      </c>
      <c r="F12" t="s">
        <v>74</v>
      </c>
      <c r="G12">
        <v>4</v>
      </c>
      <c r="H12">
        <v>73.47</v>
      </c>
    </row>
    <row r="13" spans="1:8" x14ac:dyDescent="0.3">
      <c r="A13" t="s">
        <v>405</v>
      </c>
      <c r="B13" s="39">
        <v>12120.9</v>
      </c>
      <c r="C13" t="s">
        <v>43</v>
      </c>
      <c r="D13">
        <v>120</v>
      </c>
      <c r="E13">
        <v>97.95</v>
      </c>
      <c r="F13" t="s">
        <v>74</v>
      </c>
      <c r="G13">
        <v>5</v>
      </c>
      <c r="H13">
        <v>73.47</v>
      </c>
    </row>
    <row r="14" spans="1:8" x14ac:dyDescent="0.3">
      <c r="A14" t="s">
        <v>406</v>
      </c>
      <c r="B14" s="39">
        <v>7346.93</v>
      </c>
      <c r="C14" t="s">
        <v>29</v>
      </c>
      <c r="D14">
        <v>96</v>
      </c>
      <c r="E14">
        <v>73.47</v>
      </c>
      <c r="F14" t="s">
        <v>74</v>
      </c>
      <c r="G14">
        <v>4</v>
      </c>
      <c r="H14">
        <v>73.47</v>
      </c>
    </row>
    <row r="15" spans="1:8" x14ac:dyDescent="0.3">
      <c r="A15" t="s">
        <v>411</v>
      </c>
      <c r="B15" s="39">
        <v>8914.9599999999991</v>
      </c>
      <c r="C15" t="s">
        <v>31</v>
      </c>
      <c r="D15">
        <v>96</v>
      </c>
      <c r="E15">
        <v>89.8</v>
      </c>
      <c r="F15" t="s">
        <v>74</v>
      </c>
      <c r="G15">
        <v>4</v>
      </c>
      <c r="H15">
        <v>73.47</v>
      </c>
    </row>
    <row r="16" spans="1:8" x14ac:dyDescent="0.3">
      <c r="A16" t="s">
        <v>403</v>
      </c>
      <c r="B16" s="39">
        <v>5778.84</v>
      </c>
      <c r="C16" t="s">
        <v>27</v>
      </c>
      <c r="D16">
        <v>96</v>
      </c>
      <c r="E16">
        <v>57.14</v>
      </c>
      <c r="F16" t="s">
        <v>72</v>
      </c>
      <c r="G16">
        <v>4</v>
      </c>
      <c r="H16">
        <v>73.47</v>
      </c>
    </row>
    <row r="17" spans="1:8" x14ac:dyDescent="0.3">
      <c r="A17" t="s">
        <v>412</v>
      </c>
      <c r="B17" s="39">
        <v>8914.9599999999991</v>
      </c>
      <c r="C17" t="s">
        <v>31</v>
      </c>
      <c r="D17">
        <v>96</v>
      </c>
      <c r="E17">
        <v>89.8</v>
      </c>
      <c r="F17" t="s">
        <v>74</v>
      </c>
      <c r="G17">
        <v>4</v>
      </c>
      <c r="H17">
        <v>73.47</v>
      </c>
    </row>
    <row r="18" spans="1:8" x14ac:dyDescent="0.3">
      <c r="A18" t="s">
        <v>416</v>
      </c>
      <c r="B18" s="39">
        <v>7478.11</v>
      </c>
      <c r="C18" t="s">
        <v>31</v>
      </c>
      <c r="D18">
        <v>80</v>
      </c>
      <c r="E18">
        <v>89.8</v>
      </c>
      <c r="F18" t="s">
        <v>74</v>
      </c>
      <c r="G18">
        <v>4</v>
      </c>
      <c r="H18">
        <v>73.47</v>
      </c>
    </row>
    <row r="19" spans="1:8" x14ac:dyDescent="0.3">
      <c r="A19" t="s">
        <v>410</v>
      </c>
      <c r="B19" s="39">
        <v>5484.96</v>
      </c>
      <c r="C19" t="s">
        <v>27</v>
      </c>
      <c r="D19">
        <v>96</v>
      </c>
      <c r="E19">
        <v>57.14</v>
      </c>
    </row>
    <row r="20" spans="1:8" x14ac:dyDescent="0.3">
      <c r="A20" t="s">
        <v>415</v>
      </c>
      <c r="B20" s="39">
        <v>4962.55</v>
      </c>
      <c r="C20" t="s">
        <v>27</v>
      </c>
      <c r="D20">
        <v>84</v>
      </c>
      <c r="E20">
        <v>57.14</v>
      </c>
      <c r="F20" t="s">
        <v>99</v>
      </c>
      <c r="G20">
        <v>4</v>
      </c>
      <c r="H20">
        <v>40.799999999999997</v>
      </c>
    </row>
    <row r="21" spans="1:8" x14ac:dyDescent="0.3">
      <c r="A21" t="s">
        <v>417</v>
      </c>
      <c r="B21" s="39">
        <v>3158.06</v>
      </c>
      <c r="C21" t="s">
        <v>24</v>
      </c>
      <c r="D21">
        <v>72</v>
      </c>
      <c r="E21">
        <v>40.799999999999997</v>
      </c>
      <c r="F21" t="s">
        <v>72</v>
      </c>
      <c r="G21">
        <v>3</v>
      </c>
      <c r="H21">
        <v>73.47</v>
      </c>
    </row>
    <row r="22" spans="1:8" x14ac:dyDescent="0.3">
      <c r="A22" t="s">
        <v>413</v>
      </c>
      <c r="B22" s="39">
        <v>8914.9599999999991</v>
      </c>
      <c r="C22" t="s">
        <v>31</v>
      </c>
      <c r="D22">
        <v>96</v>
      </c>
      <c r="E22">
        <v>89.8</v>
      </c>
      <c r="F22" t="s">
        <v>74</v>
      </c>
      <c r="G22">
        <v>4</v>
      </c>
      <c r="H22">
        <v>73.47</v>
      </c>
    </row>
    <row r="23" spans="1:8" x14ac:dyDescent="0.3">
      <c r="A23" t="s">
        <v>420</v>
      </c>
      <c r="B23" s="39">
        <v>4334.13</v>
      </c>
      <c r="C23" t="s">
        <v>27</v>
      </c>
      <c r="D23">
        <v>72</v>
      </c>
      <c r="E23">
        <v>57.14</v>
      </c>
      <c r="F23" t="s">
        <v>72</v>
      </c>
      <c r="G23">
        <v>3</v>
      </c>
      <c r="H23">
        <v>73.47</v>
      </c>
    </row>
    <row r="24" spans="1:8" x14ac:dyDescent="0.3">
      <c r="A24" t="s">
        <v>419</v>
      </c>
      <c r="B24" s="39">
        <v>5510.2</v>
      </c>
      <c r="C24" t="s">
        <v>29</v>
      </c>
      <c r="D24">
        <v>72</v>
      </c>
      <c r="E24">
        <v>73.47</v>
      </c>
      <c r="F24" t="s">
        <v>74</v>
      </c>
      <c r="G24">
        <v>3</v>
      </c>
      <c r="H24">
        <v>73.47</v>
      </c>
    </row>
    <row r="25" spans="1:8" x14ac:dyDescent="0.3">
      <c r="A25" t="s">
        <v>418</v>
      </c>
      <c r="B25" s="39">
        <v>6686.22</v>
      </c>
      <c r="C25" t="s">
        <v>31</v>
      </c>
      <c r="D25">
        <v>72</v>
      </c>
      <c r="E25">
        <v>89.8</v>
      </c>
      <c r="F25" t="s">
        <v>74</v>
      </c>
      <c r="G25">
        <v>3</v>
      </c>
      <c r="H25">
        <v>73.47</v>
      </c>
    </row>
    <row r="26" spans="1:8" x14ac:dyDescent="0.3">
      <c r="A26" t="s">
        <v>421</v>
      </c>
      <c r="B26" s="39">
        <v>6686.22</v>
      </c>
      <c r="C26" t="s">
        <v>31</v>
      </c>
      <c r="D26">
        <v>72</v>
      </c>
      <c r="E26">
        <v>89.8</v>
      </c>
      <c r="F26" t="s">
        <v>74</v>
      </c>
      <c r="G26">
        <v>3</v>
      </c>
      <c r="H26">
        <v>73.47</v>
      </c>
    </row>
    <row r="27" spans="1:8" x14ac:dyDescent="0.3">
      <c r="A27" t="s">
        <v>422</v>
      </c>
      <c r="B27" s="39">
        <v>4219.8599999999997</v>
      </c>
      <c r="C27" t="s">
        <v>27</v>
      </c>
      <c r="D27">
        <v>70</v>
      </c>
      <c r="E27">
        <v>57.14</v>
      </c>
      <c r="F27" t="s">
        <v>72</v>
      </c>
      <c r="G27">
        <v>3</v>
      </c>
      <c r="H27">
        <v>73.47</v>
      </c>
    </row>
    <row r="28" spans="1:8" x14ac:dyDescent="0.3">
      <c r="A28" t="s">
        <v>424</v>
      </c>
      <c r="B28" s="39">
        <v>9035.69</v>
      </c>
      <c r="C28" t="s">
        <v>57</v>
      </c>
      <c r="D28">
        <v>60</v>
      </c>
      <c r="E28">
        <v>146.91999999999999</v>
      </c>
      <c r="F28" t="s">
        <v>83</v>
      </c>
      <c r="G28">
        <v>3</v>
      </c>
      <c r="H28">
        <v>73.47</v>
      </c>
    </row>
    <row r="29" spans="1:8" x14ac:dyDescent="0.3">
      <c r="A29" t="s">
        <v>427</v>
      </c>
      <c r="B29" s="39">
        <v>3648.51</v>
      </c>
      <c r="C29" t="s">
        <v>27</v>
      </c>
      <c r="D29">
        <v>60</v>
      </c>
      <c r="E29">
        <v>57.14</v>
      </c>
      <c r="F29" t="s">
        <v>72</v>
      </c>
      <c r="G29">
        <v>3</v>
      </c>
      <c r="H29">
        <v>73.47</v>
      </c>
    </row>
    <row r="30" spans="1:8" x14ac:dyDescent="0.3">
      <c r="A30" t="s">
        <v>423</v>
      </c>
      <c r="B30" s="39">
        <v>6686.22</v>
      </c>
      <c r="C30" t="s">
        <v>31</v>
      </c>
      <c r="D30">
        <v>72</v>
      </c>
      <c r="E30">
        <v>89.8</v>
      </c>
      <c r="F30" t="s">
        <v>74</v>
      </c>
      <c r="G30">
        <v>3</v>
      </c>
      <c r="H30">
        <v>73.47</v>
      </c>
    </row>
    <row r="31" spans="1:8" x14ac:dyDescent="0.3">
      <c r="A31" t="s">
        <v>425</v>
      </c>
      <c r="B31" s="39">
        <v>3648.51</v>
      </c>
      <c r="C31" t="s">
        <v>27</v>
      </c>
      <c r="D31">
        <v>60</v>
      </c>
      <c r="E31">
        <v>57.14</v>
      </c>
      <c r="F31" t="s">
        <v>72</v>
      </c>
      <c r="G31">
        <v>3</v>
      </c>
      <c r="H31">
        <v>73.47</v>
      </c>
    </row>
    <row r="32" spans="1:8" x14ac:dyDescent="0.3">
      <c r="A32" t="s">
        <v>426</v>
      </c>
      <c r="B32" s="39">
        <v>3648.51</v>
      </c>
      <c r="C32" t="s">
        <v>27</v>
      </c>
      <c r="D32">
        <v>60</v>
      </c>
      <c r="E32">
        <v>57.14</v>
      </c>
      <c r="F32" t="s">
        <v>72</v>
      </c>
      <c r="G32">
        <v>3</v>
      </c>
      <c r="H32">
        <v>73.47</v>
      </c>
    </row>
    <row r="33" spans="1:8" x14ac:dyDescent="0.3">
      <c r="A33" t="s">
        <v>429</v>
      </c>
      <c r="B33" s="39">
        <v>5608.59</v>
      </c>
      <c r="C33" t="s">
        <v>31</v>
      </c>
      <c r="D33">
        <v>60</v>
      </c>
      <c r="E33">
        <v>89.8</v>
      </c>
      <c r="F33" t="s">
        <v>74</v>
      </c>
      <c r="G33">
        <v>3</v>
      </c>
      <c r="H33">
        <v>73.47</v>
      </c>
    </row>
    <row r="34" spans="1:8" x14ac:dyDescent="0.3">
      <c r="A34" t="s">
        <v>428</v>
      </c>
      <c r="B34" s="39">
        <v>5608.59</v>
      </c>
      <c r="C34" t="s">
        <v>67</v>
      </c>
      <c r="D34">
        <v>60</v>
      </c>
      <c r="E34">
        <v>89.8</v>
      </c>
      <c r="F34" t="s">
        <v>74</v>
      </c>
      <c r="G34">
        <v>3</v>
      </c>
      <c r="H34">
        <v>73.47</v>
      </c>
    </row>
    <row r="35" spans="1:8" x14ac:dyDescent="0.3">
      <c r="A35" t="s">
        <v>432</v>
      </c>
      <c r="B35" s="39">
        <v>7786.86</v>
      </c>
      <c r="C35" t="s">
        <v>33</v>
      </c>
      <c r="D35">
        <v>60</v>
      </c>
      <c r="E35">
        <v>122.44</v>
      </c>
      <c r="F35" t="s">
        <v>79</v>
      </c>
      <c r="G35">
        <v>3</v>
      </c>
      <c r="H35">
        <v>146.87</v>
      </c>
    </row>
    <row r="36" spans="1:8" x14ac:dyDescent="0.3">
      <c r="A36" t="s">
        <v>430</v>
      </c>
      <c r="B36" s="39">
        <v>6587.01</v>
      </c>
      <c r="C36" t="s">
        <v>69</v>
      </c>
      <c r="D36">
        <v>60</v>
      </c>
      <c r="E36">
        <v>106.11</v>
      </c>
      <c r="F36" t="s">
        <v>74</v>
      </c>
      <c r="G36">
        <v>3</v>
      </c>
      <c r="H36">
        <v>73.47</v>
      </c>
    </row>
    <row r="37" spans="1:8" x14ac:dyDescent="0.3">
      <c r="A37" t="s">
        <v>431</v>
      </c>
      <c r="B37" s="39">
        <v>5608.59</v>
      </c>
      <c r="C37" t="s">
        <v>31</v>
      </c>
      <c r="D37">
        <v>60</v>
      </c>
      <c r="E37">
        <v>89.8</v>
      </c>
      <c r="F37" t="s">
        <v>74</v>
      </c>
      <c r="G37">
        <v>3</v>
      </c>
      <c r="H37">
        <v>73.47</v>
      </c>
    </row>
    <row r="38" spans="1:8" x14ac:dyDescent="0.3">
      <c r="A38" t="s">
        <v>433</v>
      </c>
      <c r="B38" s="39">
        <v>6097.19</v>
      </c>
      <c r="C38" t="s">
        <v>43</v>
      </c>
      <c r="D38">
        <v>60</v>
      </c>
      <c r="E38">
        <v>97.95</v>
      </c>
      <c r="F38" t="s">
        <v>74</v>
      </c>
      <c r="G38">
        <v>3</v>
      </c>
      <c r="H38">
        <v>73.47</v>
      </c>
    </row>
    <row r="39" spans="1:8" x14ac:dyDescent="0.3">
      <c r="A39" t="s">
        <v>434</v>
      </c>
      <c r="B39" s="39">
        <v>6097.19</v>
      </c>
      <c r="C39" t="s">
        <v>43</v>
      </c>
      <c r="D39">
        <v>60</v>
      </c>
      <c r="E39">
        <v>97.95</v>
      </c>
      <c r="F39" t="s">
        <v>74</v>
      </c>
      <c r="G39">
        <v>3</v>
      </c>
      <c r="H39">
        <v>73.47</v>
      </c>
    </row>
    <row r="40" spans="1:8" x14ac:dyDescent="0.3">
      <c r="A40" t="s">
        <v>435</v>
      </c>
      <c r="B40" s="39">
        <v>3419.97</v>
      </c>
      <c r="C40" t="s">
        <v>27</v>
      </c>
      <c r="D40">
        <v>56</v>
      </c>
      <c r="E40">
        <v>57.14</v>
      </c>
      <c r="F40" t="s">
        <v>72</v>
      </c>
      <c r="G40">
        <v>3</v>
      </c>
      <c r="H40">
        <v>73.47</v>
      </c>
    </row>
    <row r="41" spans="1:8" x14ac:dyDescent="0.3">
      <c r="A41" t="s">
        <v>437</v>
      </c>
      <c r="B41" s="39">
        <v>4187.75</v>
      </c>
      <c r="C41" t="s">
        <v>29</v>
      </c>
      <c r="D41">
        <v>54</v>
      </c>
      <c r="E41">
        <v>73.47</v>
      </c>
      <c r="F41" t="s">
        <v>74</v>
      </c>
      <c r="G41">
        <v>3</v>
      </c>
      <c r="H41">
        <v>73.47</v>
      </c>
    </row>
    <row r="42" spans="1:8" x14ac:dyDescent="0.3">
      <c r="A42" t="s">
        <v>436</v>
      </c>
      <c r="B42" s="39">
        <v>3077.16</v>
      </c>
      <c r="C42" t="s">
        <v>27</v>
      </c>
      <c r="D42">
        <v>50</v>
      </c>
      <c r="E42">
        <v>57.14</v>
      </c>
      <c r="F42" t="s">
        <v>72</v>
      </c>
      <c r="G42">
        <v>3</v>
      </c>
      <c r="H42">
        <v>73.47</v>
      </c>
    </row>
    <row r="43" spans="1:8" x14ac:dyDescent="0.3">
      <c r="A43" t="s">
        <v>439</v>
      </c>
      <c r="B43" s="39">
        <v>4710.5600000000004</v>
      </c>
      <c r="C43" t="s">
        <v>31</v>
      </c>
      <c r="D43">
        <v>50</v>
      </c>
      <c r="E43">
        <v>89.8</v>
      </c>
      <c r="F43" t="s">
        <v>74</v>
      </c>
      <c r="G43">
        <v>3</v>
      </c>
      <c r="H43">
        <v>73.47</v>
      </c>
    </row>
    <row r="44" spans="1:8" x14ac:dyDescent="0.3">
      <c r="A44" t="s">
        <v>438</v>
      </c>
      <c r="B44" s="39">
        <v>7272.63</v>
      </c>
      <c r="C44" t="s">
        <v>57</v>
      </c>
      <c r="D44">
        <v>48</v>
      </c>
      <c r="E44">
        <v>146.91999999999999</v>
      </c>
      <c r="F44" t="s">
        <v>83</v>
      </c>
      <c r="G44">
        <v>3</v>
      </c>
      <c r="H44">
        <v>73.47</v>
      </c>
    </row>
    <row r="45" spans="1:8" x14ac:dyDescent="0.3">
      <c r="A45" t="s">
        <v>440</v>
      </c>
      <c r="B45" s="39">
        <v>2962.89</v>
      </c>
      <c r="C45" t="s">
        <v>27</v>
      </c>
      <c r="D45">
        <v>48</v>
      </c>
      <c r="E45">
        <v>57.14</v>
      </c>
      <c r="F45" t="s">
        <v>72</v>
      </c>
      <c r="G45">
        <v>3</v>
      </c>
      <c r="H45">
        <v>73.47</v>
      </c>
    </row>
    <row r="46" spans="1:8" x14ac:dyDescent="0.3">
      <c r="A46" t="s">
        <v>441</v>
      </c>
      <c r="B46" s="39">
        <v>2178.84</v>
      </c>
      <c r="C46" t="s">
        <v>24</v>
      </c>
      <c r="D46">
        <v>48</v>
      </c>
      <c r="E46">
        <v>40.799999999999997</v>
      </c>
      <c r="F46" t="s">
        <v>72</v>
      </c>
      <c r="G46">
        <v>3</v>
      </c>
      <c r="H46">
        <v>73.47</v>
      </c>
    </row>
    <row r="47" spans="1:8" x14ac:dyDescent="0.3">
      <c r="A47" t="s">
        <v>443</v>
      </c>
      <c r="B47" s="39">
        <v>2962.89</v>
      </c>
      <c r="C47" t="s">
        <v>27</v>
      </c>
      <c r="D47">
        <v>48</v>
      </c>
      <c r="E47">
        <v>57.14</v>
      </c>
      <c r="F47" t="s">
        <v>72</v>
      </c>
      <c r="G47">
        <v>3</v>
      </c>
      <c r="H47">
        <v>73.47</v>
      </c>
    </row>
    <row r="48" spans="1:8" x14ac:dyDescent="0.3">
      <c r="A48" t="s">
        <v>442</v>
      </c>
      <c r="B48" s="39">
        <v>2962.89</v>
      </c>
      <c r="C48" t="s">
        <v>27</v>
      </c>
      <c r="D48">
        <v>48</v>
      </c>
      <c r="E48">
        <v>57.14</v>
      </c>
      <c r="F48" t="s">
        <v>72</v>
      </c>
      <c r="G48">
        <v>3</v>
      </c>
      <c r="H48">
        <v>73.47</v>
      </c>
    </row>
    <row r="49" spans="1:8" x14ac:dyDescent="0.3">
      <c r="A49" t="s">
        <v>445</v>
      </c>
      <c r="B49" s="39">
        <v>3746.93</v>
      </c>
      <c r="C49" t="s">
        <v>29</v>
      </c>
      <c r="D49">
        <v>48</v>
      </c>
      <c r="E49">
        <v>73.47</v>
      </c>
      <c r="F49" t="s">
        <v>74</v>
      </c>
      <c r="G49">
        <v>3</v>
      </c>
      <c r="H49">
        <v>73.47</v>
      </c>
    </row>
    <row r="50" spans="1:8" x14ac:dyDescent="0.3">
      <c r="A50" t="s">
        <v>446</v>
      </c>
      <c r="B50" s="39">
        <v>3746.93</v>
      </c>
      <c r="C50" t="s">
        <v>29</v>
      </c>
      <c r="D50">
        <v>48</v>
      </c>
      <c r="E50">
        <v>73.47</v>
      </c>
      <c r="F50" t="s">
        <v>74</v>
      </c>
      <c r="G50">
        <v>3</v>
      </c>
      <c r="H50">
        <v>73.47</v>
      </c>
    </row>
    <row r="51" spans="1:8" x14ac:dyDescent="0.3">
      <c r="A51" t="s">
        <v>447</v>
      </c>
      <c r="B51" s="39">
        <v>4530.95</v>
      </c>
      <c r="C51" t="s">
        <v>67</v>
      </c>
      <c r="D51">
        <v>48</v>
      </c>
      <c r="E51">
        <v>89.8</v>
      </c>
      <c r="F51" t="s">
        <v>74</v>
      </c>
      <c r="G51">
        <v>3</v>
      </c>
      <c r="H51">
        <v>73.47</v>
      </c>
    </row>
    <row r="52" spans="1:8" x14ac:dyDescent="0.3">
      <c r="A52" t="s">
        <v>444</v>
      </c>
      <c r="B52" s="39">
        <v>2962.89</v>
      </c>
      <c r="C52" t="s">
        <v>27</v>
      </c>
      <c r="D52">
        <v>48</v>
      </c>
      <c r="E52">
        <v>57.14</v>
      </c>
      <c r="F52" t="s">
        <v>72</v>
      </c>
      <c r="G52">
        <v>3</v>
      </c>
      <c r="H52">
        <v>73.47</v>
      </c>
    </row>
    <row r="53" spans="1:8" x14ac:dyDescent="0.3">
      <c r="A53" t="s">
        <v>448</v>
      </c>
      <c r="B53" s="39">
        <v>4530.95</v>
      </c>
      <c r="C53" t="s">
        <v>31</v>
      </c>
      <c r="D53">
        <v>48</v>
      </c>
      <c r="E53">
        <v>89.8</v>
      </c>
      <c r="F53" t="s">
        <v>74</v>
      </c>
      <c r="G53">
        <v>3</v>
      </c>
      <c r="H53">
        <v>73.47</v>
      </c>
    </row>
    <row r="54" spans="1:8" x14ac:dyDescent="0.3">
      <c r="A54" t="s">
        <v>450</v>
      </c>
      <c r="B54" s="39">
        <v>4530.95</v>
      </c>
      <c r="C54" t="s">
        <v>31</v>
      </c>
      <c r="D54">
        <v>48</v>
      </c>
      <c r="E54">
        <v>89.8</v>
      </c>
      <c r="F54" t="s">
        <v>74</v>
      </c>
      <c r="G54">
        <v>3</v>
      </c>
      <c r="H54">
        <v>73.47</v>
      </c>
    </row>
    <row r="55" spans="1:8" x14ac:dyDescent="0.3">
      <c r="A55" t="s">
        <v>449</v>
      </c>
      <c r="B55" s="39">
        <v>4530.95</v>
      </c>
      <c r="C55" t="s">
        <v>31</v>
      </c>
      <c r="D55">
        <v>48</v>
      </c>
      <c r="E55">
        <v>89.8</v>
      </c>
      <c r="F55" t="s">
        <v>74</v>
      </c>
      <c r="G55">
        <v>3</v>
      </c>
      <c r="H55">
        <v>73.47</v>
      </c>
    </row>
    <row r="56" spans="1:8" x14ac:dyDescent="0.3">
      <c r="A56" t="s">
        <v>569</v>
      </c>
      <c r="B56" s="39">
        <v>4530.95</v>
      </c>
      <c r="C56" t="s">
        <v>31</v>
      </c>
      <c r="D56">
        <v>48</v>
      </c>
      <c r="E56">
        <v>89.8</v>
      </c>
      <c r="F56" t="s">
        <v>74</v>
      </c>
      <c r="G56">
        <v>3</v>
      </c>
      <c r="H56">
        <v>73.47</v>
      </c>
    </row>
    <row r="57" spans="1:8" x14ac:dyDescent="0.3">
      <c r="A57" t="s">
        <v>451</v>
      </c>
      <c r="B57" s="39">
        <v>5313.69</v>
      </c>
      <c r="C57" t="s">
        <v>69</v>
      </c>
      <c r="D57">
        <v>48</v>
      </c>
      <c r="E57">
        <v>106.11</v>
      </c>
      <c r="F57" t="s">
        <v>74</v>
      </c>
      <c r="G57">
        <v>3</v>
      </c>
      <c r="H57">
        <v>73.47</v>
      </c>
    </row>
    <row r="58" spans="1:8" x14ac:dyDescent="0.3">
      <c r="A58" t="s">
        <v>453</v>
      </c>
      <c r="B58" s="39">
        <v>4530.95</v>
      </c>
      <c r="C58" t="s">
        <v>31</v>
      </c>
      <c r="D58">
        <v>48</v>
      </c>
      <c r="E58">
        <v>89.8</v>
      </c>
      <c r="F58" t="s">
        <v>74</v>
      </c>
      <c r="G58">
        <v>3</v>
      </c>
      <c r="H58">
        <v>73.47</v>
      </c>
    </row>
    <row r="59" spans="1:8" x14ac:dyDescent="0.3">
      <c r="A59" t="s">
        <v>454</v>
      </c>
      <c r="B59" s="39">
        <v>4530.95</v>
      </c>
      <c r="C59" t="s">
        <v>31</v>
      </c>
      <c r="D59">
        <v>48</v>
      </c>
      <c r="E59">
        <v>89.8</v>
      </c>
      <c r="F59" t="s">
        <v>74</v>
      </c>
      <c r="G59">
        <v>3</v>
      </c>
      <c r="H59">
        <v>73.47</v>
      </c>
    </row>
    <row r="60" spans="1:8" x14ac:dyDescent="0.3">
      <c r="A60" t="s">
        <v>452</v>
      </c>
      <c r="B60" s="39">
        <v>4530.95</v>
      </c>
      <c r="C60" t="s">
        <v>31</v>
      </c>
      <c r="D60">
        <v>48</v>
      </c>
      <c r="E60">
        <v>89.8</v>
      </c>
      <c r="F60" t="s">
        <v>74</v>
      </c>
      <c r="G60">
        <v>3</v>
      </c>
      <c r="H60">
        <v>73.47</v>
      </c>
    </row>
    <row r="61" spans="1:8" x14ac:dyDescent="0.3">
      <c r="A61" t="s">
        <v>455</v>
      </c>
      <c r="B61" s="39">
        <v>4530.95</v>
      </c>
      <c r="C61" t="s">
        <v>31</v>
      </c>
      <c r="D61">
        <v>48</v>
      </c>
      <c r="E61">
        <v>89.8</v>
      </c>
      <c r="F61" t="s">
        <v>74</v>
      </c>
      <c r="G61">
        <v>3</v>
      </c>
      <c r="H61">
        <v>73.47</v>
      </c>
    </row>
    <row r="62" spans="1:8" x14ac:dyDescent="0.3">
      <c r="A62" t="s">
        <v>458</v>
      </c>
      <c r="B62" s="39">
        <v>4530.95</v>
      </c>
      <c r="C62" t="s">
        <v>31</v>
      </c>
      <c r="D62">
        <v>48</v>
      </c>
      <c r="E62">
        <v>89.8</v>
      </c>
      <c r="F62" t="s">
        <v>74</v>
      </c>
      <c r="G62">
        <v>3</v>
      </c>
      <c r="H62">
        <v>73.47</v>
      </c>
    </row>
    <row r="63" spans="1:8" x14ac:dyDescent="0.3">
      <c r="A63" t="s">
        <v>456</v>
      </c>
      <c r="B63" s="39">
        <v>5313.69</v>
      </c>
      <c r="C63" t="s">
        <v>69</v>
      </c>
      <c r="D63">
        <v>48</v>
      </c>
      <c r="E63">
        <v>106.11</v>
      </c>
      <c r="F63" t="s">
        <v>74</v>
      </c>
      <c r="G63">
        <v>3</v>
      </c>
      <c r="H63">
        <v>73.47</v>
      </c>
    </row>
    <row r="64" spans="1:8" x14ac:dyDescent="0.3">
      <c r="A64" t="s">
        <v>457</v>
      </c>
      <c r="B64" s="39">
        <v>6317.61</v>
      </c>
      <c r="C64" t="s">
        <v>33</v>
      </c>
      <c r="D64">
        <v>48</v>
      </c>
      <c r="E64">
        <v>122.44</v>
      </c>
      <c r="F64" t="s">
        <v>79</v>
      </c>
      <c r="G64">
        <v>3</v>
      </c>
      <c r="H64">
        <v>146.87</v>
      </c>
    </row>
    <row r="65" spans="1:11" x14ac:dyDescent="0.3">
      <c r="A65" t="s">
        <v>459</v>
      </c>
      <c r="B65" s="39">
        <v>6317.61</v>
      </c>
      <c r="C65" t="s">
        <v>33</v>
      </c>
      <c r="D65">
        <v>48</v>
      </c>
      <c r="E65">
        <v>122.44</v>
      </c>
      <c r="F65" t="s">
        <v>79</v>
      </c>
      <c r="G65">
        <v>3</v>
      </c>
      <c r="H65">
        <v>146.87</v>
      </c>
    </row>
    <row r="66" spans="1:11" x14ac:dyDescent="0.3">
      <c r="A66" t="s">
        <v>462</v>
      </c>
      <c r="B66" s="39">
        <v>3158.83</v>
      </c>
      <c r="C66" t="s">
        <v>39</v>
      </c>
      <c r="D66">
        <v>48</v>
      </c>
      <c r="E66">
        <v>61.22</v>
      </c>
      <c r="F66" t="s">
        <v>72</v>
      </c>
      <c r="G66">
        <v>3</v>
      </c>
      <c r="H66">
        <v>73.47</v>
      </c>
    </row>
    <row r="67" spans="1:11" x14ac:dyDescent="0.3">
      <c r="A67" t="s">
        <v>460</v>
      </c>
      <c r="B67" s="39">
        <v>6317.61</v>
      </c>
      <c r="C67" t="s">
        <v>33</v>
      </c>
      <c r="D67">
        <v>48</v>
      </c>
      <c r="E67">
        <v>122.44</v>
      </c>
      <c r="F67" t="s">
        <v>79</v>
      </c>
      <c r="G67">
        <v>3</v>
      </c>
      <c r="H67">
        <v>146.87</v>
      </c>
    </row>
    <row r="68" spans="1:11" x14ac:dyDescent="0.3">
      <c r="A68" t="s">
        <v>461</v>
      </c>
      <c r="B68" s="39">
        <v>4921.83</v>
      </c>
      <c r="C68" t="s">
        <v>43</v>
      </c>
      <c r="D68">
        <v>48</v>
      </c>
      <c r="E68">
        <v>97.95</v>
      </c>
      <c r="F68" t="s">
        <v>74</v>
      </c>
      <c r="G68">
        <v>3</v>
      </c>
      <c r="H68">
        <v>73.47</v>
      </c>
    </row>
    <row r="69" spans="1:11" x14ac:dyDescent="0.3">
      <c r="A69" t="s">
        <v>463</v>
      </c>
      <c r="B69" s="39">
        <v>4921.83</v>
      </c>
      <c r="C69" t="s">
        <v>43</v>
      </c>
      <c r="D69">
        <v>48</v>
      </c>
      <c r="E69">
        <v>97.95</v>
      </c>
      <c r="F69" t="s">
        <v>74</v>
      </c>
      <c r="G69">
        <v>3</v>
      </c>
      <c r="H69">
        <v>73.47</v>
      </c>
    </row>
    <row r="70" spans="1:11" x14ac:dyDescent="0.3">
      <c r="A70" t="s">
        <v>464</v>
      </c>
      <c r="B70" s="39">
        <v>4921.83</v>
      </c>
      <c r="C70" t="s">
        <v>43</v>
      </c>
      <c r="D70">
        <v>48</v>
      </c>
      <c r="E70">
        <v>97.95</v>
      </c>
      <c r="F70" t="s">
        <v>74</v>
      </c>
      <c r="G70">
        <v>3</v>
      </c>
      <c r="H70">
        <v>73.47</v>
      </c>
    </row>
    <row r="71" spans="1:11" x14ac:dyDescent="0.3">
      <c r="A71" t="s">
        <v>466</v>
      </c>
      <c r="B71" s="39">
        <v>4921.83</v>
      </c>
      <c r="C71" t="s">
        <v>43</v>
      </c>
      <c r="D71">
        <v>48</v>
      </c>
      <c r="E71">
        <v>97.95</v>
      </c>
      <c r="F71" t="s">
        <v>74</v>
      </c>
      <c r="G71">
        <v>3</v>
      </c>
      <c r="H71">
        <v>73.47</v>
      </c>
    </row>
    <row r="72" spans="1:11" x14ac:dyDescent="0.3">
      <c r="A72" t="s">
        <v>465</v>
      </c>
      <c r="B72" s="39">
        <v>4921.83</v>
      </c>
      <c r="C72" t="s">
        <v>43</v>
      </c>
      <c r="D72">
        <v>48</v>
      </c>
      <c r="E72">
        <v>97.95</v>
      </c>
      <c r="F72" t="s">
        <v>74</v>
      </c>
      <c r="G72">
        <v>3</v>
      </c>
      <c r="H72">
        <v>73.47</v>
      </c>
    </row>
    <row r="73" spans="1:11" x14ac:dyDescent="0.3">
      <c r="A73" t="s">
        <v>468</v>
      </c>
      <c r="B73" s="39">
        <v>4310.54</v>
      </c>
      <c r="C73" t="s">
        <v>31</v>
      </c>
      <c r="D73">
        <v>48</v>
      </c>
      <c r="E73">
        <v>89.8</v>
      </c>
    </row>
    <row r="74" spans="1:11" x14ac:dyDescent="0.3">
      <c r="A74" t="s">
        <v>469</v>
      </c>
      <c r="B74" s="39">
        <v>8569.3799999999992</v>
      </c>
      <c r="C74" t="s">
        <v>57</v>
      </c>
      <c r="D74">
        <v>48</v>
      </c>
      <c r="E74">
        <v>146.91999999999999</v>
      </c>
      <c r="F74" t="s">
        <v>119</v>
      </c>
      <c r="G74">
        <v>3</v>
      </c>
      <c r="H74">
        <v>97.94</v>
      </c>
      <c r="I74" t="s">
        <v>137</v>
      </c>
      <c r="J74">
        <v>50</v>
      </c>
      <c r="K74">
        <v>24.47</v>
      </c>
    </row>
    <row r="75" spans="1:11" x14ac:dyDescent="0.3">
      <c r="A75" t="s">
        <v>467</v>
      </c>
      <c r="B75" s="39">
        <v>4921.83</v>
      </c>
      <c r="C75" t="s">
        <v>43</v>
      </c>
      <c r="D75">
        <v>48</v>
      </c>
      <c r="E75">
        <v>97.95</v>
      </c>
      <c r="F75" t="s">
        <v>74</v>
      </c>
      <c r="G75">
        <v>3</v>
      </c>
      <c r="H75">
        <v>73.47</v>
      </c>
    </row>
    <row r="76" spans="1:11" x14ac:dyDescent="0.3">
      <c r="A76" t="s">
        <v>470</v>
      </c>
      <c r="B76" s="39">
        <v>2742.48</v>
      </c>
      <c r="C76" t="s">
        <v>27</v>
      </c>
      <c r="D76">
        <v>48</v>
      </c>
      <c r="E76">
        <v>57.14</v>
      </c>
    </row>
    <row r="77" spans="1:11" x14ac:dyDescent="0.3">
      <c r="A77" t="s">
        <v>472</v>
      </c>
      <c r="B77" s="39">
        <v>8569.3799999999992</v>
      </c>
      <c r="C77" t="s">
        <v>57</v>
      </c>
      <c r="D77">
        <v>48</v>
      </c>
      <c r="E77">
        <v>146.91999999999999</v>
      </c>
      <c r="F77" t="s">
        <v>119</v>
      </c>
      <c r="G77">
        <v>3</v>
      </c>
      <c r="H77">
        <v>97.94</v>
      </c>
      <c r="I77" t="s">
        <v>137</v>
      </c>
      <c r="J77">
        <v>50</v>
      </c>
      <c r="K77">
        <v>24.47</v>
      </c>
    </row>
    <row r="78" spans="1:11" x14ac:dyDescent="0.3">
      <c r="A78" t="s">
        <v>471</v>
      </c>
      <c r="B78" s="39">
        <v>5827.7</v>
      </c>
      <c r="C78" t="s">
        <v>31</v>
      </c>
      <c r="D78">
        <v>48</v>
      </c>
      <c r="E78">
        <v>89.8</v>
      </c>
      <c r="F78" t="s">
        <v>110</v>
      </c>
      <c r="G78">
        <v>3</v>
      </c>
      <c r="H78">
        <v>97.94</v>
      </c>
      <c r="I78" t="s">
        <v>137</v>
      </c>
      <c r="J78">
        <v>50</v>
      </c>
      <c r="K78">
        <v>24.47</v>
      </c>
    </row>
    <row r="79" spans="1:11" x14ac:dyDescent="0.3">
      <c r="A79" t="s">
        <v>474</v>
      </c>
      <c r="B79" s="39">
        <v>6610.44</v>
      </c>
      <c r="C79" t="s">
        <v>69</v>
      </c>
      <c r="D79">
        <v>48</v>
      </c>
      <c r="E79">
        <v>106.11</v>
      </c>
      <c r="F79" t="s">
        <v>110</v>
      </c>
      <c r="G79">
        <v>3</v>
      </c>
      <c r="H79">
        <v>97.94</v>
      </c>
      <c r="I79" t="s">
        <v>137</v>
      </c>
      <c r="J79">
        <v>50</v>
      </c>
      <c r="K79">
        <v>24.47</v>
      </c>
    </row>
    <row r="80" spans="1:11" x14ac:dyDescent="0.3">
      <c r="A80" t="s">
        <v>473</v>
      </c>
      <c r="B80" s="39">
        <v>9011.1299999999992</v>
      </c>
      <c r="C80" t="s">
        <v>61</v>
      </c>
      <c r="D80">
        <v>42</v>
      </c>
      <c r="E80">
        <v>204.06</v>
      </c>
      <c r="F80" t="s">
        <v>85</v>
      </c>
      <c r="G80">
        <v>3</v>
      </c>
      <c r="H80">
        <v>146.87</v>
      </c>
    </row>
    <row r="81" spans="1:11" x14ac:dyDescent="0.3">
      <c r="A81" t="s">
        <v>476</v>
      </c>
      <c r="B81" s="39">
        <v>3992.13</v>
      </c>
      <c r="C81" t="s">
        <v>31</v>
      </c>
      <c r="D81">
        <v>42</v>
      </c>
      <c r="E81">
        <v>89.8</v>
      </c>
      <c r="F81" t="s">
        <v>74</v>
      </c>
      <c r="G81">
        <v>3</v>
      </c>
      <c r="H81">
        <v>73.47</v>
      </c>
    </row>
    <row r="82" spans="1:11" x14ac:dyDescent="0.3">
      <c r="A82" t="s">
        <v>475</v>
      </c>
      <c r="B82" s="39">
        <v>3992.13</v>
      </c>
      <c r="C82" t="s">
        <v>31</v>
      </c>
      <c r="D82">
        <v>42</v>
      </c>
      <c r="E82">
        <v>89.8</v>
      </c>
      <c r="F82" t="s">
        <v>74</v>
      </c>
      <c r="G82">
        <v>3</v>
      </c>
      <c r="H82">
        <v>73.47</v>
      </c>
    </row>
    <row r="83" spans="1:11" x14ac:dyDescent="0.3">
      <c r="A83" t="s">
        <v>478</v>
      </c>
      <c r="B83" s="39">
        <v>3159.18</v>
      </c>
      <c r="C83" t="s">
        <v>65</v>
      </c>
      <c r="D83">
        <v>40</v>
      </c>
      <c r="E83">
        <v>73.47</v>
      </c>
      <c r="F83" t="s">
        <v>72</v>
      </c>
      <c r="G83">
        <v>3</v>
      </c>
      <c r="H83">
        <v>73.47</v>
      </c>
    </row>
    <row r="84" spans="1:11" x14ac:dyDescent="0.3">
      <c r="A84" t="s">
        <v>477</v>
      </c>
      <c r="B84" s="39">
        <v>7297.06</v>
      </c>
      <c r="C84" t="s">
        <v>47</v>
      </c>
      <c r="D84">
        <v>42</v>
      </c>
      <c r="E84">
        <v>163.25</v>
      </c>
      <c r="F84" t="s">
        <v>79</v>
      </c>
      <c r="G84">
        <v>3</v>
      </c>
      <c r="H84">
        <v>146.87</v>
      </c>
    </row>
    <row r="85" spans="1:11" x14ac:dyDescent="0.3">
      <c r="A85" t="s">
        <v>479</v>
      </c>
      <c r="B85" s="39">
        <v>3812.53</v>
      </c>
      <c r="C85" t="s">
        <v>31</v>
      </c>
      <c r="D85">
        <v>40</v>
      </c>
      <c r="E85">
        <v>89.8</v>
      </c>
      <c r="F85" t="s">
        <v>74</v>
      </c>
      <c r="G85">
        <v>3</v>
      </c>
      <c r="H85">
        <v>73.47</v>
      </c>
    </row>
    <row r="86" spans="1:11" x14ac:dyDescent="0.3">
      <c r="A86" t="s">
        <v>480</v>
      </c>
      <c r="B86" s="39">
        <v>2456.81</v>
      </c>
      <c r="C86" t="s">
        <v>27</v>
      </c>
      <c r="D86">
        <v>40</v>
      </c>
      <c r="E86">
        <v>57.14</v>
      </c>
      <c r="F86" t="s">
        <v>87</v>
      </c>
      <c r="G86">
        <v>3</v>
      </c>
      <c r="H86">
        <v>57.14</v>
      </c>
    </row>
    <row r="87" spans="1:11" x14ac:dyDescent="0.3">
      <c r="A87" t="s">
        <v>481</v>
      </c>
      <c r="B87" s="39">
        <v>4913.54</v>
      </c>
      <c r="C87" t="s">
        <v>31</v>
      </c>
      <c r="D87">
        <v>40</v>
      </c>
      <c r="E87">
        <v>89.8</v>
      </c>
      <c r="F87" t="s">
        <v>110</v>
      </c>
      <c r="G87">
        <v>3</v>
      </c>
      <c r="H87">
        <v>97.94</v>
      </c>
      <c r="I87" t="s">
        <v>137</v>
      </c>
      <c r="J87">
        <v>42</v>
      </c>
      <c r="K87">
        <v>24.47</v>
      </c>
    </row>
    <row r="88" spans="1:11" x14ac:dyDescent="0.3">
      <c r="A88" t="s">
        <v>482</v>
      </c>
      <c r="B88" s="39">
        <v>5436.11</v>
      </c>
      <c r="C88" t="s">
        <v>57</v>
      </c>
      <c r="D88">
        <v>36</v>
      </c>
      <c r="E88">
        <v>146.91999999999999</v>
      </c>
      <c r="F88" t="s">
        <v>83</v>
      </c>
      <c r="G88">
        <v>2</v>
      </c>
      <c r="H88">
        <v>73.47</v>
      </c>
    </row>
    <row r="89" spans="1:11" x14ac:dyDescent="0.3">
      <c r="A89" t="s">
        <v>483</v>
      </c>
      <c r="B89" s="39">
        <v>6170.7</v>
      </c>
      <c r="C89" t="s">
        <v>59</v>
      </c>
      <c r="D89">
        <v>36</v>
      </c>
      <c r="E89">
        <v>163.25</v>
      </c>
      <c r="F89" t="s">
        <v>85</v>
      </c>
      <c r="G89">
        <v>2</v>
      </c>
      <c r="H89">
        <v>146.87</v>
      </c>
    </row>
    <row r="90" spans="1:11" x14ac:dyDescent="0.3">
      <c r="A90" t="s">
        <v>484</v>
      </c>
      <c r="B90" s="39">
        <v>6170.7</v>
      </c>
      <c r="C90" t="s">
        <v>59</v>
      </c>
      <c r="D90">
        <v>36</v>
      </c>
      <c r="E90">
        <v>163.25</v>
      </c>
      <c r="F90" t="s">
        <v>85</v>
      </c>
      <c r="G90">
        <v>2</v>
      </c>
      <c r="H90">
        <v>146.87</v>
      </c>
    </row>
    <row r="91" spans="1:11" x14ac:dyDescent="0.3">
      <c r="A91" t="s">
        <v>487</v>
      </c>
      <c r="B91" s="39">
        <v>2203.8000000000002</v>
      </c>
      <c r="C91" t="s">
        <v>27</v>
      </c>
      <c r="D91">
        <v>36</v>
      </c>
      <c r="E91">
        <v>57.14</v>
      </c>
      <c r="F91" t="s">
        <v>72</v>
      </c>
      <c r="G91">
        <v>2</v>
      </c>
      <c r="H91">
        <v>73.47</v>
      </c>
    </row>
    <row r="92" spans="1:11" x14ac:dyDescent="0.3">
      <c r="A92" t="s">
        <v>485</v>
      </c>
      <c r="B92" s="39">
        <v>2203.8000000000002</v>
      </c>
      <c r="C92" t="s">
        <v>27</v>
      </c>
      <c r="D92">
        <v>36</v>
      </c>
      <c r="E92">
        <v>57.14</v>
      </c>
      <c r="F92" t="s">
        <v>72</v>
      </c>
      <c r="G92">
        <v>2</v>
      </c>
      <c r="H92">
        <v>73.47</v>
      </c>
    </row>
    <row r="93" spans="1:11" x14ac:dyDescent="0.3">
      <c r="A93" t="s">
        <v>486</v>
      </c>
      <c r="B93" s="39">
        <v>2203.8000000000002</v>
      </c>
      <c r="C93" t="s">
        <v>27</v>
      </c>
      <c r="D93">
        <v>36</v>
      </c>
      <c r="E93">
        <v>57.14</v>
      </c>
      <c r="F93" t="s">
        <v>72</v>
      </c>
      <c r="G93">
        <v>2</v>
      </c>
      <c r="H93">
        <v>73.47</v>
      </c>
    </row>
    <row r="94" spans="1:11" x14ac:dyDescent="0.3">
      <c r="A94" t="s">
        <v>488</v>
      </c>
      <c r="B94" s="39">
        <v>2203.8000000000002</v>
      </c>
      <c r="C94" t="s">
        <v>27</v>
      </c>
      <c r="D94">
        <v>36</v>
      </c>
      <c r="E94">
        <v>57.14</v>
      </c>
      <c r="F94" t="s">
        <v>72</v>
      </c>
      <c r="G94">
        <v>2</v>
      </c>
      <c r="H94">
        <v>73.47</v>
      </c>
    </row>
    <row r="95" spans="1:11" x14ac:dyDescent="0.3">
      <c r="A95" t="s">
        <v>489</v>
      </c>
      <c r="B95" s="39">
        <v>2203.8000000000002</v>
      </c>
      <c r="C95" t="s">
        <v>27</v>
      </c>
      <c r="D95">
        <v>36</v>
      </c>
      <c r="E95">
        <v>57.14</v>
      </c>
      <c r="F95" t="s">
        <v>72</v>
      </c>
      <c r="G95">
        <v>2</v>
      </c>
      <c r="H95">
        <v>73.47</v>
      </c>
    </row>
    <row r="96" spans="1:11" x14ac:dyDescent="0.3">
      <c r="A96" t="s">
        <v>493</v>
      </c>
      <c r="B96" s="39">
        <v>2791.83</v>
      </c>
      <c r="C96" t="s">
        <v>29</v>
      </c>
      <c r="D96">
        <v>36</v>
      </c>
      <c r="E96">
        <v>73.47</v>
      </c>
      <c r="F96" t="s">
        <v>74</v>
      </c>
      <c r="G96">
        <v>2</v>
      </c>
      <c r="H96">
        <v>73.47</v>
      </c>
    </row>
    <row r="97" spans="1:8" x14ac:dyDescent="0.3">
      <c r="A97" t="s">
        <v>490</v>
      </c>
      <c r="B97" s="39">
        <v>2203.8000000000002</v>
      </c>
      <c r="C97" t="s">
        <v>27</v>
      </c>
      <c r="D97">
        <v>36</v>
      </c>
      <c r="E97">
        <v>57.14</v>
      </c>
      <c r="F97" t="s">
        <v>72</v>
      </c>
      <c r="G97">
        <v>2</v>
      </c>
      <c r="H97">
        <v>73.47</v>
      </c>
    </row>
    <row r="98" spans="1:8" x14ac:dyDescent="0.3">
      <c r="A98" t="s">
        <v>491</v>
      </c>
      <c r="B98" s="39">
        <v>2791.83</v>
      </c>
      <c r="C98" t="s">
        <v>65</v>
      </c>
      <c r="D98">
        <v>36</v>
      </c>
      <c r="E98">
        <v>73.47</v>
      </c>
      <c r="F98" t="s">
        <v>72</v>
      </c>
      <c r="G98">
        <v>2</v>
      </c>
      <c r="H98">
        <v>73.47</v>
      </c>
    </row>
    <row r="99" spans="1:8" x14ac:dyDescent="0.3">
      <c r="A99" t="s">
        <v>492</v>
      </c>
      <c r="B99" s="39">
        <v>3379.85</v>
      </c>
      <c r="C99" t="s">
        <v>67</v>
      </c>
      <c r="D99">
        <v>36</v>
      </c>
      <c r="E99">
        <v>89.8</v>
      </c>
      <c r="F99" t="s">
        <v>74</v>
      </c>
      <c r="G99">
        <v>2</v>
      </c>
      <c r="H99">
        <v>73.47</v>
      </c>
    </row>
    <row r="100" spans="1:8" x14ac:dyDescent="0.3">
      <c r="A100" t="s">
        <v>494</v>
      </c>
      <c r="B100" s="39">
        <v>2791.83</v>
      </c>
      <c r="C100" t="s">
        <v>29</v>
      </c>
      <c r="D100">
        <v>36</v>
      </c>
      <c r="E100">
        <v>73.47</v>
      </c>
      <c r="F100" t="s">
        <v>74</v>
      </c>
      <c r="G100">
        <v>2</v>
      </c>
      <c r="H100">
        <v>73.47</v>
      </c>
    </row>
    <row r="101" spans="1:8" x14ac:dyDescent="0.3">
      <c r="A101" t="s">
        <v>495</v>
      </c>
      <c r="B101" s="39">
        <v>3379.85</v>
      </c>
      <c r="C101" t="s">
        <v>67</v>
      </c>
      <c r="D101">
        <v>36</v>
      </c>
      <c r="E101">
        <v>89.8</v>
      </c>
      <c r="F101" t="s">
        <v>74</v>
      </c>
      <c r="G101">
        <v>2</v>
      </c>
      <c r="H101">
        <v>73.47</v>
      </c>
    </row>
    <row r="102" spans="1:8" x14ac:dyDescent="0.3">
      <c r="A102" t="s">
        <v>497</v>
      </c>
      <c r="B102" s="39">
        <v>2791.83</v>
      </c>
      <c r="C102" t="s">
        <v>29</v>
      </c>
      <c r="D102">
        <v>36</v>
      </c>
      <c r="E102">
        <v>73.47</v>
      </c>
      <c r="F102" t="s">
        <v>74</v>
      </c>
      <c r="G102">
        <v>2</v>
      </c>
      <c r="H102">
        <v>73.47</v>
      </c>
    </row>
    <row r="103" spans="1:8" x14ac:dyDescent="0.3">
      <c r="A103" t="s">
        <v>496</v>
      </c>
      <c r="B103" s="39">
        <v>3379.85</v>
      </c>
      <c r="C103" t="s">
        <v>31</v>
      </c>
      <c r="D103">
        <v>36</v>
      </c>
      <c r="E103">
        <v>89.8</v>
      </c>
      <c r="F103" t="s">
        <v>74</v>
      </c>
      <c r="G103">
        <v>2</v>
      </c>
      <c r="H103">
        <v>73.47</v>
      </c>
    </row>
    <row r="104" spans="1:8" x14ac:dyDescent="0.3">
      <c r="A104" t="s">
        <v>567</v>
      </c>
      <c r="B104" s="39">
        <v>3379.85</v>
      </c>
      <c r="C104" t="s">
        <v>31</v>
      </c>
      <c r="D104">
        <v>36</v>
      </c>
      <c r="E104">
        <v>89.8</v>
      </c>
      <c r="F104" t="s">
        <v>74</v>
      </c>
      <c r="G104">
        <v>2</v>
      </c>
      <c r="H104">
        <v>73.47</v>
      </c>
    </row>
    <row r="105" spans="1:8" x14ac:dyDescent="0.3">
      <c r="A105" t="s">
        <v>498</v>
      </c>
      <c r="B105" s="39">
        <v>3966.9</v>
      </c>
      <c r="C105" t="s">
        <v>69</v>
      </c>
      <c r="D105">
        <v>36</v>
      </c>
      <c r="E105">
        <v>106.11</v>
      </c>
      <c r="F105" t="s">
        <v>74</v>
      </c>
      <c r="G105">
        <v>2</v>
      </c>
      <c r="H105">
        <v>73.47</v>
      </c>
    </row>
    <row r="106" spans="1:8" x14ac:dyDescent="0.3">
      <c r="A106" t="s">
        <v>499</v>
      </c>
      <c r="B106" s="39">
        <v>3379.85</v>
      </c>
      <c r="C106" t="s">
        <v>31</v>
      </c>
      <c r="D106">
        <v>36</v>
      </c>
      <c r="E106">
        <v>89.8</v>
      </c>
      <c r="F106" t="s">
        <v>74</v>
      </c>
      <c r="G106">
        <v>2</v>
      </c>
      <c r="H106">
        <v>73.47</v>
      </c>
    </row>
    <row r="107" spans="1:8" x14ac:dyDescent="0.3">
      <c r="A107" t="s">
        <v>500</v>
      </c>
      <c r="B107" s="39">
        <v>3379.85</v>
      </c>
      <c r="C107" t="s">
        <v>31</v>
      </c>
      <c r="D107">
        <v>36</v>
      </c>
      <c r="E107">
        <v>89.8</v>
      </c>
      <c r="F107" t="s">
        <v>74</v>
      </c>
      <c r="G107">
        <v>2</v>
      </c>
      <c r="H107">
        <v>73.47</v>
      </c>
    </row>
    <row r="108" spans="1:8" x14ac:dyDescent="0.3">
      <c r="A108" t="s">
        <v>503</v>
      </c>
      <c r="B108" s="39">
        <v>3379.85</v>
      </c>
      <c r="C108" t="s">
        <v>31</v>
      </c>
      <c r="D108">
        <v>36</v>
      </c>
      <c r="E108">
        <v>89.8</v>
      </c>
      <c r="F108" t="s">
        <v>74</v>
      </c>
      <c r="G108">
        <v>2</v>
      </c>
      <c r="H108">
        <v>73.47</v>
      </c>
    </row>
    <row r="109" spans="1:8" x14ac:dyDescent="0.3">
      <c r="A109" t="s">
        <v>501</v>
      </c>
      <c r="B109" s="39">
        <v>3966.9</v>
      </c>
      <c r="C109" t="s">
        <v>69</v>
      </c>
      <c r="D109">
        <v>36</v>
      </c>
      <c r="E109">
        <v>106.11</v>
      </c>
      <c r="F109" t="s">
        <v>74</v>
      </c>
      <c r="G109">
        <v>2</v>
      </c>
      <c r="H109">
        <v>73.47</v>
      </c>
    </row>
    <row r="110" spans="1:8" x14ac:dyDescent="0.3">
      <c r="A110" t="s">
        <v>504</v>
      </c>
      <c r="B110" s="39">
        <v>3379.85</v>
      </c>
      <c r="C110" t="s">
        <v>31</v>
      </c>
      <c r="D110">
        <v>36</v>
      </c>
      <c r="E110">
        <v>89.8</v>
      </c>
      <c r="F110" t="s">
        <v>74</v>
      </c>
      <c r="G110">
        <v>2</v>
      </c>
      <c r="H110">
        <v>73.47</v>
      </c>
    </row>
    <row r="111" spans="1:8" x14ac:dyDescent="0.3">
      <c r="A111" t="s">
        <v>502</v>
      </c>
      <c r="B111" s="39">
        <v>3379.85</v>
      </c>
      <c r="C111" t="s">
        <v>31</v>
      </c>
      <c r="D111">
        <v>36</v>
      </c>
      <c r="E111">
        <v>89.8</v>
      </c>
      <c r="F111" t="s">
        <v>74</v>
      </c>
      <c r="G111">
        <v>2</v>
      </c>
      <c r="H111">
        <v>73.47</v>
      </c>
    </row>
    <row r="112" spans="1:8" x14ac:dyDescent="0.3">
      <c r="A112" t="s">
        <v>505</v>
      </c>
      <c r="B112" s="39">
        <v>3379.85</v>
      </c>
      <c r="C112" t="s">
        <v>31</v>
      </c>
      <c r="D112">
        <v>36</v>
      </c>
      <c r="E112">
        <v>89.8</v>
      </c>
      <c r="F112" t="s">
        <v>74</v>
      </c>
      <c r="G112">
        <v>2</v>
      </c>
      <c r="H112">
        <v>73.47</v>
      </c>
    </row>
    <row r="113" spans="1:8" x14ac:dyDescent="0.3">
      <c r="A113" t="s">
        <v>506</v>
      </c>
      <c r="B113" s="39">
        <v>3379.85</v>
      </c>
      <c r="C113" t="s">
        <v>31</v>
      </c>
      <c r="D113">
        <v>36</v>
      </c>
      <c r="E113">
        <v>89.8</v>
      </c>
      <c r="F113" t="s">
        <v>74</v>
      </c>
      <c r="G113">
        <v>2</v>
      </c>
      <c r="H113">
        <v>73.47</v>
      </c>
    </row>
    <row r="114" spans="1:8" x14ac:dyDescent="0.3">
      <c r="A114" t="s">
        <v>507</v>
      </c>
      <c r="B114" s="39">
        <v>3966.9</v>
      </c>
      <c r="C114" t="s">
        <v>69</v>
      </c>
      <c r="D114">
        <v>36</v>
      </c>
      <c r="E114">
        <v>106.11</v>
      </c>
      <c r="F114" t="s">
        <v>74</v>
      </c>
      <c r="G114">
        <v>2</v>
      </c>
      <c r="H114">
        <v>73.47</v>
      </c>
    </row>
    <row r="115" spans="1:8" x14ac:dyDescent="0.3">
      <c r="A115" t="s">
        <v>508</v>
      </c>
      <c r="B115" s="39">
        <v>3379.85</v>
      </c>
      <c r="C115" t="s">
        <v>31</v>
      </c>
      <c r="D115">
        <v>36</v>
      </c>
      <c r="E115">
        <v>89.8</v>
      </c>
      <c r="F115" t="s">
        <v>74</v>
      </c>
      <c r="G115">
        <v>2</v>
      </c>
      <c r="H115">
        <v>73.47</v>
      </c>
    </row>
    <row r="116" spans="1:8" x14ac:dyDescent="0.3">
      <c r="A116" t="s">
        <v>511</v>
      </c>
      <c r="B116" s="39">
        <v>3379.85</v>
      </c>
      <c r="C116" t="s">
        <v>31</v>
      </c>
      <c r="D116">
        <v>36</v>
      </c>
      <c r="E116">
        <v>89.8</v>
      </c>
      <c r="F116" t="s">
        <v>74</v>
      </c>
      <c r="G116">
        <v>2</v>
      </c>
      <c r="H116">
        <v>73.47</v>
      </c>
    </row>
    <row r="117" spans="1:8" x14ac:dyDescent="0.3">
      <c r="A117" t="s">
        <v>509</v>
      </c>
      <c r="B117" s="39">
        <v>3379.85</v>
      </c>
      <c r="C117" t="s">
        <v>31</v>
      </c>
      <c r="D117">
        <v>36</v>
      </c>
      <c r="E117">
        <v>89.8</v>
      </c>
      <c r="F117" t="s">
        <v>74</v>
      </c>
      <c r="G117">
        <v>2</v>
      </c>
      <c r="H117">
        <v>73.47</v>
      </c>
    </row>
    <row r="118" spans="1:8" x14ac:dyDescent="0.3">
      <c r="A118" t="s">
        <v>510</v>
      </c>
      <c r="B118" s="39">
        <v>3966.9</v>
      </c>
      <c r="C118" t="s">
        <v>69</v>
      </c>
      <c r="D118">
        <v>36</v>
      </c>
      <c r="E118">
        <v>106.11</v>
      </c>
      <c r="F118" t="s">
        <v>74</v>
      </c>
      <c r="G118">
        <v>2</v>
      </c>
      <c r="H118">
        <v>73.47</v>
      </c>
    </row>
    <row r="119" spans="1:8" x14ac:dyDescent="0.3">
      <c r="A119" t="s">
        <v>512</v>
      </c>
      <c r="B119" s="39">
        <v>3379.85</v>
      </c>
      <c r="C119" t="s">
        <v>31</v>
      </c>
      <c r="D119">
        <v>36</v>
      </c>
      <c r="E119">
        <v>89.8</v>
      </c>
      <c r="F119" t="s">
        <v>74</v>
      </c>
      <c r="G119">
        <v>2</v>
      </c>
      <c r="H119">
        <v>73.47</v>
      </c>
    </row>
    <row r="120" spans="1:8" x14ac:dyDescent="0.3">
      <c r="A120" t="s">
        <v>513</v>
      </c>
      <c r="B120" s="39">
        <v>4701.49</v>
      </c>
      <c r="C120" t="s">
        <v>33</v>
      </c>
      <c r="D120">
        <v>36</v>
      </c>
      <c r="E120">
        <v>122.44</v>
      </c>
      <c r="F120" t="s">
        <v>79</v>
      </c>
      <c r="G120">
        <v>2</v>
      </c>
      <c r="H120">
        <v>146.87</v>
      </c>
    </row>
    <row r="121" spans="1:8" x14ac:dyDescent="0.3">
      <c r="A121" t="s">
        <v>514</v>
      </c>
      <c r="B121" s="39">
        <v>4701.49</v>
      </c>
      <c r="C121" t="s">
        <v>33</v>
      </c>
      <c r="D121">
        <v>36</v>
      </c>
      <c r="E121">
        <v>122.44</v>
      </c>
      <c r="F121" t="s">
        <v>79</v>
      </c>
      <c r="G121">
        <v>2</v>
      </c>
      <c r="H121">
        <v>146.87</v>
      </c>
    </row>
    <row r="122" spans="1:8" x14ac:dyDescent="0.3">
      <c r="A122" t="s">
        <v>515</v>
      </c>
      <c r="B122" s="39">
        <v>4701.49</v>
      </c>
      <c r="C122" t="s">
        <v>33</v>
      </c>
      <c r="D122">
        <v>36</v>
      </c>
      <c r="E122">
        <v>122.44</v>
      </c>
      <c r="F122" t="s">
        <v>79</v>
      </c>
      <c r="G122">
        <v>2</v>
      </c>
      <c r="H122">
        <v>146.87</v>
      </c>
    </row>
    <row r="123" spans="1:8" x14ac:dyDescent="0.3">
      <c r="A123" t="s">
        <v>517</v>
      </c>
      <c r="B123" s="39">
        <v>4701.49</v>
      </c>
      <c r="C123" t="s">
        <v>33</v>
      </c>
      <c r="D123">
        <v>36</v>
      </c>
      <c r="E123">
        <v>122.44</v>
      </c>
      <c r="F123" t="s">
        <v>79</v>
      </c>
      <c r="G123">
        <v>2</v>
      </c>
      <c r="H123">
        <v>146.87</v>
      </c>
    </row>
    <row r="124" spans="1:8" x14ac:dyDescent="0.3">
      <c r="A124" t="s">
        <v>516</v>
      </c>
      <c r="B124" s="39">
        <v>4701.49</v>
      </c>
      <c r="C124" t="s">
        <v>33</v>
      </c>
      <c r="D124">
        <v>36</v>
      </c>
      <c r="E124">
        <v>122.44</v>
      </c>
      <c r="F124" t="s">
        <v>79</v>
      </c>
      <c r="G124">
        <v>2</v>
      </c>
      <c r="H124">
        <v>146.87</v>
      </c>
    </row>
    <row r="125" spans="1:8" x14ac:dyDescent="0.3">
      <c r="A125" t="s">
        <v>518</v>
      </c>
      <c r="B125" s="39">
        <v>4701.49</v>
      </c>
      <c r="C125" t="s">
        <v>33</v>
      </c>
      <c r="D125">
        <v>36</v>
      </c>
      <c r="E125">
        <v>122.44</v>
      </c>
      <c r="F125" t="s">
        <v>79</v>
      </c>
      <c r="G125">
        <v>2</v>
      </c>
      <c r="H125">
        <v>146.87</v>
      </c>
    </row>
    <row r="126" spans="1:8" x14ac:dyDescent="0.3">
      <c r="A126" t="s">
        <v>519</v>
      </c>
      <c r="B126" s="39">
        <v>5289.15</v>
      </c>
      <c r="C126" t="s">
        <v>35</v>
      </c>
      <c r="D126">
        <v>36</v>
      </c>
      <c r="E126">
        <v>138.76</v>
      </c>
      <c r="F126" t="s">
        <v>79</v>
      </c>
      <c r="G126">
        <v>2</v>
      </c>
      <c r="H126">
        <v>146.87</v>
      </c>
    </row>
    <row r="127" spans="1:8" x14ac:dyDescent="0.3">
      <c r="A127" t="s">
        <v>520</v>
      </c>
      <c r="B127" s="39">
        <v>5289.15</v>
      </c>
      <c r="C127" t="s">
        <v>35</v>
      </c>
      <c r="D127">
        <v>36</v>
      </c>
      <c r="E127">
        <v>138.76</v>
      </c>
      <c r="F127" t="s">
        <v>79</v>
      </c>
      <c r="G127">
        <v>2</v>
      </c>
      <c r="H127">
        <v>146.87</v>
      </c>
    </row>
    <row r="128" spans="1:8" x14ac:dyDescent="0.3">
      <c r="A128" t="s">
        <v>521</v>
      </c>
      <c r="B128" s="39">
        <v>5289.15</v>
      </c>
      <c r="C128" t="s">
        <v>35</v>
      </c>
      <c r="D128">
        <v>36</v>
      </c>
      <c r="E128">
        <v>138.76</v>
      </c>
      <c r="F128" t="s">
        <v>79</v>
      </c>
      <c r="G128">
        <v>2</v>
      </c>
      <c r="H128">
        <v>146.87</v>
      </c>
    </row>
    <row r="129" spans="1:11" x14ac:dyDescent="0.3">
      <c r="A129" t="s">
        <v>522</v>
      </c>
      <c r="B129" s="39">
        <v>2350.7600000000002</v>
      </c>
      <c r="C129" t="s">
        <v>39</v>
      </c>
      <c r="D129">
        <v>36</v>
      </c>
      <c r="E129">
        <v>61.22</v>
      </c>
      <c r="F129" t="s">
        <v>72</v>
      </c>
      <c r="G129">
        <v>2</v>
      </c>
      <c r="H129">
        <v>73.47</v>
      </c>
    </row>
    <row r="130" spans="1:11" x14ac:dyDescent="0.3">
      <c r="A130" t="s">
        <v>523</v>
      </c>
      <c r="B130" s="39">
        <v>3673.01</v>
      </c>
      <c r="C130" t="s">
        <v>43</v>
      </c>
      <c r="D130">
        <v>36</v>
      </c>
      <c r="E130">
        <v>97.95</v>
      </c>
      <c r="F130" t="s">
        <v>74</v>
      </c>
      <c r="G130">
        <v>2</v>
      </c>
      <c r="H130">
        <v>73.47</v>
      </c>
    </row>
    <row r="131" spans="1:11" x14ac:dyDescent="0.3">
      <c r="A131" t="s">
        <v>525</v>
      </c>
      <c r="B131" s="39">
        <v>2056.86</v>
      </c>
      <c r="C131" t="s">
        <v>27</v>
      </c>
      <c r="D131">
        <v>36</v>
      </c>
      <c r="E131">
        <v>57.14</v>
      </c>
    </row>
    <row r="132" spans="1:11" x14ac:dyDescent="0.3">
      <c r="A132" t="s">
        <v>527</v>
      </c>
      <c r="B132" s="39">
        <v>3705.86</v>
      </c>
      <c r="C132" t="s">
        <v>29</v>
      </c>
      <c r="D132">
        <v>36</v>
      </c>
      <c r="E132">
        <v>73.47</v>
      </c>
      <c r="F132" t="s">
        <v>99</v>
      </c>
      <c r="G132">
        <v>2</v>
      </c>
      <c r="H132">
        <v>40.799999999999997</v>
      </c>
      <c r="I132" t="s">
        <v>164</v>
      </c>
      <c r="J132">
        <v>10</v>
      </c>
      <c r="K132">
        <v>97.94</v>
      </c>
    </row>
    <row r="133" spans="1:11" x14ac:dyDescent="0.3">
      <c r="A133" t="s">
        <v>526</v>
      </c>
      <c r="B133" s="39">
        <v>6414.78</v>
      </c>
      <c r="C133" t="s">
        <v>57</v>
      </c>
      <c r="D133">
        <v>36</v>
      </c>
      <c r="E133">
        <v>146.91999999999999</v>
      </c>
      <c r="F133" t="s">
        <v>119</v>
      </c>
      <c r="G133">
        <v>2</v>
      </c>
      <c r="H133">
        <v>97.94</v>
      </c>
      <c r="I133" t="s">
        <v>137</v>
      </c>
      <c r="J133">
        <v>38</v>
      </c>
      <c r="K133">
        <v>24.47</v>
      </c>
    </row>
    <row r="134" spans="1:11" x14ac:dyDescent="0.3">
      <c r="A134" t="s">
        <v>528</v>
      </c>
      <c r="B134" s="39">
        <v>6414.78</v>
      </c>
      <c r="C134" t="s">
        <v>57</v>
      </c>
      <c r="D134">
        <v>36</v>
      </c>
      <c r="E134">
        <v>146.91999999999999</v>
      </c>
      <c r="F134" t="s">
        <v>119</v>
      </c>
      <c r="G134">
        <v>2</v>
      </c>
      <c r="H134">
        <v>97.94</v>
      </c>
      <c r="I134" t="s">
        <v>137</v>
      </c>
      <c r="J134">
        <v>38</v>
      </c>
      <c r="K134">
        <v>24.47</v>
      </c>
    </row>
    <row r="135" spans="1:11" x14ac:dyDescent="0.3">
      <c r="A135" t="s">
        <v>529</v>
      </c>
      <c r="B135" s="39">
        <v>4358.5200000000004</v>
      </c>
      <c r="C135" t="s">
        <v>31</v>
      </c>
      <c r="D135">
        <v>36</v>
      </c>
      <c r="E135">
        <v>89.8</v>
      </c>
      <c r="F135" t="s">
        <v>110</v>
      </c>
      <c r="G135">
        <v>2</v>
      </c>
      <c r="H135">
        <v>97.94</v>
      </c>
      <c r="I135" t="s">
        <v>137</v>
      </c>
      <c r="J135">
        <v>38</v>
      </c>
      <c r="K135">
        <v>24.47</v>
      </c>
    </row>
    <row r="136" spans="1:11" x14ac:dyDescent="0.3">
      <c r="A136" t="s">
        <v>530</v>
      </c>
      <c r="B136" s="39">
        <v>3200.24</v>
      </c>
      <c r="C136" t="s">
        <v>31</v>
      </c>
      <c r="D136">
        <v>34</v>
      </c>
      <c r="E136">
        <v>89.8</v>
      </c>
      <c r="F136" t="s">
        <v>74</v>
      </c>
      <c r="G136">
        <v>2</v>
      </c>
      <c r="H136">
        <v>73.47</v>
      </c>
    </row>
    <row r="137" spans="1:11" x14ac:dyDescent="0.3">
      <c r="A137" t="s">
        <v>531</v>
      </c>
      <c r="B137" s="39">
        <v>3200.24</v>
      </c>
      <c r="C137" t="s">
        <v>31</v>
      </c>
      <c r="D137">
        <v>34</v>
      </c>
      <c r="E137">
        <v>89.8</v>
      </c>
      <c r="F137" t="s">
        <v>74</v>
      </c>
      <c r="G137">
        <v>2</v>
      </c>
      <c r="H137">
        <v>73.47</v>
      </c>
    </row>
    <row r="138" spans="1:11" x14ac:dyDescent="0.3">
      <c r="A138" t="s">
        <v>532</v>
      </c>
      <c r="B138" s="39">
        <v>3648.57</v>
      </c>
      <c r="C138" t="s">
        <v>69</v>
      </c>
      <c r="D138">
        <v>33</v>
      </c>
      <c r="E138">
        <v>106.11</v>
      </c>
      <c r="F138" t="s">
        <v>74</v>
      </c>
      <c r="G138">
        <v>2</v>
      </c>
      <c r="H138">
        <v>73.47</v>
      </c>
    </row>
    <row r="139" spans="1:11" x14ac:dyDescent="0.3">
      <c r="A139" t="s">
        <v>533</v>
      </c>
      <c r="B139" s="39">
        <v>3615.9</v>
      </c>
      <c r="C139" t="s">
        <v>69</v>
      </c>
      <c r="D139">
        <v>33</v>
      </c>
      <c r="E139">
        <v>106.11</v>
      </c>
      <c r="F139" t="s">
        <v>89</v>
      </c>
      <c r="G139">
        <v>2</v>
      </c>
      <c r="H139">
        <v>57.14</v>
      </c>
    </row>
    <row r="140" spans="1:11" x14ac:dyDescent="0.3">
      <c r="A140" t="s">
        <v>534</v>
      </c>
      <c r="B140" s="39">
        <v>3020.63</v>
      </c>
      <c r="C140" t="s">
        <v>31</v>
      </c>
      <c r="D140">
        <v>32</v>
      </c>
      <c r="E140">
        <v>89.8</v>
      </c>
      <c r="F140" t="s">
        <v>74</v>
      </c>
      <c r="G140">
        <v>2</v>
      </c>
      <c r="H140">
        <v>73.47</v>
      </c>
    </row>
    <row r="141" spans="1:11" x14ac:dyDescent="0.3">
      <c r="A141" t="s">
        <v>535</v>
      </c>
      <c r="B141" s="39">
        <v>3020.63</v>
      </c>
      <c r="C141" t="s">
        <v>31</v>
      </c>
      <c r="D141">
        <v>32</v>
      </c>
      <c r="E141">
        <v>89.8</v>
      </c>
      <c r="F141" t="s">
        <v>74</v>
      </c>
      <c r="G141">
        <v>2</v>
      </c>
      <c r="H141">
        <v>73.47</v>
      </c>
    </row>
    <row r="142" spans="1:11" x14ac:dyDescent="0.3">
      <c r="A142" t="s">
        <v>536</v>
      </c>
      <c r="B142" s="39">
        <v>3020.63</v>
      </c>
      <c r="C142" t="s">
        <v>31</v>
      </c>
      <c r="D142">
        <v>32</v>
      </c>
      <c r="E142">
        <v>89.8</v>
      </c>
      <c r="F142" t="s">
        <v>74</v>
      </c>
      <c r="G142">
        <v>2</v>
      </c>
      <c r="H142">
        <v>73.47</v>
      </c>
    </row>
    <row r="143" spans="1:11" x14ac:dyDescent="0.3">
      <c r="A143" t="s">
        <v>537</v>
      </c>
      <c r="B143" s="39">
        <v>1860.99</v>
      </c>
      <c r="C143" t="s">
        <v>27</v>
      </c>
      <c r="D143">
        <v>30</v>
      </c>
      <c r="E143">
        <v>57.14</v>
      </c>
      <c r="F143" t="s">
        <v>72</v>
      </c>
      <c r="G143">
        <v>2</v>
      </c>
      <c r="H143">
        <v>73.47</v>
      </c>
    </row>
    <row r="144" spans="1:11" x14ac:dyDescent="0.3">
      <c r="A144" t="s">
        <v>539</v>
      </c>
      <c r="B144" s="39">
        <v>2351.02</v>
      </c>
      <c r="C144" t="s">
        <v>65</v>
      </c>
      <c r="D144">
        <v>30</v>
      </c>
      <c r="E144">
        <v>73.47</v>
      </c>
      <c r="F144" t="s">
        <v>72</v>
      </c>
      <c r="G144">
        <v>2</v>
      </c>
      <c r="H144">
        <v>73.47</v>
      </c>
    </row>
    <row r="145" spans="1:8" x14ac:dyDescent="0.3">
      <c r="A145" t="s">
        <v>540</v>
      </c>
      <c r="B145" s="39">
        <v>1860.99</v>
      </c>
      <c r="C145" t="s">
        <v>27</v>
      </c>
      <c r="D145">
        <v>30</v>
      </c>
      <c r="E145">
        <v>57.14</v>
      </c>
      <c r="F145" t="s">
        <v>72</v>
      </c>
      <c r="G145">
        <v>2</v>
      </c>
      <c r="H145">
        <v>73.47</v>
      </c>
    </row>
    <row r="146" spans="1:8" x14ac:dyDescent="0.3">
      <c r="A146" t="s">
        <v>538</v>
      </c>
      <c r="B146" s="39">
        <v>1860.99</v>
      </c>
      <c r="C146" t="s">
        <v>27</v>
      </c>
      <c r="D146">
        <v>30</v>
      </c>
      <c r="E146">
        <v>57.14</v>
      </c>
      <c r="F146" t="s">
        <v>72</v>
      </c>
      <c r="G146">
        <v>2</v>
      </c>
      <c r="H146">
        <v>73.47</v>
      </c>
    </row>
    <row r="147" spans="1:8" x14ac:dyDescent="0.3">
      <c r="A147" t="s">
        <v>541</v>
      </c>
      <c r="B147" s="39">
        <v>2351.02</v>
      </c>
      <c r="C147" t="s">
        <v>29</v>
      </c>
      <c r="D147">
        <v>30</v>
      </c>
      <c r="E147">
        <v>73.47</v>
      </c>
      <c r="F147" t="s">
        <v>74</v>
      </c>
      <c r="G147">
        <v>2</v>
      </c>
      <c r="H147">
        <v>73.47</v>
      </c>
    </row>
    <row r="148" spans="1:8" x14ac:dyDescent="0.3">
      <c r="A148" t="s">
        <v>542</v>
      </c>
      <c r="B148" s="39">
        <v>2841.03</v>
      </c>
      <c r="C148" t="s">
        <v>31</v>
      </c>
      <c r="D148">
        <v>30</v>
      </c>
      <c r="E148">
        <v>89.8</v>
      </c>
      <c r="F148" t="s">
        <v>74</v>
      </c>
      <c r="G148">
        <v>2</v>
      </c>
      <c r="H148">
        <v>73.47</v>
      </c>
    </row>
    <row r="149" spans="1:8" x14ac:dyDescent="0.3">
      <c r="A149" t="s">
        <v>543</v>
      </c>
      <c r="B149" s="39">
        <v>2841.03</v>
      </c>
      <c r="C149" t="s">
        <v>31</v>
      </c>
      <c r="D149">
        <v>30</v>
      </c>
      <c r="E149">
        <v>89.8</v>
      </c>
      <c r="F149" t="s">
        <v>74</v>
      </c>
      <c r="G149">
        <v>2</v>
      </c>
      <c r="H149">
        <v>73.47</v>
      </c>
    </row>
    <row r="150" spans="1:8" x14ac:dyDescent="0.3">
      <c r="A150" t="s">
        <v>544</v>
      </c>
      <c r="B150" s="39">
        <v>3330.24</v>
      </c>
      <c r="C150" t="s">
        <v>69</v>
      </c>
      <c r="D150">
        <v>30</v>
      </c>
      <c r="E150">
        <v>106.11</v>
      </c>
      <c r="F150" t="s">
        <v>74</v>
      </c>
      <c r="G150">
        <v>2</v>
      </c>
      <c r="H150">
        <v>73.47</v>
      </c>
    </row>
    <row r="151" spans="1:8" x14ac:dyDescent="0.3">
      <c r="A151" t="s">
        <v>545</v>
      </c>
      <c r="B151" s="39">
        <v>2841.03</v>
      </c>
      <c r="C151" t="s">
        <v>31</v>
      </c>
      <c r="D151">
        <v>30</v>
      </c>
      <c r="E151">
        <v>89.8</v>
      </c>
      <c r="F151" t="s">
        <v>74</v>
      </c>
      <c r="G151">
        <v>2</v>
      </c>
      <c r="H151">
        <v>73.47</v>
      </c>
    </row>
    <row r="152" spans="1:8" x14ac:dyDescent="0.3">
      <c r="A152" t="s">
        <v>547</v>
      </c>
      <c r="B152" s="39">
        <v>3966.87</v>
      </c>
      <c r="C152" t="s">
        <v>33</v>
      </c>
      <c r="D152">
        <v>30</v>
      </c>
      <c r="E152">
        <v>122.44</v>
      </c>
      <c r="F152" t="s">
        <v>79</v>
      </c>
      <c r="G152">
        <v>2</v>
      </c>
      <c r="H152">
        <v>146.87</v>
      </c>
    </row>
    <row r="153" spans="1:8" x14ac:dyDescent="0.3">
      <c r="A153" t="s">
        <v>546</v>
      </c>
      <c r="B153" s="39">
        <v>2841.03</v>
      </c>
      <c r="C153" t="s">
        <v>31</v>
      </c>
      <c r="D153">
        <v>30</v>
      </c>
      <c r="E153">
        <v>89.8</v>
      </c>
      <c r="F153" t="s">
        <v>74</v>
      </c>
      <c r="G153">
        <v>2</v>
      </c>
      <c r="H153">
        <v>73.47</v>
      </c>
    </row>
    <row r="154" spans="1:8" x14ac:dyDescent="0.3">
      <c r="A154" t="s">
        <v>548</v>
      </c>
      <c r="B154" s="39">
        <v>3966.87</v>
      </c>
      <c r="C154" t="s">
        <v>33</v>
      </c>
      <c r="D154">
        <v>30</v>
      </c>
      <c r="E154">
        <v>122.44</v>
      </c>
      <c r="F154" t="s">
        <v>79</v>
      </c>
      <c r="G154">
        <v>2</v>
      </c>
      <c r="H154">
        <v>146.87</v>
      </c>
    </row>
    <row r="155" spans="1:8" x14ac:dyDescent="0.3">
      <c r="A155" t="s">
        <v>549</v>
      </c>
      <c r="B155" s="39">
        <v>4456.58</v>
      </c>
      <c r="C155" t="s">
        <v>35</v>
      </c>
      <c r="D155">
        <v>30</v>
      </c>
      <c r="E155">
        <v>138.76</v>
      </c>
      <c r="F155" t="s">
        <v>79</v>
      </c>
      <c r="G155">
        <v>2</v>
      </c>
      <c r="H155">
        <v>146.87</v>
      </c>
    </row>
    <row r="156" spans="1:8" x14ac:dyDescent="0.3">
      <c r="A156" t="s">
        <v>550</v>
      </c>
      <c r="B156" s="39">
        <v>3085.33</v>
      </c>
      <c r="C156" t="s">
        <v>43</v>
      </c>
      <c r="D156">
        <v>30</v>
      </c>
      <c r="E156">
        <v>97.95</v>
      </c>
      <c r="F156" t="s">
        <v>74</v>
      </c>
      <c r="G156">
        <v>2</v>
      </c>
      <c r="H156">
        <v>73.47</v>
      </c>
    </row>
    <row r="157" spans="1:8" x14ac:dyDescent="0.3">
      <c r="A157" t="s">
        <v>551</v>
      </c>
      <c r="B157" s="39">
        <v>3085.33</v>
      </c>
      <c r="C157" t="s">
        <v>43</v>
      </c>
      <c r="D157">
        <v>30</v>
      </c>
      <c r="E157">
        <v>97.95</v>
      </c>
      <c r="F157" t="s">
        <v>74</v>
      </c>
      <c r="G157">
        <v>2</v>
      </c>
      <c r="H157">
        <v>73.47</v>
      </c>
    </row>
    <row r="158" spans="1:8" x14ac:dyDescent="0.3">
      <c r="A158" t="s">
        <v>552</v>
      </c>
      <c r="B158" s="39">
        <v>5191.2</v>
      </c>
      <c r="C158" t="s">
        <v>47</v>
      </c>
      <c r="D158">
        <v>30</v>
      </c>
      <c r="E158">
        <v>163.25</v>
      </c>
      <c r="F158" t="s">
        <v>79</v>
      </c>
      <c r="G158">
        <v>2</v>
      </c>
      <c r="H158">
        <v>146.87</v>
      </c>
    </row>
    <row r="159" spans="1:8" x14ac:dyDescent="0.3">
      <c r="A159" t="s">
        <v>553</v>
      </c>
      <c r="B159" s="39">
        <v>2318.35</v>
      </c>
      <c r="C159" t="s">
        <v>65</v>
      </c>
      <c r="D159">
        <v>30</v>
      </c>
      <c r="E159">
        <v>73.47</v>
      </c>
      <c r="F159" t="s">
        <v>87</v>
      </c>
      <c r="G159">
        <v>2</v>
      </c>
      <c r="H159">
        <v>57.14</v>
      </c>
    </row>
    <row r="160" spans="1:8" x14ac:dyDescent="0.3">
      <c r="A160" t="s">
        <v>554</v>
      </c>
      <c r="B160" s="39">
        <v>3917.93</v>
      </c>
      <c r="C160" t="s">
        <v>53</v>
      </c>
      <c r="D160">
        <v>30</v>
      </c>
      <c r="E160">
        <v>130.6</v>
      </c>
    </row>
    <row r="161" spans="1:11" x14ac:dyDescent="0.3">
      <c r="A161" t="s">
        <v>555</v>
      </c>
      <c r="B161" s="39">
        <v>2318.35</v>
      </c>
      <c r="C161" t="s">
        <v>29</v>
      </c>
      <c r="D161">
        <v>30</v>
      </c>
      <c r="E161">
        <v>73.47</v>
      </c>
      <c r="F161" t="s">
        <v>89</v>
      </c>
      <c r="G161">
        <v>2</v>
      </c>
      <c r="H161">
        <v>57.14</v>
      </c>
    </row>
    <row r="162" spans="1:11" x14ac:dyDescent="0.3">
      <c r="A162" t="s">
        <v>556</v>
      </c>
      <c r="B162" s="39">
        <v>3118.02</v>
      </c>
      <c r="C162" t="s">
        <v>69</v>
      </c>
      <c r="D162">
        <v>28</v>
      </c>
      <c r="E162">
        <v>106.11</v>
      </c>
      <c r="F162" t="s">
        <v>74</v>
      </c>
      <c r="G162">
        <v>2</v>
      </c>
      <c r="H162">
        <v>73.47</v>
      </c>
    </row>
    <row r="163" spans="1:11" x14ac:dyDescent="0.3">
      <c r="A163" t="s">
        <v>557</v>
      </c>
      <c r="B163" s="39">
        <v>2661.42</v>
      </c>
      <c r="C163" t="s">
        <v>31</v>
      </c>
      <c r="D163">
        <v>28</v>
      </c>
      <c r="E163">
        <v>89.8</v>
      </c>
      <c r="F163" t="s">
        <v>74</v>
      </c>
      <c r="G163">
        <v>2</v>
      </c>
      <c r="H163">
        <v>73.47</v>
      </c>
    </row>
    <row r="164" spans="1:11" x14ac:dyDescent="0.3">
      <c r="A164" t="s">
        <v>559</v>
      </c>
      <c r="B164" s="39">
        <v>2661.42</v>
      </c>
      <c r="C164" t="s">
        <v>31</v>
      </c>
      <c r="D164">
        <v>28</v>
      </c>
      <c r="E164">
        <v>89.8</v>
      </c>
      <c r="F164" t="s">
        <v>74</v>
      </c>
      <c r="G164">
        <v>2</v>
      </c>
      <c r="H164">
        <v>73.47</v>
      </c>
    </row>
    <row r="165" spans="1:11" x14ac:dyDescent="0.3">
      <c r="A165" t="s">
        <v>558</v>
      </c>
      <c r="B165" s="39">
        <v>2514.48</v>
      </c>
      <c r="C165" t="s">
        <v>31</v>
      </c>
      <c r="D165">
        <v>28</v>
      </c>
      <c r="E165">
        <v>89.8</v>
      </c>
    </row>
    <row r="166" spans="1:11" x14ac:dyDescent="0.3">
      <c r="A166" t="s">
        <v>560</v>
      </c>
      <c r="B166" s="39">
        <v>4700.8999999999996</v>
      </c>
      <c r="C166" t="s">
        <v>57</v>
      </c>
      <c r="D166">
        <v>26</v>
      </c>
      <c r="E166">
        <v>146.91999999999999</v>
      </c>
      <c r="F166" t="s">
        <v>119</v>
      </c>
      <c r="G166">
        <v>2</v>
      </c>
      <c r="H166">
        <v>97.94</v>
      </c>
      <c r="I166" t="s">
        <v>137</v>
      </c>
      <c r="J166">
        <v>28</v>
      </c>
      <c r="K166">
        <v>24.47</v>
      </c>
    </row>
    <row r="167" spans="1:11" x14ac:dyDescent="0.3">
      <c r="A167" t="s">
        <v>561</v>
      </c>
      <c r="B167" s="39">
        <v>3281.28</v>
      </c>
      <c r="C167" t="s">
        <v>53</v>
      </c>
      <c r="D167">
        <v>24</v>
      </c>
      <c r="E167">
        <v>130.6</v>
      </c>
      <c r="F167" t="s">
        <v>81</v>
      </c>
      <c r="G167">
        <v>2</v>
      </c>
      <c r="H167">
        <v>73.47</v>
      </c>
    </row>
    <row r="168" spans="1:11" x14ac:dyDescent="0.3">
      <c r="A168" t="s">
        <v>563</v>
      </c>
      <c r="B168" s="39">
        <v>3281.28</v>
      </c>
      <c r="C168" t="s">
        <v>53</v>
      </c>
      <c r="D168">
        <v>24</v>
      </c>
      <c r="E168">
        <v>130.6</v>
      </c>
      <c r="F168" t="s">
        <v>81</v>
      </c>
      <c r="G168">
        <v>2</v>
      </c>
      <c r="H168">
        <v>73.47</v>
      </c>
    </row>
    <row r="169" spans="1:11" x14ac:dyDescent="0.3">
      <c r="A169" t="s">
        <v>562</v>
      </c>
      <c r="B169" s="39">
        <v>3673.05</v>
      </c>
      <c r="C169" t="s">
        <v>57</v>
      </c>
      <c r="D169">
        <v>24</v>
      </c>
      <c r="E169">
        <v>146.91999999999999</v>
      </c>
      <c r="F169" t="s">
        <v>83</v>
      </c>
      <c r="G169">
        <v>2</v>
      </c>
      <c r="H169">
        <v>73.47</v>
      </c>
    </row>
    <row r="170" spans="1:11" x14ac:dyDescent="0.3">
      <c r="A170" t="s">
        <v>565</v>
      </c>
      <c r="B170" s="39">
        <v>4211.71</v>
      </c>
      <c r="C170" t="s">
        <v>59</v>
      </c>
      <c r="D170">
        <v>24</v>
      </c>
      <c r="E170">
        <v>163.25</v>
      </c>
      <c r="F170" t="s">
        <v>85</v>
      </c>
      <c r="G170">
        <v>2</v>
      </c>
      <c r="H170">
        <v>146.87</v>
      </c>
    </row>
    <row r="171" spans="1:11" x14ac:dyDescent="0.3">
      <c r="A171" t="s">
        <v>564</v>
      </c>
      <c r="B171" s="39">
        <v>3673.05</v>
      </c>
      <c r="C171" t="s">
        <v>57</v>
      </c>
      <c r="D171">
        <v>24</v>
      </c>
      <c r="E171">
        <v>146.91999999999999</v>
      </c>
      <c r="F171" t="s">
        <v>83</v>
      </c>
      <c r="G171">
        <v>2</v>
      </c>
      <c r="H171">
        <v>73.47</v>
      </c>
    </row>
    <row r="172" spans="1:11" x14ac:dyDescent="0.3">
      <c r="A172" t="s">
        <v>570</v>
      </c>
      <c r="B172" s="39">
        <v>4211.71</v>
      </c>
      <c r="C172" t="s">
        <v>59</v>
      </c>
      <c r="D172">
        <v>24</v>
      </c>
      <c r="E172">
        <v>163.25</v>
      </c>
      <c r="F172" t="s">
        <v>85</v>
      </c>
      <c r="G172">
        <v>2</v>
      </c>
      <c r="H172">
        <v>146.87</v>
      </c>
    </row>
    <row r="173" spans="1:11" x14ac:dyDescent="0.3">
      <c r="A173" t="s">
        <v>566</v>
      </c>
      <c r="B173" s="39">
        <v>4211.71</v>
      </c>
      <c r="C173" t="s">
        <v>59</v>
      </c>
      <c r="D173">
        <v>24</v>
      </c>
      <c r="E173">
        <v>163.25</v>
      </c>
      <c r="F173" t="s">
        <v>85</v>
      </c>
      <c r="G173">
        <v>2</v>
      </c>
      <c r="H173">
        <v>146.87</v>
      </c>
    </row>
    <row r="174" spans="1:11" x14ac:dyDescent="0.3">
      <c r="A174" t="s">
        <v>568</v>
      </c>
      <c r="B174" s="39">
        <v>5191.18</v>
      </c>
      <c r="C174" t="s">
        <v>61</v>
      </c>
      <c r="D174">
        <v>24</v>
      </c>
      <c r="E174">
        <v>204.06</v>
      </c>
      <c r="F174" t="s">
        <v>85</v>
      </c>
      <c r="G174">
        <v>2</v>
      </c>
      <c r="H174">
        <v>146.87</v>
      </c>
    </row>
    <row r="175" spans="1:11" x14ac:dyDescent="0.3">
      <c r="A175" t="s">
        <v>572</v>
      </c>
      <c r="B175" s="39">
        <v>1518.18</v>
      </c>
      <c r="C175" t="s">
        <v>27</v>
      </c>
      <c r="D175">
        <v>24</v>
      </c>
      <c r="E175">
        <v>57.14</v>
      </c>
      <c r="F175" t="s">
        <v>72</v>
      </c>
      <c r="G175">
        <v>2</v>
      </c>
      <c r="H175">
        <v>73.47</v>
      </c>
    </row>
    <row r="176" spans="1:11" x14ac:dyDescent="0.3">
      <c r="A176" t="s">
        <v>571</v>
      </c>
      <c r="B176" s="39">
        <v>1126.1600000000001</v>
      </c>
      <c r="C176" t="s">
        <v>24</v>
      </c>
      <c r="D176">
        <v>24</v>
      </c>
      <c r="E176">
        <v>40.799999999999997</v>
      </c>
      <c r="F176" t="s">
        <v>72</v>
      </c>
      <c r="G176">
        <v>2</v>
      </c>
      <c r="H176">
        <v>73.47</v>
      </c>
    </row>
    <row r="177" spans="1:8" x14ac:dyDescent="0.3">
      <c r="A177" t="s">
        <v>574</v>
      </c>
      <c r="B177" s="39">
        <v>1910.2</v>
      </c>
      <c r="C177" t="s">
        <v>65</v>
      </c>
      <c r="D177">
        <v>24</v>
      </c>
      <c r="E177">
        <v>73.47</v>
      </c>
      <c r="F177" t="s">
        <v>72</v>
      </c>
      <c r="G177">
        <v>2</v>
      </c>
      <c r="H177">
        <v>73.47</v>
      </c>
    </row>
    <row r="178" spans="1:8" x14ac:dyDescent="0.3">
      <c r="A178" t="s">
        <v>576</v>
      </c>
      <c r="B178" s="39">
        <v>1518.18</v>
      </c>
      <c r="C178" t="s">
        <v>27</v>
      </c>
      <c r="D178">
        <v>24</v>
      </c>
      <c r="E178">
        <v>57.14</v>
      </c>
      <c r="F178" t="s">
        <v>72</v>
      </c>
      <c r="G178">
        <v>2</v>
      </c>
      <c r="H178">
        <v>73.47</v>
      </c>
    </row>
    <row r="179" spans="1:8" x14ac:dyDescent="0.3">
      <c r="A179" t="s">
        <v>573</v>
      </c>
      <c r="B179" s="39">
        <v>1518.18</v>
      </c>
      <c r="C179" t="s">
        <v>27</v>
      </c>
      <c r="D179">
        <v>24</v>
      </c>
      <c r="E179">
        <v>57.14</v>
      </c>
      <c r="F179" t="s">
        <v>72</v>
      </c>
      <c r="G179">
        <v>2</v>
      </c>
      <c r="H179">
        <v>73.47</v>
      </c>
    </row>
    <row r="180" spans="1:8" x14ac:dyDescent="0.3">
      <c r="A180" t="s">
        <v>575</v>
      </c>
      <c r="B180" s="39">
        <v>1518.18</v>
      </c>
      <c r="C180" t="s">
        <v>27</v>
      </c>
      <c r="D180">
        <v>24</v>
      </c>
      <c r="E180">
        <v>57.14</v>
      </c>
      <c r="F180" t="s">
        <v>72</v>
      </c>
      <c r="G180">
        <v>2</v>
      </c>
      <c r="H180">
        <v>73.47</v>
      </c>
    </row>
    <row r="181" spans="1:8" x14ac:dyDescent="0.3">
      <c r="A181" t="s">
        <v>577</v>
      </c>
      <c r="B181" s="39">
        <v>1910.2</v>
      </c>
      <c r="C181" t="s">
        <v>65</v>
      </c>
      <c r="D181">
        <v>24</v>
      </c>
      <c r="E181">
        <v>73.47</v>
      </c>
      <c r="F181" t="s">
        <v>72</v>
      </c>
      <c r="G181">
        <v>2</v>
      </c>
      <c r="H181">
        <v>73.47</v>
      </c>
    </row>
    <row r="182" spans="1:8" x14ac:dyDescent="0.3">
      <c r="A182" t="s">
        <v>578</v>
      </c>
      <c r="B182" s="39">
        <v>1518.18</v>
      </c>
      <c r="C182" t="s">
        <v>27</v>
      </c>
      <c r="D182">
        <v>24</v>
      </c>
      <c r="E182">
        <v>57.14</v>
      </c>
      <c r="F182" t="s">
        <v>72</v>
      </c>
      <c r="G182">
        <v>2</v>
      </c>
      <c r="H182">
        <v>73.47</v>
      </c>
    </row>
    <row r="183" spans="1:8" x14ac:dyDescent="0.3">
      <c r="A183" t="s">
        <v>581</v>
      </c>
      <c r="B183" s="39">
        <v>1910.2</v>
      </c>
      <c r="C183" t="s">
        <v>65</v>
      </c>
      <c r="D183">
        <v>24</v>
      </c>
      <c r="E183">
        <v>73.47</v>
      </c>
      <c r="F183" t="s">
        <v>72</v>
      </c>
      <c r="G183">
        <v>2</v>
      </c>
      <c r="H183">
        <v>73.47</v>
      </c>
    </row>
    <row r="184" spans="1:8" x14ac:dyDescent="0.3">
      <c r="A184" t="s">
        <v>579</v>
      </c>
      <c r="B184" s="39">
        <v>1518.18</v>
      </c>
      <c r="C184" t="s">
        <v>27</v>
      </c>
      <c r="D184">
        <v>24</v>
      </c>
      <c r="E184">
        <v>57.14</v>
      </c>
      <c r="F184" t="s">
        <v>72</v>
      </c>
      <c r="G184">
        <v>2</v>
      </c>
      <c r="H184">
        <v>73.47</v>
      </c>
    </row>
    <row r="185" spans="1:8" x14ac:dyDescent="0.3">
      <c r="A185" t="s">
        <v>580</v>
      </c>
      <c r="B185" s="39">
        <v>1518.18</v>
      </c>
      <c r="C185" t="s">
        <v>27</v>
      </c>
      <c r="D185">
        <v>24</v>
      </c>
      <c r="E185">
        <v>57.14</v>
      </c>
      <c r="F185" t="s">
        <v>72</v>
      </c>
      <c r="G185">
        <v>2</v>
      </c>
      <c r="H185">
        <v>73.47</v>
      </c>
    </row>
    <row r="186" spans="1:8" x14ac:dyDescent="0.3">
      <c r="A186" t="s">
        <v>582</v>
      </c>
      <c r="B186" s="39">
        <v>1518.18</v>
      </c>
      <c r="C186" t="s">
        <v>27</v>
      </c>
      <c r="D186">
        <v>24</v>
      </c>
      <c r="E186">
        <v>57.14</v>
      </c>
      <c r="F186" t="s">
        <v>72</v>
      </c>
      <c r="G186">
        <v>2</v>
      </c>
      <c r="H186">
        <v>73.47</v>
      </c>
    </row>
    <row r="187" spans="1:8" x14ac:dyDescent="0.3">
      <c r="A187" t="s">
        <v>583</v>
      </c>
      <c r="B187" s="39">
        <v>1518.18</v>
      </c>
      <c r="C187" t="s">
        <v>27</v>
      </c>
      <c r="D187">
        <v>24</v>
      </c>
      <c r="E187">
        <v>57.14</v>
      </c>
      <c r="F187" t="s">
        <v>72</v>
      </c>
      <c r="G187">
        <v>2</v>
      </c>
      <c r="H187">
        <v>73.47</v>
      </c>
    </row>
    <row r="188" spans="1:8" x14ac:dyDescent="0.3">
      <c r="A188" t="s">
        <v>601</v>
      </c>
      <c r="B188" s="39">
        <v>1910.2</v>
      </c>
      <c r="C188" t="s">
        <v>29</v>
      </c>
      <c r="D188">
        <v>24</v>
      </c>
      <c r="E188">
        <v>73.47</v>
      </c>
      <c r="F188" t="s">
        <v>74</v>
      </c>
      <c r="G188">
        <v>2</v>
      </c>
      <c r="H188">
        <v>73.47</v>
      </c>
    </row>
    <row r="189" spans="1:8" x14ac:dyDescent="0.3">
      <c r="A189" t="s">
        <v>584</v>
      </c>
      <c r="B189" s="39">
        <v>1910.2</v>
      </c>
      <c r="C189" t="s">
        <v>29</v>
      </c>
      <c r="D189">
        <v>24</v>
      </c>
      <c r="E189">
        <v>73.47</v>
      </c>
      <c r="F189" t="s">
        <v>74</v>
      </c>
      <c r="G189">
        <v>2</v>
      </c>
      <c r="H189">
        <v>73.47</v>
      </c>
    </row>
    <row r="190" spans="1:8" x14ac:dyDescent="0.3">
      <c r="A190" t="s">
        <v>585</v>
      </c>
      <c r="B190" s="39">
        <v>1910.2</v>
      </c>
      <c r="C190" t="s">
        <v>29</v>
      </c>
      <c r="D190">
        <v>24</v>
      </c>
      <c r="E190">
        <v>73.47</v>
      </c>
      <c r="F190" t="s">
        <v>74</v>
      </c>
      <c r="G190">
        <v>2</v>
      </c>
      <c r="H190">
        <v>73.47</v>
      </c>
    </row>
    <row r="191" spans="1:8" x14ac:dyDescent="0.3">
      <c r="A191" t="s">
        <v>586</v>
      </c>
      <c r="B191" s="39">
        <v>2302.21</v>
      </c>
      <c r="C191" t="s">
        <v>67</v>
      </c>
      <c r="D191">
        <v>24</v>
      </c>
      <c r="E191">
        <v>89.8</v>
      </c>
      <c r="F191" t="s">
        <v>74</v>
      </c>
      <c r="G191">
        <v>2</v>
      </c>
      <c r="H191">
        <v>73.47</v>
      </c>
    </row>
    <row r="192" spans="1:8" x14ac:dyDescent="0.3">
      <c r="A192" t="s">
        <v>602</v>
      </c>
      <c r="B192" s="39">
        <v>2302.21</v>
      </c>
      <c r="C192" t="s">
        <v>67</v>
      </c>
      <c r="D192">
        <v>24</v>
      </c>
      <c r="E192">
        <v>89.8</v>
      </c>
      <c r="F192" t="s">
        <v>74</v>
      </c>
      <c r="G192">
        <v>2</v>
      </c>
      <c r="H192">
        <v>73.47</v>
      </c>
    </row>
    <row r="193" spans="1:8" x14ac:dyDescent="0.3">
      <c r="A193" t="s">
        <v>587</v>
      </c>
      <c r="B193" s="39">
        <v>1910.2</v>
      </c>
      <c r="C193" t="s">
        <v>29</v>
      </c>
      <c r="D193">
        <v>24</v>
      </c>
      <c r="E193">
        <v>73.47</v>
      </c>
      <c r="F193" t="s">
        <v>74</v>
      </c>
      <c r="G193">
        <v>2</v>
      </c>
      <c r="H193">
        <v>73.47</v>
      </c>
    </row>
    <row r="194" spans="1:8" x14ac:dyDescent="0.3">
      <c r="A194" t="s">
        <v>588</v>
      </c>
      <c r="B194" s="39">
        <v>2302.21</v>
      </c>
      <c r="C194" t="s">
        <v>67</v>
      </c>
      <c r="D194">
        <v>24</v>
      </c>
      <c r="E194">
        <v>89.8</v>
      </c>
      <c r="F194" t="s">
        <v>74</v>
      </c>
      <c r="G194">
        <v>2</v>
      </c>
      <c r="H194">
        <v>73.47</v>
      </c>
    </row>
    <row r="195" spans="1:8" x14ac:dyDescent="0.3">
      <c r="A195" t="s">
        <v>589</v>
      </c>
      <c r="B195" s="39">
        <v>1910.2</v>
      </c>
      <c r="C195" t="s">
        <v>29</v>
      </c>
      <c r="D195">
        <v>24</v>
      </c>
      <c r="E195">
        <v>73.47</v>
      </c>
      <c r="F195" t="s">
        <v>74</v>
      </c>
      <c r="G195">
        <v>2</v>
      </c>
      <c r="H195">
        <v>73.47</v>
      </c>
    </row>
    <row r="196" spans="1:8" x14ac:dyDescent="0.3">
      <c r="A196" t="s">
        <v>591</v>
      </c>
      <c r="B196" s="39">
        <v>1910.2</v>
      </c>
      <c r="C196" t="s">
        <v>29</v>
      </c>
      <c r="D196">
        <v>24</v>
      </c>
      <c r="E196">
        <v>73.47</v>
      </c>
      <c r="F196" t="s">
        <v>74</v>
      </c>
      <c r="G196">
        <v>2</v>
      </c>
      <c r="H196">
        <v>73.47</v>
      </c>
    </row>
    <row r="197" spans="1:8" x14ac:dyDescent="0.3">
      <c r="A197" t="s">
        <v>590</v>
      </c>
      <c r="B197" s="39">
        <v>1910.2</v>
      </c>
      <c r="C197" t="s">
        <v>29</v>
      </c>
      <c r="D197">
        <v>24</v>
      </c>
      <c r="E197">
        <v>73.47</v>
      </c>
      <c r="F197" t="s">
        <v>74</v>
      </c>
      <c r="G197">
        <v>2</v>
      </c>
      <c r="H197">
        <v>73.47</v>
      </c>
    </row>
    <row r="198" spans="1:8" x14ac:dyDescent="0.3">
      <c r="A198" t="s">
        <v>592</v>
      </c>
      <c r="B198" s="39">
        <v>2302.21</v>
      </c>
      <c r="C198" t="s">
        <v>67</v>
      </c>
      <c r="D198">
        <v>24</v>
      </c>
      <c r="E198">
        <v>89.8</v>
      </c>
      <c r="F198" t="s">
        <v>74</v>
      </c>
      <c r="G198">
        <v>2</v>
      </c>
      <c r="H198">
        <v>73.47</v>
      </c>
    </row>
    <row r="199" spans="1:8" x14ac:dyDescent="0.3">
      <c r="A199" t="s">
        <v>593</v>
      </c>
      <c r="B199" s="39">
        <v>1910.2</v>
      </c>
      <c r="C199" t="s">
        <v>29</v>
      </c>
      <c r="D199">
        <v>24</v>
      </c>
      <c r="E199">
        <v>73.47</v>
      </c>
      <c r="F199" t="s">
        <v>74</v>
      </c>
      <c r="G199">
        <v>2</v>
      </c>
      <c r="H199">
        <v>73.47</v>
      </c>
    </row>
    <row r="200" spans="1:8" x14ac:dyDescent="0.3">
      <c r="A200" t="s">
        <v>595</v>
      </c>
      <c r="B200" s="39">
        <v>2302.21</v>
      </c>
      <c r="C200" t="s">
        <v>31</v>
      </c>
      <c r="D200">
        <v>24</v>
      </c>
      <c r="E200">
        <v>89.8</v>
      </c>
      <c r="F200" t="s">
        <v>74</v>
      </c>
      <c r="G200">
        <v>2</v>
      </c>
      <c r="H200">
        <v>73.47</v>
      </c>
    </row>
    <row r="201" spans="1:8" x14ac:dyDescent="0.3">
      <c r="A201" t="s">
        <v>594</v>
      </c>
      <c r="B201" s="39">
        <v>2693.58</v>
      </c>
      <c r="C201" t="s">
        <v>69</v>
      </c>
      <c r="D201">
        <v>24</v>
      </c>
      <c r="E201">
        <v>106.11</v>
      </c>
      <c r="F201" t="s">
        <v>74</v>
      </c>
      <c r="G201">
        <v>2</v>
      </c>
      <c r="H201">
        <v>73.47</v>
      </c>
    </row>
    <row r="202" spans="1:8" x14ac:dyDescent="0.3">
      <c r="A202" t="s">
        <v>596</v>
      </c>
      <c r="B202" s="39">
        <v>2302.21</v>
      </c>
      <c r="C202" t="s">
        <v>31</v>
      </c>
      <c r="D202">
        <v>24</v>
      </c>
      <c r="E202">
        <v>89.8</v>
      </c>
      <c r="F202" t="s">
        <v>74</v>
      </c>
      <c r="G202">
        <v>2</v>
      </c>
      <c r="H202">
        <v>73.47</v>
      </c>
    </row>
    <row r="203" spans="1:8" x14ac:dyDescent="0.3">
      <c r="A203" t="s">
        <v>598</v>
      </c>
      <c r="B203" s="39">
        <v>2693.58</v>
      </c>
      <c r="C203" t="s">
        <v>69</v>
      </c>
      <c r="D203">
        <v>24</v>
      </c>
      <c r="E203">
        <v>106.11</v>
      </c>
      <c r="F203" t="s">
        <v>74</v>
      </c>
      <c r="G203">
        <v>2</v>
      </c>
      <c r="H203">
        <v>73.47</v>
      </c>
    </row>
    <row r="204" spans="1:8" x14ac:dyDescent="0.3">
      <c r="A204" t="s">
        <v>597</v>
      </c>
      <c r="B204" s="39">
        <v>2302.21</v>
      </c>
      <c r="C204" t="s">
        <v>31</v>
      </c>
      <c r="D204">
        <v>24</v>
      </c>
      <c r="E204">
        <v>89.8</v>
      </c>
      <c r="F204" t="s">
        <v>74</v>
      </c>
      <c r="G204">
        <v>2</v>
      </c>
      <c r="H204">
        <v>73.47</v>
      </c>
    </row>
    <row r="205" spans="1:8" x14ac:dyDescent="0.3">
      <c r="A205" t="s">
        <v>599</v>
      </c>
      <c r="B205" s="39">
        <v>2302.21</v>
      </c>
      <c r="C205" t="s">
        <v>31</v>
      </c>
      <c r="D205">
        <v>24</v>
      </c>
      <c r="E205">
        <v>89.8</v>
      </c>
      <c r="F205" t="s">
        <v>74</v>
      </c>
      <c r="G205">
        <v>2</v>
      </c>
      <c r="H205">
        <v>73.47</v>
      </c>
    </row>
    <row r="206" spans="1:8" x14ac:dyDescent="0.3">
      <c r="A206" t="s">
        <v>605</v>
      </c>
      <c r="B206" s="39">
        <v>2693.58</v>
      </c>
      <c r="C206" t="s">
        <v>69</v>
      </c>
      <c r="D206">
        <v>24</v>
      </c>
      <c r="E206">
        <v>106.11</v>
      </c>
      <c r="F206" t="s">
        <v>74</v>
      </c>
      <c r="G206">
        <v>2</v>
      </c>
      <c r="H206">
        <v>73.47</v>
      </c>
    </row>
    <row r="207" spans="1:8" x14ac:dyDescent="0.3">
      <c r="A207" t="s">
        <v>604</v>
      </c>
      <c r="B207" s="39">
        <v>2302.21</v>
      </c>
      <c r="C207" t="s">
        <v>31</v>
      </c>
      <c r="D207">
        <v>24</v>
      </c>
      <c r="E207">
        <v>89.8</v>
      </c>
      <c r="F207" t="s">
        <v>74</v>
      </c>
      <c r="G207">
        <v>2</v>
      </c>
      <c r="H207">
        <v>73.47</v>
      </c>
    </row>
    <row r="208" spans="1:8" x14ac:dyDescent="0.3">
      <c r="A208" t="s">
        <v>607</v>
      </c>
      <c r="B208" s="39">
        <v>2302.21</v>
      </c>
      <c r="C208" t="s">
        <v>31</v>
      </c>
      <c r="D208">
        <v>24</v>
      </c>
      <c r="E208">
        <v>89.8</v>
      </c>
      <c r="F208" t="s">
        <v>74</v>
      </c>
      <c r="G208">
        <v>2</v>
      </c>
      <c r="H208">
        <v>73.47</v>
      </c>
    </row>
    <row r="209" spans="1:8" x14ac:dyDescent="0.3">
      <c r="A209" t="s">
        <v>606</v>
      </c>
      <c r="B209" s="39">
        <v>2693.58</v>
      </c>
      <c r="C209" t="s">
        <v>69</v>
      </c>
      <c r="D209">
        <v>24</v>
      </c>
      <c r="E209">
        <v>106.11</v>
      </c>
      <c r="F209" t="s">
        <v>74</v>
      </c>
      <c r="G209">
        <v>2</v>
      </c>
      <c r="H209">
        <v>73.47</v>
      </c>
    </row>
    <row r="210" spans="1:8" x14ac:dyDescent="0.3">
      <c r="A210" t="s">
        <v>603</v>
      </c>
      <c r="B210" s="39">
        <v>2693.58</v>
      </c>
      <c r="C210" t="s">
        <v>69</v>
      </c>
      <c r="D210">
        <v>24</v>
      </c>
      <c r="E210">
        <v>106.11</v>
      </c>
      <c r="F210" t="s">
        <v>74</v>
      </c>
      <c r="G210">
        <v>2</v>
      </c>
      <c r="H210">
        <v>73.47</v>
      </c>
    </row>
    <row r="211" spans="1:8" x14ac:dyDescent="0.3">
      <c r="A211" t="s">
        <v>600</v>
      </c>
      <c r="B211" s="39">
        <v>2302.21</v>
      </c>
      <c r="C211" t="s">
        <v>31</v>
      </c>
      <c r="D211">
        <v>24</v>
      </c>
      <c r="E211">
        <v>89.8</v>
      </c>
      <c r="F211" t="s">
        <v>74</v>
      </c>
      <c r="G211">
        <v>2</v>
      </c>
      <c r="H211">
        <v>73.47</v>
      </c>
    </row>
    <row r="212" spans="1:8" x14ac:dyDescent="0.3">
      <c r="A212" t="s">
        <v>615</v>
      </c>
      <c r="B212" s="39">
        <v>2693.58</v>
      </c>
      <c r="C212" t="s">
        <v>69</v>
      </c>
      <c r="D212">
        <v>24</v>
      </c>
      <c r="E212">
        <v>106.11</v>
      </c>
      <c r="F212" t="s">
        <v>74</v>
      </c>
      <c r="G212">
        <v>2</v>
      </c>
      <c r="H212">
        <v>73.47</v>
      </c>
    </row>
    <row r="213" spans="1:8" x14ac:dyDescent="0.3">
      <c r="A213" t="s">
        <v>610</v>
      </c>
      <c r="B213" s="39">
        <v>2302.21</v>
      </c>
      <c r="C213" t="s">
        <v>31</v>
      </c>
      <c r="D213">
        <v>24</v>
      </c>
      <c r="E213">
        <v>89.8</v>
      </c>
      <c r="F213" t="s">
        <v>74</v>
      </c>
      <c r="G213">
        <v>2</v>
      </c>
      <c r="H213">
        <v>73.47</v>
      </c>
    </row>
    <row r="214" spans="1:8" x14ac:dyDescent="0.3">
      <c r="A214" t="s">
        <v>608</v>
      </c>
      <c r="B214" s="39">
        <v>2302.21</v>
      </c>
      <c r="C214" t="s">
        <v>31</v>
      </c>
      <c r="D214">
        <v>24</v>
      </c>
      <c r="E214">
        <v>89.8</v>
      </c>
      <c r="F214" t="s">
        <v>74</v>
      </c>
      <c r="G214">
        <v>2</v>
      </c>
      <c r="H214">
        <v>73.47</v>
      </c>
    </row>
    <row r="215" spans="1:8" x14ac:dyDescent="0.3">
      <c r="A215" t="s">
        <v>612</v>
      </c>
      <c r="B215" s="39">
        <v>2693.58</v>
      </c>
      <c r="C215" t="s">
        <v>69</v>
      </c>
      <c r="D215">
        <v>24</v>
      </c>
      <c r="E215">
        <v>106.11</v>
      </c>
      <c r="F215" t="s">
        <v>74</v>
      </c>
      <c r="G215">
        <v>2</v>
      </c>
      <c r="H215">
        <v>73.47</v>
      </c>
    </row>
    <row r="216" spans="1:8" x14ac:dyDescent="0.3">
      <c r="A216" t="s">
        <v>609</v>
      </c>
      <c r="B216" s="39">
        <v>2302.21</v>
      </c>
      <c r="C216" t="s">
        <v>31</v>
      </c>
      <c r="D216">
        <v>24</v>
      </c>
      <c r="E216">
        <v>89.8</v>
      </c>
      <c r="F216" t="s">
        <v>74</v>
      </c>
      <c r="G216">
        <v>2</v>
      </c>
      <c r="H216">
        <v>73.47</v>
      </c>
    </row>
    <row r="217" spans="1:8" x14ac:dyDescent="0.3">
      <c r="A217" t="s">
        <v>613</v>
      </c>
      <c r="B217" s="39">
        <v>2693.58</v>
      </c>
      <c r="C217" t="s">
        <v>69</v>
      </c>
      <c r="D217">
        <v>24</v>
      </c>
      <c r="E217">
        <v>106.11</v>
      </c>
      <c r="F217" t="s">
        <v>74</v>
      </c>
      <c r="G217">
        <v>2</v>
      </c>
      <c r="H217">
        <v>73.47</v>
      </c>
    </row>
    <row r="218" spans="1:8" x14ac:dyDescent="0.3">
      <c r="A218" t="s">
        <v>614</v>
      </c>
      <c r="B218" s="39">
        <v>2302.21</v>
      </c>
      <c r="C218" t="s">
        <v>31</v>
      </c>
      <c r="D218">
        <v>24</v>
      </c>
      <c r="E218">
        <v>89.8</v>
      </c>
      <c r="F218" t="s">
        <v>74</v>
      </c>
      <c r="G218">
        <v>2</v>
      </c>
      <c r="H218">
        <v>73.47</v>
      </c>
    </row>
    <row r="219" spans="1:8" x14ac:dyDescent="0.3">
      <c r="A219" t="s">
        <v>611</v>
      </c>
      <c r="B219" s="39">
        <v>2693.58</v>
      </c>
      <c r="C219" t="s">
        <v>69</v>
      </c>
      <c r="D219">
        <v>24</v>
      </c>
      <c r="E219">
        <v>106.11</v>
      </c>
      <c r="F219" t="s">
        <v>74</v>
      </c>
      <c r="G219">
        <v>2</v>
      </c>
      <c r="H219">
        <v>73.47</v>
      </c>
    </row>
    <row r="220" spans="1:8" x14ac:dyDescent="0.3">
      <c r="A220" t="s">
        <v>616</v>
      </c>
      <c r="B220" s="39">
        <v>2302.21</v>
      </c>
      <c r="C220" t="s">
        <v>31</v>
      </c>
      <c r="D220">
        <v>24</v>
      </c>
      <c r="E220">
        <v>89.8</v>
      </c>
      <c r="F220" t="s">
        <v>74</v>
      </c>
      <c r="G220">
        <v>2</v>
      </c>
      <c r="H220">
        <v>73.47</v>
      </c>
    </row>
    <row r="221" spans="1:8" x14ac:dyDescent="0.3">
      <c r="A221" t="s">
        <v>622</v>
      </c>
      <c r="B221" s="39">
        <v>2693.58</v>
      </c>
      <c r="C221" t="s">
        <v>69</v>
      </c>
      <c r="D221">
        <v>24</v>
      </c>
      <c r="E221">
        <v>106.11</v>
      </c>
      <c r="F221" t="s">
        <v>74</v>
      </c>
      <c r="G221">
        <v>2</v>
      </c>
      <c r="H221">
        <v>73.47</v>
      </c>
    </row>
    <row r="222" spans="1:8" x14ac:dyDescent="0.3">
      <c r="A222" t="s">
        <v>618</v>
      </c>
      <c r="B222" s="39">
        <v>2302.21</v>
      </c>
      <c r="C222" t="s">
        <v>31</v>
      </c>
      <c r="D222">
        <v>24</v>
      </c>
      <c r="E222">
        <v>89.8</v>
      </c>
      <c r="F222" t="s">
        <v>74</v>
      </c>
      <c r="G222">
        <v>2</v>
      </c>
      <c r="H222">
        <v>73.47</v>
      </c>
    </row>
    <row r="223" spans="1:8" x14ac:dyDescent="0.3">
      <c r="A223" t="s">
        <v>623</v>
      </c>
      <c r="B223" s="39">
        <v>2693.58</v>
      </c>
      <c r="C223" t="s">
        <v>69</v>
      </c>
      <c r="D223">
        <v>24</v>
      </c>
      <c r="E223">
        <v>106.11</v>
      </c>
      <c r="F223" t="s">
        <v>74</v>
      </c>
      <c r="G223">
        <v>2</v>
      </c>
      <c r="H223">
        <v>73.47</v>
      </c>
    </row>
    <row r="224" spans="1:8" x14ac:dyDescent="0.3">
      <c r="A224" t="s">
        <v>617</v>
      </c>
      <c r="B224" s="39">
        <v>2302.21</v>
      </c>
      <c r="C224" t="s">
        <v>31</v>
      </c>
      <c r="D224">
        <v>24</v>
      </c>
      <c r="E224">
        <v>89.8</v>
      </c>
      <c r="F224" t="s">
        <v>74</v>
      </c>
      <c r="G224">
        <v>2</v>
      </c>
      <c r="H224">
        <v>73.47</v>
      </c>
    </row>
    <row r="225" spans="1:8" x14ac:dyDescent="0.3">
      <c r="A225" t="s">
        <v>621</v>
      </c>
      <c r="B225" s="39">
        <v>2693.58</v>
      </c>
      <c r="C225" t="s">
        <v>69</v>
      </c>
      <c r="D225">
        <v>24</v>
      </c>
      <c r="E225">
        <v>106.11</v>
      </c>
      <c r="F225" t="s">
        <v>74</v>
      </c>
      <c r="G225">
        <v>2</v>
      </c>
      <c r="H225">
        <v>73.47</v>
      </c>
    </row>
    <row r="226" spans="1:8" x14ac:dyDescent="0.3">
      <c r="A226" t="s">
        <v>620</v>
      </c>
      <c r="B226" s="39">
        <v>2302.21</v>
      </c>
      <c r="C226" t="s">
        <v>31</v>
      </c>
      <c r="D226">
        <v>24</v>
      </c>
      <c r="E226">
        <v>89.8</v>
      </c>
      <c r="F226" t="s">
        <v>74</v>
      </c>
      <c r="G226">
        <v>2</v>
      </c>
      <c r="H226">
        <v>73.47</v>
      </c>
    </row>
    <row r="227" spans="1:8" x14ac:dyDescent="0.3">
      <c r="A227" t="s">
        <v>619</v>
      </c>
      <c r="B227" s="39">
        <v>2693.58</v>
      </c>
      <c r="C227" t="s">
        <v>69</v>
      </c>
      <c r="D227">
        <v>24</v>
      </c>
      <c r="E227">
        <v>106.11</v>
      </c>
      <c r="F227" t="s">
        <v>74</v>
      </c>
      <c r="G227">
        <v>2</v>
      </c>
      <c r="H227">
        <v>73.47</v>
      </c>
    </row>
    <row r="228" spans="1:8" x14ac:dyDescent="0.3">
      <c r="A228" t="s">
        <v>624</v>
      </c>
      <c r="B228" s="39">
        <v>3624.01</v>
      </c>
      <c r="C228" t="s">
        <v>35</v>
      </c>
      <c r="D228">
        <v>24</v>
      </c>
      <c r="E228">
        <v>138.76</v>
      </c>
      <c r="F228" t="s">
        <v>79</v>
      </c>
      <c r="G228">
        <v>2</v>
      </c>
      <c r="H228">
        <v>146.87</v>
      </c>
    </row>
    <row r="229" spans="1:8" x14ac:dyDescent="0.3">
      <c r="A229" t="s">
        <v>625</v>
      </c>
      <c r="B229" s="39">
        <v>3624.01</v>
      </c>
      <c r="C229" t="s">
        <v>35</v>
      </c>
      <c r="D229">
        <v>24</v>
      </c>
      <c r="E229">
        <v>138.76</v>
      </c>
      <c r="F229" t="s">
        <v>79</v>
      </c>
      <c r="G229">
        <v>2</v>
      </c>
      <c r="H229">
        <v>146.87</v>
      </c>
    </row>
    <row r="230" spans="1:8" x14ac:dyDescent="0.3">
      <c r="A230" t="s">
        <v>626</v>
      </c>
      <c r="B230" s="39">
        <v>3624.01</v>
      </c>
      <c r="C230" t="s">
        <v>35</v>
      </c>
      <c r="D230">
        <v>24</v>
      </c>
      <c r="E230">
        <v>138.76</v>
      </c>
      <c r="F230" t="s">
        <v>79</v>
      </c>
      <c r="G230">
        <v>2</v>
      </c>
      <c r="H230">
        <v>146.87</v>
      </c>
    </row>
    <row r="231" spans="1:8" x14ac:dyDescent="0.3">
      <c r="A231" t="s">
        <v>630</v>
      </c>
      <c r="B231" s="39">
        <v>2497.65</v>
      </c>
      <c r="C231" t="s">
        <v>43</v>
      </c>
      <c r="D231">
        <v>24</v>
      </c>
      <c r="E231">
        <v>97.95</v>
      </c>
      <c r="F231" t="s">
        <v>74</v>
      </c>
      <c r="G231">
        <v>2</v>
      </c>
      <c r="H231">
        <v>73.47</v>
      </c>
    </row>
    <row r="232" spans="1:8" x14ac:dyDescent="0.3">
      <c r="A232" t="s">
        <v>629</v>
      </c>
      <c r="B232" s="39">
        <v>3624.01</v>
      </c>
      <c r="C232" t="s">
        <v>35</v>
      </c>
      <c r="D232">
        <v>24</v>
      </c>
      <c r="E232">
        <v>138.76</v>
      </c>
      <c r="F232" t="s">
        <v>79</v>
      </c>
      <c r="G232">
        <v>2</v>
      </c>
      <c r="H232">
        <v>146.87</v>
      </c>
    </row>
    <row r="233" spans="1:8" x14ac:dyDescent="0.3">
      <c r="A233" t="s">
        <v>627</v>
      </c>
      <c r="B233" s="39">
        <v>2497.65</v>
      </c>
      <c r="C233" t="s">
        <v>43</v>
      </c>
      <c r="D233">
        <v>24</v>
      </c>
      <c r="E233">
        <v>97.95</v>
      </c>
      <c r="F233" t="s">
        <v>74</v>
      </c>
      <c r="G233">
        <v>2</v>
      </c>
      <c r="H233">
        <v>73.47</v>
      </c>
    </row>
    <row r="234" spans="1:8" x14ac:dyDescent="0.3">
      <c r="A234" t="s">
        <v>631</v>
      </c>
      <c r="B234" s="39">
        <v>2497.65</v>
      </c>
      <c r="C234" t="s">
        <v>43</v>
      </c>
      <c r="D234">
        <v>24</v>
      </c>
      <c r="E234">
        <v>97.95</v>
      </c>
      <c r="F234" t="s">
        <v>74</v>
      </c>
      <c r="G234">
        <v>2</v>
      </c>
      <c r="H234">
        <v>73.47</v>
      </c>
    </row>
    <row r="235" spans="1:8" x14ac:dyDescent="0.3">
      <c r="A235" t="s">
        <v>628</v>
      </c>
      <c r="B235" s="39">
        <v>4211.71</v>
      </c>
      <c r="C235" t="s">
        <v>47</v>
      </c>
      <c r="D235">
        <v>24</v>
      </c>
      <c r="E235">
        <v>163.25</v>
      </c>
      <c r="F235" t="s">
        <v>79</v>
      </c>
      <c r="G235">
        <v>2</v>
      </c>
      <c r="H235">
        <v>146.87</v>
      </c>
    </row>
    <row r="236" spans="1:8" x14ac:dyDescent="0.3">
      <c r="A236" t="s">
        <v>632</v>
      </c>
      <c r="B236" s="39">
        <v>4211.71</v>
      </c>
      <c r="C236" t="s">
        <v>47</v>
      </c>
      <c r="D236">
        <v>24</v>
      </c>
      <c r="E236">
        <v>163.25</v>
      </c>
      <c r="F236" t="s">
        <v>79</v>
      </c>
      <c r="G236">
        <v>2</v>
      </c>
      <c r="H236">
        <v>146.87</v>
      </c>
    </row>
    <row r="237" spans="1:8" x14ac:dyDescent="0.3">
      <c r="A237" t="s">
        <v>634</v>
      </c>
      <c r="B237" s="39">
        <v>1877.53</v>
      </c>
      <c r="C237" t="s">
        <v>29</v>
      </c>
      <c r="D237">
        <v>24</v>
      </c>
      <c r="E237">
        <v>73.47</v>
      </c>
      <c r="F237" t="s">
        <v>89</v>
      </c>
      <c r="G237">
        <v>2</v>
      </c>
      <c r="H237">
        <v>57.14</v>
      </c>
    </row>
    <row r="238" spans="1:8" x14ac:dyDescent="0.3">
      <c r="A238" t="s">
        <v>633</v>
      </c>
      <c r="B238" s="39">
        <v>2269.54</v>
      </c>
      <c r="C238" t="s">
        <v>31</v>
      </c>
      <c r="D238">
        <v>24</v>
      </c>
      <c r="E238">
        <v>89.8</v>
      </c>
      <c r="F238" t="s">
        <v>89</v>
      </c>
      <c r="G238">
        <v>2</v>
      </c>
      <c r="H238">
        <v>57.14</v>
      </c>
    </row>
    <row r="239" spans="1:8" x14ac:dyDescent="0.3">
      <c r="A239" t="s">
        <v>636</v>
      </c>
      <c r="B239" s="39">
        <v>2269.54</v>
      </c>
      <c r="C239" t="s">
        <v>31</v>
      </c>
      <c r="D239">
        <v>24</v>
      </c>
      <c r="E239">
        <v>89.8</v>
      </c>
      <c r="F239" t="s">
        <v>89</v>
      </c>
      <c r="G239">
        <v>2</v>
      </c>
      <c r="H239">
        <v>57.14</v>
      </c>
    </row>
    <row r="240" spans="1:8" x14ac:dyDescent="0.3">
      <c r="A240" t="s">
        <v>637</v>
      </c>
      <c r="B240" s="39">
        <v>2024.15</v>
      </c>
      <c r="C240" t="s">
        <v>41</v>
      </c>
      <c r="D240">
        <v>24</v>
      </c>
      <c r="E240">
        <v>79.58</v>
      </c>
      <c r="F240" t="s">
        <v>89</v>
      </c>
      <c r="G240">
        <v>2</v>
      </c>
      <c r="H240">
        <v>57.14</v>
      </c>
    </row>
    <row r="241" spans="1:11" x14ac:dyDescent="0.3">
      <c r="A241" t="s">
        <v>635</v>
      </c>
      <c r="B241" s="39">
        <v>2269.54</v>
      </c>
      <c r="C241" t="s">
        <v>31</v>
      </c>
      <c r="D241">
        <v>24</v>
      </c>
      <c r="E241">
        <v>89.8</v>
      </c>
      <c r="F241" t="s">
        <v>89</v>
      </c>
      <c r="G241">
        <v>2</v>
      </c>
      <c r="H241">
        <v>57.14</v>
      </c>
    </row>
    <row r="242" spans="1:11" x14ac:dyDescent="0.3">
      <c r="A242" t="s">
        <v>638</v>
      </c>
      <c r="B242" s="39">
        <v>979.22</v>
      </c>
      <c r="C242" t="s">
        <v>24</v>
      </c>
      <c r="D242">
        <v>24</v>
      </c>
      <c r="E242">
        <v>40.799999999999997</v>
      </c>
    </row>
    <row r="243" spans="1:11" x14ac:dyDescent="0.3">
      <c r="A243" t="s">
        <v>640</v>
      </c>
      <c r="B243" s="39">
        <v>2155.27</v>
      </c>
      <c r="C243" t="s">
        <v>31</v>
      </c>
      <c r="D243">
        <v>24</v>
      </c>
      <c r="E243">
        <v>89.8</v>
      </c>
    </row>
    <row r="244" spans="1:11" x14ac:dyDescent="0.3">
      <c r="A244" t="s">
        <v>639</v>
      </c>
      <c r="B244" s="39">
        <v>1371.24</v>
      </c>
      <c r="C244" t="s">
        <v>27</v>
      </c>
      <c r="D244">
        <v>24</v>
      </c>
      <c r="E244">
        <v>57.14</v>
      </c>
    </row>
    <row r="245" spans="1:11" x14ac:dyDescent="0.3">
      <c r="A245" t="s">
        <v>642</v>
      </c>
      <c r="B245" s="39">
        <v>1452.84</v>
      </c>
      <c r="C245" t="s">
        <v>27</v>
      </c>
      <c r="D245">
        <v>24</v>
      </c>
      <c r="E245">
        <v>57.14</v>
      </c>
      <c r="F245" t="s">
        <v>99</v>
      </c>
      <c r="G245">
        <v>2</v>
      </c>
      <c r="H245">
        <v>40.799999999999997</v>
      </c>
    </row>
    <row r="246" spans="1:11" x14ac:dyDescent="0.3">
      <c r="A246" t="s">
        <v>641</v>
      </c>
      <c r="B246" s="39">
        <v>4358.12</v>
      </c>
      <c r="C246" t="s">
        <v>57</v>
      </c>
      <c r="D246">
        <v>24</v>
      </c>
      <c r="E246">
        <v>146.91999999999999</v>
      </c>
      <c r="F246" t="s">
        <v>119</v>
      </c>
      <c r="G246">
        <v>2</v>
      </c>
      <c r="H246">
        <v>97.94</v>
      </c>
      <c r="I246" t="s">
        <v>137</v>
      </c>
      <c r="J246">
        <v>26</v>
      </c>
      <c r="K246">
        <v>24.47</v>
      </c>
    </row>
    <row r="247" spans="1:11" x14ac:dyDescent="0.3">
      <c r="A247" t="s">
        <v>643</v>
      </c>
      <c r="B247" s="39">
        <v>4358.12</v>
      </c>
      <c r="C247" t="s">
        <v>57</v>
      </c>
      <c r="D247">
        <v>24</v>
      </c>
      <c r="E247">
        <v>146.91999999999999</v>
      </c>
      <c r="F247" t="s">
        <v>119</v>
      </c>
      <c r="G247">
        <v>2</v>
      </c>
      <c r="H247">
        <v>97.94</v>
      </c>
      <c r="I247" t="s">
        <v>137</v>
      </c>
      <c r="J247">
        <v>26</v>
      </c>
      <c r="K247">
        <v>24.47</v>
      </c>
    </row>
    <row r="248" spans="1:11" x14ac:dyDescent="0.3">
      <c r="A248" t="s">
        <v>644</v>
      </c>
      <c r="B248" s="39">
        <v>2987.28</v>
      </c>
      <c r="C248" t="s">
        <v>31</v>
      </c>
      <c r="D248">
        <v>24</v>
      </c>
      <c r="E248">
        <v>89.8</v>
      </c>
      <c r="F248" t="s">
        <v>110</v>
      </c>
      <c r="G248">
        <v>2</v>
      </c>
      <c r="H248">
        <v>97.94</v>
      </c>
      <c r="I248" t="s">
        <v>137</v>
      </c>
      <c r="J248">
        <v>26</v>
      </c>
      <c r="K248">
        <v>24.47</v>
      </c>
    </row>
    <row r="249" spans="1:11" x14ac:dyDescent="0.3">
      <c r="A249" t="s">
        <v>646</v>
      </c>
      <c r="B249" s="39">
        <v>2987.28</v>
      </c>
      <c r="C249" t="s">
        <v>31</v>
      </c>
      <c r="D249">
        <v>24</v>
      </c>
      <c r="E249">
        <v>89.8</v>
      </c>
      <c r="F249" t="s">
        <v>110</v>
      </c>
      <c r="G249">
        <v>2</v>
      </c>
      <c r="H249">
        <v>97.94</v>
      </c>
      <c r="I249" t="s">
        <v>137</v>
      </c>
      <c r="J249">
        <v>26</v>
      </c>
      <c r="K249">
        <v>24.47</v>
      </c>
    </row>
    <row r="250" spans="1:11" x14ac:dyDescent="0.3">
      <c r="A250" t="s">
        <v>649</v>
      </c>
      <c r="B250" s="39">
        <v>1763.26</v>
      </c>
      <c r="C250" t="s">
        <v>65</v>
      </c>
      <c r="D250">
        <v>22</v>
      </c>
      <c r="E250">
        <v>73.47</v>
      </c>
      <c r="F250" t="s">
        <v>72</v>
      </c>
      <c r="G250">
        <v>2</v>
      </c>
      <c r="H250">
        <v>73.47</v>
      </c>
    </row>
    <row r="251" spans="1:11" x14ac:dyDescent="0.3">
      <c r="A251" t="s">
        <v>645</v>
      </c>
      <c r="B251" s="39">
        <v>2987.28</v>
      </c>
      <c r="C251" t="s">
        <v>31</v>
      </c>
      <c r="D251">
        <v>24</v>
      </c>
      <c r="E251">
        <v>89.8</v>
      </c>
      <c r="F251" t="s">
        <v>110</v>
      </c>
      <c r="G251">
        <v>2</v>
      </c>
      <c r="H251">
        <v>97.94</v>
      </c>
      <c r="I251" t="s">
        <v>137</v>
      </c>
      <c r="J251">
        <v>26</v>
      </c>
      <c r="K251">
        <v>24.47</v>
      </c>
    </row>
    <row r="252" spans="1:11" x14ac:dyDescent="0.3">
      <c r="A252" t="s">
        <v>648</v>
      </c>
      <c r="B252" s="39">
        <v>2122.6</v>
      </c>
      <c r="C252" t="s">
        <v>31</v>
      </c>
      <c r="D252">
        <v>22</v>
      </c>
      <c r="E252">
        <v>89.8</v>
      </c>
      <c r="F252" t="s">
        <v>74</v>
      </c>
      <c r="G252">
        <v>2</v>
      </c>
      <c r="H252">
        <v>73.47</v>
      </c>
    </row>
    <row r="253" spans="1:11" x14ac:dyDescent="0.3">
      <c r="A253" t="s">
        <v>647</v>
      </c>
      <c r="B253" s="39">
        <v>2987.28</v>
      </c>
      <c r="C253" t="s">
        <v>31</v>
      </c>
      <c r="D253">
        <v>24</v>
      </c>
      <c r="E253">
        <v>89.8</v>
      </c>
      <c r="F253" t="s">
        <v>110</v>
      </c>
      <c r="G253">
        <v>2</v>
      </c>
      <c r="H253">
        <v>97.94</v>
      </c>
      <c r="I253" t="s">
        <v>137</v>
      </c>
      <c r="J253">
        <v>26</v>
      </c>
      <c r="K253">
        <v>24.47</v>
      </c>
    </row>
    <row r="254" spans="1:11" x14ac:dyDescent="0.3">
      <c r="A254" t="s">
        <v>650</v>
      </c>
      <c r="B254" s="39">
        <v>2032.8</v>
      </c>
      <c r="C254" t="s">
        <v>31</v>
      </c>
      <c r="D254">
        <v>21</v>
      </c>
      <c r="E254">
        <v>89.8</v>
      </c>
      <c r="F254" t="s">
        <v>74</v>
      </c>
      <c r="G254">
        <v>2</v>
      </c>
      <c r="H254">
        <v>73.47</v>
      </c>
    </row>
    <row r="255" spans="1:11" x14ac:dyDescent="0.3">
      <c r="A255" t="s">
        <v>651</v>
      </c>
      <c r="B255" s="39">
        <v>3085.37</v>
      </c>
      <c r="C255" t="s">
        <v>57</v>
      </c>
      <c r="D255">
        <v>20</v>
      </c>
      <c r="E255">
        <v>146.91999999999999</v>
      </c>
      <c r="F255" t="s">
        <v>83</v>
      </c>
      <c r="G255">
        <v>2</v>
      </c>
      <c r="H255">
        <v>73.47</v>
      </c>
    </row>
    <row r="256" spans="1:11" x14ac:dyDescent="0.3">
      <c r="A256" t="s">
        <v>652</v>
      </c>
      <c r="B256" s="39">
        <v>1289.6400000000001</v>
      </c>
      <c r="C256" t="s">
        <v>27</v>
      </c>
      <c r="D256">
        <v>20</v>
      </c>
      <c r="E256">
        <v>57.14</v>
      </c>
      <c r="F256" t="s">
        <v>72</v>
      </c>
      <c r="G256">
        <v>2</v>
      </c>
      <c r="H256">
        <v>73.47</v>
      </c>
    </row>
    <row r="257" spans="1:11" x14ac:dyDescent="0.3">
      <c r="A257" t="s">
        <v>655</v>
      </c>
      <c r="B257" s="39">
        <v>1289.6400000000001</v>
      </c>
      <c r="C257" t="s">
        <v>27</v>
      </c>
      <c r="D257">
        <v>20</v>
      </c>
      <c r="E257">
        <v>57.14</v>
      </c>
      <c r="F257" t="s">
        <v>72</v>
      </c>
      <c r="G257">
        <v>2</v>
      </c>
      <c r="H257">
        <v>73.47</v>
      </c>
    </row>
    <row r="258" spans="1:11" x14ac:dyDescent="0.3">
      <c r="A258" t="s">
        <v>654</v>
      </c>
      <c r="B258" s="39">
        <v>1289.6400000000001</v>
      </c>
      <c r="C258" t="s">
        <v>27</v>
      </c>
      <c r="D258">
        <v>20</v>
      </c>
      <c r="E258">
        <v>57.14</v>
      </c>
      <c r="F258" t="s">
        <v>72</v>
      </c>
      <c r="G258">
        <v>2</v>
      </c>
      <c r="H258">
        <v>73.47</v>
      </c>
    </row>
    <row r="259" spans="1:11" x14ac:dyDescent="0.3">
      <c r="A259" t="s">
        <v>656</v>
      </c>
      <c r="B259" s="39">
        <v>1289.6400000000001</v>
      </c>
      <c r="C259" t="s">
        <v>27</v>
      </c>
      <c r="D259">
        <v>20</v>
      </c>
      <c r="E259">
        <v>57.14</v>
      </c>
      <c r="F259" t="s">
        <v>72</v>
      </c>
      <c r="G259">
        <v>2</v>
      </c>
      <c r="H259">
        <v>73.47</v>
      </c>
    </row>
    <row r="260" spans="1:11" x14ac:dyDescent="0.3">
      <c r="A260" t="s">
        <v>653</v>
      </c>
      <c r="B260" s="39">
        <v>1616.32</v>
      </c>
      <c r="C260" t="s">
        <v>65</v>
      </c>
      <c r="D260">
        <v>20</v>
      </c>
      <c r="E260">
        <v>73.47</v>
      </c>
      <c r="F260" t="s">
        <v>72</v>
      </c>
      <c r="G260">
        <v>2</v>
      </c>
      <c r="H260">
        <v>73.47</v>
      </c>
    </row>
    <row r="261" spans="1:11" x14ac:dyDescent="0.3">
      <c r="A261" t="s">
        <v>657</v>
      </c>
      <c r="B261" s="39">
        <v>1289.6400000000001</v>
      </c>
      <c r="C261" t="s">
        <v>27</v>
      </c>
      <c r="D261">
        <v>20</v>
      </c>
      <c r="E261">
        <v>57.14</v>
      </c>
      <c r="F261" t="s">
        <v>72</v>
      </c>
      <c r="G261">
        <v>2</v>
      </c>
      <c r="H261">
        <v>73.47</v>
      </c>
    </row>
    <row r="262" spans="1:11" x14ac:dyDescent="0.3">
      <c r="A262" t="s">
        <v>658</v>
      </c>
      <c r="B262" s="39">
        <v>1289.6400000000001</v>
      </c>
      <c r="C262" t="s">
        <v>27</v>
      </c>
      <c r="D262">
        <v>20</v>
      </c>
      <c r="E262">
        <v>57.14</v>
      </c>
      <c r="F262" t="s">
        <v>72</v>
      </c>
      <c r="G262">
        <v>2</v>
      </c>
      <c r="H262">
        <v>73.47</v>
      </c>
    </row>
    <row r="263" spans="1:11" x14ac:dyDescent="0.3">
      <c r="A263" t="s">
        <v>659</v>
      </c>
      <c r="B263" s="39">
        <v>1616.32</v>
      </c>
      <c r="C263" t="s">
        <v>29</v>
      </c>
      <c r="D263">
        <v>20</v>
      </c>
      <c r="E263">
        <v>73.47</v>
      </c>
      <c r="F263" t="s">
        <v>74</v>
      </c>
      <c r="G263">
        <v>2</v>
      </c>
      <c r="H263">
        <v>73.47</v>
      </c>
    </row>
    <row r="264" spans="1:11" x14ac:dyDescent="0.3">
      <c r="A264" t="s">
        <v>660</v>
      </c>
      <c r="B264" s="39">
        <v>1616.32</v>
      </c>
      <c r="C264" t="s">
        <v>29</v>
      </c>
      <c r="D264">
        <v>20</v>
      </c>
      <c r="E264">
        <v>73.47</v>
      </c>
      <c r="F264" t="s">
        <v>74</v>
      </c>
      <c r="G264">
        <v>2</v>
      </c>
      <c r="H264">
        <v>73.47</v>
      </c>
    </row>
    <row r="265" spans="1:11" x14ac:dyDescent="0.3">
      <c r="A265" t="s">
        <v>661</v>
      </c>
      <c r="B265" s="39">
        <v>2432.6799999999998</v>
      </c>
      <c r="C265" t="s">
        <v>31</v>
      </c>
      <c r="D265">
        <v>20</v>
      </c>
      <c r="E265">
        <v>89.8</v>
      </c>
      <c r="F265" t="s">
        <v>74</v>
      </c>
      <c r="G265">
        <v>2</v>
      </c>
      <c r="H265">
        <v>73.47</v>
      </c>
      <c r="I265" t="s">
        <v>150</v>
      </c>
      <c r="J265">
        <v>5</v>
      </c>
      <c r="K265">
        <v>97.94</v>
      </c>
    </row>
    <row r="266" spans="1:11" x14ac:dyDescent="0.3">
      <c r="A266" t="s">
        <v>662</v>
      </c>
      <c r="B266" s="39">
        <v>1943</v>
      </c>
      <c r="C266" t="s">
        <v>31</v>
      </c>
      <c r="D266">
        <v>20</v>
      </c>
      <c r="E266">
        <v>89.8</v>
      </c>
      <c r="F266" t="s">
        <v>74</v>
      </c>
      <c r="G266">
        <v>2</v>
      </c>
      <c r="H266">
        <v>73.47</v>
      </c>
    </row>
    <row r="267" spans="1:11" x14ac:dyDescent="0.3">
      <c r="A267" t="s">
        <v>663</v>
      </c>
      <c r="B267" s="39">
        <v>4815.4799999999996</v>
      </c>
      <c r="C267" t="s">
        <v>69</v>
      </c>
      <c r="D267">
        <v>20</v>
      </c>
      <c r="E267">
        <v>106.11</v>
      </c>
      <c r="F267" t="s">
        <v>74</v>
      </c>
      <c r="G267">
        <v>2</v>
      </c>
      <c r="H267">
        <v>73.47</v>
      </c>
      <c r="I267" t="s">
        <v>160</v>
      </c>
      <c r="J267">
        <v>26</v>
      </c>
      <c r="K267">
        <v>97.94</v>
      </c>
    </row>
    <row r="268" spans="1:11" x14ac:dyDescent="0.3">
      <c r="A268" t="s">
        <v>664</v>
      </c>
      <c r="B268" s="39">
        <v>1943</v>
      </c>
      <c r="C268" t="s">
        <v>31</v>
      </c>
      <c r="D268">
        <v>20</v>
      </c>
      <c r="E268">
        <v>89.8</v>
      </c>
      <c r="F268" t="s">
        <v>74</v>
      </c>
      <c r="G268">
        <v>2</v>
      </c>
      <c r="H268">
        <v>73.47</v>
      </c>
    </row>
    <row r="269" spans="1:11" x14ac:dyDescent="0.3">
      <c r="A269" t="s">
        <v>666</v>
      </c>
      <c r="B269" s="39">
        <v>1943</v>
      </c>
      <c r="C269" t="s">
        <v>31</v>
      </c>
      <c r="D269">
        <v>20</v>
      </c>
      <c r="E269">
        <v>89.8</v>
      </c>
      <c r="F269" t="s">
        <v>74</v>
      </c>
      <c r="G269">
        <v>2</v>
      </c>
      <c r="H269">
        <v>73.47</v>
      </c>
    </row>
    <row r="270" spans="1:11" x14ac:dyDescent="0.3">
      <c r="A270" t="s">
        <v>665</v>
      </c>
      <c r="B270" s="39">
        <v>2269.14</v>
      </c>
      <c r="C270" t="s">
        <v>69</v>
      </c>
      <c r="D270">
        <v>20</v>
      </c>
      <c r="E270">
        <v>106.11</v>
      </c>
      <c r="F270" t="s">
        <v>74</v>
      </c>
      <c r="G270">
        <v>2</v>
      </c>
      <c r="H270">
        <v>73.47</v>
      </c>
    </row>
    <row r="271" spans="1:11" x14ac:dyDescent="0.3">
      <c r="A271" t="s">
        <v>668</v>
      </c>
      <c r="B271" s="39">
        <v>2269.14</v>
      </c>
      <c r="C271" t="s">
        <v>69</v>
      </c>
      <c r="D271">
        <v>20</v>
      </c>
      <c r="E271">
        <v>106.11</v>
      </c>
      <c r="F271" t="s">
        <v>74</v>
      </c>
      <c r="G271">
        <v>2</v>
      </c>
      <c r="H271">
        <v>73.47</v>
      </c>
    </row>
    <row r="272" spans="1:11" x14ac:dyDescent="0.3">
      <c r="A272" t="s">
        <v>667</v>
      </c>
      <c r="B272" s="39">
        <v>1943</v>
      </c>
      <c r="C272" t="s">
        <v>31</v>
      </c>
      <c r="D272">
        <v>20</v>
      </c>
      <c r="E272">
        <v>89.8</v>
      </c>
      <c r="F272" t="s">
        <v>74</v>
      </c>
      <c r="G272">
        <v>2</v>
      </c>
      <c r="H272">
        <v>73.47</v>
      </c>
    </row>
    <row r="273" spans="1:11" x14ac:dyDescent="0.3">
      <c r="A273" t="s">
        <v>669</v>
      </c>
      <c r="B273" s="39">
        <v>1943</v>
      </c>
      <c r="C273" t="s">
        <v>31</v>
      </c>
      <c r="D273">
        <v>20</v>
      </c>
      <c r="E273">
        <v>89.8</v>
      </c>
      <c r="F273" t="s">
        <v>74</v>
      </c>
      <c r="G273">
        <v>2</v>
      </c>
      <c r="H273">
        <v>73.47</v>
      </c>
    </row>
    <row r="274" spans="1:11" x14ac:dyDescent="0.3">
      <c r="A274" t="s">
        <v>670</v>
      </c>
      <c r="B274" s="39">
        <v>1943</v>
      </c>
      <c r="C274" t="s">
        <v>31</v>
      </c>
      <c r="D274">
        <v>20</v>
      </c>
      <c r="E274">
        <v>89.8</v>
      </c>
      <c r="F274" t="s">
        <v>74</v>
      </c>
      <c r="G274">
        <v>2</v>
      </c>
      <c r="H274">
        <v>73.47</v>
      </c>
    </row>
    <row r="275" spans="1:11" x14ac:dyDescent="0.3">
      <c r="A275" t="s">
        <v>671</v>
      </c>
      <c r="B275" s="39">
        <v>1943</v>
      </c>
      <c r="C275" t="s">
        <v>31</v>
      </c>
      <c r="D275">
        <v>20</v>
      </c>
      <c r="E275">
        <v>89.8</v>
      </c>
      <c r="F275" t="s">
        <v>74</v>
      </c>
      <c r="G275">
        <v>2</v>
      </c>
      <c r="H275">
        <v>73.47</v>
      </c>
    </row>
    <row r="276" spans="1:11" x14ac:dyDescent="0.3">
      <c r="A276" t="s">
        <v>672</v>
      </c>
      <c r="B276" s="39">
        <v>2269.14</v>
      </c>
      <c r="C276" t="s">
        <v>69</v>
      </c>
      <c r="D276">
        <v>20</v>
      </c>
      <c r="E276">
        <v>106.11</v>
      </c>
      <c r="F276" t="s">
        <v>74</v>
      </c>
      <c r="G276">
        <v>2</v>
      </c>
      <c r="H276">
        <v>73.47</v>
      </c>
    </row>
    <row r="277" spans="1:11" x14ac:dyDescent="0.3">
      <c r="A277" t="s">
        <v>674</v>
      </c>
      <c r="B277" s="39">
        <v>1943</v>
      </c>
      <c r="C277" t="s">
        <v>31</v>
      </c>
      <c r="D277">
        <v>20</v>
      </c>
      <c r="E277">
        <v>89.8</v>
      </c>
      <c r="F277" t="s">
        <v>74</v>
      </c>
      <c r="G277">
        <v>2</v>
      </c>
      <c r="H277">
        <v>73.47</v>
      </c>
    </row>
    <row r="278" spans="1:11" x14ac:dyDescent="0.3">
      <c r="A278" t="s">
        <v>673</v>
      </c>
      <c r="B278" s="39">
        <v>1943</v>
      </c>
      <c r="C278" t="s">
        <v>31</v>
      </c>
      <c r="D278">
        <v>20</v>
      </c>
      <c r="E278">
        <v>89.8</v>
      </c>
      <c r="F278" t="s">
        <v>74</v>
      </c>
      <c r="G278">
        <v>2</v>
      </c>
      <c r="H278">
        <v>73.47</v>
      </c>
    </row>
    <row r="279" spans="1:11" x14ac:dyDescent="0.3">
      <c r="A279" t="s">
        <v>676</v>
      </c>
      <c r="B279" s="39">
        <v>1943</v>
      </c>
      <c r="C279" t="s">
        <v>31</v>
      </c>
      <c r="D279">
        <v>20</v>
      </c>
      <c r="E279">
        <v>89.8</v>
      </c>
      <c r="F279" t="s">
        <v>74</v>
      </c>
      <c r="G279">
        <v>2</v>
      </c>
      <c r="H279">
        <v>73.47</v>
      </c>
    </row>
    <row r="280" spans="1:11" x14ac:dyDescent="0.3">
      <c r="A280" t="s">
        <v>675</v>
      </c>
      <c r="B280" s="39">
        <v>2269.14</v>
      </c>
      <c r="C280" t="s">
        <v>69</v>
      </c>
      <c r="D280">
        <v>20</v>
      </c>
      <c r="E280">
        <v>106.11</v>
      </c>
      <c r="F280" t="s">
        <v>74</v>
      </c>
      <c r="G280">
        <v>2</v>
      </c>
      <c r="H280">
        <v>73.47</v>
      </c>
    </row>
    <row r="281" spans="1:11" x14ac:dyDescent="0.3">
      <c r="A281" t="s">
        <v>678</v>
      </c>
      <c r="B281" s="39">
        <v>2105.86</v>
      </c>
      <c r="C281" t="s">
        <v>43</v>
      </c>
      <c r="D281">
        <v>20</v>
      </c>
      <c r="E281">
        <v>97.95</v>
      </c>
      <c r="F281" t="s">
        <v>74</v>
      </c>
      <c r="G281">
        <v>2</v>
      </c>
      <c r="H281">
        <v>73.47</v>
      </c>
    </row>
    <row r="282" spans="1:11" x14ac:dyDescent="0.3">
      <c r="A282" t="s">
        <v>679</v>
      </c>
      <c r="B282" s="39">
        <v>1738.51</v>
      </c>
      <c r="C282" t="s">
        <v>41</v>
      </c>
      <c r="D282">
        <v>20</v>
      </c>
      <c r="E282">
        <v>79.58</v>
      </c>
      <c r="F282" t="s">
        <v>74</v>
      </c>
      <c r="G282">
        <v>2</v>
      </c>
      <c r="H282">
        <v>73.47</v>
      </c>
    </row>
    <row r="283" spans="1:11" x14ac:dyDescent="0.3">
      <c r="A283" t="s">
        <v>680</v>
      </c>
      <c r="B283" s="39">
        <v>1910.33</v>
      </c>
      <c r="C283" t="s">
        <v>31</v>
      </c>
      <c r="D283">
        <v>20</v>
      </c>
      <c r="E283">
        <v>89.8</v>
      </c>
      <c r="F283" t="s">
        <v>89</v>
      </c>
      <c r="G283">
        <v>2</v>
      </c>
      <c r="H283">
        <v>57.14</v>
      </c>
    </row>
    <row r="284" spans="1:11" x14ac:dyDescent="0.3">
      <c r="A284" t="s">
        <v>681</v>
      </c>
      <c r="B284" s="39">
        <v>2530.1999999999998</v>
      </c>
      <c r="C284" t="s">
        <v>31</v>
      </c>
      <c r="D284">
        <v>20</v>
      </c>
      <c r="E284">
        <v>89.8</v>
      </c>
      <c r="F284" t="s">
        <v>110</v>
      </c>
      <c r="G284">
        <v>2</v>
      </c>
      <c r="H284">
        <v>97.94</v>
      </c>
      <c r="I284" t="s">
        <v>137</v>
      </c>
      <c r="J284">
        <v>22</v>
      </c>
      <c r="K284">
        <v>24.47</v>
      </c>
    </row>
    <row r="285" spans="1:11" x14ac:dyDescent="0.3">
      <c r="A285" t="s">
        <v>685</v>
      </c>
      <c r="B285" s="39">
        <v>2791.52</v>
      </c>
      <c r="C285" t="s">
        <v>57</v>
      </c>
      <c r="D285">
        <v>18</v>
      </c>
      <c r="E285">
        <v>146.91999999999999</v>
      </c>
      <c r="F285" t="s">
        <v>83</v>
      </c>
      <c r="G285">
        <v>2</v>
      </c>
      <c r="H285">
        <v>73.47</v>
      </c>
    </row>
    <row r="286" spans="1:11" x14ac:dyDescent="0.3">
      <c r="A286" t="s">
        <v>682</v>
      </c>
      <c r="B286" s="39">
        <v>2856.35</v>
      </c>
      <c r="C286" t="s">
        <v>69</v>
      </c>
      <c r="D286">
        <v>20</v>
      </c>
      <c r="E286">
        <v>106.11</v>
      </c>
      <c r="F286" t="s">
        <v>110</v>
      </c>
      <c r="G286">
        <v>2</v>
      </c>
      <c r="H286">
        <v>97.94</v>
      </c>
      <c r="I286" t="s">
        <v>137</v>
      </c>
      <c r="J286">
        <v>22</v>
      </c>
      <c r="K286">
        <v>24.47</v>
      </c>
    </row>
    <row r="287" spans="1:11" x14ac:dyDescent="0.3">
      <c r="A287" t="s">
        <v>683</v>
      </c>
      <c r="B287" s="39">
        <v>2791.52</v>
      </c>
      <c r="C287" t="s">
        <v>57</v>
      </c>
      <c r="D287">
        <v>18</v>
      </c>
      <c r="E287">
        <v>146.91999999999999</v>
      </c>
      <c r="F287" t="s">
        <v>83</v>
      </c>
      <c r="G287">
        <v>2</v>
      </c>
      <c r="H287">
        <v>73.47</v>
      </c>
    </row>
    <row r="288" spans="1:11" x14ac:dyDescent="0.3">
      <c r="A288" t="s">
        <v>684</v>
      </c>
      <c r="B288" s="39">
        <v>2530.1999999999998</v>
      </c>
      <c r="C288" t="s">
        <v>31</v>
      </c>
      <c r="D288">
        <v>20</v>
      </c>
      <c r="E288">
        <v>89.8</v>
      </c>
      <c r="F288" t="s">
        <v>110</v>
      </c>
      <c r="G288">
        <v>2</v>
      </c>
      <c r="H288">
        <v>97.94</v>
      </c>
      <c r="I288" t="s">
        <v>137</v>
      </c>
      <c r="J288">
        <v>22</v>
      </c>
      <c r="K288">
        <v>24.47</v>
      </c>
    </row>
    <row r="289" spans="1:8" x14ac:dyDescent="0.3">
      <c r="A289" t="s">
        <v>686</v>
      </c>
      <c r="B289" s="39">
        <v>2791.52</v>
      </c>
      <c r="C289" t="s">
        <v>57</v>
      </c>
      <c r="D289">
        <v>18</v>
      </c>
      <c r="E289">
        <v>146.91999999999999</v>
      </c>
      <c r="F289" t="s">
        <v>83</v>
      </c>
      <c r="G289">
        <v>2</v>
      </c>
      <c r="H289">
        <v>73.47</v>
      </c>
    </row>
    <row r="290" spans="1:8" x14ac:dyDescent="0.3">
      <c r="A290" t="s">
        <v>687</v>
      </c>
      <c r="B290" s="39">
        <v>881.35</v>
      </c>
      <c r="C290" t="s">
        <v>24</v>
      </c>
      <c r="D290">
        <v>18</v>
      </c>
      <c r="E290">
        <v>40.799999999999997</v>
      </c>
      <c r="F290" t="s">
        <v>72</v>
      </c>
      <c r="G290">
        <v>2</v>
      </c>
      <c r="H290">
        <v>73.47</v>
      </c>
    </row>
    <row r="291" spans="1:8" x14ac:dyDescent="0.3">
      <c r="A291" t="s">
        <v>688</v>
      </c>
      <c r="B291" s="39">
        <v>1175.3699999999999</v>
      </c>
      <c r="C291" t="s">
        <v>27</v>
      </c>
      <c r="D291">
        <v>18</v>
      </c>
      <c r="E291">
        <v>57.14</v>
      </c>
      <c r="F291" t="s">
        <v>72</v>
      </c>
      <c r="G291">
        <v>2</v>
      </c>
      <c r="H291">
        <v>73.47</v>
      </c>
    </row>
    <row r="292" spans="1:8" x14ac:dyDescent="0.3">
      <c r="A292" t="s">
        <v>689</v>
      </c>
      <c r="B292" s="39">
        <v>1175.3699999999999</v>
      </c>
      <c r="C292" t="s">
        <v>27</v>
      </c>
      <c r="D292">
        <v>18</v>
      </c>
      <c r="E292">
        <v>57.14</v>
      </c>
      <c r="F292" t="s">
        <v>72</v>
      </c>
      <c r="G292">
        <v>2</v>
      </c>
      <c r="H292">
        <v>73.47</v>
      </c>
    </row>
    <row r="293" spans="1:8" x14ac:dyDescent="0.3">
      <c r="A293" t="s">
        <v>691</v>
      </c>
      <c r="B293" s="39">
        <v>1175.3699999999999</v>
      </c>
      <c r="C293" t="s">
        <v>27</v>
      </c>
      <c r="D293">
        <v>18</v>
      </c>
      <c r="E293">
        <v>57.14</v>
      </c>
      <c r="F293" t="s">
        <v>72</v>
      </c>
      <c r="G293">
        <v>2</v>
      </c>
      <c r="H293">
        <v>73.47</v>
      </c>
    </row>
    <row r="294" spans="1:8" x14ac:dyDescent="0.3">
      <c r="A294" t="s">
        <v>690</v>
      </c>
      <c r="B294" s="39">
        <v>1175.3699999999999</v>
      </c>
      <c r="C294" t="s">
        <v>27</v>
      </c>
      <c r="D294">
        <v>18</v>
      </c>
      <c r="E294">
        <v>57.14</v>
      </c>
      <c r="F294" t="s">
        <v>72</v>
      </c>
      <c r="G294">
        <v>2</v>
      </c>
      <c r="H294">
        <v>73.47</v>
      </c>
    </row>
    <row r="295" spans="1:8" x14ac:dyDescent="0.3">
      <c r="A295" t="s">
        <v>692</v>
      </c>
      <c r="B295" s="39">
        <v>1469.39</v>
      </c>
      <c r="C295" t="s">
        <v>65</v>
      </c>
      <c r="D295">
        <v>18</v>
      </c>
      <c r="E295">
        <v>73.47</v>
      </c>
      <c r="F295" t="s">
        <v>72</v>
      </c>
      <c r="G295">
        <v>2</v>
      </c>
      <c r="H295">
        <v>73.47</v>
      </c>
    </row>
    <row r="296" spans="1:8" x14ac:dyDescent="0.3">
      <c r="A296" t="s">
        <v>693</v>
      </c>
      <c r="B296" s="39">
        <v>1175.3699999999999</v>
      </c>
      <c r="C296" t="s">
        <v>27</v>
      </c>
      <c r="D296">
        <v>18</v>
      </c>
      <c r="E296">
        <v>57.14</v>
      </c>
      <c r="F296" t="s">
        <v>72</v>
      </c>
      <c r="G296">
        <v>2</v>
      </c>
      <c r="H296">
        <v>73.47</v>
      </c>
    </row>
    <row r="297" spans="1:8" x14ac:dyDescent="0.3">
      <c r="A297" t="s">
        <v>694</v>
      </c>
      <c r="B297" s="39">
        <v>1469.39</v>
      </c>
      <c r="C297" t="s">
        <v>29</v>
      </c>
      <c r="D297">
        <v>18</v>
      </c>
      <c r="E297">
        <v>73.47</v>
      </c>
      <c r="F297" t="s">
        <v>74</v>
      </c>
      <c r="G297">
        <v>2</v>
      </c>
      <c r="H297">
        <v>73.47</v>
      </c>
    </row>
    <row r="298" spans="1:8" x14ac:dyDescent="0.3">
      <c r="A298" t="s">
        <v>696</v>
      </c>
      <c r="B298" s="39">
        <v>1469.39</v>
      </c>
      <c r="C298" t="s">
        <v>29</v>
      </c>
      <c r="D298">
        <v>18</v>
      </c>
      <c r="E298">
        <v>73.47</v>
      </c>
      <c r="F298" t="s">
        <v>74</v>
      </c>
      <c r="G298">
        <v>2</v>
      </c>
      <c r="H298">
        <v>73.47</v>
      </c>
    </row>
    <row r="299" spans="1:8" x14ac:dyDescent="0.3">
      <c r="A299" t="s">
        <v>695</v>
      </c>
      <c r="B299" s="39">
        <v>1469.39</v>
      </c>
      <c r="C299" t="s">
        <v>29</v>
      </c>
      <c r="D299">
        <v>18</v>
      </c>
      <c r="E299">
        <v>73.47</v>
      </c>
      <c r="F299" t="s">
        <v>74</v>
      </c>
      <c r="G299">
        <v>2</v>
      </c>
      <c r="H299">
        <v>73.47</v>
      </c>
    </row>
    <row r="300" spans="1:8" x14ac:dyDescent="0.3">
      <c r="A300" t="s">
        <v>697</v>
      </c>
      <c r="B300" s="39">
        <v>1763.39</v>
      </c>
      <c r="C300" t="s">
        <v>31</v>
      </c>
      <c r="D300">
        <v>18</v>
      </c>
      <c r="E300">
        <v>89.8</v>
      </c>
      <c r="F300" t="s">
        <v>74</v>
      </c>
      <c r="G300">
        <v>2</v>
      </c>
      <c r="H300">
        <v>73.47</v>
      </c>
    </row>
    <row r="301" spans="1:8" x14ac:dyDescent="0.3">
      <c r="A301" t="s">
        <v>699</v>
      </c>
      <c r="B301" s="39">
        <v>1763.39</v>
      </c>
      <c r="C301" t="s">
        <v>31</v>
      </c>
      <c r="D301">
        <v>18</v>
      </c>
      <c r="E301">
        <v>89.8</v>
      </c>
      <c r="F301" t="s">
        <v>74</v>
      </c>
      <c r="G301">
        <v>2</v>
      </c>
      <c r="H301">
        <v>73.47</v>
      </c>
    </row>
    <row r="302" spans="1:8" x14ac:dyDescent="0.3">
      <c r="A302" t="s">
        <v>698</v>
      </c>
      <c r="B302" s="39">
        <v>1763.39</v>
      </c>
      <c r="C302" t="s">
        <v>31</v>
      </c>
      <c r="D302">
        <v>18</v>
      </c>
      <c r="E302">
        <v>89.8</v>
      </c>
      <c r="F302" t="s">
        <v>74</v>
      </c>
      <c r="G302">
        <v>2</v>
      </c>
      <c r="H302">
        <v>73.47</v>
      </c>
    </row>
    <row r="303" spans="1:8" x14ac:dyDescent="0.3">
      <c r="A303" t="s">
        <v>700</v>
      </c>
      <c r="B303" s="39">
        <v>1763.39</v>
      </c>
      <c r="C303" t="s">
        <v>31</v>
      </c>
      <c r="D303">
        <v>18</v>
      </c>
      <c r="E303">
        <v>89.8</v>
      </c>
      <c r="F303" t="s">
        <v>74</v>
      </c>
      <c r="G303">
        <v>2</v>
      </c>
      <c r="H303">
        <v>73.47</v>
      </c>
    </row>
    <row r="304" spans="1:8" x14ac:dyDescent="0.3">
      <c r="A304" t="s">
        <v>701</v>
      </c>
      <c r="B304" s="39">
        <v>1763.39</v>
      </c>
      <c r="C304" t="s">
        <v>31</v>
      </c>
      <c r="D304">
        <v>18</v>
      </c>
      <c r="E304">
        <v>89.8</v>
      </c>
      <c r="F304" t="s">
        <v>74</v>
      </c>
      <c r="G304">
        <v>2</v>
      </c>
      <c r="H304">
        <v>73.47</v>
      </c>
    </row>
    <row r="305" spans="1:11" x14ac:dyDescent="0.3">
      <c r="A305" t="s">
        <v>702</v>
      </c>
      <c r="B305" s="39">
        <v>1763.39</v>
      </c>
      <c r="C305" t="s">
        <v>31</v>
      </c>
      <c r="D305">
        <v>18</v>
      </c>
      <c r="E305">
        <v>89.8</v>
      </c>
      <c r="F305" t="s">
        <v>74</v>
      </c>
      <c r="G305">
        <v>2</v>
      </c>
      <c r="H305">
        <v>73.47</v>
      </c>
    </row>
    <row r="306" spans="1:11" x14ac:dyDescent="0.3">
      <c r="A306" t="s">
        <v>704</v>
      </c>
      <c r="B306" s="39">
        <v>1763.39</v>
      </c>
      <c r="C306" t="s">
        <v>31</v>
      </c>
      <c r="D306">
        <v>18</v>
      </c>
      <c r="E306">
        <v>89.8</v>
      </c>
      <c r="F306" t="s">
        <v>74</v>
      </c>
      <c r="G306">
        <v>2</v>
      </c>
      <c r="H306">
        <v>73.47</v>
      </c>
    </row>
    <row r="307" spans="1:11" x14ac:dyDescent="0.3">
      <c r="A307" t="s">
        <v>706</v>
      </c>
      <c r="B307" s="39">
        <v>1763.39</v>
      </c>
      <c r="C307" t="s">
        <v>31</v>
      </c>
      <c r="D307">
        <v>18</v>
      </c>
      <c r="E307">
        <v>89.8</v>
      </c>
      <c r="F307" t="s">
        <v>74</v>
      </c>
      <c r="G307">
        <v>2</v>
      </c>
      <c r="H307">
        <v>73.47</v>
      </c>
    </row>
    <row r="308" spans="1:11" x14ac:dyDescent="0.3">
      <c r="A308" t="s">
        <v>707</v>
      </c>
      <c r="B308" s="39">
        <v>1763.39</v>
      </c>
      <c r="C308" t="s">
        <v>31</v>
      </c>
      <c r="D308">
        <v>18</v>
      </c>
      <c r="E308">
        <v>89.8</v>
      </c>
      <c r="F308" t="s">
        <v>74</v>
      </c>
      <c r="G308">
        <v>2</v>
      </c>
      <c r="H308">
        <v>73.47</v>
      </c>
    </row>
    <row r="309" spans="1:11" x14ac:dyDescent="0.3">
      <c r="A309" t="s">
        <v>705</v>
      </c>
      <c r="B309" s="39">
        <v>1763.39</v>
      </c>
      <c r="C309" t="s">
        <v>31</v>
      </c>
      <c r="D309">
        <v>18</v>
      </c>
      <c r="E309">
        <v>89.8</v>
      </c>
      <c r="F309" t="s">
        <v>74</v>
      </c>
      <c r="G309">
        <v>2</v>
      </c>
      <c r="H309">
        <v>73.47</v>
      </c>
    </row>
    <row r="310" spans="1:11" x14ac:dyDescent="0.3">
      <c r="A310" t="s">
        <v>708</v>
      </c>
      <c r="B310" s="39">
        <v>2056.92</v>
      </c>
      <c r="C310" t="s">
        <v>69</v>
      </c>
      <c r="D310">
        <v>18</v>
      </c>
      <c r="E310">
        <v>106.11</v>
      </c>
      <c r="F310" t="s">
        <v>74</v>
      </c>
      <c r="G310">
        <v>2</v>
      </c>
      <c r="H310">
        <v>73.47</v>
      </c>
    </row>
    <row r="311" spans="1:11" x14ac:dyDescent="0.3">
      <c r="A311" t="s">
        <v>709</v>
      </c>
      <c r="B311" s="39">
        <v>1763.39</v>
      </c>
      <c r="C311" t="s">
        <v>31</v>
      </c>
      <c r="D311">
        <v>18</v>
      </c>
      <c r="E311">
        <v>89.8</v>
      </c>
      <c r="F311" t="s">
        <v>74</v>
      </c>
      <c r="G311">
        <v>2</v>
      </c>
      <c r="H311">
        <v>73.47</v>
      </c>
    </row>
    <row r="312" spans="1:11" x14ac:dyDescent="0.3">
      <c r="A312" t="s">
        <v>710</v>
      </c>
      <c r="B312" s="39">
        <v>1909.97</v>
      </c>
      <c r="C312" t="s">
        <v>43</v>
      </c>
      <c r="D312">
        <v>18</v>
      </c>
      <c r="E312">
        <v>97.95</v>
      </c>
      <c r="F312" t="s">
        <v>74</v>
      </c>
      <c r="G312">
        <v>2</v>
      </c>
      <c r="H312">
        <v>73.47</v>
      </c>
    </row>
    <row r="313" spans="1:11" x14ac:dyDescent="0.3">
      <c r="A313" t="s">
        <v>711</v>
      </c>
      <c r="B313" s="39">
        <v>1763.39</v>
      </c>
      <c r="C313" t="s">
        <v>31</v>
      </c>
      <c r="D313">
        <v>18</v>
      </c>
      <c r="E313">
        <v>89.8</v>
      </c>
      <c r="F313" t="s">
        <v>74</v>
      </c>
      <c r="G313">
        <v>2</v>
      </c>
      <c r="H313">
        <v>73.47</v>
      </c>
    </row>
    <row r="314" spans="1:11" x14ac:dyDescent="0.3">
      <c r="A314" t="s">
        <v>712</v>
      </c>
      <c r="B314" s="39">
        <v>1909.97</v>
      </c>
      <c r="C314" t="s">
        <v>43</v>
      </c>
      <c r="D314">
        <v>18</v>
      </c>
      <c r="E314">
        <v>97.95</v>
      </c>
      <c r="F314" t="s">
        <v>74</v>
      </c>
      <c r="G314">
        <v>2</v>
      </c>
      <c r="H314">
        <v>73.47</v>
      </c>
    </row>
    <row r="315" spans="1:11" x14ac:dyDescent="0.3">
      <c r="A315" t="s">
        <v>715</v>
      </c>
      <c r="B315" s="39">
        <v>1909.97</v>
      </c>
      <c r="C315" t="s">
        <v>43</v>
      </c>
      <c r="D315">
        <v>18</v>
      </c>
      <c r="E315">
        <v>97.95</v>
      </c>
      <c r="F315" t="s">
        <v>74</v>
      </c>
      <c r="G315">
        <v>2</v>
      </c>
      <c r="H315">
        <v>73.47</v>
      </c>
    </row>
    <row r="316" spans="1:11" x14ac:dyDescent="0.3">
      <c r="A316" t="s">
        <v>714</v>
      </c>
      <c r="B316" s="39">
        <v>1436.72</v>
      </c>
      <c r="C316" t="s">
        <v>29</v>
      </c>
      <c r="D316">
        <v>18</v>
      </c>
      <c r="E316">
        <v>73.47</v>
      </c>
      <c r="F316" t="s">
        <v>89</v>
      </c>
      <c r="G316">
        <v>2</v>
      </c>
      <c r="H316">
        <v>57.14</v>
      </c>
    </row>
    <row r="317" spans="1:11" x14ac:dyDescent="0.3">
      <c r="A317" t="s">
        <v>713</v>
      </c>
      <c r="B317" s="39">
        <v>1730.72</v>
      </c>
      <c r="C317" t="s">
        <v>31</v>
      </c>
      <c r="D317">
        <v>18</v>
      </c>
      <c r="E317">
        <v>89.8</v>
      </c>
      <c r="F317" t="s">
        <v>89</v>
      </c>
      <c r="G317">
        <v>2</v>
      </c>
      <c r="H317">
        <v>57.14</v>
      </c>
    </row>
    <row r="318" spans="1:11" x14ac:dyDescent="0.3">
      <c r="A318" t="s">
        <v>716</v>
      </c>
      <c r="B318" s="39">
        <v>734.41</v>
      </c>
      <c r="C318" t="s">
        <v>24</v>
      </c>
      <c r="D318">
        <v>18</v>
      </c>
      <c r="E318">
        <v>40.799999999999997</v>
      </c>
    </row>
    <row r="319" spans="1:11" x14ac:dyDescent="0.3">
      <c r="A319" t="s">
        <v>717</v>
      </c>
      <c r="B319" s="39">
        <v>1322.45</v>
      </c>
      <c r="C319" t="s">
        <v>65</v>
      </c>
      <c r="D319">
        <v>18</v>
      </c>
      <c r="E319">
        <v>73.47</v>
      </c>
    </row>
    <row r="320" spans="1:11" x14ac:dyDescent="0.3">
      <c r="A320" t="s">
        <v>719</v>
      </c>
      <c r="B320" s="39">
        <v>2301.66</v>
      </c>
      <c r="C320" t="s">
        <v>31</v>
      </c>
      <c r="D320">
        <v>18</v>
      </c>
      <c r="E320">
        <v>89.8</v>
      </c>
      <c r="F320" t="s">
        <v>110</v>
      </c>
      <c r="G320">
        <v>2</v>
      </c>
      <c r="H320">
        <v>97.94</v>
      </c>
      <c r="I320" t="s">
        <v>137</v>
      </c>
      <c r="J320">
        <v>20</v>
      </c>
      <c r="K320">
        <v>24.47</v>
      </c>
    </row>
    <row r="321" spans="1:11" x14ac:dyDescent="0.3">
      <c r="A321" t="s">
        <v>718</v>
      </c>
      <c r="B321" s="39">
        <v>2595.19</v>
      </c>
      <c r="C321" t="s">
        <v>69</v>
      </c>
      <c r="D321">
        <v>18</v>
      </c>
      <c r="E321">
        <v>106.11</v>
      </c>
      <c r="F321" t="s">
        <v>110</v>
      </c>
      <c r="G321">
        <v>2</v>
      </c>
      <c r="H321">
        <v>97.94</v>
      </c>
      <c r="I321" t="s">
        <v>137</v>
      </c>
      <c r="J321">
        <v>20</v>
      </c>
      <c r="K321">
        <v>24.47</v>
      </c>
    </row>
    <row r="322" spans="1:11" x14ac:dyDescent="0.3">
      <c r="A322" t="s">
        <v>721</v>
      </c>
      <c r="B322" s="39">
        <v>2301.66</v>
      </c>
      <c r="C322" t="s">
        <v>31</v>
      </c>
      <c r="D322">
        <v>18</v>
      </c>
      <c r="E322">
        <v>89.8</v>
      </c>
      <c r="F322" t="s">
        <v>110</v>
      </c>
      <c r="G322">
        <v>2</v>
      </c>
      <c r="H322">
        <v>97.94</v>
      </c>
      <c r="I322" t="s">
        <v>137</v>
      </c>
      <c r="J322">
        <v>20</v>
      </c>
      <c r="K322">
        <v>24.47</v>
      </c>
    </row>
    <row r="323" spans="1:11" x14ac:dyDescent="0.3">
      <c r="A323" t="s">
        <v>722</v>
      </c>
      <c r="B323" s="39">
        <v>2497.6799999999998</v>
      </c>
      <c r="C323" t="s">
        <v>57</v>
      </c>
      <c r="D323">
        <v>16</v>
      </c>
      <c r="E323">
        <v>146.91999999999999</v>
      </c>
      <c r="F323" t="s">
        <v>83</v>
      </c>
      <c r="G323">
        <v>2</v>
      </c>
      <c r="H323">
        <v>73.47</v>
      </c>
    </row>
    <row r="324" spans="1:11" x14ac:dyDescent="0.3">
      <c r="A324" t="s">
        <v>723</v>
      </c>
      <c r="B324" s="39">
        <v>2497.6799999999998</v>
      </c>
      <c r="C324" t="s">
        <v>57</v>
      </c>
      <c r="D324">
        <v>16</v>
      </c>
      <c r="E324">
        <v>146.91999999999999</v>
      </c>
      <c r="F324" t="s">
        <v>83</v>
      </c>
      <c r="G324">
        <v>2</v>
      </c>
      <c r="H324">
        <v>73.47</v>
      </c>
    </row>
    <row r="325" spans="1:11" x14ac:dyDescent="0.3">
      <c r="A325" t="s">
        <v>724</v>
      </c>
      <c r="B325" s="39">
        <v>799.75</v>
      </c>
      <c r="C325" t="s">
        <v>24</v>
      </c>
      <c r="D325">
        <v>16</v>
      </c>
      <c r="E325">
        <v>40.799999999999997</v>
      </c>
      <c r="F325" t="s">
        <v>72</v>
      </c>
      <c r="G325">
        <v>2</v>
      </c>
      <c r="H325">
        <v>73.47</v>
      </c>
    </row>
    <row r="326" spans="1:11" x14ac:dyDescent="0.3">
      <c r="A326" t="s">
        <v>726</v>
      </c>
      <c r="B326" s="39">
        <v>1061.0999999999999</v>
      </c>
      <c r="C326" t="s">
        <v>27</v>
      </c>
      <c r="D326">
        <v>16</v>
      </c>
      <c r="E326">
        <v>57.14</v>
      </c>
      <c r="F326" t="s">
        <v>72</v>
      </c>
      <c r="G326">
        <v>2</v>
      </c>
      <c r="H326">
        <v>73.47</v>
      </c>
    </row>
    <row r="327" spans="1:11" x14ac:dyDescent="0.3">
      <c r="A327" t="s">
        <v>725</v>
      </c>
      <c r="B327" s="39">
        <v>1061.0999999999999</v>
      </c>
      <c r="C327" t="s">
        <v>27</v>
      </c>
      <c r="D327">
        <v>16</v>
      </c>
      <c r="E327">
        <v>57.14</v>
      </c>
      <c r="F327" t="s">
        <v>72</v>
      </c>
      <c r="G327">
        <v>2</v>
      </c>
      <c r="H327">
        <v>73.47</v>
      </c>
    </row>
    <row r="328" spans="1:11" x14ac:dyDescent="0.3">
      <c r="A328" t="s">
        <v>727</v>
      </c>
      <c r="B328" s="39">
        <v>1061.0999999999999</v>
      </c>
      <c r="C328" t="s">
        <v>27</v>
      </c>
      <c r="D328">
        <v>16</v>
      </c>
      <c r="E328">
        <v>57.14</v>
      </c>
      <c r="F328" t="s">
        <v>72</v>
      </c>
      <c r="G328">
        <v>2</v>
      </c>
      <c r="H328">
        <v>73.47</v>
      </c>
    </row>
    <row r="329" spans="1:11" x14ac:dyDescent="0.3">
      <c r="A329" t="s">
        <v>728</v>
      </c>
      <c r="B329" s="39">
        <v>1061.0999999999999</v>
      </c>
      <c r="C329" t="s">
        <v>27</v>
      </c>
      <c r="D329">
        <v>16</v>
      </c>
      <c r="E329">
        <v>57.14</v>
      </c>
      <c r="F329" t="s">
        <v>72</v>
      </c>
      <c r="G329">
        <v>2</v>
      </c>
      <c r="H329">
        <v>73.47</v>
      </c>
    </row>
    <row r="330" spans="1:11" x14ac:dyDescent="0.3">
      <c r="A330" t="s">
        <v>730</v>
      </c>
      <c r="B330" s="39">
        <v>1322.45</v>
      </c>
      <c r="C330" t="s">
        <v>65</v>
      </c>
      <c r="D330">
        <v>16</v>
      </c>
      <c r="E330">
        <v>73.47</v>
      </c>
      <c r="F330" t="s">
        <v>72</v>
      </c>
      <c r="G330">
        <v>2</v>
      </c>
      <c r="H330">
        <v>73.47</v>
      </c>
    </row>
    <row r="331" spans="1:11" x14ac:dyDescent="0.3">
      <c r="A331" t="s">
        <v>729</v>
      </c>
      <c r="B331" s="39">
        <v>1061.0999999999999</v>
      </c>
      <c r="C331" t="s">
        <v>27</v>
      </c>
      <c r="D331">
        <v>16</v>
      </c>
      <c r="E331">
        <v>57.14</v>
      </c>
      <c r="F331" t="s">
        <v>72</v>
      </c>
      <c r="G331">
        <v>2</v>
      </c>
      <c r="H331">
        <v>73.47</v>
      </c>
    </row>
    <row r="332" spans="1:11" x14ac:dyDescent="0.3">
      <c r="A332" t="s">
        <v>731</v>
      </c>
      <c r="B332" s="39">
        <v>1322.45</v>
      </c>
      <c r="C332" t="s">
        <v>29</v>
      </c>
      <c r="D332">
        <v>16</v>
      </c>
      <c r="E332">
        <v>73.47</v>
      </c>
      <c r="F332" t="s">
        <v>74</v>
      </c>
      <c r="G332">
        <v>2</v>
      </c>
      <c r="H332">
        <v>73.47</v>
      </c>
    </row>
    <row r="333" spans="1:11" x14ac:dyDescent="0.3">
      <c r="A333" t="s">
        <v>732</v>
      </c>
      <c r="B333" s="39">
        <v>1583.79</v>
      </c>
      <c r="C333" t="s">
        <v>31</v>
      </c>
      <c r="D333">
        <v>16</v>
      </c>
      <c r="E333">
        <v>89.8</v>
      </c>
      <c r="F333" t="s">
        <v>74</v>
      </c>
      <c r="G333">
        <v>2</v>
      </c>
      <c r="H333">
        <v>73.47</v>
      </c>
    </row>
    <row r="334" spans="1:11" x14ac:dyDescent="0.3">
      <c r="A334" t="s">
        <v>733</v>
      </c>
      <c r="B334" s="39">
        <v>1844.7</v>
      </c>
      <c r="C334" t="s">
        <v>69</v>
      </c>
      <c r="D334">
        <v>16</v>
      </c>
      <c r="E334">
        <v>106.11</v>
      </c>
      <c r="F334" t="s">
        <v>74</v>
      </c>
      <c r="G334">
        <v>2</v>
      </c>
      <c r="H334">
        <v>73.47</v>
      </c>
    </row>
    <row r="335" spans="1:11" x14ac:dyDescent="0.3">
      <c r="A335" t="s">
        <v>735</v>
      </c>
      <c r="B335" s="39">
        <v>1583.79</v>
      </c>
      <c r="C335" t="s">
        <v>31</v>
      </c>
      <c r="D335">
        <v>16</v>
      </c>
      <c r="E335">
        <v>89.8</v>
      </c>
      <c r="F335" t="s">
        <v>74</v>
      </c>
      <c r="G335">
        <v>2</v>
      </c>
      <c r="H335">
        <v>73.47</v>
      </c>
    </row>
    <row r="336" spans="1:11" x14ac:dyDescent="0.3">
      <c r="A336" t="s">
        <v>734</v>
      </c>
      <c r="B336" s="39">
        <v>1583.79</v>
      </c>
      <c r="C336" t="s">
        <v>31</v>
      </c>
      <c r="D336">
        <v>16</v>
      </c>
      <c r="E336">
        <v>89.8</v>
      </c>
      <c r="F336" t="s">
        <v>74</v>
      </c>
      <c r="G336">
        <v>2</v>
      </c>
      <c r="H336">
        <v>73.47</v>
      </c>
    </row>
    <row r="337" spans="1:11" x14ac:dyDescent="0.3">
      <c r="A337" t="s">
        <v>736</v>
      </c>
      <c r="B337" s="39">
        <v>1583.79</v>
      </c>
      <c r="C337" t="s">
        <v>31</v>
      </c>
      <c r="D337">
        <v>16</v>
      </c>
      <c r="E337">
        <v>89.8</v>
      </c>
      <c r="F337" t="s">
        <v>74</v>
      </c>
      <c r="G337">
        <v>2</v>
      </c>
      <c r="H337">
        <v>73.47</v>
      </c>
    </row>
    <row r="338" spans="1:11" x14ac:dyDescent="0.3">
      <c r="A338" t="s">
        <v>738</v>
      </c>
      <c r="B338" s="39">
        <v>1844.7</v>
      </c>
      <c r="C338" t="s">
        <v>69</v>
      </c>
      <c r="D338">
        <v>16</v>
      </c>
      <c r="E338">
        <v>106.11</v>
      </c>
      <c r="F338" t="s">
        <v>74</v>
      </c>
      <c r="G338">
        <v>2</v>
      </c>
      <c r="H338">
        <v>73.47</v>
      </c>
    </row>
    <row r="339" spans="1:11" x14ac:dyDescent="0.3">
      <c r="A339" t="s">
        <v>737</v>
      </c>
      <c r="B339" s="39">
        <v>1583.79</v>
      </c>
      <c r="C339" t="s">
        <v>31</v>
      </c>
      <c r="D339">
        <v>16</v>
      </c>
      <c r="E339">
        <v>89.8</v>
      </c>
      <c r="F339" t="s">
        <v>74</v>
      </c>
      <c r="G339">
        <v>2</v>
      </c>
      <c r="H339">
        <v>73.47</v>
      </c>
    </row>
    <row r="340" spans="1:11" x14ac:dyDescent="0.3">
      <c r="A340" t="s">
        <v>739</v>
      </c>
      <c r="B340" s="39">
        <v>1583.79</v>
      </c>
      <c r="C340" t="s">
        <v>31</v>
      </c>
      <c r="D340">
        <v>16</v>
      </c>
      <c r="E340">
        <v>89.8</v>
      </c>
      <c r="F340" t="s">
        <v>74</v>
      </c>
      <c r="G340">
        <v>2</v>
      </c>
      <c r="H340">
        <v>73.47</v>
      </c>
    </row>
    <row r="341" spans="1:11" x14ac:dyDescent="0.3">
      <c r="A341" t="s">
        <v>740</v>
      </c>
      <c r="B341" s="39">
        <v>1844.7</v>
      </c>
      <c r="C341" t="s">
        <v>69</v>
      </c>
      <c r="D341">
        <v>16</v>
      </c>
      <c r="E341">
        <v>106.11</v>
      </c>
      <c r="F341" t="s">
        <v>74</v>
      </c>
      <c r="G341">
        <v>2</v>
      </c>
      <c r="H341">
        <v>73.47</v>
      </c>
    </row>
    <row r="342" spans="1:11" x14ac:dyDescent="0.3">
      <c r="A342" t="s">
        <v>741</v>
      </c>
      <c r="B342" s="39">
        <v>1583.79</v>
      </c>
      <c r="C342" t="s">
        <v>31</v>
      </c>
      <c r="D342">
        <v>16</v>
      </c>
      <c r="E342">
        <v>89.8</v>
      </c>
      <c r="F342" t="s">
        <v>74</v>
      </c>
      <c r="G342">
        <v>2</v>
      </c>
      <c r="H342">
        <v>73.47</v>
      </c>
    </row>
    <row r="343" spans="1:11" x14ac:dyDescent="0.3">
      <c r="A343" t="s">
        <v>743</v>
      </c>
      <c r="B343" s="39">
        <v>1714.08</v>
      </c>
      <c r="C343" t="s">
        <v>43</v>
      </c>
      <c r="D343">
        <v>16</v>
      </c>
      <c r="E343">
        <v>97.95</v>
      </c>
      <c r="F343" t="s">
        <v>74</v>
      </c>
      <c r="G343">
        <v>2</v>
      </c>
      <c r="H343">
        <v>73.47</v>
      </c>
    </row>
    <row r="344" spans="1:11" x14ac:dyDescent="0.3">
      <c r="A344" t="s">
        <v>742</v>
      </c>
      <c r="B344" s="39">
        <v>1844.7</v>
      </c>
      <c r="C344" t="s">
        <v>69</v>
      </c>
      <c r="D344">
        <v>16</v>
      </c>
      <c r="E344">
        <v>106.11</v>
      </c>
      <c r="F344" t="s">
        <v>74</v>
      </c>
      <c r="G344">
        <v>2</v>
      </c>
      <c r="H344">
        <v>73.47</v>
      </c>
    </row>
    <row r="345" spans="1:11" x14ac:dyDescent="0.3">
      <c r="A345" t="s">
        <v>744</v>
      </c>
      <c r="B345" s="39">
        <v>1175.51</v>
      </c>
      <c r="C345" t="s">
        <v>29</v>
      </c>
      <c r="D345">
        <v>16</v>
      </c>
      <c r="E345">
        <v>73.47</v>
      </c>
    </row>
    <row r="346" spans="1:11" x14ac:dyDescent="0.3">
      <c r="A346" t="s">
        <v>746</v>
      </c>
      <c r="B346" s="39">
        <v>1697.76</v>
      </c>
      <c r="C346" t="s">
        <v>69</v>
      </c>
      <c r="D346">
        <v>16</v>
      </c>
      <c r="E346">
        <v>106.11</v>
      </c>
    </row>
    <row r="347" spans="1:11" x14ac:dyDescent="0.3">
      <c r="A347" t="s">
        <v>747</v>
      </c>
      <c r="B347" s="39">
        <v>1779.36</v>
      </c>
      <c r="C347" t="s">
        <v>69</v>
      </c>
      <c r="D347">
        <v>16</v>
      </c>
      <c r="E347">
        <v>106.11</v>
      </c>
      <c r="F347" t="s">
        <v>99</v>
      </c>
      <c r="G347">
        <v>2</v>
      </c>
      <c r="H347">
        <v>40.799999999999997</v>
      </c>
    </row>
    <row r="348" spans="1:11" x14ac:dyDescent="0.3">
      <c r="A348" t="s">
        <v>748</v>
      </c>
      <c r="B348" s="39">
        <v>2073.12</v>
      </c>
      <c r="C348" t="s">
        <v>31</v>
      </c>
      <c r="D348">
        <v>16</v>
      </c>
      <c r="E348">
        <v>89.8</v>
      </c>
      <c r="F348" t="s">
        <v>110</v>
      </c>
      <c r="G348">
        <v>2</v>
      </c>
      <c r="H348">
        <v>97.94</v>
      </c>
      <c r="I348" t="s">
        <v>137</v>
      </c>
      <c r="J348">
        <v>18</v>
      </c>
      <c r="K348">
        <v>24.47</v>
      </c>
    </row>
    <row r="349" spans="1:11" x14ac:dyDescent="0.3">
      <c r="A349" t="s">
        <v>749</v>
      </c>
      <c r="B349" s="39">
        <v>2334.04</v>
      </c>
      <c r="C349" t="s">
        <v>69</v>
      </c>
      <c r="D349">
        <v>16</v>
      </c>
      <c r="E349">
        <v>106.11</v>
      </c>
      <c r="F349" t="s">
        <v>110</v>
      </c>
      <c r="G349">
        <v>2</v>
      </c>
      <c r="H349">
        <v>97.94</v>
      </c>
      <c r="I349" t="s">
        <v>137</v>
      </c>
      <c r="J349">
        <v>18</v>
      </c>
      <c r="K349">
        <v>24.47</v>
      </c>
    </row>
    <row r="350" spans="1:11" x14ac:dyDescent="0.3">
      <c r="A350" t="s">
        <v>751</v>
      </c>
      <c r="B350" s="39">
        <v>1248.98</v>
      </c>
      <c r="C350" t="s">
        <v>65</v>
      </c>
      <c r="D350">
        <v>15</v>
      </c>
      <c r="E350">
        <v>73.47</v>
      </c>
      <c r="F350" t="s">
        <v>72</v>
      </c>
      <c r="G350">
        <v>2</v>
      </c>
      <c r="H350">
        <v>73.47</v>
      </c>
    </row>
    <row r="351" spans="1:11" x14ac:dyDescent="0.3">
      <c r="A351" t="s">
        <v>750</v>
      </c>
      <c r="B351" s="39">
        <v>1248.98</v>
      </c>
      <c r="C351" t="s">
        <v>65</v>
      </c>
      <c r="D351">
        <v>15</v>
      </c>
      <c r="E351">
        <v>73.47</v>
      </c>
      <c r="F351" t="s">
        <v>72</v>
      </c>
      <c r="G351">
        <v>2</v>
      </c>
      <c r="H351">
        <v>73.47</v>
      </c>
    </row>
    <row r="352" spans="1:11" x14ac:dyDescent="0.3">
      <c r="A352" t="s">
        <v>752</v>
      </c>
      <c r="B352" s="39">
        <v>1003.96</v>
      </c>
      <c r="C352" t="s">
        <v>27</v>
      </c>
      <c r="D352">
        <v>15</v>
      </c>
      <c r="E352">
        <v>57.14</v>
      </c>
      <c r="F352" t="s">
        <v>72</v>
      </c>
      <c r="G352">
        <v>2</v>
      </c>
      <c r="H352">
        <v>73.47</v>
      </c>
    </row>
    <row r="353" spans="1:8" x14ac:dyDescent="0.3">
      <c r="A353" t="s">
        <v>756</v>
      </c>
      <c r="B353" s="39">
        <v>1248.98</v>
      </c>
      <c r="C353" t="s">
        <v>65</v>
      </c>
      <c r="D353">
        <v>15</v>
      </c>
      <c r="E353">
        <v>73.47</v>
      </c>
      <c r="F353" t="s">
        <v>72</v>
      </c>
      <c r="G353">
        <v>2</v>
      </c>
      <c r="H353">
        <v>73.47</v>
      </c>
    </row>
    <row r="354" spans="1:8" x14ac:dyDescent="0.3">
      <c r="A354" t="s">
        <v>753</v>
      </c>
      <c r="B354" s="39">
        <v>1003.96</v>
      </c>
      <c r="C354" t="s">
        <v>27</v>
      </c>
      <c r="D354">
        <v>15</v>
      </c>
      <c r="E354">
        <v>57.14</v>
      </c>
      <c r="F354" t="s">
        <v>72</v>
      </c>
      <c r="G354">
        <v>2</v>
      </c>
      <c r="H354">
        <v>73.47</v>
      </c>
    </row>
    <row r="355" spans="1:8" x14ac:dyDescent="0.3">
      <c r="A355" t="s">
        <v>754</v>
      </c>
      <c r="B355" s="39">
        <v>1493.98</v>
      </c>
      <c r="C355" t="s">
        <v>31</v>
      </c>
      <c r="D355">
        <v>15</v>
      </c>
      <c r="E355">
        <v>89.8</v>
      </c>
      <c r="F355" t="s">
        <v>74</v>
      </c>
      <c r="G355">
        <v>2</v>
      </c>
      <c r="H355">
        <v>73.47</v>
      </c>
    </row>
    <row r="356" spans="1:8" x14ac:dyDescent="0.3">
      <c r="A356" t="s">
        <v>755</v>
      </c>
      <c r="B356" s="39">
        <v>1003.96</v>
      </c>
      <c r="C356" t="s">
        <v>27</v>
      </c>
      <c r="D356">
        <v>15</v>
      </c>
      <c r="E356">
        <v>57.14</v>
      </c>
      <c r="F356" t="s">
        <v>72</v>
      </c>
      <c r="G356">
        <v>2</v>
      </c>
      <c r="H356">
        <v>73.47</v>
      </c>
    </row>
    <row r="357" spans="1:8" x14ac:dyDescent="0.3">
      <c r="A357" t="s">
        <v>757</v>
      </c>
      <c r="B357" s="39">
        <v>1738.59</v>
      </c>
      <c r="C357" t="s">
        <v>69</v>
      </c>
      <c r="D357">
        <v>15</v>
      </c>
      <c r="E357">
        <v>106.11</v>
      </c>
      <c r="F357" t="s">
        <v>74</v>
      </c>
      <c r="G357">
        <v>2</v>
      </c>
      <c r="H357">
        <v>73.47</v>
      </c>
    </row>
    <row r="358" spans="1:8" x14ac:dyDescent="0.3">
      <c r="A358" t="s">
        <v>759</v>
      </c>
      <c r="B358" s="39">
        <v>1493.98</v>
      </c>
      <c r="C358" t="s">
        <v>31</v>
      </c>
      <c r="D358">
        <v>15</v>
      </c>
      <c r="E358">
        <v>89.8</v>
      </c>
      <c r="F358" t="s">
        <v>74</v>
      </c>
      <c r="G358">
        <v>2</v>
      </c>
      <c r="H358">
        <v>73.47</v>
      </c>
    </row>
    <row r="359" spans="1:8" x14ac:dyDescent="0.3">
      <c r="A359" t="s">
        <v>758</v>
      </c>
      <c r="B359" s="39">
        <v>1493.98</v>
      </c>
      <c r="C359" t="s">
        <v>31</v>
      </c>
      <c r="D359">
        <v>15</v>
      </c>
      <c r="E359">
        <v>89.8</v>
      </c>
      <c r="F359" t="s">
        <v>74</v>
      </c>
      <c r="G359">
        <v>2</v>
      </c>
      <c r="H359">
        <v>73.47</v>
      </c>
    </row>
    <row r="360" spans="1:8" x14ac:dyDescent="0.3">
      <c r="A360" t="s">
        <v>760</v>
      </c>
      <c r="B360">
        <v>857.03</v>
      </c>
      <c r="C360" t="s">
        <v>27</v>
      </c>
      <c r="D360">
        <v>15</v>
      </c>
      <c r="E360">
        <v>57.14</v>
      </c>
    </row>
    <row r="361" spans="1:8" x14ac:dyDescent="0.3">
      <c r="A361" t="s">
        <v>761</v>
      </c>
      <c r="B361" s="39">
        <v>2203.84</v>
      </c>
      <c r="C361" t="s">
        <v>57</v>
      </c>
      <c r="D361">
        <v>14</v>
      </c>
      <c r="E361">
        <v>146.91999999999999</v>
      </c>
      <c r="F361" t="s">
        <v>83</v>
      </c>
      <c r="G361">
        <v>2</v>
      </c>
      <c r="H361">
        <v>73.47</v>
      </c>
    </row>
    <row r="362" spans="1:8" x14ac:dyDescent="0.3">
      <c r="A362" t="s">
        <v>763</v>
      </c>
      <c r="B362" s="39">
        <v>1175.51</v>
      </c>
      <c r="C362" t="s">
        <v>65</v>
      </c>
      <c r="D362">
        <v>14</v>
      </c>
      <c r="E362">
        <v>73.47</v>
      </c>
      <c r="F362" t="s">
        <v>72</v>
      </c>
      <c r="G362">
        <v>2</v>
      </c>
      <c r="H362">
        <v>73.47</v>
      </c>
    </row>
    <row r="363" spans="1:8" x14ac:dyDescent="0.3">
      <c r="A363" t="s">
        <v>762</v>
      </c>
      <c r="B363">
        <v>946.83</v>
      </c>
      <c r="C363" t="s">
        <v>27</v>
      </c>
      <c r="D363">
        <v>14</v>
      </c>
      <c r="E363">
        <v>57.14</v>
      </c>
      <c r="F363" t="s">
        <v>72</v>
      </c>
      <c r="G363">
        <v>2</v>
      </c>
      <c r="H363">
        <v>73.47</v>
      </c>
    </row>
    <row r="364" spans="1:8" x14ac:dyDescent="0.3">
      <c r="A364" t="s">
        <v>764</v>
      </c>
      <c r="B364">
        <v>946.83</v>
      </c>
      <c r="C364" t="s">
        <v>27</v>
      </c>
      <c r="D364">
        <v>14</v>
      </c>
      <c r="E364">
        <v>57.14</v>
      </c>
      <c r="F364" t="s">
        <v>72</v>
      </c>
      <c r="G364">
        <v>2</v>
      </c>
      <c r="H364">
        <v>73.47</v>
      </c>
    </row>
    <row r="365" spans="1:8" x14ac:dyDescent="0.3">
      <c r="A365" t="s">
        <v>765</v>
      </c>
      <c r="B365" s="39">
        <v>1175.51</v>
      </c>
      <c r="C365" t="s">
        <v>65</v>
      </c>
      <c r="D365">
        <v>14</v>
      </c>
      <c r="E365">
        <v>73.47</v>
      </c>
      <c r="F365" t="s">
        <v>72</v>
      </c>
      <c r="G365">
        <v>2</v>
      </c>
      <c r="H365">
        <v>73.47</v>
      </c>
    </row>
    <row r="366" spans="1:8" x14ac:dyDescent="0.3">
      <c r="A366" t="s">
        <v>766</v>
      </c>
      <c r="B366">
        <v>946.83</v>
      </c>
      <c r="C366" t="s">
        <v>27</v>
      </c>
      <c r="D366">
        <v>14</v>
      </c>
      <c r="E366">
        <v>57.14</v>
      </c>
      <c r="F366" t="s">
        <v>72</v>
      </c>
      <c r="G366">
        <v>2</v>
      </c>
      <c r="H366">
        <v>73.47</v>
      </c>
    </row>
    <row r="367" spans="1:8" x14ac:dyDescent="0.3">
      <c r="A367" t="s">
        <v>767</v>
      </c>
      <c r="B367" s="39">
        <v>946.83</v>
      </c>
      <c r="C367" t="s">
        <v>27</v>
      </c>
      <c r="D367">
        <v>14</v>
      </c>
      <c r="E367">
        <v>57.14</v>
      </c>
      <c r="F367" t="s">
        <v>72</v>
      </c>
      <c r="G367">
        <v>2</v>
      </c>
      <c r="H367">
        <v>73.47</v>
      </c>
    </row>
    <row r="368" spans="1:8" x14ac:dyDescent="0.3">
      <c r="A368" t="s">
        <v>768</v>
      </c>
      <c r="B368" s="39">
        <v>1404.18</v>
      </c>
      <c r="C368" t="s">
        <v>31</v>
      </c>
      <c r="D368">
        <v>14</v>
      </c>
      <c r="E368">
        <v>89.8</v>
      </c>
      <c r="F368" t="s">
        <v>74</v>
      </c>
      <c r="G368">
        <v>2</v>
      </c>
      <c r="H368">
        <v>73.47</v>
      </c>
    </row>
    <row r="369" spans="1:8" x14ac:dyDescent="0.3">
      <c r="A369" t="s">
        <v>770</v>
      </c>
      <c r="B369" s="39">
        <v>1404.18</v>
      </c>
      <c r="C369" t="s">
        <v>31</v>
      </c>
      <c r="D369">
        <v>14</v>
      </c>
      <c r="E369">
        <v>89.8</v>
      </c>
      <c r="F369" t="s">
        <v>74</v>
      </c>
      <c r="G369">
        <v>2</v>
      </c>
      <c r="H369">
        <v>73.47</v>
      </c>
    </row>
    <row r="370" spans="1:8" x14ac:dyDescent="0.3">
      <c r="A370" t="s">
        <v>769</v>
      </c>
      <c r="B370" s="39">
        <v>1404.18</v>
      </c>
      <c r="C370" t="s">
        <v>31</v>
      </c>
      <c r="D370">
        <v>14</v>
      </c>
      <c r="E370">
        <v>89.8</v>
      </c>
      <c r="F370" t="s">
        <v>74</v>
      </c>
      <c r="G370">
        <v>2</v>
      </c>
      <c r="H370">
        <v>73.47</v>
      </c>
    </row>
    <row r="371" spans="1:8" x14ac:dyDescent="0.3">
      <c r="A371" t="s">
        <v>771</v>
      </c>
      <c r="B371" s="39">
        <v>1404.18</v>
      </c>
      <c r="C371" t="s">
        <v>31</v>
      </c>
      <c r="D371">
        <v>14</v>
      </c>
      <c r="E371">
        <v>89.8</v>
      </c>
      <c r="F371" t="s">
        <v>74</v>
      </c>
      <c r="G371">
        <v>2</v>
      </c>
      <c r="H371">
        <v>73.47</v>
      </c>
    </row>
    <row r="372" spans="1:8" x14ac:dyDescent="0.3">
      <c r="A372" t="s">
        <v>772</v>
      </c>
      <c r="B372" s="39">
        <v>1404.18</v>
      </c>
      <c r="C372" t="s">
        <v>31</v>
      </c>
      <c r="D372">
        <v>14</v>
      </c>
      <c r="E372">
        <v>89.8</v>
      </c>
      <c r="F372" t="s">
        <v>74</v>
      </c>
      <c r="G372">
        <v>2</v>
      </c>
      <c r="H372">
        <v>73.47</v>
      </c>
    </row>
    <row r="373" spans="1:8" x14ac:dyDescent="0.3">
      <c r="A373" t="s">
        <v>773</v>
      </c>
      <c r="B373" s="39">
        <v>1404.18</v>
      </c>
      <c r="C373" t="s">
        <v>31</v>
      </c>
      <c r="D373">
        <v>14</v>
      </c>
      <c r="E373">
        <v>89.8</v>
      </c>
      <c r="F373" t="s">
        <v>74</v>
      </c>
      <c r="G373">
        <v>2</v>
      </c>
      <c r="H373">
        <v>73.47</v>
      </c>
    </row>
    <row r="374" spans="1:8" x14ac:dyDescent="0.3">
      <c r="A374" t="s">
        <v>774</v>
      </c>
      <c r="B374" s="39">
        <v>1404.18</v>
      </c>
      <c r="C374" t="s">
        <v>31</v>
      </c>
      <c r="D374">
        <v>14</v>
      </c>
      <c r="E374">
        <v>89.8</v>
      </c>
      <c r="F374" t="s">
        <v>74</v>
      </c>
      <c r="G374">
        <v>2</v>
      </c>
      <c r="H374">
        <v>73.47</v>
      </c>
    </row>
    <row r="375" spans="1:8" x14ac:dyDescent="0.3">
      <c r="A375" t="s">
        <v>775</v>
      </c>
      <c r="B375" s="39">
        <v>1404.18</v>
      </c>
      <c r="C375" t="s">
        <v>31</v>
      </c>
      <c r="D375">
        <v>14</v>
      </c>
      <c r="E375">
        <v>89.8</v>
      </c>
      <c r="F375" t="s">
        <v>74</v>
      </c>
      <c r="G375">
        <v>2</v>
      </c>
      <c r="H375">
        <v>73.47</v>
      </c>
    </row>
    <row r="376" spans="1:8" x14ac:dyDescent="0.3">
      <c r="A376" t="s">
        <v>776</v>
      </c>
      <c r="B376" s="39">
        <v>1404.18</v>
      </c>
      <c r="C376" t="s">
        <v>31</v>
      </c>
      <c r="D376">
        <v>14</v>
      </c>
      <c r="E376">
        <v>89.8</v>
      </c>
      <c r="F376" t="s">
        <v>74</v>
      </c>
      <c r="G376">
        <v>2</v>
      </c>
      <c r="H376">
        <v>73.47</v>
      </c>
    </row>
    <row r="377" spans="1:8" x14ac:dyDescent="0.3">
      <c r="A377" t="s">
        <v>777</v>
      </c>
      <c r="B377" s="39">
        <v>1404.18</v>
      </c>
      <c r="C377" t="s">
        <v>31</v>
      </c>
      <c r="D377">
        <v>14</v>
      </c>
      <c r="E377">
        <v>89.8</v>
      </c>
      <c r="F377" t="s">
        <v>74</v>
      </c>
      <c r="G377">
        <v>2</v>
      </c>
      <c r="H377">
        <v>73.47</v>
      </c>
    </row>
    <row r="378" spans="1:8" x14ac:dyDescent="0.3">
      <c r="A378" t="s">
        <v>778</v>
      </c>
      <c r="B378" s="39">
        <v>1404.18</v>
      </c>
      <c r="C378" t="s">
        <v>31</v>
      </c>
      <c r="D378">
        <v>14</v>
      </c>
      <c r="E378">
        <v>89.8</v>
      </c>
      <c r="F378" t="s">
        <v>74</v>
      </c>
      <c r="G378">
        <v>2</v>
      </c>
      <c r="H378">
        <v>73.47</v>
      </c>
    </row>
    <row r="379" spans="1:8" x14ac:dyDescent="0.3">
      <c r="A379" t="s">
        <v>779</v>
      </c>
      <c r="B379" s="39">
        <v>1404.18</v>
      </c>
      <c r="C379" t="s">
        <v>31</v>
      </c>
      <c r="D379">
        <v>14</v>
      </c>
      <c r="E379">
        <v>89.8</v>
      </c>
      <c r="F379" t="s">
        <v>74</v>
      </c>
      <c r="G379">
        <v>2</v>
      </c>
      <c r="H379">
        <v>73.47</v>
      </c>
    </row>
    <row r="380" spans="1:8" x14ac:dyDescent="0.3">
      <c r="A380" t="s">
        <v>780</v>
      </c>
      <c r="B380">
        <v>914.16</v>
      </c>
      <c r="C380" t="s">
        <v>27</v>
      </c>
      <c r="D380">
        <v>14</v>
      </c>
      <c r="E380">
        <v>57.14</v>
      </c>
      <c r="F380" t="s">
        <v>87</v>
      </c>
      <c r="G380">
        <v>2</v>
      </c>
      <c r="H380">
        <v>57.14</v>
      </c>
    </row>
    <row r="381" spans="1:8" x14ac:dyDescent="0.3">
      <c r="A381" t="s">
        <v>781</v>
      </c>
      <c r="B381" s="39">
        <v>1371.51</v>
      </c>
      <c r="C381" t="s">
        <v>31</v>
      </c>
      <c r="D381">
        <v>14</v>
      </c>
      <c r="E381">
        <v>89.8</v>
      </c>
      <c r="F381" t="s">
        <v>89</v>
      </c>
      <c r="G381">
        <v>2</v>
      </c>
      <c r="H381">
        <v>57.14</v>
      </c>
    </row>
    <row r="382" spans="1:8" x14ac:dyDescent="0.3">
      <c r="A382" t="s">
        <v>782</v>
      </c>
      <c r="B382">
        <v>889.69</v>
      </c>
      <c r="C382" t="s">
        <v>27</v>
      </c>
      <c r="D382">
        <v>13</v>
      </c>
      <c r="E382">
        <v>57.14</v>
      </c>
      <c r="F382" t="s">
        <v>72</v>
      </c>
      <c r="G382">
        <v>2</v>
      </c>
      <c r="H382">
        <v>73.47</v>
      </c>
    </row>
    <row r="383" spans="1:8" x14ac:dyDescent="0.3">
      <c r="A383" t="s">
        <v>783</v>
      </c>
      <c r="B383" s="39">
        <v>1281.71</v>
      </c>
      <c r="C383" t="s">
        <v>67</v>
      </c>
      <c r="D383">
        <v>13</v>
      </c>
      <c r="E383">
        <v>89.8</v>
      </c>
      <c r="F383" t="s">
        <v>89</v>
      </c>
      <c r="G383">
        <v>2</v>
      </c>
      <c r="H383">
        <v>57.14</v>
      </c>
    </row>
    <row r="384" spans="1:8" x14ac:dyDescent="0.3">
      <c r="A384" t="s">
        <v>784</v>
      </c>
      <c r="B384">
        <v>742.76</v>
      </c>
      <c r="C384" t="s">
        <v>27</v>
      </c>
      <c r="D384">
        <v>13</v>
      </c>
      <c r="E384">
        <v>57.14</v>
      </c>
    </row>
    <row r="385" spans="1:11" x14ac:dyDescent="0.3">
      <c r="A385" t="s">
        <v>785</v>
      </c>
      <c r="B385" s="39">
        <v>1909.99</v>
      </c>
      <c r="C385" t="s">
        <v>57</v>
      </c>
      <c r="D385">
        <v>12</v>
      </c>
      <c r="E385">
        <v>146.91999999999999</v>
      </c>
      <c r="F385" t="s">
        <v>83</v>
      </c>
      <c r="G385">
        <v>2</v>
      </c>
      <c r="H385">
        <v>73.47</v>
      </c>
    </row>
    <row r="386" spans="1:11" x14ac:dyDescent="0.3">
      <c r="A386" t="s">
        <v>786</v>
      </c>
      <c r="B386" s="39">
        <v>1714.11</v>
      </c>
      <c r="C386" t="s">
        <v>53</v>
      </c>
      <c r="D386">
        <v>12</v>
      </c>
      <c r="E386">
        <v>130.6</v>
      </c>
      <c r="F386" t="s">
        <v>81</v>
      </c>
      <c r="G386">
        <v>2</v>
      </c>
      <c r="H386">
        <v>73.47</v>
      </c>
    </row>
    <row r="387" spans="1:11" x14ac:dyDescent="0.3">
      <c r="A387" t="s">
        <v>787</v>
      </c>
      <c r="B387" s="39">
        <v>1909.99</v>
      </c>
      <c r="C387" t="s">
        <v>57</v>
      </c>
      <c r="D387">
        <v>12</v>
      </c>
      <c r="E387">
        <v>146.91999999999999</v>
      </c>
      <c r="F387" t="s">
        <v>83</v>
      </c>
      <c r="G387">
        <v>2</v>
      </c>
      <c r="H387">
        <v>73.47</v>
      </c>
    </row>
    <row r="388" spans="1:11" x14ac:dyDescent="0.3">
      <c r="A388" t="s">
        <v>788</v>
      </c>
      <c r="B388" s="39">
        <v>1909.99</v>
      </c>
      <c r="C388" t="s">
        <v>57</v>
      </c>
      <c r="D388">
        <v>12</v>
      </c>
      <c r="E388">
        <v>146.91999999999999</v>
      </c>
      <c r="F388" t="s">
        <v>83</v>
      </c>
      <c r="G388">
        <v>2</v>
      </c>
      <c r="H388">
        <v>73.47</v>
      </c>
    </row>
    <row r="389" spans="1:11" x14ac:dyDescent="0.3">
      <c r="A389" t="s">
        <v>789</v>
      </c>
      <c r="B389" s="39">
        <v>1909.99</v>
      </c>
      <c r="C389" t="s">
        <v>57</v>
      </c>
      <c r="D389">
        <v>12</v>
      </c>
      <c r="E389">
        <v>146.91999999999999</v>
      </c>
      <c r="F389" t="s">
        <v>83</v>
      </c>
      <c r="G389">
        <v>2</v>
      </c>
      <c r="H389">
        <v>73.47</v>
      </c>
    </row>
    <row r="390" spans="1:11" x14ac:dyDescent="0.3">
      <c r="A390" t="s">
        <v>790</v>
      </c>
      <c r="B390" s="39">
        <v>2252.73</v>
      </c>
      <c r="C390" t="s">
        <v>59</v>
      </c>
      <c r="D390">
        <v>12</v>
      </c>
      <c r="E390">
        <v>163.25</v>
      </c>
      <c r="F390" t="s">
        <v>85</v>
      </c>
      <c r="G390">
        <v>2</v>
      </c>
      <c r="H390">
        <v>146.87</v>
      </c>
    </row>
    <row r="391" spans="1:11" x14ac:dyDescent="0.3">
      <c r="A391" t="s">
        <v>792</v>
      </c>
      <c r="B391">
        <v>636.54999999999995</v>
      </c>
      <c r="C391" t="s">
        <v>24</v>
      </c>
      <c r="D391">
        <v>12</v>
      </c>
      <c r="E391">
        <v>40.799999999999997</v>
      </c>
      <c r="F391" t="s">
        <v>72</v>
      </c>
      <c r="G391">
        <v>2</v>
      </c>
      <c r="H391">
        <v>73.47</v>
      </c>
    </row>
    <row r="392" spans="1:11" x14ac:dyDescent="0.3">
      <c r="A392" t="s">
        <v>791</v>
      </c>
      <c r="B392" s="39">
        <v>2252.73</v>
      </c>
      <c r="C392" t="s">
        <v>59</v>
      </c>
      <c r="D392">
        <v>12</v>
      </c>
      <c r="E392">
        <v>163.25</v>
      </c>
      <c r="F392" t="s">
        <v>85</v>
      </c>
      <c r="G392">
        <v>2</v>
      </c>
      <c r="H392">
        <v>146.87</v>
      </c>
    </row>
    <row r="393" spans="1:11" x14ac:dyDescent="0.3">
      <c r="A393" t="s">
        <v>793</v>
      </c>
      <c r="B393" s="39">
        <v>636.54999999999995</v>
      </c>
      <c r="C393" t="s">
        <v>24</v>
      </c>
      <c r="D393">
        <v>12</v>
      </c>
      <c r="E393">
        <v>40.799999999999997</v>
      </c>
      <c r="F393" t="s">
        <v>72</v>
      </c>
      <c r="G393">
        <v>2</v>
      </c>
      <c r="H393">
        <v>73.47</v>
      </c>
    </row>
    <row r="394" spans="1:11" x14ac:dyDescent="0.3">
      <c r="A394" t="s">
        <v>794</v>
      </c>
      <c r="B394">
        <v>636.54999999999995</v>
      </c>
      <c r="C394" t="s">
        <v>24</v>
      </c>
      <c r="D394">
        <v>12</v>
      </c>
      <c r="E394">
        <v>40.799999999999997</v>
      </c>
      <c r="F394" t="s">
        <v>72</v>
      </c>
      <c r="G394">
        <v>2</v>
      </c>
      <c r="H394">
        <v>73.47</v>
      </c>
    </row>
    <row r="395" spans="1:11" x14ac:dyDescent="0.3">
      <c r="A395" t="s">
        <v>795</v>
      </c>
      <c r="B395" s="39">
        <v>1616.05</v>
      </c>
      <c r="C395" t="s">
        <v>27</v>
      </c>
      <c r="D395">
        <v>12</v>
      </c>
      <c r="E395">
        <v>57.14</v>
      </c>
      <c r="F395" t="s">
        <v>72</v>
      </c>
      <c r="G395">
        <v>2</v>
      </c>
      <c r="H395">
        <v>73.47</v>
      </c>
      <c r="I395" t="s">
        <v>160</v>
      </c>
      <c r="J395">
        <v>8</v>
      </c>
      <c r="K395">
        <v>97.94</v>
      </c>
    </row>
    <row r="396" spans="1:11" x14ac:dyDescent="0.3">
      <c r="A396" t="s">
        <v>796</v>
      </c>
      <c r="B396">
        <v>832.56</v>
      </c>
      <c r="C396" t="s">
        <v>27</v>
      </c>
      <c r="D396">
        <v>12</v>
      </c>
      <c r="E396">
        <v>57.14</v>
      </c>
      <c r="F396" t="s">
        <v>72</v>
      </c>
      <c r="G396">
        <v>2</v>
      </c>
      <c r="H396">
        <v>73.47</v>
      </c>
    </row>
    <row r="397" spans="1:11" x14ac:dyDescent="0.3">
      <c r="A397" t="s">
        <v>797</v>
      </c>
      <c r="B397" s="39">
        <v>1028.57</v>
      </c>
      <c r="C397" t="s">
        <v>65</v>
      </c>
      <c r="D397">
        <v>12</v>
      </c>
      <c r="E397">
        <v>73.47</v>
      </c>
      <c r="F397" t="s">
        <v>72</v>
      </c>
      <c r="G397">
        <v>2</v>
      </c>
      <c r="H397">
        <v>73.47</v>
      </c>
    </row>
    <row r="398" spans="1:11" x14ac:dyDescent="0.3">
      <c r="A398" t="s">
        <v>798</v>
      </c>
      <c r="B398">
        <v>832.56</v>
      </c>
      <c r="C398" t="s">
        <v>27</v>
      </c>
      <c r="D398">
        <v>12</v>
      </c>
      <c r="E398">
        <v>57.14</v>
      </c>
      <c r="F398" t="s">
        <v>72</v>
      </c>
      <c r="G398">
        <v>2</v>
      </c>
      <c r="H398">
        <v>73.47</v>
      </c>
    </row>
    <row r="399" spans="1:11" x14ac:dyDescent="0.3">
      <c r="A399" t="s">
        <v>800</v>
      </c>
      <c r="B399" s="39">
        <v>1028.57</v>
      </c>
      <c r="C399" t="s">
        <v>65</v>
      </c>
      <c r="D399">
        <v>12</v>
      </c>
      <c r="E399">
        <v>73.47</v>
      </c>
      <c r="F399" t="s">
        <v>72</v>
      </c>
      <c r="G399">
        <v>2</v>
      </c>
      <c r="H399">
        <v>73.47</v>
      </c>
    </row>
    <row r="400" spans="1:11" x14ac:dyDescent="0.3">
      <c r="A400" t="s">
        <v>799</v>
      </c>
      <c r="B400">
        <v>832.56</v>
      </c>
      <c r="C400" t="s">
        <v>27</v>
      </c>
      <c r="D400">
        <v>12</v>
      </c>
      <c r="E400">
        <v>57.14</v>
      </c>
      <c r="F400" t="s">
        <v>72</v>
      </c>
      <c r="G400">
        <v>2</v>
      </c>
      <c r="H400">
        <v>73.47</v>
      </c>
    </row>
    <row r="401" spans="1:11" x14ac:dyDescent="0.3">
      <c r="A401" t="s">
        <v>801</v>
      </c>
      <c r="B401" s="39">
        <v>1028.57</v>
      </c>
      <c r="C401" t="s">
        <v>65</v>
      </c>
      <c r="D401">
        <v>12</v>
      </c>
      <c r="E401">
        <v>73.47</v>
      </c>
      <c r="F401" t="s">
        <v>72</v>
      </c>
      <c r="G401">
        <v>2</v>
      </c>
      <c r="H401">
        <v>73.47</v>
      </c>
    </row>
    <row r="402" spans="1:11" x14ac:dyDescent="0.3">
      <c r="A402" t="s">
        <v>802</v>
      </c>
      <c r="B402">
        <v>832.56</v>
      </c>
      <c r="C402" t="s">
        <v>27</v>
      </c>
      <c r="D402">
        <v>12</v>
      </c>
      <c r="E402">
        <v>57.14</v>
      </c>
      <c r="F402" t="s">
        <v>72</v>
      </c>
      <c r="G402">
        <v>2</v>
      </c>
      <c r="H402">
        <v>73.47</v>
      </c>
    </row>
    <row r="403" spans="1:11" x14ac:dyDescent="0.3">
      <c r="A403" t="s">
        <v>803</v>
      </c>
      <c r="B403">
        <v>832.56</v>
      </c>
      <c r="C403" t="s">
        <v>27</v>
      </c>
      <c r="D403">
        <v>12</v>
      </c>
      <c r="E403">
        <v>57.14</v>
      </c>
      <c r="F403" t="s">
        <v>72</v>
      </c>
      <c r="G403">
        <v>2</v>
      </c>
      <c r="H403">
        <v>73.47</v>
      </c>
    </row>
    <row r="404" spans="1:11" x14ac:dyDescent="0.3">
      <c r="A404" t="s">
        <v>804</v>
      </c>
      <c r="B404" s="39">
        <v>1028.57</v>
      </c>
      <c r="C404" t="s">
        <v>65</v>
      </c>
      <c r="D404">
        <v>12</v>
      </c>
      <c r="E404">
        <v>73.47</v>
      </c>
      <c r="F404" t="s">
        <v>72</v>
      </c>
      <c r="G404">
        <v>2</v>
      </c>
      <c r="H404">
        <v>73.47</v>
      </c>
    </row>
    <row r="405" spans="1:11" x14ac:dyDescent="0.3">
      <c r="A405" t="s">
        <v>805</v>
      </c>
      <c r="B405">
        <v>832.56</v>
      </c>
      <c r="C405" t="s">
        <v>27</v>
      </c>
      <c r="D405">
        <v>12</v>
      </c>
      <c r="E405">
        <v>57.14</v>
      </c>
      <c r="F405" t="s">
        <v>72</v>
      </c>
      <c r="G405">
        <v>2</v>
      </c>
      <c r="H405">
        <v>73.47</v>
      </c>
    </row>
    <row r="406" spans="1:11" x14ac:dyDescent="0.3">
      <c r="A406" t="s">
        <v>806</v>
      </c>
      <c r="B406">
        <v>832.56</v>
      </c>
      <c r="C406" t="s">
        <v>27</v>
      </c>
      <c r="D406">
        <v>12</v>
      </c>
      <c r="E406">
        <v>57.14</v>
      </c>
      <c r="F406" t="s">
        <v>72</v>
      </c>
      <c r="G406">
        <v>2</v>
      </c>
      <c r="H406">
        <v>73.47</v>
      </c>
    </row>
    <row r="407" spans="1:11" x14ac:dyDescent="0.3">
      <c r="A407" t="s">
        <v>808</v>
      </c>
      <c r="B407" s="39">
        <v>1028.57</v>
      </c>
      <c r="C407" t="s">
        <v>65</v>
      </c>
      <c r="D407">
        <v>12</v>
      </c>
      <c r="E407">
        <v>73.47</v>
      </c>
      <c r="F407" t="s">
        <v>72</v>
      </c>
      <c r="G407">
        <v>2</v>
      </c>
      <c r="H407">
        <v>73.47</v>
      </c>
    </row>
    <row r="408" spans="1:11" x14ac:dyDescent="0.3">
      <c r="A408" t="s">
        <v>807</v>
      </c>
      <c r="B408">
        <v>832.56</v>
      </c>
      <c r="C408" t="s">
        <v>27</v>
      </c>
      <c r="D408">
        <v>12</v>
      </c>
      <c r="E408">
        <v>57.14</v>
      </c>
      <c r="F408" t="s">
        <v>72</v>
      </c>
      <c r="G408">
        <v>2</v>
      </c>
      <c r="H408">
        <v>73.47</v>
      </c>
    </row>
    <row r="409" spans="1:11" x14ac:dyDescent="0.3">
      <c r="A409" t="s">
        <v>809</v>
      </c>
      <c r="B409" s="39">
        <v>1028.57</v>
      </c>
      <c r="C409" t="s">
        <v>65</v>
      </c>
      <c r="D409">
        <v>12</v>
      </c>
      <c r="E409">
        <v>73.47</v>
      </c>
      <c r="F409" t="s">
        <v>72</v>
      </c>
      <c r="G409">
        <v>2</v>
      </c>
      <c r="H409">
        <v>73.47</v>
      </c>
    </row>
    <row r="410" spans="1:11" x14ac:dyDescent="0.3">
      <c r="A410" t="s">
        <v>810</v>
      </c>
      <c r="B410">
        <v>832.56</v>
      </c>
      <c r="C410" t="s">
        <v>27</v>
      </c>
      <c r="D410">
        <v>12</v>
      </c>
      <c r="E410">
        <v>57.14</v>
      </c>
      <c r="F410" t="s">
        <v>72</v>
      </c>
      <c r="G410">
        <v>2</v>
      </c>
      <c r="H410">
        <v>73.47</v>
      </c>
    </row>
    <row r="411" spans="1:11" x14ac:dyDescent="0.3">
      <c r="A411" t="s">
        <v>811</v>
      </c>
      <c r="B411" s="39">
        <v>1028.57</v>
      </c>
      <c r="C411" t="s">
        <v>65</v>
      </c>
      <c r="D411">
        <v>12</v>
      </c>
      <c r="E411">
        <v>73.47</v>
      </c>
      <c r="F411" t="s">
        <v>72</v>
      </c>
      <c r="G411">
        <v>2</v>
      </c>
      <c r="H411">
        <v>73.47</v>
      </c>
    </row>
    <row r="412" spans="1:11" x14ac:dyDescent="0.3">
      <c r="A412" t="s">
        <v>812</v>
      </c>
      <c r="B412" s="39">
        <v>1126.51</v>
      </c>
      <c r="C412" t="s">
        <v>29</v>
      </c>
      <c r="D412">
        <v>12</v>
      </c>
      <c r="E412">
        <v>73.47</v>
      </c>
      <c r="F412" t="s">
        <v>74</v>
      </c>
      <c r="G412">
        <v>2</v>
      </c>
      <c r="H412">
        <v>73.47</v>
      </c>
      <c r="I412" t="s">
        <v>164</v>
      </c>
      <c r="J412">
        <v>1</v>
      </c>
      <c r="K412">
        <v>97.94</v>
      </c>
    </row>
    <row r="413" spans="1:11" x14ac:dyDescent="0.3">
      <c r="A413" t="s">
        <v>813</v>
      </c>
      <c r="B413" s="39">
        <v>1028.57</v>
      </c>
      <c r="C413" t="s">
        <v>29</v>
      </c>
      <c r="D413">
        <v>12</v>
      </c>
      <c r="E413">
        <v>73.47</v>
      </c>
      <c r="F413" t="s">
        <v>74</v>
      </c>
      <c r="G413">
        <v>2</v>
      </c>
      <c r="H413">
        <v>73.47</v>
      </c>
    </row>
    <row r="414" spans="1:11" x14ac:dyDescent="0.3">
      <c r="A414" t="s">
        <v>814</v>
      </c>
      <c r="B414" s="39">
        <v>1224.57</v>
      </c>
      <c r="C414" t="s">
        <v>67</v>
      </c>
      <c r="D414">
        <v>12</v>
      </c>
      <c r="E414">
        <v>89.8</v>
      </c>
      <c r="F414" t="s">
        <v>74</v>
      </c>
      <c r="G414">
        <v>2</v>
      </c>
      <c r="H414">
        <v>73.47</v>
      </c>
    </row>
    <row r="415" spans="1:11" x14ac:dyDescent="0.3">
      <c r="A415" t="s">
        <v>816</v>
      </c>
      <c r="B415" s="39">
        <v>1028.57</v>
      </c>
      <c r="C415" t="s">
        <v>29</v>
      </c>
      <c r="D415">
        <v>12</v>
      </c>
      <c r="E415">
        <v>73.47</v>
      </c>
      <c r="F415" t="s">
        <v>74</v>
      </c>
      <c r="G415">
        <v>2</v>
      </c>
      <c r="H415">
        <v>73.47</v>
      </c>
    </row>
    <row r="416" spans="1:11" x14ac:dyDescent="0.3">
      <c r="A416" t="s">
        <v>815</v>
      </c>
      <c r="B416" s="39">
        <v>1028.57</v>
      </c>
      <c r="C416" t="s">
        <v>29</v>
      </c>
      <c r="D416">
        <v>12</v>
      </c>
      <c r="E416">
        <v>73.47</v>
      </c>
      <c r="F416" t="s">
        <v>74</v>
      </c>
      <c r="G416">
        <v>2</v>
      </c>
      <c r="H416">
        <v>73.47</v>
      </c>
    </row>
    <row r="417" spans="1:11" x14ac:dyDescent="0.3">
      <c r="A417" t="s">
        <v>817</v>
      </c>
      <c r="B417" s="39">
        <v>1028.57</v>
      </c>
      <c r="C417" t="s">
        <v>29</v>
      </c>
      <c r="D417">
        <v>12</v>
      </c>
      <c r="E417">
        <v>73.47</v>
      </c>
      <c r="F417" t="s">
        <v>74</v>
      </c>
      <c r="G417">
        <v>2</v>
      </c>
      <c r="H417">
        <v>73.47</v>
      </c>
    </row>
    <row r="418" spans="1:11" x14ac:dyDescent="0.3">
      <c r="A418" t="s">
        <v>818</v>
      </c>
      <c r="B418" s="39">
        <v>1028.57</v>
      </c>
      <c r="C418" t="s">
        <v>29</v>
      </c>
      <c r="D418">
        <v>12</v>
      </c>
      <c r="E418">
        <v>73.47</v>
      </c>
      <c r="F418" t="s">
        <v>74</v>
      </c>
      <c r="G418">
        <v>2</v>
      </c>
      <c r="H418">
        <v>73.47</v>
      </c>
    </row>
    <row r="419" spans="1:11" x14ac:dyDescent="0.3">
      <c r="A419" t="s">
        <v>819</v>
      </c>
      <c r="B419" s="39">
        <v>1028.57</v>
      </c>
      <c r="C419" t="s">
        <v>29</v>
      </c>
      <c r="D419">
        <v>12</v>
      </c>
      <c r="E419">
        <v>73.47</v>
      </c>
      <c r="F419" t="s">
        <v>74</v>
      </c>
      <c r="G419">
        <v>2</v>
      </c>
      <c r="H419">
        <v>73.47</v>
      </c>
    </row>
    <row r="420" spans="1:11" x14ac:dyDescent="0.3">
      <c r="A420" t="s">
        <v>820</v>
      </c>
      <c r="B420" s="39">
        <v>1028.57</v>
      </c>
      <c r="C420" t="s">
        <v>29</v>
      </c>
      <c r="D420">
        <v>12</v>
      </c>
      <c r="E420">
        <v>73.47</v>
      </c>
      <c r="F420" t="s">
        <v>74</v>
      </c>
      <c r="G420">
        <v>2</v>
      </c>
      <c r="H420">
        <v>73.47</v>
      </c>
    </row>
    <row r="421" spans="1:11" x14ac:dyDescent="0.3">
      <c r="A421" t="s">
        <v>821</v>
      </c>
      <c r="B421" s="39">
        <v>1224.57</v>
      </c>
      <c r="C421" t="s">
        <v>67</v>
      </c>
      <c r="D421">
        <v>12</v>
      </c>
      <c r="E421">
        <v>89.8</v>
      </c>
      <c r="F421" t="s">
        <v>74</v>
      </c>
      <c r="G421">
        <v>2</v>
      </c>
      <c r="H421">
        <v>73.47</v>
      </c>
    </row>
    <row r="422" spans="1:11" x14ac:dyDescent="0.3">
      <c r="A422" t="s">
        <v>822</v>
      </c>
      <c r="B422" s="39">
        <v>1028.57</v>
      </c>
      <c r="C422" t="s">
        <v>29</v>
      </c>
      <c r="D422">
        <v>12</v>
      </c>
      <c r="E422">
        <v>73.47</v>
      </c>
      <c r="F422" t="s">
        <v>74</v>
      </c>
      <c r="G422">
        <v>2</v>
      </c>
      <c r="H422">
        <v>73.47</v>
      </c>
    </row>
    <row r="423" spans="1:11" x14ac:dyDescent="0.3">
      <c r="A423" t="s">
        <v>824</v>
      </c>
      <c r="B423" s="39">
        <v>2399.62</v>
      </c>
      <c r="C423" t="s">
        <v>69</v>
      </c>
      <c r="D423">
        <v>12</v>
      </c>
      <c r="E423">
        <v>106.11</v>
      </c>
      <c r="F423" t="s">
        <v>74</v>
      </c>
      <c r="G423">
        <v>2</v>
      </c>
      <c r="H423">
        <v>73.47</v>
      </c>
      <c r="I423" t="s">
        <v>160</v>
      </c>
      <c r="J423">
        <v>10</v>
      </c>
      <c r="K423">
        <v>97.94</v>
      </c>
    </row>
    <row r="424" spans="1:11" x14ac:dyDescent="0.3">
      <c r="A424" t="s">
        <v>825</v>
      </c>
      <c r="B424" s="39">
        <v>1224.57</v>
      </c>
      <c r="C424" t="s">
        <v>31</v>
      </c>
      <c r="D424">
        <v>12</v>
      </c>
      <c r="E424">
        <v>89.8</v>
      </c>
      <c r="F424" t="s">
        <v>74</v>
      </c>
      <c r="G424">
        <v>2</v>
      </c>
      <c r="H424">
        <v>73.47</v>
      </c>
    </row>
    <row r="425" spans="1:11" x14ac:dyDescent="0.3">
      <c r="A425" t="s">
        <v>826</v>
      </c>
      <c r="B425" s="39">
        <v>1420.26</v>
      </c>
      <c r="C425" t="s">
        <v>69</v>
      </c>
      <c r="D425">
        <v>12</v>
      </c>
      <c r="E425">
        <v>106.11</v>
      </c>
      <c r="F425" t="s">
        <v>74</v>
      </c>
      <c r="G425">
        <v>2</v>
      </c>
      <c r="H425">
        <v>73.47</v>
      </c>
    </row>
    <row r="426" spans="1:11" x14ac:dyDescent="0.3">
      <c r="A426" t="s">
        <v>827</v>
      </c>
      <c r="B426" s="39">
        <v>1224.57</v>
      </c>
      <c r="C426" t="s">
        <v>31</v>
      </c>
      <c r="D426">
        <v>12</v>
      </c>
      <c r="E426">
        <v>89.8</v>
      </c>
      <c r="F426" t="s">
        <v>74</v>
      </c>
      <c r="G426">
        <v>2</v>
      </c>
      <c r="H426">
        <v>73.47</v>
      </c>
    </row>
    <row r="427" spans="1:11" x14ac:dyDescent="0.3">
      <c r="A427" t="s">
        <v>828</v>
      </c>
      <c r="B427" s="39">
        <v>1420.26</v>
      </c>
      <c r="C427" t="s">
        <v>69</v>
      </c>
      <c r="D427">
        <v>12</v>
      </c>
      <c r="E427">
        <v>106.11</v>
      </c>
      <c r="F427" t="s">
        <v>74</v>
      </c>
      <c r="G427">
        <v>2</v>
      </c>
      <c r="H427">
        <v>73.47</v>
      </c>
    </row>
    <row r="428" spans="1:11" x14ac:dyDescent="0.3">
      <c r="A428" t="s">
        <v>830</v>
      </c>
      <c r="B428" s="39">
        <v>1224.57</v>
      </c>
      <c r="C428" t="s">
        <v>31</v>
      </c>
      <c r="D428">
        <v>12</v>
      </c>
      <c r="E428">
        <v>89.8</v>
      </c>
      <c r="F428" t="s">
        <v>74</v>
      </c>
      <c r="G428">
        <v>2</v>
      </c>
      <c r="H428">
        <v>73.47</v>
      </c>
    </row>
    <row r="429" spans="1:11" x14ac:dyDescent="0.3">
      <c r="A429" t="s">
        <v>831</v>
      </c>
      <c r="B429" s="39">
        <v>1224.57</v>
      </c>
      <c r="C429" t="s">
        <v>31</v>
      </c>
      <c r="D429">
        <v>12</v>
      </c>
      <c r="E429">
        <v>89.8</v>
      </c>
      <c r="F429" t="s">
        <v>74</v>
      </c>
      <c r="G429">
        <v>2</v>
      </c>
      <c r="H429">
        <v>73.47</v>
      </c>
    </row>
    <row r="430" spans="1:11" x14ac:dyDescent="0.3">
      <c r="A430" t="s">
        <v>832</v>
      </c>
      <c r="B430" s="39">
        <v>1420.26</v>
      </c>
      <c r="C430" t="s">
        <v>69</v>
      </c>
      <c r="D430">
        <v>12</v>
      </c>
      <c r="E430">
        <v>106.11</v>
      </c>
      <c r="F430" t="s">
        <v>74</v>
      </c>
      <c r="G430">
        <v>2</v>
      </c>
      <c r="H430">
        <v>73.47</v>
      </c>
    </row>
    <row r="431" spans="1:11" x14ac:dyDescent="0.3">
      <c r="A431" t="s">
        <v>829</v>
      </c>
      <c r="B431" s="39">
        <v>1224.57</v>
      </c>
      <c r="C431" t="s">
        <v>31</v>
      </c>
      <c r="D431">
        <v>12</v>
      </c>
      <c r="E431">
        <v>89.8</v>
      </c>
      <c r="F431" t="s">
        <v>74</v>
      </c>
      <c r="G431">
        <v>2</v>
      </c>
      <c r="H431">
        <v>73.47</v>
      </c>
    </row>
    <row r="432" spans="1:11" x14ac:dyDescent="0.3">
      <c r="A432" t="s">
        <v>833</v>
      </c>
      <c r="B432" s="39">
        <v>1224.57</v>
      </c>
      <c r="C432" t="s">
        <v>31</v>
      </c>
      <c r="D432">
        <v>12</v>
      </c>
      <c r="E432">
        <v>89.8</v>
      </c>
      <c r="F432" t="s">
        <v>74</v>
      </c>
      <c r="G432">
        <v>2</v>
      </c>
      <c r="H432">
        <v>73.47</v>
      </c>
    </row>
    <row r="433" spans="1:8" x14ac:dyDescent="0.3">
      <c r="A433" t="s">
        <v>834</v>
      </c>
      <c r="B433" s="39">
        <v>1420.26</v>
      </c>
      <c r="C433" t="s">
        <v>69</v>
      </c>
      <c r="D433">
        <v>12</v>
      </c>
      <c r="E433">
        <v>106.11</v>
      </c>
      <c r="F433" t="s">
        <v>74</v>
      </c>
      <c r="G433">
        <v>2</v>
      </c>
      <c r="H433">
        <v>73.47</v>
      </c>
    </row>
    <row r="434" spans="1:8" x14ac:dyDescent="0.3">
      <c r="A434" t="s">
        <v>835</v>
      </c>
      <c r="B434" s="39">
        <v>1224.57</v>
      </c>
      <c r="C434" t="s">
        <v>31</v>
      </c>
      <c r="D434">
        <v>12</v>
      </c>
      <c r="E434">
        <v>89.8</v>
      </c>
      <c r="F434" t="s">
        <v>74</v>
      </c>
      <c r="G434">
        <v>2</v>
      </c>
      <c r="H434">
        <v>73.47</v>
      </c>
    </row>
    <row r="435" spans="1:8" x14ac:dyDescent="0.3">
      <c r="A435" t="s">
        <v>836</v>
      </c>
      <c r="B435" s="39">
        <v>1224.57</v>
      </c>
      <c r="C435" t="s">
        <v>31</v>
      </c>
      <c r="D435">
        <v>12</v>
      </c>
      <c r="E435">
        <v>89.8</v>
      </c>
      <c r="F435" t="s">
        <v>74</v>
      </c>
      <c r="G435">
        <v>2</v>
      </c>
      <c r="H435">
        <v>73.47</v>
      </c>
    </row>
    <row r="436" spans="1:8" x14ac:dyDescent="0.3">
      <c r="A436" t="s">
        <v>838</v>
      </c>
      <c r="B436" s="39">
        <v>1224.57</v>
      </c>
      <c r="C436" t="s">
        <v>31</v>
      </c>
      <c r="D436">
        <v>12</v>
      </c>
      <c r="E436">
        <v>89.8</v>
      </c>
      <c r="F436" t="s">
        <v>74</v>
      </c>
      <c r="G436">
        <v>2</v>
      </c>
      <c r="H436">
        <v>73.47</v>
      </c>
    </row>
    <row r="437" spans="1:8" x14ac:dyDescent="0.3">
      <c r="A437" t="s">
        <v>837</v>
      </c>
      <c r="B437" s="39">
        <v>1224.57</v>
      </c>
      <c r="C437" t="s">
        <v>31</v>
      </c>
      <c r="D437">
        <v>12</v>
      </c>
      <c r="E437">
        <v>89.8</v>
      </c>
      <c r="F437" t="s">
        <v>74</v>
      </c>
      <c r="G437">
        <v>2</v>
      </c>
      <c r="H437">
        <v>73.47</v>
      </c>
    </row>
    <row r="438" spans="1:8" x14ac:dyDescent="0.3">
      <c r="A438" t="s">
        <v>839</v>
      </c>
      <c r="B438" s="39">
        <v>1224.57</v>
      </c>
      <c r="C438" t="s">
        <v>31</v>
      </c>
      <c r="D438">
        <v>12</v>
      </c>
      <c r="E438">
        <v>89.8</v>
      </c>
      <c r="F438" t="s">
        <v>74</v>
      </c>
      <c r="G438">
        <v>2</v>
      </c>
      <c r="H438">
        <v>73.47</v>
      </c>
    </row>
    <row r="439" spans="1:8" x14ac:dyDescent="0.3">
      <c r="A439" t="s">
        <v>840</v>
      </c>
      <c r="B439" s="39">
        <v>1420.26</v>
      </c>
      <c r="C439" t="s">
        <v>69</v>
      </c>
      <c r="D439">
        <v>12</v>
      </c>
      <c r="E439">
        <v>106.11</v>
      </c>
      <c r="F439" t="s">
        <v>74</v>
      </c>
      <c r="G439">
        <v>2</v>
      </c>
      <c r="H439">
        <v>73.47</v>
      </c>
    </row>
    <row r="440" spans="1:8" x14ac:dyDescent="0.3">
      <c r="A440" t="s">
        <v>962</v>
      </c>
      <c r="B440" s="39">
        <v>1224.57</v>
      </c>
      <c r="C440" t="s">
        <v>31</v>
      </c>
      <c r="D440">
        <v>12</v>
      </c>
      <c r="E440">
        <v>89.8</v>
      </c>
      <c r="F440" t="s">
        <v>74</v>
      </c>
      <c r="G440">
        <v>2</v>
      </c>
      <c r="H440">
        <v>73.47</v>
      </c>
    </row>
    <row r="441" spans="1:8" x14ac:dyDescent="0.3">
      <c r="A441" t="s">
        <v>841</v>
      </c>
      <c r="B441" s="39">
        <v>1420.26</v>
      </c>
      <c r="C441" t="s">
        <v>69</v>
      </c>
      <c r="D441">
        <v>12</v>
      </c>
      <c r="E441">
        <v>106.11</v>
      </c>
      <c r="F441" t="s">
        <v>74</v>
      </c>
      <c r="G441">
        <v>2</v>
      </c>
      <c r="H441">
        <v>73.47</v>
      </c>
    </row>
    <row r="442" spans="1:8" x14ac:dyDescent="0.3">
      <c r="A442" t="s">
        <v>842</v>
      </c>
      <c r="B442" s="39">
        <v>1224.57</v>
      </c>
      <c r="C442" t="s">
        <v>31</v>
      </c>
      <c r="D442">
        <v>12</v>
      </c>
      <c r="E442">
        <v>89.8</v>
      </c>
      <c r="F442" t="s">
        <v>74</v>
      </c>
      <c r="G442">
        <v>2</v>
      </c>
      <c r="H442">
        <v>73.47</v>
      </c>
    </row>
    <row r="443" spans="1:8" x14ac:dyDescent="0.3">
      <c r="A443" t="s">
        <v>843</v>
      </c>
      <c r="B443" s="39">
        <v>1224.57</v>
      </c>
      <c r="C443" t="s">
        <v>31</v>
      </c>
      <c r="D443">
        <v>12</v>
      </c>
      <c r="E443">
        <v>89.8</v>
      </c>
      <c r="F443" t="s">
        <v>74</v>
      </c>
      <c r="G443">
        <v>2</v>
      </c>
      <c r="H443">
        <v>73.47</v>
      </c>
    </row>
    <row r="444" spans="1:8" x14ac:dyDescent="0.3">
      <c r="A444" t="s">
        <v>845</v>
      </c>
      <c r="B444" s="39">
        <v>1224.57</v>
      </c>
      <c r="C444" t="s">
        <v>31</v>
      </c>
      <c r="D444">
        <v>12</v>
      </c>
      <c r="E444">
        <v>89.8</v>
      </c>
      <c r="F444" t="s">
        <v>74</v>
      </c>
      <c r="G444">
        <v>2</v>
      </c>
      <c r="H444">
        <v>73.47</v>
      </c>
    </row>
    <row r="445" spans="1:8" x14ac:dyDescent="0.3">
      <c r="A445" t="s">
        <v>844</v>
      </c>
      <c r="B445" s="39">
        <v>1224.57</v>
      </c>
      <c r="C445" t="s">
        <v>31</v>
      </c>
      <c r="D445">
        <v>12</v>
      </c>
      <c r="E445">
        <v>89.8</v>
      </c>
      <c r="F445" t="s">
        <v>74</v>
      </c>
      <c r="G445">
        <v>2</v>
      </c>
      <c r="H445">
        <v>73.47</v>
      </c>
    </row>
    <row r="446" spans="1:8" x14ac:dyDescent="0.3">
      <c r="A446" t="s">
        <v>846</v>
      </c>
      <c r="B446" s="39">
        <v>1224.57</v>
      </c>
      <c r="C446" t="s">
        <v>31</v>
      </c>
      <c r="D446">
        <v>12</v>
      </c>
      <c r="E446">
        <v>89.8</v>
      </c>
      <c r="F446" t="s">
        <v>74</v>
      </c>
      <c r="G446">
        <v>2</v>
      </c>
      <c r="H446">
        <v>73.47</v>
      </c>
    </row>
    <row r="447" spans="1:8" x14ac:dyDescent="0.3">
      <c r="A447" t="s">
        <v>848</v>
      </c>
      <c r="B447" s="39">
        <v>1224.57</v>
      </c>
      <c r="C447" t="s">
        <v>31</v>
      </c>
      <c r="D447">
        <v>12</v>
      </c>
      <c r="E447">
        <v>89.8</v>
      </c>
      <c r="F447" t="s">
        <v>74</v>
      </c>
      <c r="G447">
        <v>2</v>
      </c>
      <c r="H447">
        <v>73.47</v>
      </c>
    </row>
    <row r="448" spans="1:8" x14ac:dyDescent="0.3">
      <c r="A448" t="s">
        <v>849</v>
      </c>
      <c r="B448" s="39">
        <v>1420.26</v>
      </c>
      <c r="C448" t="s">
        <v>69</v>
      </c>
      <c r="D448">
        <v>12</v>
      </c>
      <c r="E448">
        <v>106.11</v>
      </c>
      <c r="F448" t="s">
        <v>74</v>
      </c>
      <c r="G448">
        <v>2</v>
      </c>
      <c r="H448">
        <v>73.47</v>
      </c>
    </row>
    <row r="449" spans="1:8" x14ac:dyDescent="0.3">
      <c r="A449" t="s">
        <v>850</v>
      </c>
      <c r="B449" s="39">
        <v>1224.57</v>
      </c>
      <c r="C449" t="s">
        <v>31</v>
      </c>
      <c r="D449">
        <v>12</v>
      </c>
      <c r="E449">
        <v>89.8</v>
      </c>
      <c r="F449" t="s">
        <v>74</v>
      </c>
      <c r="G449">
        <v>2</v>
      </c>
      <c r="H449">
        <v>73.47</v>
      </c>
    </row>
    <row r="450" spans="1:8" x14ac:dyDescent="0.3">
      <c r="A450" t="s">
        <v>851</v>
      </c>
      <c r="B450" s="39">
        <v>1420.26</v>
      </c>
      <c r="C450" t="s">
        <v>69</v>
      </c>
      <c r="D450">
        <v>12</v>
      </c>
      <c r="E450">
        <v>106.11</v>
      </c>
      <c r="F450" t="s">
        <v>74</v>
      </c>
      <c r="G450">
        <v>2</v>
      </c>
      <c r="H450">
        <v>73.47</v>
      </c>
    </row>
    <row r="451" spans="1:8" x14ac:dyDescent="0.3">
      <c r="A451" t="s">
        <v>854</v>
      </c>
      <c r="B451" s="39">
        <v>1420.26</v>
      </c>
      <c r="C451" t="s">
        <v>69</v>
      </c>
      <c r="D451">
        <v>12</v>
      </c>
      <c r="E451">
        <v>106.11</v>
      </c>
      <c r="F451" t="s">
        <v>74</v>
      </c>
      <c r="G451">
        <v>2</v>
      </c>
      <c r="H451">
        <v>73.47</v>
      </c>
    </row>
    <row r="452" spans="1:8" x14ac:dyDescent="0.3">
      <c r="A452" t="s">
        <v>853</v>
      </c>
      <c r="B452" s="39">
        <v>1224.57</v>
      </c>
      <c r="C452" t="s">
        <v>31</v>
      </c>
      <c r="D452">
        <v>12</v>
      </c>
      <c r="E452">
        <v>89.8</v>
      </c>
      <c r="F452" t="s">
        <v>74</v>
      </c>
      <c r="G452">
        <v>2</v>
      </c>
      <c r="H452">
        <v>73.47</v>
      </c>
    </row>
    <row r="453" spans="1:8" x14ac:dyDescent="0.3">
      <c r="A453" t="s">
        <v>855</v>
      </c>
      <c r="B453" s="39">
        <v>1762.99</v>
      </c>
      <c r="C453" t="s">
        <v>33</v>
      </c>
      <c r="D453">
        <v>12</v>
      </c>
      <c r="E453">
        <v>122.44</v>
      </c>
      <c r="F453" t="s">
        <v>79</v>
      </c>
      <c r="G453">
        <v>2</v>
      </c>
      <c r="H453">
        <v>146.87</v>
      </c>
    </row>
    <row r="454" spans="1:8" x14ac:dyDescent="0.3">
      <c r="A454" t="s">
        <v>852</v>
      </c>
      <c r="B454" s="39">
        <v>1420.26</v>
      </c>
      <c r="C454" t="s">
        <v>69</v>
      </c>
      <c r="D454">
        <v>12</v>
      </c>
      <c r="E454">
        <v>106.11</v>
      </c>
      <c r="F454" t="s">
        <v>74</v>
      </c>
      <c r="G454">
        <v>2</v>
      </c>
      <c r="H454">
        <v>73.47</v>
      </c>
    </row>
    <row r="455" spans="1:8" x14ac:dyDescent="0.3">
      <c r="A455" t="s">
        <v>856</v>
      </c>
      <c r="B455" s="39">
        <v>1762.99</v>
      </c>
      <c r="C455" t="s">
        <v>33</v>
      </c>
      <c r="D455">
        <v>12</v>
      </c>
      <c r="E455">
        <v>122.44</v>
      </c>
      <c r="F455" t="s">
        <v>79</v>
      </c>
      <c r="G455">
        <v>2</v>
      </c>
      <c r="H455">
        <v>146.87</v>
      </c>
    </row>
    <row r="456" spans="1:8" x14ac:dyDescent="0.3">
      <c r="A456" t="s">
        <v>857</v>
      </c>
      <c r="B456" s="39">
        <v>1762.99</v>
      </c>
      <c r="C456" t="s">
        <v>33</v>
      </c>
      <c r="D456">
        <v>12</v>
      </c>
      <c r="E456">
        <v>122.44</v>
      </c>
      <c r="F456" t="s">
        <v>79</v>
      </c>
      <c r="G456">
        <v>2</v>
      </c>
      <c r="H456">
        <v>146.87</v>
      </c>
    </row>
    <row r="457" spans="1:8" x14ac:dyDescent="0.3">
      <c r="A457" t="s">
        <v>858</v>
      </c>
      <c r="B457" s="39">
        <v>1762.99</v>
      </c>
      <c r="C457" t="s">
        <v>33</v>
      </c>
      <c r="D457">
        <v>12</v>
      </c>
      <c r="E457">
        <v>122.44</v>
      </c>
      <c r="F457" t="s">
        <v>79</v>
      </c>
      <c r="G457">
        <v>2</v>
      </c>
      <c r="H457">
        <v>146.87</v>
      </c>
    </row>
    <row r="458" spans="1:8" x14ac:dyDescent="0.3">
      <c r="A458" t="s">
        <v>859</v>
      </c>
      <c r="B458" s="39">
        <v>1958.88</v>
      </c>
      <c r="C458" t="s">
        <v>35</v>
      </c>
      <c r="D458">
        <v>12</v>
      </c>
      <c r="E458">
        <v>138.76</v>
      </c>
      <c r="F458" t="s">
        <v>79</v>
      </c>
      <c r="G458">
        <v>2</v>
      </c>
      <c r="H458">
        <v>146.87</v>
      </c>
    </row>
    <row r="459" spans="1:8" x14ac:dyDescent="0.3">
      <c r="A459" t="s">
        <v>860</v>
      </c>
      <c r="B459">
        <v>881.55</v>
      </c>
      <c r="C459" t="s">
        <v>39</v>
      </c>
      <c r="D459">
        <v>12</v>
      </c>
      <c r="E459">
        <v>61.22</v>
      </c>
      <c r="F459" t="s">
        <v>72</v>
      </c>
      <c r="G459">
        <v>2</v>
      </c>
      <c r="H459">
        <v>73.47</v>
      </c>
    </row>
    <row r="460" spans="1:8" x14ac:dyDescent="0.3">
      <c r="A460" t="s">
        <v>862</v>
      </c>
      <c r="B460" s="39">
        <v>1322.29</v>
      </c>
      <c r="C460" t="s">
        <v>43</v>
      </c>
      <c r="D460">
        <v>12</v>
      </c>
      <c r="E460">
        <v>97.95</v>
      </c>
      <c r="F460" t="s">
        <v>74</v>
      </c>
      <c r="G460">
        <v>2</v>
      </c>
      <c r="H460">
        <v>73.47</v>
      </c>
    </row>
    <row r="461" spans="1:8" x14ac:dyDescent="0.3">
      <c r="A461" t="s">
        <v>861</v>
      </c>
      <c r="B461" s="39">
        <v>1322.29</v>
      </c>
      <c r="C461" t="s">
        <v>43</v>
      </c>
      <c r="D461">
        <v>12</v>
      </c>
      <c r="E461">
        <v>97.95</v>
      </c>
      <c r="F461" t="s">
        <v>74</v>
      </c>
      <c r="G461">
        <v>2</v>
      </c>
      <c r="H461">
        <v>73.47</v>
      </c>
    </row>
    <row r="462" spans="1:8" x14ac:dyDescent="0.3">
      <c r="A462" t="s">
        <v>863</v>
      </c>
      <c r="B462">
        <v>881.55</v>
      </c>
      <c r="C462" t="s">
        <v>39</v>
      </c>
      <c r="D462">
        <v>12</v>
      </c>
      <c r="E462">
        <v>61.22</v>
      </c>
      <c r="F462" t="s">
        <v>72</v>
      </c>
      <c r="G462">
        <v>2</v>
      </c>
      <c r="H462">
        <v>73.47</v>
      </c>
    </row>
    <row r="463" spans="1:8" x14ac:dyDescent="0.3">
      <c r="A463" t="s">
        <v>864</v>
      </c>
      <c r="B463" s="39">
        <v>1322.29</v>
      </c>
      <c r="C463" t="s">
        <v>43</v>
      </c>
      <c r="D463">
        <v>12</v>
      </c>
      <c r="E463">
        <v>97.95</v>
      </c>
      <c r="F463" t="s">
        <v>74</v>
      </c>
      <c r="G463">
        <v>2</v>
      </c>
      <c r="H463">
        <v>73.47</v>
      </c>
    </row>
    <row r="464" spans="1:8" x14ac:dyDescent="0.3">
      <c r="A464" t="s">
        <v>865</v>
      </c>
      <c r="B464" s="39">
        <v>1322.29</v>
      </c>
      <c r="C464" t="s">
        <v>43</v>
      </c>
      <c r="D464">
        <v>12</v>
      </c>
      <c r="E464">
        <v>97.95</v>
      </c>
      <c r="F464" t="s">
        <v>74</v>
      </c>
      <c r="G464">
        <v>2</v>
      </c>
      <c r="H464">
        <v>73.47</v>
      </c>
    </row>
    <row r="465" spans="1:8" x14ac:dyDescent="0.3">
      <c r="A465" t="s">
        <v>963</v>
      </c>
      <c r="B465" s="39">
        <v>1322.29</v>
      </c>
      <c r="C465" t="s">
        <v>43</v>
      </c>
      <c r="D465">
        <v>12</v>
      </c>
      <c r="E465">
        <v>97.95</v>
      </c>
      <c r="F465" t="s">
        <v>74</v>
      </c>
      <c r="G465">
        <v>2</v>
      </c>
      <c r="H465">
        <v>73.47</v>
      </c>
    </row>
    <row r="466" spans="1:8" x14ac:dyDescent="0.3">
      <c r="A466" t="s">
        <v>866</v>
      </c>
      <c r="B466" s="39">
        <v>1322.29</v>
      </c>
      <c r="C466" t="s">
        <v>43</v>
      </c>
      <c r="D466">
        <v>12</v>
      </c>
      <c r="E466">
        <v>97.95</v>
      </c>
      <c r="F466" t="s">
        <v>74</v>
      </c>
      <c r="G466">
        <v>2</v>
      </c>
      <c r="H466">
        <v>73.47</v>
      </c>
    </row>
    <row r="467" spans="1:8" x14ac:dyDescent="0.3">
      <c r="A467" t="s">
        <v>867</v>
      </c>
      <c r="B467" s="39">
        <v>2252.73</v>
      </c>
      <c r="C467" t="s">
        <v>47</v>
      </c>
      <c r="D467">
        <v>12</v>
      </c>
      <c r="E467">
        <v>163.25</v>
      </c>
      <c r="F467" t="s">
        <v>79</v>
      </c>
      <c r="G467">
        <v>2</v>
      </c>
      <c r="H467">
        <v>146.87</v>
      </c>
    </row>
    <row r="468" spans="1:8" x14ac:dyDescent="0.3">
      <c r="A468" t="s">
        <v>869</v>
      </c>
      <c r="B468">
        <v>603.88</v>
      </c>
      <c r="C468" t="s">
        <v>24</v>
      </c>
      <c r="D468">
        <v>12</v>
      </c>
      <c r="E468">
        <v>40.799999999999997</v>
      </c>
      <c r="F468" t="s">
        <v>87</v>
      </c>
      <c r="G468">
        <v>2</v>
      </c>
      <c r="H468">
        <v>57.14</v>
      </c>
    </row>
    <row r="469" spans="1:8" x14ac:dyDescent="0.3">
      <c r="A469" t="s">
        <v>868</v>
      </c>
      <c r="B469">
        <v>799.89</v>
      </c>
      <c r="C469" t="s">
        <v>27</v>
      </c>
      <c r="D469">
        <v>12</v>
      </c>
      <c r="E469">
        <v>57.14</v>
      </c>
      <c r="F469" t="s">
        <v>87</v>
      </c>
      <c r="G469">
        <v>2</v>
      </c>
      <c r="H469">
        <v>57.14</v>
      </c>
    </row>
    <row r="470" spans="1:8" x14ac:dyDescent="0.3">
      <c r="A470" t="s">
        <v>870</v>
      </c>
      <c r="B470">
        <v>995.9</v>
      </c>
      <c r="C470" t="s">
        <v>29</v>
      </c>
      <c r="D470">
        <v>12</v>
      </c>
      <c r="E470">
        <v>73.47</v>
      </c>
      <c r="F470" t="s">
        <v>89</v>
      </c>
      <c r="G470">
        <v>2</v>
      </c>
      <c r="H470">
        <v>57.14</v>
      </c>
    </row>
    <row r="471" spans="1:8" x14ac:dyDescent="0.3">
      <c r="A471" t="s">
        <v>871</v>
      </c>
      <c r="B471" s="39">
        <v>1191.9100000000001</v>
      </c>
      <c r="C471" t="s">
        <v>31</v>
      </c>
      <c r="D471">
        <v>12</v>
      </c>
      <c r="E471">
        <v>89.8</v>
      </c>
      <c r="F471" t="s">
        <v>89</v>
      </c>
      <c r="G471">
        <v>2</v>
      </c>
      <c r="H471">
        <v>57.14</v>
      </c>
    </row>
    <row r="472" spans="1:8" x14ac:dyDescent="0.3">
      <c r="A472" t="s">
        <v>873</v>
      </c>
      <c r="B472" s="39">
        <v>1387.59</v>
      </c>
      <c r="C472" t="s">
        <v>69</v>
      </c>
      <c r="D472">
        <v>12</v>
      </c>
      <c r="E472">
        <v>106.11</v>
      </c>
      <c r="F472" t="s">
        <v>89</v>
      </c>
      <c r="G472">
        <v>2</v>
      </c>
      <c r="H472">
        <v>57.14</v>
      </c>
    </row>
    <row r="473" spans="1:8" x14ac:dyDescent="0.3">
      <c r="A473" t="s">
        <v>872</v>
      </c>
      <c r="B473" s="39">
        <v>1191.9100000000001</v>
      </c>
      <c r="C473" t="s">
        <v>31</v>
      </c>
      <c r="D473">
        <v>12</v>
      </c>
      <c r="E473">
        <v>89.8</v>
      </c>
      <c r="F473" t="s">
        <v>89</v>
      </c>
      <c r="G473">
        <v>2</v>
      </c>
      <c r="H473">
        <v>57.14</v>
      </c>
    </row>
    <row r="474" spans="1:8" x14ac:dyDescent="0.3">
      <c r="A474" t="s">
        <v>874</v>
      </c>
      <c r="B474">
        <v>685.62</v>
      </c>
      <c r="C474" t="s">
        <v>27</v>
      </c>
      <c r="D474">
        <v>12</v>
      </c>
      <c r="E474">
        <v>57.14</v>
      </c>
    </row>
    <row r="475" spans="1:8" x14ac:dyDescent="0.3">
      <c r="A475" t="s">
        <v>875</v>
      </c>
      <c r="B475">
        <v>881.63</v>
      </c>
      <c r="C475" t="s">
        <v>65</v>
      </c>
      <c r="D475">
        <v>12</v>
      </c>
      <c r="E475">
        <v>73.47</v>
      </c>
    </row>
    <row r="476" spans="1:8" x14ac:dyDescent="0.3">
      <c r="A476" t="s">
        <v>965</v>
      </c>
      <c r="B476">
        <v>685.62</v>
      </c>
      <c r="C476" t="s">
        <v>27</v>
      </c>
      <c r="D476">
        <v>12</v>
      </c>
      <c r="E476">
        <v>57.14</v>
      </c>
    </row>
    <row r="477" spans="1:8" x14ac:dyDescent="0.3">
      <c r="A477" t="s">
        <v>876</v>
      </c>
      <c r="B477">
        <v>685.62</v>
      </c>
      <c r="C477" t="s">
        <v>27</v>
      </c>
      <c r="D477">
        <v>12</v>
      </c>
      <c r="E477">
        <v>57.14</v>
      </c>
    </row>
    <row r="478" spans="1:8" x14ac:dyDescent="0.3">
      <c r="A478" t="s">
        <v>877</v>
      </c>
      <c r="B478">
        <v>881.63</v>
      </c>
      <c r="C478" t="s">
        <v>29</v>
      </c>
      <c r="D478">
        <v>12</v>
      </c>
      <c r="E478">
        <v>73.47</v>
      </c>
    </row>
    <row r="479" spans="1:8" x14ac:dyDescent="0.3">
      <c r="A479" t="s">
        <v>878</v>
      </c>
      <c r="B479" s="39">
        <v>1077.6400000000001</v>
      </c>
      <c r="C479" t="s">
        <v>31</v>
      </c>
      <c r="D479">
        <v>12</v>
      </c>
      <c r="E479">
        <v>89.8</v>
      </c>
    </row>
    <row r="480" spans="1:8" x14ac:dyDescent="0.3">
      <c r="A480" t="s">
        <v>879</v>
      </c>
      <c r="B480" s="39">
        <v>1273.32</v>
      </c>
      <c r="C480" t="s">
        <v>69</v>
      </c>
      <c r="D480">
        <v>12</v>
      </c>
      <c r="E480">
        <v>106.11</v>
      </c>
    </row>
    <row r="481" spans="1:11" x14ac:dyDescent="0.3">
      <c r="A481" t="s">
        <v>880</v>
      </c>
      <c r="B481" s="39">
        <v>767.22</v>
      </c>
      <c r="C481" t="s">
        <v>27</v>
      </c>
      <c r="D481">
        <v>12</v>
      </c>
      <c r="E481">
        <v>57.14</v>
      </c>
      <c r="F481" t="s">
        <v>99</v>
      </c>
      <c r="G481">
        <v>2</v>
      </c>
      <c r="H481">
        <v>40.799999999999997</v>
      </c>
    </row>
    <row r="482" spans="1:11" x14ac:dyDescent="0.3">
      <c r="A482" t="s">
        <v>881</v>
      </c>
      <c r="B482" s="39">
        <v>1159.24</v>
      </c>
      <c r="C482" t="s">
        <v>31</v>
      </c>
      <c r="D482">
        <v>12</v>
      </c>
      <c r="E482">
        <v>89.8</v>
      </c>
      <c r="F482" t="s">
        <v>99</v>
      </c>
      <c r="G482">
        <v>2</v>
      </c>
      <c r="H482">
        <v>40.799999999999997</v>
      </c>
    </row>
    <row r="483" spans="1:11" x14ac:dyDescent="0.3">
      <c r="A483" t="s">
        <v>883</v>
      </c>
      <c r="B483" s="39">
        <v>1616.05</v>
      </c>
      <c r="C483" t="s">
        <v>31</v>
      </c>
      <c r="D483">
        <v>12</v>
      </c>
      <c r="E483">
        <v>89.8</v>
      </c>
      <c r="F483" t="s">
        <v>110</v>
      </c>
      <c r="G483">
        <v>2</v>
      </c>
      <c r="H483">
        <v>97.94</v>
      </c>
      <c r="I483" t="s">
        <v>137</v>
      </c>
      <c r="J483">
        <v>14</v>
      </c>
      <c r="K483">
        <v>24.47</v>
      </c>
    </row>
    <row r="484" spans="1:11" x14ac:dyDescent="0.3">
      <c r="A484" t="s">
        <v>882</v>
      </c>
      <c r="B484" s="39">
        <v>1616.05</v>
      </c>
      <c r="C484" t="s">
        <v>31</v>
      </c>
      <c r="D484">
        <v>12</v>
      </c>
      <c r="E484">
        <v>89.8</v>
      </c>
      <c r="F484" t="s">
        <v>110</v>
      </c>
      <c r="G484">
        <v>2</v>
      </c>
      <c r="H484">
        <v>97.94</v>
      </c>
      <c r="I484" t="s">
        <v>137</v>
      </c>
      <c r="J484">
        <v>14</v>
      </c>
      <c r="K484">
        <v>24.47</v>
      </c>
    </row>
    <row r="485" spans="1:11" x14ac:dyDescent="0.3">
      <c r="A485" t="s">
        <v>884</v>
      </c>
      <c r="B485" s="39">
        <v>1452.91</v>
      </c>
      <c r="C485" t="s">
        <v>53</v>
      </c>
      <c r="D485">
        <v>10</v>
      </c>
      <c r="E485">
        <v>130.6</v>
      </c>
      <c r="F485" t="s">
        <v>81</v>
      </c>
      <c r="G485">
        <v>2</v>
      </c>
      <c r="H485">
        <v>73.47</v>
      </c>
    </row>
    <row r="486" spans="1:11" x14ac:dyDescent="0.3">
      <c r="A486" t="s">
        <v>967</v>
      </c>
      <c r="B486">
        <v>554.95000000000005</v>
      </c>
      <c r="C486" t="s">
        <v>24</v>
      </c>
      <c r="D486">
        <v>10</v>
      </c>
      <c r="E486">
        <v>40.799999999999997</v>
      </c>
      <c r="F486" t="s">
        <v>72</v>
      </c>
      <c r="G486">
        <v>2</v>
      </c>
      <c r="H486">
        <v>73.47</v>
      </c>
    </row>
    <row r="487" spans="1:11" x14ac:dyDescent="0.3">
      <c r="A487" t="s">
        <v>885</v>
      </c>
      <c r="B487" s="39">
        <v>1811.73</v>
      </c>
      <c r="C487" t="s">
        <v>69</v>
      </c>
      <c r="D487">
        <v>12</v>
      </c>
      <c r="E487">
        <v>106.11</v>
      </c>
      <c r="F487" t="s">
        <v>110</v>
      </c>
      <c r="G487">
        <v>2</v>
      </c>
      <c r="H487">
        <v>97.94</v>
      </c>
      <c r="I487" t="s">
        <v>137</v>
      </c>
      <c r="J487">
        <v>14</v>
      </c>
      <c r="K487">
        <v>24.47</v>
      </c>
    </row>
    <row r="488" spans="1:11" x14ac:dyDescent="0.3">
      <c r="A488" t="s">
        <v>886</v>
      </c>
      <c r="B488">
        <v>718.29</v>
      </c>
      <c r="C488" t="s">
        <v>27</v>
      </c>
      <c r="D488">
        <v>10</v>
      </c>
      <c r="E488">
        <v>57.14</v>
      </c>
      <c r="F488" t="s">
        <v>72</v>
      </c>
      <c r="G488">
        <v>2</v>
      </c>
      <c r="H488">
        <v>73.47</v>
      </c>
    </row>
    <row r="489" spans="1:11" x14ac:dyDescent="0.3">
      <c r="A489" t="s">
        <v>887</v>
      </c>
      <c r="B489">
        <v>718.29</v>
      </c>
      <c r="C489" t="s">
        <v>27</v>
      </c>
      <c r="D489">
        <v>10</v>
      </c>
      <c r="E489">
        <v>57.14</v>
      </c>
      <c r="F489" t="s">
        <v>72</v>
      </c>
      <c r="G489">
        <v>2</v>
      </c>
      <c r="H489">
        <v>73.47</v>
      </c>
    </row>
    <row r="490" spans="1:11" x14ac:dyDescent="0.3">
      <c r="A490" t="s">
        <v>889</v>
      </c>
      <c r="B490">
        <v>718.29</v>
      </c>
      <c r="C490" t="s">
        <v>27</v>
      </c>
      <c r="D490">
        <v>10</v>
      </c>
      <c r="E490">
        <v>57.14</v>
      </c>
      <c r="F490" t="s">
        <v>72</v>
      </c>
      <c r="G490">
        <v>2</v>
      </c>
      <c r="H490">
        <v>73.47</v>
      </c>
    </row>
    <row r="491" spans="1:11" x14ac:dyDescent="0.3">
      <c r="A491" t="s">
        <v>888</v>
      </c>
      <c r="B491">
        <v>718.29</v>
      </c>
      <c r="C491" t="s">
        <v>27</v>
      </c>
      <c r="D491">
        <v>10</v>
      </c>
      <c r="E491">
        <v>57.14</v>
      </c>
      <c r="F491" t="s">
        <v>72</v>
      </c>
      <c r="G491">
        <v>2</v>
      </c>
      <c r="H491">
        <v>73.47</v>
      </c>
    </row>
    <row r="492" spans="1:11" x14ac:dyDescent="0.3">
      <c r="A492" t="s">
        <v>891</v>
      </c>
      <c r="B492">
        <v>718.29</v>
      </c>
      <c r="C492" t="s">
        <v>27</v>
      </c>
      <c r="D492">
        <v>10</v>
      </c>
      <c r="E492">
        <v>57.14</v>
      </c>
      <c r="F492" t="s">
        <v>72</v>
      </c>
      <c r="G492">
        <v>2</v>
      </c>
      <c r="H492">
        <v>73.47</v>
      </c>
    </row>
    <row r="493" spans="1:11" x14ac:dyDescent="0.3">
      <c r="A493" t="s">
        <v>892</v>
      </c>
      <c r="B493">
        <v>718.29</v>
      </c>
      <c r="C493" t="s">
        <v>27</v>
      </c>
      <c r="D493">
        <v>10</v>
      </c>
      <c r="E493">
        <v>57.14</v>
      </c>
      <c r="F493" t="s">
        <v>72</v>
      </c>
      <c r="G493">
        <v>2</v>
      </c>
      <c r="H493">
        <v>73.47</v>
      </c>
    </row>
    <row r="494" spans="1:11" x14ac:dyDescent="0.3">
      <c r="A494" t="s">
        <v>894</v>
      </c>
      <c r="B494">
        <v>718.29</v>
      </c>
      <c r="C494" t="s">
        <v>27</v>
      </c>
      <c r="D494">
        <v>10</v>
      </c>
      <c r="E494">
        <v>57.14</v>
      </c>
      <c r="F494" t="s">
        <v>72</v>
      </c>
      <c r="G494">
        <v>2</v>
      </c>
      <c r="H494">
        <v>73.47</v>
      </c>
    </row>
    <row r="495" spans="1:11" x14ac:dyDescent="0.3">
      <c r="A495" t="s">
        <v>893</v>
      </c>
      <c r="B495">
        <v>718.29</v>
      </c>
      <c r="C495" t="s">
        <v>27</v>
      </c>
      <c r="D495">
        <v>10</v>
      </c>
      <c r="E495">
        <v>57.14</v>
      </c>
      <c r="F495" t="s">
        <v>72</v>
      </c>
      <c r="G495">
        <v>2</v>
      </c>
      <c r="H495">
        <v>73.47</v>
      </c>
    </row>
    <row r="496" spans="1:11" x14ac:dyDescent="0.3">
      <c r="A496" t="s">
        <v>895</v>
      </c>
      <c r="B496">
        <v>718.29</v>
      </c>
      <c r="C496" t="s">
        <v>27</v>
      </c>
      <c r="D496">
        <v>10</v>
      </c>
      <c r="E496">
        <v>57.14</v>
      </c>
      <c r="F496" t="s">
        <v>72</v>
      </c>
      <c r="G496">
        <v>2</v>
      </c>
      <c r="H496">
        <v>73.47</v>
      </c>
    </row>
    <row r="497" spans="1:8" x14ac:dyDescent="0.3">
      <c r="A497" t="s">
        <v>896</v>
      </c>
      <c r="B497" s="39">
        <v>1044.97</v>
      </c>
      <c r="C497" t="s">
        <v>31</v>
      </c>
      <c r="D497">
        <v>10</v>
      </c>
      <c r="E497">
        <v>89.8</v>
      </c>
      <c r="F497" t="s">
        <v>74</v>
      </c>
      <c r="G497">
        <v>2</v>
      </c>
      <c r="H497">
        <v>73.47</v>
      </c>
    </row>
    <row r="498" spans="1:8" x14ac:dyDescent="0.3">
      <c r="A498" t="s">
        <v>898</v>
      </c>
      <c r="B498">
        <v>881.63</v>
      </c>
      <c r="C498" t="s">
        <v>29</v>
      </c>
      <c r="D498">
        <v>10</v>
      </c>
      <c r="E498">
        <v>73.47</v>
      </c>
      <c r="F498" t="s">
        <v>74</v>
      </c>
      <c r="G498">
        <v>2</v>
      </c>
      <c r="H498">
        <v>73.47</v>
      </c>
    </row>
    <row r="499" spans="1:8" x14ac:dyDescent="0.3">
      <c r="A499" t="s">
        <v>897</v>
      </c>
      <c r="B499" s="39">
        <v>1208.04</v>
      </c>
      <c r="C499" t="s">
        <v>69</v>
      </c>
      <c r="D499">
        <v>10</v>
      </c>
      <c r="E499">
        <v>106.11</v>
      </c>
      <c r="F499" t="s">
        <v>74</v>
      </c>
      <c r="G499">
        <v>2</v>
      </c>
      <c r="H499">
        <v>73.47</v>
      </c>
    </row>
    <row r="500" spans="1:8" x14ac:dyDescent="0.3">
      <c r="A500" t="s">
        <v>899</v>
      </c>
      <c r="B500" s="39">
        <v>1044.97</v>
      </c>
      <c r="C500" t="s">
        <v>31</v>
      </c>
      <c r="D500">
        <v>10</v>
      </c>
      <c r="E500">
        <v>89.8</v>
      </c>
      <c r="F500" t="s">
        <v>74</v>
      </c>
      <c r="G500">
        <v>2</v>
      </c>
      <c r="H500">
        <v>73.47</v>
      </c>
    </row>
    <row r="501" spans="1:8" x14ac:dyDescent="0.3">
      <c r="A501" t="s">
        <v>900</v>
      </c>
      <c r="B501" s="39">
        <v>1044.97</v>
      </c>
      <c r="C501" t="s">
        <v>31</v>
      </c>
      <c r="D501">
        <v>10</v>
      </c>
      <c r="E501">
        <v>89.8</v>
      </c>
      <c r="F501" t="s">
        <v>74</v>
      </c>
      <c r="G501">
        <v>2</v>
      </c>
      <c r="H501">
        <v>73.47</v>
      </c>
    </row>
    <row r="502" spans="1:8" x14ac:dyDescent="0.3">
      <c r="A502" t="s">
        <v>901</v>
      </c>
      <c r="B502" s="39">
        <v>1044.97</v>
      </c>
      <c r="C502" t="s">
        <v>31</v>
      </c>
      <c r="D502">
        <v>10</v>
      </c>
      <c r="E502">
        <v>89.8</v>
      </c>
      <c r="F502" t="s">
        <v>74</v>
      </c>
      <c r="G502">
        <v>2</v>
      </c>
      <c r="H502">
        <v>73.47</v>
      </c>
    </row>
    <row r="503" spans="1:8" x14ac:dyDescent="0.3">
      <c r="A503" t="s">
        <v>902</v>
      </c>
      <c r="B503" s="39">
        <v>1044.97</v>
      </c>
      <c r="C503" t="s">
        <v>31</v>
      </c>
      <c r="D503">
        <v>10</v>
      </c>
      <c r="E503">
        <v>89.8</v>
      </c>
      <c r="F503" t="s">
        <v>74</v>
      </c>
      <c r="G503">
        <v>2</v>
      </c>
      <c r="H503">
        <v>73.47</v>
      </c>
    </row>
    <row r="504" spans="1:8" x14ac:dyDescent="0.3">
      <c r="A504" t="s">
        <v>903</v>
      </c>
      <c r="B504" s="39">
        <v>1044.97</v>
      </c>
      <c r="C504" t="s">
        <v>31</v>
      </c>
      <c r="D504">
        <v>10</v>
      </c>
      <c r="E504">
        <v>89.8</v>
      </c>
      <c r="F504" t="s">
        <v>74</v>
      </c>
      <c r="G504">
        <v>2</v>
      </c>
      <c r="H504">
        <v>73.47</v>
      </c>
    </row>
    <row r="505" spans="1:8" x14ac:dyDescent="0.3">
      <c r="A505" t="s">
        <v>904</v>
      </c>
      <c r="B505" s="39">
        <v>1208.04</v>
      </c>
      <c r="C505" t="s">
        <v>69</v>
      </c>
      <c r="D505">
        <v>10</v>
      </c>
      <c r="E505">
        <v>106.11</v>
      </c>
      <c r="F505" t="s">
        <v>74</v>
      </c>
      <c r="G505">
        <v>2</v>
      </c>
      <c r="H505">
        <v>73.47</v>
      </c>
    </row>
    <row r="506" spans="1:8" x14ac:dyDescent="0.3">
      <c r="A506" t="s">
        <v>906</v>
      </c>
      <c r="B506" s="39">
        <v>1208.04</v>
      </c>
      <c r="C506" t="s">
        <v>69</v>
      </c>
      <c r="D506">
        <v>10</v>
      </c>
      <c r="E506">
        <v>106.11</v>
      </c>
      <c r="F506" t="s">
        <v>74</v>
      </c>
      <c r="G506">
        <v>2</v>
      </c>
      <c r="H506">
        <v>73.47</v>
      </c>
    </row>
    <row r="507" spans="1:8" x14ac:dyDescent="0.3">
      <c r="A507" t="s">
        <v>905</v>
      </c>
      <c r="B507" s="39">
        <v>1044.97</v>
      </c>
      <c r="C507" t="s">
        <v>31</v>
      </c>
      <c r="D507">
        <v>10</v>
      </c>
      <c r="E507">
        <v>89.8</v>
      </c>
      <c r="F507" t="s">
        <v>74</v>
      </c>
      <c r="G507">
        <v>2</v>
      </c>
      <c r="H507">
        <v>73.47</v>
      </c>
    </row>
    <row r="508" spans="1:8" x14ac:dyDescent="0.3">
      <c r="A508" t="s">
        <v>907</v>
      </c>
      <c r="B508" s="39">
        <v>1044.97</v>
      </c>
      <c r="C508" t="s">
        <v>31</v>
      </c>
      <c r="D508">
        <v>10</v>
      </c>
      <c r="E508">
        <v>89.8</v>
      </c>
      <c r="F508" t="s">
        <v>74</v>
      </c>
      <c r="G508">
        <v>2</v>
      </c>
      <c r="H508">
        <v>73.47</v>
      </c>
    </row>
    <row r="509" spans="1:8" x14ac:dyDescent="0.3">
      <c r="A509" t="s">
        <v>908</v>
      </c>
      <c r="B509" s="39">
        <v>1126.4000000000001</v>
      </c>
      <c r="C509" t="s">
        <v>43</v>
      </c>
      <c r="D509">
        <v>10</v>
      </c>
      <c r="E509">
        <v>97.95</v>
      </c>
      <c r="F509" t="s">
        <v>74</v>
      </c>
      <c r="G509">
        <v>2</v>
      </c>
      <c r="H509">
        <v>73.47</v>
      </c>
    </row>
    <row r="510" spans="1:8" x14ac:dyDescent="0.3">
      <c r="A510" t="s">
        <v>909</v>
      </c>
      <c r="B510">
        <v>408.01</v>
      </c>
      <c r="C510" t="s">
        <v>24</v>
      </c>
      <c r="D510">
        <v>10</v>
      </c>
      <c r="E510">
        <v>40.799999999999997</v>
      </c>
    </row>
    <row r="511" spans="1:8" x14ac:dyDescent="0.3">
      <c r="A511" t="s">
        <v>910</v>
      </c>
      <c r="B511">
        <v>734.69</v>
      </c>
      <c r="C511" t="s">
        <v>29</v>
      </c>
      <c r="D511">
        <v>10</v>
      </c>
      <c r="E511">
        <v>73.47</v>
      </c>
    </row>
    <row r="512" spans="1:8" x14ac:dyDescent="0.3">
      <c r="A512" t="s">
        <v>911</v>
      </c>
      <c r="B512" s="39">
        <v>1469.18</v>
      </c>
      <c r="C512" t="s">
        <v>45</v>
      </c>
      <c r="D512">
        <v>9</v>
      </c>
      <c r="E512">
        <v>130.6</v>
      </c>
      <c r="F512" t="s">
        <v>79</v>
      </c>
      <c r="G512">
        <v>2</v>
      </c>
      <c r="H512">
        <v>146.87</v>
      </c>
    </row>
    <row r="513" spans="1:8" x14ac:dyDescent="0.3">
      <c r="A513" t="s">
        <v>912</v>
      </c>
      <c r="B513">
        <v>808.16</v>
      </c>
      <c r="C513" t="s">
        <v>65</v>
      </c>
      <c r="D513">
        <v>9</v>
      </c>
      <c r="E513">
        <v>73.47</v>
      </c>
      <c r="F513" t="s">
        <v>72</v>
      </c>
      <c r="G513">
        <v>2</v>
      </c>
      <c r="H513">
        <v>73.47</v>
      </c>
    </row>
    <row r="514" spans="1:8" x14ac:dyDescent="0.3">
      <c r="A514" t="s">
        <v>914</v>
      </c>
      <c r="B514">
        <v>775.49</v>
      </c>
      <c r="C514" t="s">
        <v>65</v>
      </c>
      <c r="D514">
        <v>9</v>
      </c>
      <c r="E514">
        <v>73.47</v>
      </c>
      <c r="F514" t="s">
        <v>87</v>
      </c>
      <c r="G514">
        <v>2</v>
      </c>
      <c r="H514">
        <v>57.14</v>
      </c>
    </row>
    <row r="515" spans="1:8" x14ac:dyDescent="0.3">
      <c r="A515" t="s">
        <v>913</v>
      </c>
      <c r="B515" s="39">
        <v>1322.31</v>
      </c>
      <c r="C515" t="s">
        <v>57</v>
      </c>
      <c r="D515">
        <v>8</v>
      </c>
      <c r="E515">
        <v>146.91999999999999</v>
      </c>
      <c r="F515" t="s">
        <v>83</v>
      </c>
      <c r="G515">
        <v>2</v>
      </c>
      <c r="H515">
        <v>73.47</v>
      </c>
    </row>
    <row r="516" spans="1:8" x14ac:dyDescent="0.3">
      <c r="A516" t="s">
        <v>915</v>
      </c>
      <c r="B516">
        <v>604.02</v>
      </c>
      <c r="C516" t="s">
        <v>27</v>
      </c>
      <c r="D516">
        <v>8</v>
      </c>
      <c r="E516">
        <v>57.14</v>
      </c>
      <c r="F516" t="s">
        <v>72</v>
      </c>
      <c r="G516">
        <v>2</v>
      </c>
      <c r="H516">
        <v>73.47</v>
      </c>
    </row>
    <row r="517" spans="1:8" x14ac:dyDescent="0.3">
      <c r="A517" t="s">
        <v>916</v>
      </c>
      <c r="B517">
        <v>604.02</v>
      </c>
      <c r="C517" t="s">
        <v>27</v>
      </c>
      <c r="D517">
        <v>8</v>
      </c>
      <c r="E517">
        <v>57.14</v>
      </c>
      <c r="F517" t="s">
        <v>72</v>
      </c>
      <c r="G517">
        <v>2</v>
      </c>
      <c r="H517">
        <v>73.47</v>
      </c>
    </row>
    <row r="518" spans="1:8" x14ac:dyDescent="0.3">
      <c r="A518" t="s">
        <v>917</v>
      </c>
      <c r="B518">
        <v>604.02</v>
      </c>
      <c r="C518" t="s">
        <v>27</v>
      </c>
      <c r="D518">
        <v>8</v>
      </c>
      <c r="E518">
        <v>57.14</v>
      </c>
      <c r="F518" t="s">
        <v>72</v>
      </c>
      <c r="G518">
        <v>2</v>
      </c>
      <c r="H518">
        <v>73.47</v>
      </c>
    </row>
    <row r="519" spans="1:8" x14ac:dyDescent="0.3">
      <c r="A519" t="s">
        <v>918</v>
      </c>
      <c r="B519">
        <v>604.02</v>
      </c>
      <c r="C519" t="s">
        <v>27</v>
      </c>
      <c r="D519">
        <v>8</v>
      </c>
      <c r="E519">
        <v>57.14</v>
      </c>
      <c r="F519" t="s">
        <v>72</v>
      </c>
      <c r="G519">
        <v>2</v>
      </c>
      <c r="H519">
        <v>73.47</v>
      </c>
    </row>
    <row r="520" spans="1:8" x14ac:dyDescent="0.3">
      <c r="A520" t="s">
        <v>919</v>
      </c>
      <c r="B520">
        <v>734.69</v>
      </c>
      <c r="C520" t="s">
        <v>65</v>
      </c>
      <c r="D520">
        <v>8</v>
      </c>
      <c r="E520">
        <v>73.47</v>
      </c>
      <c r="F520" t="s">
        <v>72</v>
      </c>
      <c r="G520">
        <v>2</v>
      </c>
      <c r="H520">
        <v>73.47</v>
      </c>
    </row>
    <row r="521" spans="1:8" x14ac:dyDescent="0.3">
      <c r="A521" t="s">
        <v>920</v>
      </c>
      <c r="B521" s="39">
        <v>604.02</v>
      </c>
      <c r="C521" t="s">
        <v>27</v>
      </c>
      <c r="D521">
        <v>8</v>
      </c>
      <c r="E521">
        <v>57.14</v>
      </c>
      <c r="F521" t="s">
        <v>72</v>
      </c>
      <c r="G521">
        <v>2</v>
      </c>
      <c r="H521">
        <v>73.47</v>
      </c>
    </row>
    <row r="522" spans="1:8" x14ac:dyDescent="0.3">
      <c r="A522" t="s">
        <v>921</v>
      </c>
      <c r="B522">
        <v>734.69</v>
      </c>
      <c r="C522" t="s">
        <v>29</v>
      </c>
      <c r="D522">
        <v>8</v>
      </c>
      <c r="E522">
        <v>73.47</v>
      </c>
      <c r="F522" t="s">
        <v>74</v>
      </c>
      <c r="G522">
        <v>2</v>
      </c>
      <c r="H522">
        <v>73.47</v>
      </c>
    </row>
    <row r="523" spans="1:8" x14ac:dyDescent="0.3">
      <c r="A523" t="s">
        <v>922</v>
      </c>
      <c r="B523">
        <v>865.36</v>
      </c>
      <c r="C523" t="s">
        <v>31</v>
      </c>
      <c r="D523">
        <v>8</v>
      </c>
      <c r="E523">
        <v>89.8</v>
      </c>
      <c r="F523" t="s">
        <v>74</v>
      </c>
      <c r="G523">
        <v>2</v>
      </c>
      <c r="H523">
        <v>73.47</v>
      </c>
    </row>
    <row r="524" spans="1:8" x14ac:dyDescent="0.3">
      <c r="A524" t="s">
        <v>923</v>
      </c>
      <c r="B524">
        <v>734.69</v>
      </c>
      <c r="C524" t="s">
        <v>29</v>
      </c>
      <c r="D524">
        <v>8</v>
      </c>
      <c r="E524">
        <v>73.47</v>
      </c>
      <c r="F524" t="s">
        <v>74</v>
      </c>
      <c r="G524">
        <v>2</v>
      </c>
      <c r="H524">
        <v>73.47</v>
      </c>
    </row>
    <row r="525" spans="1:8" x14ac:dyDescent="0.3">
      <c r="A525" t="s">
        <v>924</v>
      </c>
      <c r="B525">
        <v>865.36</v>
      </c>
      <c r="C525" t="s">
        <v>31</v>
      </c>
      <c r="D525">
        <v>8</v>
      </c>
      <c r="E525">
        <v>89.8</v>
      </c>
      <c r="F525" t="s">
        <v>74</v>
      </c>
      <c r="G525">
        <v>2</v>
      </c>
      <c r="H525">
        <v>73.47</v>
      </c>
    </row>
    <row r="526" spans="1:8" x14ac:dyDescent="0.3">
      <c r="A526" t="s">
        <v>926</v>
      </c>
      <c r="B526" s="39">
        <v>1273.24</v>
      </c>
      <c r="C526" t="s">
        <v>33</v>
      </c>
      <c r="D526">
        <v>8</v>
      </c>
      <c r="E526">
        <v>122.44</v>
      </c>
      <c r="F526" t="s">
        <v>79</v>
      </c>
      <c r="G526">
        <v>2</v>
      </c>
      <c r="H526">
        <v>146.87</v>
      </c>
    </row>
    <row r="527" spans="1:8" x14ac:dyDescent="0.3">
      <c r="A527" t="s">
        <v>925</v>
      </c>
      <c r="B527">
        <v>865.36</v>
      </c>
      <c r="C527" t="s">
        <v>31</v>
      </c>
      <c r="D527">
        <v>8</v>
      </c>
      <c r="E527">
        <v>89.8</v>
      </c>
      <c r="F527" t="s">
        <v>74</v>
      </c>
      <c r="G527">
        <v>2</v>
      </c>
      <c r="H527">
        <v>73.47</v>
      </c>
    </row>
    <row r="528" spans="1:8" x14ac:dyDescent="0.3">
      <c r="A528" t="s">
        <v>928</v>
      </c>
      <c r="B528">
        <v>783.57</v>
      </c>
      <c r="C528" t="s">
        <v>41</v>
      </c>
      <c r="D528">
        <v>8</v>
      </c>
      <c r="E528">
        <v>79.58</v>
      </c>
      <c r="F528" t="s">
        <v>74</v>
      </c>
      <c r="G528">
        <v>2</v>
      </c>
      <c r="H528">
        <v>73.47</v>
      </c>
    </row>
    <row r="529" spans="1:8" x14ac:dyDescent="0.3">
      <c r="A529" t="s">
        <v>929</v>
      </c>
      <c r="B529">
        <v>718.42</v>
      </c>
      <c r="C529" t="s">
        <v>67</v>
      </c>
      <c r="D529">
        <v>8</v>
      </c>
      <c r="E529">
        <v>89.8</v>
      </c>
    </row>
    <row r="530" spans="1:8" x14ac:dyDescent="0.3">
      <c r="A530" t="s">
        <v>930</v>
      </c>
      <c r="B530">
        <v>546.88</v>
      </c>
      <c r="C530" t="s">
        <v>27</v>
      </c>
      <c r="D530">
        <v>7</v>
      </c>
      <c r="E530">
        <v>57.14</v>
      </c>
      <c r="F530" t="s">
        <v>72</v>
      </c>
      <c r="G530">
        <v>2</v>
      </c>
      <c r="H530">
        <v>73.47</v>
      </c>
    </row>
    <row r="531" spans="1:8" x14ac:dyDescent="0.3">
      <c r="A531" t="s">
        <v>927</v>
      </c>
      <c r="B531">
        <v>718.42</v>
      </c>
      <c r="C531" t="s">
        <v>31</v>
      </c>
      <c r="D531">
        <v>8</v>
      </c>
      <c r="E531">
        <v>89.8</v>
      </c>
    </row>
    <row r="532" spans="1:8" x14ac:dyDescent="0.3">
      <c r="A532" t="s">
        <v>931</v>
      </c>
      <c r="B532">
        <v>930.52</v>
      </c>
      <c r="C532" t="s">
        <v>53</v>
      </c>
      <c r="D532">
        <v>6</v>
      </c>
      <c r="E532">
        <v>130.6</v>
      </c>
      <c r="F532" t="s">
        <v>81</v>
      </c>
      <c r="G532">
        <v>2</v>
      </c>
      <c r="H532">
        <v>73.47</v>
      </c>
    </row>
    <row r="533" spans="1:8" x14ac:dyDescent="0.3">
      <c r="A533" t="s">
        <v>932</v>
      </c>
      <c r="B533">
        <v>514.29</v>
      </c>
      <c r="C533" t="s">
        <v>29</v>
      </c>
      <c r="D533">
        <v>7</v>
      </c>
      <c r="E533">
        <v>73.47</v>
      </c>
    </row>
    <row r="534" spans="1:8" x14ac:dyDescent="0.3">
      <c r="A534" t="s">
        <v>933</v>
      </c>
      <c r="B534">
        <v>391.74</v>
      </c>
      <c r="C534" t="s">
        <v>24</v>
      </c>
      <c r="D534">
        <v>6</v>
      </c>
      <c r="E534">
        <v>40.799999999999997</v>
      </c>
      <c r="F534" t="s">
        <v>72</v>
      </c>
      <c r="G534">
        <v>2</v>
      </c>
      <c r="H534">
        <v>73.47</v>
      </c>
    </row>
    <row r="535" spans="1:8" x14ac:dyDescent="0.3">
      <c r="A535" t="s">
        <v>934</v>
      </c>
      <c r="B535">
        <v>489.75</v>
      </c>
      <c r="C535" t="s">
        <v>63</v>
      </c>
      <c r="D535">
        <v>6</v>
      </c>
      <c r="E535">
        <v>57.14</v>
      </c>
      <c r="F535" t="s">
        <v>72</v>
      </c>
      <c r="G535">
        <v>2</v>
      </c>
      <c r="H535">
        <v>73.47</v>
      </c>
    </row>
    <row r="536" spans="1:8" x14ac:dyDescent="0.3">
      <c r="A536" t="s">
        <v>935</v>
      </c>
      <c r="B536">
        <v>489.75</v>
      </c>
      <c r="C536" t="s">
        <v>27</v>
      </c>
      <c r="D536">
        <v>6</v>
      </c>
      <c r="E536">
        <v>57.14</v>
      </c>
      <c r="F536" t="s">
        <v>72</v>
      </c>
      <c r="G536">
        <v>2</v>
      </c>
      <c r="H536">
        <v>73.47</v>
      </c>
    </row>
    <row r="537" spans="1:8" x14ac:dyDescent="0.3">
      <c r="A537" t="s">
        <v>938</v>
      </c>
      <c r="B537">
        <v>489.75</v>
      </c>
      <c r="C537" t="s">
        <v>27</v>
      </c>
      <c r="D537">
        <v>6</v>
      </c>
      <c r="E537">
        <v>57.14</v>
      </c>
      <c r="F537" t="s">
        <v>72</v>
      </c>
      <c r="G537">
        <v>2</v>
      </c>
      <c r="H537">
        <v>73.47</v>
      </c>
    </row>
    <row r="538" spans="1:8" x14ac:dyDescent="0.3">
      <c r="A538" t="s">
        <v>937</v>
      </c>
      <c r="B538">
        <v>489.75</v>
      </c>
      <c r="C538" t="s">
        <v>27</v>
      </c>
      <c r="D538">
        <v>6</v>
      </c>
      <c r="E538">
        <v>57.14</v>
      </c>
      <c r="F538" t="s">
        <v>72</v>
      </c>
      <c r="G538">
        <v>2</v>
      </c>
      <c r="H538">
        <v>73.47</v>
      </c>
    </row>
    <row r="539" spans="1:8" x14ac:dyDescent="0.3">
      <c r="A539" t="s">
        <v>936</v>
      </c>
      <c r="B539">
        <v>391.74</v>
      </c>
      <c r="C539" t="s">
        <v>24</v>
      </c>
      <c r="D539">
        <v>6</v>
      </c>
      <c r="E539">
        <v>40.799999999999997</v>
      </c>
      <c r="F539" t="s">
        <v>72</v>
      </c>
      <c r="G539">
        <v>2</v>
      </c>
      <c r="H539">
        <v>73.47</v>
      </c>
    </row>
    <row r="540" spans="1:8" x14ac:dyDescent="0.3">
      <c r="A540" t="s">
        <v>939</v>
      </c>
      <c r="B540">
        <v>489.75</v>
      </c>
      <c r="C540" t="s">
        <v>27</v>
      </c>
      <c r="D540">
        <v>6</v>
      </c>
      <c r="E540">
        <v>57.14</v>
      </c>
      <c r="F540" t="s">
        <v>72</v>
      </c>
      <c r="G540">
        <v>2</v>
      </c>
      <c r="H540">
        <v>73.47</v>
      </c>
    </row>
    <row r="541" spans="1:8" x14ac:dyDescent="0.3">
      <c r="A541" t="s">
        <v>940</v>
      </c>
      <c r="B541">
        <v>587.75</v>
      </c>
      <c r="C541" t="s">
        <v>65</v>
      </c>
      <c r="D541">
        <v>6</v>
      </c>
      <c r="E541">
        <v>73.47</v>
      </c>
      <c r="F541" t="s">
        <v>72</v>
      </c>
      <c r="G541">
        <v>2</v>
      </c>
      <c r="H541">
        <v>73.47</v>
      </c>
    </row>
    <row r="542" spans="1:8" x14ac:dyDescent="0.3">
      <c r="A542" t="s">
        <v>941</v>
      </c>
      <c r="B542">
        <v>489.75</v>
      </c>
      <c r="C542" t="s">
        <v>27</v>
      </c>
      <c r="D542">
        <v>6</v>
      </c>
      <c r="E542">
        <v>57.14</v>
      </c>
      <c r="F542" t="s">
        <v>72</v>
      </c>
      <c r="G542">
        <v>2</v>
      </c>
      <c r="H542">
        <v>73.47</v>
      </c>
    </row>
    <row r="543" spans="1:8" x14ac:dyDescent="0.3">
      <c r="A543" t="s">
        <v>942</v>
      </c>
      <c r="B543">
        <v>489.75</v>
      </c>
      <c r="C543" t="s">
        <v>27</v>
      </c>
      <c r="D543">
        <v>6</v>
      </c>
      <c r="E543">
        <v>57.14</v>
      </c>
      <c r="F543" t="s">
        <v>72</v>
      </c>
      <c r="G543">
        <v>2</v>
      </c>
      <c r="H543">
        <v>73.47</v>
      </c>
    </row>
    <row r="544" spans="1:8" x14ac:dyDescent="0.3">
      <c r="A544" t="s">
        <v>944</v>
      </c>
      <c r="B544">
        <v>489.75</v>
      </c>
      <c r="C544" t="s">
        <v>27</v>
      </c>
      <c r="D544">
        <v>6</v>
      </c>
      <c r="E544">
        <v>57.14</v>
      </c>
      <c r="F544" t="s">
        <v>72</v>
      </c>
      <c r="G544">
        <v>2</v>
      </c>
      <c r="H544">
        <v>73.47</v>
      </c>
    </row>
    <row r="545" spans="1:11" x14ac:dyDescent="0.3">
      <c r="A545" t="s">
        <v>943</v>
      </c>
      <c r="B545">
        <v>587.75</v>
      </c>
      <c r="C545" t="s">
        <v>65</v>
      </c>
      <c r="D545">
        <v>6</v>
      </c>
      <c r="E545">
        <v>73.47</v>
      </c>
      <c r="F545" t="s">
        <v>72</v>
      </c>
      <c r="G545">
        <v>2</v>
      </c>
      <c r="H545">
        <v>73.47</v>
      </c>
    </row>
    <row r="546" spans="1:11" x14ac:dyDescent="0.3">
      <c r="A546" t="s">
        <v>945</v>
      </c>
      <c r="B546">
        <v>489.75</v>
      </c>
      <c r="C546" t="s">
        <v>27</v>
      </c>
      <c r="D546">
        <v>6</v>
      </c>
      <c r="E546">
        <v>57.14</v>
      </c>
      <c r="F546" t="s">
        <v>72</v>
      </c>
      <c r="G546">
        <v>2</v>
      </c>
      <c r="H546">
        <v>73.47</v>
      </c>
    </row>
    <row r="547" spans="1:11" x14ac:dyDescent="0.3">
      <c r="A547" t="s">
        <v>946</v>
      </c>
      <c r="B547">
        <v>587.75</v>
      </c>
      <c r="C547" t="s">
        <v>29</v>
      </c>
      <c r="D547">
        <v>6</v>
      </c>
      <c r="E547">
        <v>73.47</v>
      </c>
      <c r="F547" t="s">
        <v>74</v>
      </c>
      <c r="G547">
        <v>2</v>
      </c>
      <c r="H547">
        <v>73.47</v>
      </c>
    </row>
    <row r="548" spans="1:11" x14ac:dyDescent="0.3">
      <c r="A548" t="s">
        <v>947</v>
      </c>
      <c r="B548">
        <v>587.75</v>
      </c>
      <c r="C548" t="s">
        <v>29</v>
      </c>
      <c r="D548">
        <v>6</v>
      </c>
      <c r="E548">
        <v>73.47</v>
      </c>
      <c r="F548" t="s">
        <v>74</v>
      </c>
      <c r="G548">
        <v>2</v>
      </c>
      <c r="H548">
        <v>73.47</v>
      </c>
    </row>
    <row r="549" spans="1:11" x14ac:dyDescent="0.3">
      <c r="A549" t="s">
        <v>948</v>
      </c>
      <c r="B549">
        <v>979.56</v>
      </c>
      <c r="C549" t="s">
        <v>31</v>
      </c>
      <c r="D549">
        <v>6</v>
      </c>
      <c r="E549">
        <v>89.8</v>
      </c>
      <c r="F549" t="s">
        <v>74</v>
      </c>
      <c r="G549">
        <v>2</v>
      </c>
      <c r="H549">
        <v>73.47</v>
      </c>
      <c r="I549" t="s">
        <v>164</v>
      </c>
      <c r="J549">
        <v>3</v>
      </c>
      <c r="K549">
        <v>97.94</v>
      </c>
    </row>
    <row r="550" spans="1:11" x14ac:dyDescent="0.3">
      <c r="A550" t="s">
        <v>949</v>
      </c>
      <c r="B550">
        <v>685.76</v>
      </c>
      <c r="C550" t="s">
        <v>31</v>
      </c>
      <c r="D550">
        <v>6</v>
      </c>
      <c r="E550">
        <v>89.8</v>
      </c>
      <c r="F550" t="s">
        <v>74</v>
      </c>
      <c r="G550">
        <v>2</v>
      </c>
      <c r="H550">
        <v>73.47</v>
      </c>
    </row>
    <row r="551" spans="1:11" x14ac:dyDescent="0.3">
      <c r="A551" t="s">
        <v>950</v>
      </c>
      <c r="B551">
        <v>783.6</v>
      </c>
      <c r="C551" t="s">
        <v>69</v>
      </c>
      <c r="D551">
        <v>6</v>
      </c>
      <c r="E551">
        <v>106.11</v>
      </c>
      <c r="F551" t="s">
        <v>74</v>
      </c>
      <c r="G551">
        <v>2</v>
      </c>
      <c r="H551">
        <v>73.47</v>
      </c>
    </row>
    <row r="552" spans="1:11" x14ac:dyDescent="0.3">
      <c r="A552" t="s">
        <v>951</v>
      </c>
      <c r="B552">
        <v>359.07</v>
      </c>
      <c r="C552" t="s">
        <v>24</v>
      </c>
      <c r="D552">
        <v>6</v>
      </c>
      <c r="E552">
        <v>40.799999999999997</v>
      </c>
      <c r="F552" t="s">
        <v>87</v>
      </c>
      <c r="G552">
        <v>2</v>
      </c>
      <c r="H552">
        <v>57.14</v>
      </c>
    </row>
    <row r="553" spans="1:11" x14ac:dyDescent="0.3">
      <c r="A553" t="s">
        <v>952</v>
      </c>
      <c r="B553">
        <v>685.76</v>
      </c>
      <c r="C553" t="s">
        <v>31</v>
      </c>
      <c r="D553">
        <v>6</v>
      </c>
      <c r="E553">
        <v>89.8</v>
      </c>
      <c r="F553" t="s">
        <v>74</v>
      </c>
      <c r="G553">
        <v>2</v>
      </c>
      <c r="H553">
        <v>73.47</v>
      </c>
    </row>
    <row r="554" spans="1:11" x14ac:dyDescent="0.3">
      <c r="A554" t="s">
        <v>956</v>
      </c>
      <c r="B554">
        <v>555.09</v>
      </c>
      <c r="C554" t="s">
        <v>65</v>
      </c>
      <c r="D554">
        <v>6</v>
      </c>
      <c r="E554">
        <v>73.47</v>
      </c>
      <c r="F554" t="s">
        <v>87</v>
      </c>
      <c r="G554">
        <v>2</v>
      </c>
      <c r="H554">
        <v>57.14</v>
      </c>
    </row>
    <row r="555" spans="1:11" x14ac:dyDescent="0.3">
      <c r="A555" t="s">
        <v>953</v>
      </c>
      <c r="B555">
        <v>685.76</v>
      </c>
      <c r="C555" t="s">
        <v>31</v>
      </c>
      <c r="D555">
        <v>6</v>
      </c>
      <c r="E555">
        <v>89.8</v>
      </c>
      <c r="F555" t="s">
        <v>74</v>
      </c>
      <c r="G555">
        <v>2</v>
      </c>
      <c r="H555">
        <v>73.47</v>
      </c>
    </row>
    <row r="556" spans="1:11" x14ac:dyDescent="0.3">
      <c r="A556" t="s">
        <v>955</v>
      </c>
      <c r="B556">
        <v>244.8</v>
      </c>
      <c r="C556" t="s">
        <v>24</v>
      </c>
      <c r="D556">
        <v>6</v>
      </c>
      <c r="E556">
        <v>40.799999999999997</v>
      </c>
    </row>
    <row r="557" spans="1:11" x14ac:dyDescent="0.3">
      <c r="A557" t="s">
        <v>969</v>
      </c>
      <c r="B557" s="39">
        <v>457.08</v>
      </c>
      <c r="C557" t="s">
        <v>27</v>
      </c>
      <c r="D557">
        <v>6</v>
      </c>
      <c r="E557">
        <v>57.14</v>
      </c>
      <c r="F557" t="s">
        <v>87</v>
      </c>
      <c r="G557">
        <v>2</v>
      </c>
      <c r="H557">
        <v>57.14</v>
      </c>
    </row>
    <row r="558" spans="1:11" x14ac:dyDescent="0.3">
      <c r="A558" t="s">
        <v>954</v>
      </c>
      <c r="B558" s="39">
        <v>930.43</v>
      </c>
      <c r="C558" t="s">
        <v>31</v>
      </c>
      <c r="D558">
        <v>6</v>
      </c>
      <c r="E558">
        <v>89.8</v>
      </c>
      <c r="F558" t="s">
        <v>110</v>
      </c>
      <c r="G558">
        <v>2</v>
      </c>
      <c r="H558">
        <v>97.94</v>
      </c>
      <c r="I558" t="s">
        <v>137</v>
      </c>
      <c r="J558">
        <v>8</v>
      </c>
      <c r="K558">
        <v>24.47</v>
      </c>
    </row>
    <row r="559" spans="1:11" x14ac:dyDescent="0.3">
      <c r="A559" t="s">
        <v>970</v>
      </c>
      <c r="B559">
        <v>342.81</v>
      </c>
      <c r="C559" t="s">
        <v>27</v>
      </c>
      <c r="D559">
        <v>6</v>
      </c>
      <c r="E559">
        <v>57.14</v>
      </c>
    </row>
    <row r="560" spans="1:11" x14ac:dyDescent="0.3">
      <c r="A560" t="s">
        <v>958</v>
      </c>
      <c r="B560" s="39">
        <v>2302.21</v>
      </c>
      <c r="C560" t="s">
        <v>31</v>
      </c>
      <c r="D560">
        <v>24</v>
      </c>
      <c r="E560">
        <v>89.8</v>
      </c>
      <c r="F560" t="s">
        <v>74</v>
      </c>
      <c r="G560">
        <v>2</v>
      </c>
      <c r="H560">
        <v>73.47</v>
      </c>
    </row>
    <row r="561" spans="1:11" x14ac:dyDescent="0.3">
      <c r="A561" t="s">
        <v>971</v>
      </c>
      <c r="B561" s="39">
        <v>1028.27</v>
      </c>
      <c r="C561" t="s">
        <v>69</v>
      </c>
      <c r="D561">
        <v>6</v>
      </c>
      <c r="E561">
        <v>106.11</v>
      </c>
      <c r="F561" t="s">
        <v>110</v>
      </c>
      <c r="G561">
        <v>2</v>
      </c>
      <c r="H561">
        <v>97.94</v>
      </c>
      <c r="I561" t="s">
        <v>137</v>
      </c>
      <c r="J561">
        <v>8</v>
      </c>
      <c r="K561">
        <v>24.47</v>
      </c>
    </row>
    <row r="562" spans="1:11" x14ac:dyDescent="0.3">
      <c r="A562" t="s">
        <v>957</v>
      </c>
      <c r="B562" s="39">
        <v>2302.21</v>
      </c>
      <c r="C562" t="s">
        <v>31</v>
      </c>
      <c r="D562">
        <v>24</v>
      </c>
      <c r="E562">
        <v>89.8</v>
      </c>
      <c r="F562" t="s">
        <v>74</v>
      </c>
      <c r="G562">
        <v>2</v>
      </c>
      <c r="H562">
        <v>73.47</v>
      </c>
    </row>
    <row r="563" spans="1:11" x14ac:dyDescent="0.3">
      <c r="A563" t="s">
        <v>972</v>
      </c>
      <c r="B563" s="39">
        <v>1224.57</v>
      </c>
      <c r="C563" t="s">
        <v>31</v>
      </c>
      <c r="D563">
        <v>12</v>
      </c>
      <c r="E563">
        <v>89.8</v>
      </c>
      <c r="F563" t="s">
        <v>74</v>
      </c>
      <c r="G563">
        <v>2</v>
      </c>
      <c r="H563">
        <v>73.47</v>
      </c>
    </row>
    <row r="564" spans="1:11" x14ac:dyDescent="0.3">
      <c r="A564" t="s">
        <v>974</v>
      </c>
      <c r="B564" s="39">
        <v>1224.57</v>
      </c>
      <c r="C564" t="s">
        <v>31</v>
      </c>
      <c r="D564">
        <v>12</v>
      </c>
      <c r="E564">
        <v>89.8</v>
      </c>
      <c r="F564" t="s">
        <v>74</v>
      </c>
      <c r="G564">
        <v>2</v>
      </c>
      <c r="H564">
        <v>73.47</v>
      </c>
    </row>
    <row r="565" spans="1:11" x14ac:dyDescent="0.3">
      <c r="A565" t="s">
        <v>959</v>
      </c>
      <c r="B565" s="39">
        <v>2497.62</v>
      </c>
      <c r="C565" t="s">
        <v>33</v>
      </c>
      <c r="D565">
        <v>18</v>
      </c>
      <c r="E565">
        <v>122.44</v>
      </c>
      <c r="F565" t="s">
        <v>79</v>
      </c>
      <c r="G565">
        <v>2</v>
      </c>
      <c r="H565">
        <v>146.87</v>
      </c>
    </row>
    <row r="566" spans="1:11" x14ac:dyDescent="0.3">
      <c r="A566" t="s">
        <v>973</v>
      </c>
      <c r="B566" s="39">
        <v>3966.87</v>
      </c>
      <c r="C566" t="s">
        <v>33</v>
      </c>
      <c r="D566">
        <v>30</v>
      </c>
      <c r="E566">
        <v>122.44</v>
      </c>
      <c r="F566" t="s">
        <v>79</v>
      </c>
      <c r="G566">
        <v>2</v>
      </c>
      <c r="H566">
        <v>146.87</v>
      </c>
    </row>
    <row r="567" spans="1:11" x14ac:dyDescent="0.3">
      <c r="A567" t="s">
        <v>975</v>
      </c>
      <c r="B567" s="39">
        <v>3232.24</v>
      </c>
      <c r="C567" t="s">
        <v>33</v>
      </c>
      <c r="D567">
        <v>24</v>
      </c>
      <c r="E567">
        <v>122.44</v>
      </c>
      <c r="F567" t="s">
        <v>79</v>
      </c>
      <c r="G567">
        <v>2</v>
      </c>
      <c r="H567">
        <v>146.87</v>
      </c>
    </row>
    <row r="568" spans="1:11" x14ac:dyDescent="0.3">
      <c r="A568" t="s">
        <v>960</v>
      </c>
      <c r="B568" s="39">
        <v>1762.99</v>
      </c>
      <c r="C568" t="s">
        <v>33</v>
      </c>
      <c r="D568">
        <v>12</v>
      </c>
      <c r="E568">
        <v>122.44</v>
      </c>
      <c r="F568" t="s">
        <v>79</v>
      </c>
      <c r="G568">
        <v>2</v>
      </c>
      <c r="H568">
        <v>146.87</v>
      </c>
    </row>
    <row r="569" spans="1:11" x14ac:dyDescent="0.3">
      <c r="A569" t="s">
        <v>961</v>
      </c>
      <c r="B569" s="39">
        <v>1762.99</v>
      </c>
      <c r="C569" t="s">
        <v>33</v>
      </c>
      <c r="D569">
        <v>12</v>
      </c>
      <c r="E569">
        <v>122.44</v>
      </c>
      <c r="F569" t="s">
        <v>79</v>
      </c>
      <c r="G569">
        <v>2</v>
      </c>
      <c r="H569">
        <v>146.87</v>
      </c>
    </row>
    <row r="570" spans="1:11" x14ac:dyDescent="0.3">
      <c r="A570" t="s">
        <v>703</v>
      </c>
      <c r="B570" s="39">
        <v>2056.92</v>
      </c>
      <c r="C570" t="s">
        <v>69</v>
      </c>
      <c r="D570">
        <v>18</v>
      </c>
      <c r="E570">
        <v>106.11</v>
      </c>
      <c r="F570" t="s">
        <v>74</v>
      </c>
      <c r="G570">
        <v>2</v>
      </c>
      <c r="H570">
        <v>73.47</v>
      </c>
    </row>
    <row r="571" spans="1:11" x14ac:dyDescent="0.3">
      <c r="A571" t="s">
        <v>524</v>
      </c>
      <c r="B571" s="39">
        <v>6170.7</v>
      </c>
      <c r="C571" t="s">
        <v>47</v>
      </c>
      <c r="D571">
        <v>36</v>
      </c>
      <c r="E571">
        <v>163.25</v>
      </c>
      <c r="F571" t="s">
        <v>79</v>
      </c>
      <c r="G571">
        <v>2</v>
      </c>
      <c r="H571">
        <v>146.87</v>
      </c>
    </row>
    <row r="572" spans="1:11" x14ac:dyDescent="0.3">
      <c r="A572" t="s">
        <v>677</v>
      </c>
      <c r="B572" s="39">
        <v>1943</v>
      </c>
      <c r="C572" t="s">
        <v>31</v>
      </c>
      <c r="D572">
        <v>20</v>
      </c>
      <c r="E572">
        <v>89.8</v>
      </c>
      <c r="F572" t="s">
        <v>74</v>
      </c>
      <c r="G572">
        <v>2</v>
      </c>
      <c r="H572">
        <v>73.47</v>
      </c>
    </row>
    <row r="573" spans="1:11" x14ac:dyDescent="0.3">
      <c r="A573" t="s">
        <v>414</v>
      </c>
      <c r="B573" s="39">
        <v>7837.33</v>
      </c>
      <c r="C573" t="s">
        <v>67</v>
      </c>
      <c r="D573">
        <v>84</v>
      </c>
      <c r="E573">
        <v>89.8</v>
      </c>
      <c r="F573" t="s">
        <v>74</v>
      </c>
      <c r="G573">
        <v>4</v>
      </c>
      <c r="H573">
        <v>73.47</v>
      </c>
    </row>
    <row r="574" spans="1:11" x14ac:dyDescent="0.3">
      <c r="A574" t="s">
        <v>745</v>
      </c>
      <c r="B574" s="39">
        <v>1436.85</v>
      </c>
      <c r="C574" t="s">
        <v>31</v>
      </c>
      <c r="D574">
        <v>16</v>
      </c>
      <c r="E574">
        <v>89.8</v>
      </c>
    </row>
    <row r="575" spans="1:11" x14ac:dyDescent="0.3">
      <c r="A575" t="s">
        <v>720</v>
      </c>
      <c r="B575" s="39">
        <v>2497.6799999999998</v>
      </c>
      <c r="C575" t="s">
        <v>57</v>
      </c>
      <c r="D575">
        <v>16</v>
      </c>
      <c r="E575">
        <v>146.91999999999999</v>
      </c>
      <c r="F575" t="s">
        <v>83</v>
      </c>
      <c r="G575">
        <v>2</v>
      </c>
      <c r="H575">
        <v>73.47</v>
      </c>
    </row>
    <row r="576" spans="1:11" x14ac:dyDescent="0.3">
      <c r="A576" t="s">
        <v>823</v>
      </c>
      <c r="B576" s="39">
        <v>1616.32</v>
      </c>
      <c r="C576" t="s">
        <v>31</v>
      </c>
      <c r="D576">
        <v>12</v>
      </c>
      <c r="E576">
        <v>89.8</v>
      </c>
      <c r="F576" t="s">
        <v>74</v>
      </c>
      <c r="G576">
        <v>2</v>
      </c>
      <c r="H576">
        <v>73.47</v>
      </c>
      <c r="I576" t="s">
        <v>150</v>
      </c>
      <c r="J576">
        <v>4</v>
      </c>
      <c r="K576">
        <v>97.94</v>
      </c>
    </row>
    <row r="577" spans="1:11" x14ac:dyDescent="0.3">
      <c r="A577" t="s">
        <v>847</v>
      </c>
      <c r="B577" s="39">
        <v>1420.26</v>
      </c>
      <c r="C577" t="s">
        <v>69</v>
      </c>
      <c r="D577">
        <v>12</v>
      </c>
      <c r="E577">
        <v>106.11</v>
      </c>
      <c r="F577" t="s">
        <v>74</v>
      </c>
      <c r="G577">
        <v>2</v>
      </c>
      <c r="H577">
        <v>73.47</v>
      </c>
    </row>
    <row r="578" spans="1:11" x14ac:dyDescent="0.3">
      <c r="A578" t="s">
        <v>964</v>
      </c>
      <c r="B578" s="39">
        <v>2399.62</v>
      </c>
      <c r="C578" t="s">
        <v>69</v>
      </c>
      <c r="D578">
        <v>12</v>
      </c>
      <c r="E578">
        <v>106.11</v>
      </c>
      <c r="F578" t="s">
        <v>74</v>
      </c>
      <c r="G578">
        <v>2</v>
      </c>
      <c r="H578">
        <v>73.47</v>
      </c>
      <c r="I578" t="s">
        <v>150</v>
      </c>
      <c r="J578">
        <v>10</v>
      </c>
      <c r="K578">
        <v>97.94</v>
      </c>
    </row>
    <row r="579" spans="1:11" x14ac:dyDescent="0.3">
      <c r="A579" t="s">
        <v>966</v>
      </c>
      <c r="B579" s="39">
        <v>1942.59</v>
      </c>
      <c r="C579" t="s">
        <v>29</v>
      </c>
      <c r="D579">
        <v>12</v>
      </c>
      <c r="E579">
        <v>73.47</v>
      </c>
      <c r="F579" t="s">
        <v>99</v>
      </c>
      <c r="G579">
        <v>2</v>
      </c>
      <c r="H579">
        <v>40.799999999999997</v>
      </c>
      <c r="I579" t="s">
        <v>164</v>
      </c>
      <c r="J579">
        <v>10</v>
      </c>
      <c r="K579">
        <v>97.94</v>
      </c>
    </row>
    <row r="580" spans="1:11" x14ac:dyDescent="0.3">
      <c r="A580" t="s">
        <v>890</v>
      </c>
      <c r="B580" s="39">
        <v>718.29</v>
      </c>
      <c r="C580" t="s">
        <v>27</v>
      </c>
      <c r="D580">
        <v>10</v>
      </c>
      <c r="E580">
        <v>57.14</v>
      </c>
      <c r="F580" t="s">
        <v>72</v>
      </c>
      <c r="G580">
        <v>2</v>
      </c>
      <c r="H580">
        <v>73.47</v>
      </c>
    </row>
    <row r="581" spans="1:11" x14ac:dyDescent="0.3">
      <c r="A581" t="s">
        <v>968</v>
      </c>
      <c r="B581" s="39">
        <v>1714.05</v>
      </c>
      <c r="C581" t="s">
        <v>29</v>
      </c>
      <c r="D581">
        <v>8</v>
      </c>
      <c r="E581">
        <v>73.47</v>
      </c>
      <c r="F581" t="s">
        <v>74</v>
      </c>
      <c r="G581">
        <v>2</v>
      </c>
      <c r="H581">
        <v>73.47</v>
      </c>
      <c r="I581" t="s">
        <v>150</v>
      </c>
      <c r="J581">
        <v>10</v>
      </c>
      <c r="K581">
        <v>97.94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B22D6-E9FC-49BA-90DC-0EB03867BA32}">
  <sheetPr codeName="Sheet6"/>
  <dimension ref="A1:K1162"/>
  <sheetViews>
    <sheetView workbookViewId="0">
      <selection activeCell="E25" sqref="E25"/>
    </sheetView>
  </sheetViews>
  <sheetFormatPr defaultRowHeight="14.4" x14ac:dyDescent="0.3"/>
  <cols>
    <col min="1" max="1" width="18" bestFit="1" customWidth="1"/>
    <col min="2" max="2" width="12.44140625" bestFit="1" customWidth="1"/>
    <col min="13" max="14" width="11" bestFit="1" customWidth="1"/>
  </cols>
  <sheetData>
    <row r="1" spans="1:8" x14ac:dyDescent="0.3">
      <c r="A1" t="s">
        <v>404</v>
      </c>
      <c r="B1">
        <v>208628.87</v>
      </c>
      <c r="C1" t="s">
        <v>33</v>
      </c>
      <c r="D1">
        <v>120</v>
      </c>
      <c r="E1">
        <v>1655.81</v>
      </c>
      <c r="F1" t="s">
        <v>79</v>
      </c>
      <c r="G1">
        <v>5</v>
      </c>
      <c r="H1">
        <v>1986.23</v>
      </c>
    </row>
    <row r="2" spans="1:8" s="40" customFormat="1" x14ac:dyDescent="0.3">
      <c r="A2" s="41" t="s">
        <v>976</v>
      </c>
      <c r="B2" s="40">
        <f>D1*E2+G1*H2+J1*K2</f>
        <v>208628.86970499999</v>
      </c>
      <c r="E2" s="40">
        <v>1655.8141949999999</v>
      </c>
      <c r="H2" s="40">
        <v>1986.2332609999996</v>
      </c>
    </row>
    <row r="3" spans="1:8" x14ac:dyDescent="0.3">
      <c r="A3" t="s">
        <v>399</v>
      </c>
      <c r="B3">
        <v>150704.62</v>
      </c>
      <c r="C3" t="s">
        <v>67</v>
      </c>
      <c r="D3">
        <v>120</v>
      </c>
      <c r="E3">
        <v>1214.47</v>
      </c>
      <c r="F3" t="s">
        <v>74</v>
      </c>
      <c r="G3">
        <v>5</v>
      </c>
      <c r="H3">
        <v>993.58</v>
      </c>
    </row>
    <row r="4" spans="1:8" s="40" customFormat="1" x14ac:dyDescent="0.3">
      <c r="A4" s="41" t="s">
        <v>976</v>
      </c>
      <c r="B4" s="40">
        <f>D3*E4+G3*H4+J3*K4</f>
        <v>150704.62237999999</v>
      </c>
      <c r="E4" s="40">
        <v>1214.4726679999999</v>
      </c>
      <c r="H4" s="40">
        <v>993.58044399999994</v>
      </c>
    </row>
    <row r="5" spans="1:8" x14ac:dyDescent="0.3">
      <c r="A5" t="s">
        <v>400</v>
      </c>
      <c r="B5">
        <v>177168.57</v>
      </c>
      <c r="C5" t="s">
        <v>69</v>
      </c>
      <c r="D5">
        <v>120</v>
      </c>
      <c r="E5">
        <v>1435.01</v>
      </c>
      <c r="F5" t="s">
        <v>74</v>
      </c>
      <c r="G5">
        <v>5</v>
      </c>
      <c r="H5">
        <v>993.58</v>
      </c>
    </row>
    <row r="6" spans="1:8" s="40" customFormat="1" x14ac:dyDescent="0.3">
      <c r="A6" s="41" t="s">
        <v>976</v>
      </c>
      <c r="B6" s="40">
        <f>D5*E6+G5*H6+J5*K6</f>
        <v>177168.56713999997</v>
      </c>
      <c r="E6" s="40">
        <v>1435.0055409999998</v>
      </c>
      <c r="H6" s="40">
        <v>993.58044399999994</v>
      </c>
    </row>
    <row r="7" spans="1:8" x14ac:dyDescent="0.3">
      <c r="A7" t="s">
        <v>398</v>
      </c>
      <c r="B7">
        <v>97689.49</v>
      </c>
      <c r="C7" t="s">
        <v>27</v>
      </c>
      <c r="D7">
        <v>120</v>
      </c>
      <c r="E7">
        <v>772.68</v>
      </c>
      <c r="F7" t="s">
        <v>72</v>
      </c>
      <c r="G7">
        <v>5</v>
      </c>
      <c r="H7">
        <v>993.58</v>
      </c>
    </row>
    <row r="8" spans="1:8" s="40" customFormat="1" x14ac:dyDescent="0.3">
      <c r="A8" s="41" t="s">
        <v>976</v>
      </c>
      <c r="B8" s="40">
        <f>D7*E8+G7*H8+J7*K8</f>
        <v>97689.485780000003</v>
      </c>
      <c r="E8" s="40">
        <v>772.67986299999995</v>
      </c>
      <c r="H8" s="40">
        <v>993.58044399999994</v>
      </c>
    </row>
    <row r="9" spans="1:8" x14ac:dyDescent="0.3">
      <c r="A9" t="s">
        <v>395</v>
      </c>
      <c r="B9">
        <v>117227.38</v>
      </c>
      <c r="C9" t="s">
        <v>27</v>
      </c>
      <c r="D9">
        <v>144</v>
      </c>
      <c r="E9">
        <v>772.68</v>
      </c>
      <c r="F9" t="s">
        <v>72</v>
      </c>
      <c r="G9">
        <v>6</v>
      </c>
      <c r="H9">
        <v>993.58</v>
      </c>
    </row>
    <row r="10" spans="1:8" s="40" customFormat="1" x14ac:dyDescent="0.3">
      <c r="A10" s="41" t="s">
        <v>976</v>
      </c>
      <c r="B10" s="40">
        <f>D9*E10+G9*H10+J9*K10</f>
        <v>117227.38293599999</v>
      </c>
      <c r="E10" s="40">
        <v>772.67986299999995</v>
      </c>
      <c r="H10" s="40">
        <v>993.58044399999994</v>
      </c>
    </row>
    <row r="11" spans="1:8" x14ac:dyDescent="0.3">
      <c r="A11" t="s">
        <v>401</v>
      </c>
      <c r="B11">
        <v>150704.62</v>
      </c>
      <c r="C11" t="s">
        <v>31</v>
      </c>
      <c r="D11">
        <v>120</v>
      </c>
      <c r="E11">
        <v>1214.47</v>
      </c>
      <c r="F11" t="s">
        <v>74</v>
      </c>
      <c r="G11">
        <v>5</v>
      </c>
      <c r="H11">
        <v>993.58</v>
      </c>
    </row>
    <row r="12" spans="1:8" s="40" customFormat="1" x14ac:dyDescent="0.3">
      <c r="A12" s="41" t="s">
        <v>976</v>
      </c>
      <c r="B12" s="40">
        <f>D11*E12+G11*H12+J11*K12</f>
        <v>150704.62237999999</v>
      </c>
      <c r="E12" s="40">
        <v>1214.4726679999999</v>
      </c>
      <c r="H12" s="40">
        <v>993.58044399999994</v>
      </c>
    </row>
    <row r="13" spans="1:8" x14ac:dyDescent="0.3">
      <c r="A13" t="s">
        <v>396</v>
      </c>
      <c r="B13">
        <v>180845.55</v>
      </c>
      <c r="C13" t="s">
        <v>31</v>
      </c>
      <c r="D13">
        <v>144</v>
      </c>
      <c r="E13">
        <v>1214.47</v>
      </c>
      <c r="F13" t="s">
        <v>74</v>
      </c>
      <c r="G13">
        <v>6</v>
      </c>
      <c r="H13">
        <v>993.58</v>
      </c>
    </row>
    <row r="14" spans="1:8" s="40" customFormat="1" x14ac:dyDescent="0.3">
      <c r="A14" s="41" t="s">
        <v>976</v>
      </c>
      <c r="B14" s="40">
        <f>D13*E14+G13*H14+J13*K14</f>
        <v>180845.546856</v>
      </c>
      <c r="E14" s="40">
        <v>1214.4726679999999</v>
      </c>
      <c r="H14" s="40">
        <v>993.58044399999994</v>
      </c>
    </row>
    <row r="15" spans="1:8" x14ac:dyDescent="0.3">
      <c r="A15" t="s">
        <v>397</v>
      </c>
      <c r="B15">
        <v>97689.49</v>
      </c>
      <c r="C15" t="s">
        <v>27</v>
      </c>
      <c r="D15">
        <v>120</v>
      </c>
      <c r="E15">
        <v>772.68</v>
      </c>
      <c r="F15" t="s">
        <v>72</v>
      </c>
      <c r="G15">
        <v>5</v>
      </c>
      <c r="H15">
        <v>993.58</v>
      </c>
    </row>
    <row r="16" spans="1:8" s="40" customFormat="1" x14ac:dyDescent="0.3">
      <c r="A16" s="41" t="s">
        <v>976</v>
      </c>
      <c r="B16" s="40">
        <f>D15*E16+G15*H16+J15*K16</f>
        <v>97689.485780000003</v>
      </c>
      <c r="E16" s="40">
        <v>772.67986299999995</v>
      </c>
      <c r="H16" s="40">
        <v>993.58044399999994</v>
      </c>
    </row>
    <row r="17" spans="1:8" x14ac:dyDescent="0.3">
      <c r="A17" t="s">
        <v>402</v>
      </c>
      <c r="B17">
        <v>163920.04999999999</v>
      </c>
      <c r="C17" t="s">
        <v>43</v>
      </c>
      <c r="D17">
        <v>120</v>
      </c>
      <c r="E17">
        <v>1324.6</v>
      </c>
      <c r="F17" t="s">
        <v>74</v>
      </c>
      <c r="G17">
        <v>5</v>
      </c>
      <c r="H17">
        <v>993.58</v>
      </c>
    </row>
    <row r="18" spans="1:8" s="40" customFormat="1" x14ac:dyDescent="0.3">
      <c r="A18" s="41" t="s">
        <v>976</v>
      </c>
      <c r="B18" s="40">
        <f>D17*E18+G17*H18+J17*K18</f>
        <v>163920.04789999998</v>
      </c>
      <c r="E18" s="40">
        <v>1324.6012139999998</v>
      </c>
      <c r="H18" s="40">
        <v>993.58044399999994</v>
      </c>
    </row>
    <row r="19" spans="1:8" x14ac:dyDescent="0.3">
      <c r="A19" t="s">
        <v>407</v>
      </c>
      <c r="B19">
        <v>78151.59</v>
      </c>
      <c r="C19" t="s">
        <v>27</v>
      </c>
      <c r="D19">
        <v>96</v>
      </c>
      <c r="E19">
        <v>772.68</v>
      </c>
      <c r="F19" t="s">
        <v>72</v>
      </c>
      <c r="G19">
        <v>4</v>
      </c>
      <c r="H19">
        <v>993.58</v>
      </c>
    </row>
    <row r="20" spans="1:8" s="40" customFormat="1" x14ac:dyDescent="0.3">
      <c r="A20" s="41" t="s">
        <v>976</v>
      </c>
      <c r="B20" s="40">
        <f>D19*E20+G19*H20+J19*K20</f>
        <v>78151.588623999996</v>
      </c>
      <c r="E20" s="40">
        <v>772.67986299999995</v>
      </c>
      <c r="H20" s="40">
        <v>993.58044399999994</v>
      </c>
    </row>
    <row r="21" spans="1:8" x14ac:dyDescent="0.3">
      <c r="A21" t="s">
        <v>403</v>
      </c>
      <c r="B21">
        <v>78151.59</v>
      </c>
      <c r="C21" t="s">
        <v>27</v>
      </c>
      <c r="D21">
        <v>96</v>
      </c>
      <c r="E21">
        <v>772.68</v>
      </c>
      <c r="F21" t="s">
        <v>72</v>
      </c>
      <c r="G21">
        <v>4</v>
      </c>
      <c r="H21">
        <v>993.58</v>
      </c>
    </row>
    <row r="22" spans="1:8" s="40" customFormat="1" x14ac:dyDescent="0.3">
      <c r="A22" s="41" t="s">
        <v>976</v>
      </c>
      <c r="B22" s="40">
        <f>D21*E22+G21*H22+J21*K22</f>
        <v>78151.588623999996</v>
      </c>
      <c r="E22" s="40">
        <v>772.67986299999995</v>
      </c>
      <c r="H22" s="40">
        <v>993.58044399999994</v>
      </c>
    </row>
    <row r="23" spans="1:8" x14ac:dyDescent="0.3">
      <c r="A23" t="s">
        <v>405</v>
      </c>
      <c r="B23">
        <v>163920.04999999999</v>
      </c>
      <c r="C23" t="s">
        <v>43</v>
      </c>
      <c r="D23">
        <v>120</v>
      </c>
      <c r="E23">
        <v>1324.6</v>
      </c>
      <c r="F23" t="s">
        <v>74</v>
      </c>
      <c r="G23">
        <v>5</v>
      </c>
      <c r="H23">
        <v>993.58</v>
      </c>
    </row>
    <row r="24" spans="1:8" s="40" customFormat="1" x14ac:dyDescent="0.3">
      <c r="A24" s="41" t="s">
        <v>976</v>
      </c>
      <c r="B24" s="40">
        <f>D23*E24+G23*H24+J23*K24</f>
        <v>163920.04789999998</v>
      </c>
      <c r="E24" s="40">
        <v>1324.6012139999998</v>
      </c>
      <c r="H24" s="40">
        <v>993.58044399999994</v>
      </c>
    </row>
    <row r="25" spans="1:8" x14ac:dyDescent="0.3">
      <c r="A25" t="s">
        <v>409</v>
      </c>
      <c r="B25">
        <v>78151.59</v>
      </c>
      <c r="C25" t="s">
        <v>27</v>
      </c>
      <c r="D25">
        <v>96</v>
      </c>
      <c r="E25">
        <v>772.68</v>
      </c>
      <c r="F25" t="s">
        <v>72</v>
      </c>
      <c r="G25">
        <v>4</v>
      </c>
      <c r="H25">
        <v>993.58</v>
      </c>
    </row>
    <row r="26" spans="1:8" s="40" customFormat="1" x14ac:dyDescent="0.3">
      <c r="A26" s="41" t="s">
        <v>976</v>
      </c>
      <c r="B26" s="40">
        <f>D25*E26+G25*H26+J25*K26</f>
        <v>78151.588623999996</v>
      </c>
      <c r="E26" s="40">
        <v>772.67986299999995</v>
      </c>
      <c r="H26" s="40">
        <v>993.58044399999994</v>
      </c>
    </row>
    <row r="27" spans="1:8" x14ac:dyDescent="0.3">
      <c r="A27" t="s">
        <v>408</v>
      </c>
      <c r="B27">
        <v>99358.04</v>
      </c>
      <c r="C27" t="s">
        <v>29</v>
      </c>
      <c r="D27">
        <v>96</v>
      </c>
      <c r="E27">
        <v>993.58</v>
      </c>
      <c r="F27" t="s">
        <v>74</v>
      </c>
      <c r="G27">
        <v>4</v>
      </c>
      <c r="H27">
        <v>993.58</v>
      </c>
    </row>
    <row r="28" spans="1:8" s="40" customFormat="1" x14ac:dyDescent="0.3">
      <c r="A28" s="41" t="s">
        <v>976</v>
      </c>
      <c r="B28" s="40">
        <f>D27*E28+G27*H28+J27*K28</f>
        <v>99358.044399999984</v>
      </c>
      <c r="E28" s="40">
        <v>993.58044399999994</v>
      </c>
      <c r="H28" s="40">
        <v>993.58044399999994</v>
      </c>
    </row>
    <row r="29" spans="1:8" x14ac:dyDescent="0.3">
      <c r="A29" t="s">
        <v>406</v>
      </c>
      <c r="B29">
        <v>99358.04</v>
      </c>
      <c r="C29" t="s">
        <v>29</v>
      </c>
      <c r="D29">
        <v>96</v>
      </c>
      <c r="E29">
        <v>993.58</v>
      </c>
      <c r="F29" t="s">
        <v>74</v>
      </c>
      <c r="G29">
        <v>4</v>
      </c>
      <c r="H29">
        <v>993.58</v>
      </c>
    </row>
    <row r="30" spans="1:8" s="40" customFormat="1" x14ac:dyDescent="0.3">
      <c r="A30" s="41" t="s">
        <v>976</v>
      </c>
      <c r="B30" s="40">
        <f>D29*E30+G29*H30+J29*K30</f>
        <v>99358.044399999984</v>
      </c>
      <c r="E30" s="40">
        <v>993.58044399999994</v>
      </c>
      <c r="H30" s="40">
        <v>993.58044399999994</v>
      </c>
    </row>
    <row r="31" spans="1:8" x14ac:dyDescent="0.3">
      <c r="A31" t="s">
        <v>411</v>
      </c>
      <c r="B31">
        <v>120563.7</v>
      </c>
      <c r="C31" t="s">
        <v>31</v>
      </c>
      <c r="D31">
        <v>96</v>
      </c>
      <c r="E31">
        <v>1214.47</v>
      </c>
      <c r="F31" t="s">
        <v>74</v>
      </c>
      <c r="G31">
        <v>4</v>
      </c>
      <c r="H31">
        <v>993.58</v>
      </c>
    </row>
    <row r="32" spans="1:8" s="40" customFormat="1" x14ac:dyDescent="0.3">
      <c r="A32" s="41" t="s">
        <v>976</v>
      </c>
      <c r="B32" s="40">
        <f>D31*E32+G31*H32+J31*K32</f>
        <v>120563.69790399999</v>
      </c>
      <c r="E32" s="40">
        <v>1214.4726679999999</v>
      </c>
      <c r="H32" s="40">
        <v>993.58044399999994</v>
      </c>
    </row>
    <row r="33" spans="1:8" x14ac:dyDescent="0.3">
      <c r="A33" t="s">
        <v>412</v>
      </c>
      <c r="B33">
        <v>120563.7</v>
      </c>
      <c r="C33" t="s">
        <v>31</v>
      </c>
      <c r="D33">
        <v>96</v>
      </c>
      <c r="E33">
        <v>1214.47</v>
      </c>
      <c r="F33" t="s">
        <v>74</v>
      </c>
      <c r="G33">
        <v>4</v>
      </c>
      <c r="H33">
        <v>993.58</v>
      </c>
    </row>
    <row r="34" spans="1:8" s="40" customFormat="1" x14ac:dyDescent="0.3">
      <c r="A34" s="41" t="s">
        <v>976</v>
      </c>
      <c r="B34" s="40">
        <f>D33*E34+G33*H34+J33*K34</f>
        <v>120563.69790399999</v>
      </c>
      <c r="E34" s="40">
        <v>1214.4726679999999</v>
      </c>
      <c r="H34" s="40">
        <v>993.58044399999994</v>
      </c>
    </row>
    <row r="35" spans="1:8" x14ac:dyDescent="0.3">
      <c r="A35" t="s">
        <v>413</v>
      </c>
      <c r="B35">
        <v>120563.7</v>
      </c>
      <c r="C35" t="s">
        <v>31</v>
      </c>
      <c r="D35">
        <v>96</v>
      </c>
      <c r="E35">
        <v>1214.47</v>
      </c>
      <c r="F35" t="s">
        <v>74</v>
      </c>
      <c r="G35">
        <v>4</v>
      </c>
      <c r="H35">
        <v>993.58</v>
      </c>
    </row>
    <row r="36" spans="1:8" s="40" customFormat="1" x14ac:dyDescent="0.3">
      <c r="A36" s="41" t="s">
        <v>976</v>
      </c>
      <c r="B36" s="40">
        <f>D35*E36+G35*H36+J35*K36</f>
        <v>120563.69790399999</v>
      </c>
      <c r="E36" s="40">
        <v>1214.4726679999999</v>
      </c>
      <c r="H36" s="40">
        <v>993.58044399999994</v>
      </c>
    </row>
    <row r="37" spans="1:8" x14ac:dyDescent="0.3">
      <c r="A37" t="s">
        <v>410</v>
      </c>
      <c r="B37">
        <v>74177.27</v>
      </c>
      <c r="C37" t="s">
        <v>27</v>
      </c>
      <c r="D37">
        <v>96</v>
      </c>
      <c r="E37">
        <v>772.68</v>
      </c>
    </row>
    <row r="38" spans="1:8" s="40" customFormat="1" x14ac:dyDescent="0.3">
      <c r="A38" s="41" t="s">
        <v>976</v>
      </c>
      <c r="B38" s="40">
        <f>D37*E38+G37*H38+J37*K38</f>
        <v>74177.266847999999</v>
      </c>
      <c r="E38" s="40">
        <v>772.67986299999995</v>
      </c>
    </row>
    <row r="39" spans="1:8" x14ac:dyDescent="0.3">
      <c r="A39" t="s">
        <v>416</v>
      </c>
      <c r="B39">
        <v>101132.14</v>
      </c>
      <c r="C39" t="s">
        <v>31</v>
      </c>
      <c r="D39">
        <v>80</v>
      </c>
      <c r="E39">
        <v>1214.47</v>
      </c>
      <c r="F39" t="s">
        <v>74</v>
      </c>
      <c r="G39">
        <v>4</v>
      </c>
      <c r="H39">
        <v>993.58</v>
      </c>
    </row>
    <row r="40" spans="1:8" s="40" customFormat="1" x14ac:dyDescent="0.3">
      <c r="A40" s="41" t="s">
        <v>976</v>
      </c>
      <c r="B40" s="40">
        <f>D39*E40+G39*H40+J39*K40</f>
        <v>101132.135216</v>
      </c>
      <c r="E40" s="40">
        <v>1214.4726679999999</v>
      </c>
      <c r="H40" s="40">
        <v>993.58044399999994</v>
      </c>
    </row>
    <row r="41" spans="1:8" x14ac:dyDescent="0.3">
      <c r="A41" t="s">
        <v>414</v>
      </c>
      <c r="B41">
        <v>105990.03</v>
      </c>
      <c r="C41" t="s">
        <v>67</v>
      </c>
      <c r="D41">
        <v>84</v>
      </c>
      <c r="E41">
        <v>1214.47</v>
      </c>
      <c r="F41" t="s">
        <v>74</v>
      </c>
      <c r="G41">
        <v>4</v>
      </c>
      <c r="H41">
        <v>993.58</v>
      </c>
    </row>
    <row r="42" spans="1:8" s="40" customFormat="1" x14ac:dyDescent="0.3">
      <c r="A42" s="41" t="s">
        <v>976</v>
      </c>
      <c r="B42" s="40">
        <f>D41*E42+G41*H42+J41*K42</f>
        <v>105990.02588799999</v>
      </c>
      <c r="E42" s="40">
        <v>1214.4726679999999</v>
      </c>
      <c r="H42" s="40">
        <v>993.58044399999994</v>
      </c>
    </row>
    <row r="43" spans="1:8" x14ac:dyDescent="0.3">
      <c r="A43" t="s">
        <v>415</v>
      </c>
      <c r="B43">
        <v>67112.240000000005</v>
      </c>
      <c r="C43" t="s">
        <v>27</v>
      </c>
      <c r="D43">
        <v>84</v>
      </c>
      <c r="E43">
        <v>772.68</v>
      </c>
      <c r="F43" t="s">
        <v>99</v>
      </c>
      <c r="G43">
        <v>4</v>
      </c>
      <c r="H43">
        <v>551.78</v>
      </c>
    </row>
    <row r="44" spans="1:8" s="40" customFormat="1" x14ac:dyDescent="0.3">
      <c r="A44" s="41" t="s">
        <v>976</v>
      </c>
      <c r="B44" s="40">
        <f>D43*E44+G43*H44+J43*K44</f>
        <v>67112.239292051992</v>
      </c>
      <c r="E44" s="40">
        <v>772.67986299999995</v>
      </c>
      <c r="H44" s="40">
        <v>551.78270001299984</v>
      </c>
    </row>
    <row r="45" spans="1:8" x14ac:dyDescent="0.3">
      <c r="A45" t="s">
        <v>420</v>
      </c>
      <c r="B45">
        <v>58613.69</v>
      </c>
      <c r="C45" t="s">
        <v>27</v>
      </c>
      <c r="D45">
        <v>72</v>
      </c>
      <c r="E45">
        <v>772.68</v>
      </c>
      <c r="F45" t="s">
        <v>72</v>
      </c>
      <c r="G45">
        <v>3</v>
      </c>
      <c r="H45">
        <v>993.58</v>
      </c>
    </row>
    <row r="46" spans="1:8" s="40" customFormat="1" x14ac:dyDescent="0.3">
      <c r="A46" s="41" t="s">
        <v>976</v>
      </c>
      <c r="B46" s="40">
        <f>D45*E46+G45*H46+J45*K46</f>
        <v>58613.691467999997</v>
      </c>
      <c r="E46" s="40">
        <v>772.67986299999995</v>
      </c>
      <c r="H46" s="40">
        <v>993.58044399999994</v>
      </c>
    </row>
    <row r="47" spans="1:8" x14ac:dyDescent="0.3">
      <c r="A47" t="s">
        <v>417</v>
      </c>
      <c r="B47">
        <v>42708.85</v>
      </c>
      <c r="C47" t="s">
        <v>24</v>
      </c>
      <c r="D47">
        <v>72</v>
      </c>
      <c r="E47">
        <v>551.78</v>
      </c>
      <c r="F47" t="s">
        <v>72</v>
      </c>
      <c r="G47">
        <v>3</v>
      </c>
      <c r="H47">
        <v>993.58</v>
      </c>
    </row>
    <row r="48" spans="1:8" s="40" customFormat="1" x14ac:dyDescent="0.3">
      <c r="A48" s="41" t="s">
        <v>976</v>
      </c>
      <c r="B48" s="40">
        <f>D47*E48+G47*H48+J47*K48</f>
        <v>42708.849635999992</v>
      </c>
      <c r="E48" s="40">
        <v>551.77928199999997</v>
      </c>
      <c r="H48" s="40">
        <v>993.58044399999994</v>
      </c>
    </row>
    <row r="49" spans="1:8" x14ac:dyDescent="0.3">
      <c r="A49" t="s">
        <v>419</v>
      </c>
      <c r="B49">
        <v>74518.53</v>
      </c>
      <c r="C49" t="s">
        <v>29</v>
      </c>
      <c r="D49">
        <v>72</v>
      </c>
      <c r="E49">
        <v>993.58</v>
      </c>
      <c r="F49" t="s">
        <v>74</v>
      </c>
      <c r="G49">
        <v>3</v>
      </c>
      <c r="H49">
        <v>993.58</v>
      </c>
    </row>
    <row r="50" spans="1:8" s="40" customFormat="1" x14ac:dyDescent="0.3">
      <c r="A50" s="41" t="s">
        <v>976</v>
      </c>
      <c r="B50" s="40">
        <f>D49*E50+G49*H50+J49*K50</f>
        <v>74518.533299999996</v>
      </c>
      <c r="E50" s="40">
        <v>993.58044399999994</v>
      </c>
      <c r="H50" s="40">
        <v>993.58044399999994</v>
      </c>
    </row>
    <row r="51" spans="1:8" x14ac:dyDescent="0.3">
      <c r="A51" t="s">
        <v>418</v>
      </c>
      <c r="B51">
        <v>90422.77</v>
      </c>
      <c r="C51" t="s">
        <v>31</v>
      </c>
      <c r="D51">
        <v>72</v>
      </c>
      <c r="E51">
        <v>1214.47</v>
      </c>
      <c r="F51" t="s">
        <v>74</v>
      </c>
      <c r="G51">
        <v>3</v>
      </c>
      <c r="H51">
        <v>993.58</v>
      </c>
    </row>
    <row r="52" spans="1:8" s="40" customFormat="1" x14ac:dyDescent="0.3">
      <c r="A52" s="41" t="s">
        <v>976</v>
      </c>
      <c r="B52" s="40">
        <f>D51*E52+G51*H52+J51*K52</f>
        <v>90422.773428</v>
      </c>
      <c r="E52" s="40">
        <v>1214.4726679999999</v>
      </c>
      <c r="H52" s="40">
        <v>993.58044399999994</v>
      </c>
    </row>
    <row r="53" spans="1:8" x14ac:dyDescent="0.3">
      <c r="A53" t="s">
        <v>423</v>
      </c>
      <c r="B53">
        <v>90422.77</v>
      </c>
      <c r="C53" t="s">
        <v>31</v>
      </c>
      <c r="D53">
        <v>72</v>
      </c>
      <c r="E53">
        <v>1214.47</v>
      </c>
      <c r="F53" t="s">
        <v>74</v>
      </c>
      <c r="G53">
        <v>3</v>
      </c>
      <c r="H53">
        <v>993.58</v>
      </c>
    </row>
    <row r="54" spans="1:8" s="40" customFormat="1" x14ac:dyDescent="0.3">
      <c r="A54" s="41" t="s">
        <v>976</v>
      </c>
      <c r="B54" s="40">
        <f>D53*E54+G53*H54+J53*K54</f>
        <v>90422.773428</v>
      </c>
      <c r="E54" s="40">
        <v>1214.4726679999999</v>
      </c>
      <c r="H54" s="40">
        <v>993.58044399999994</v>
      </c>
    </row>
    <row r="55" spans="1:8" x14ac:dyDescent="0.3">
      <c r="A55" t="s">
        <v>421</v>
      </c>
      <c r="B55">
        <v>90422.77</v>
      </c>
      <c r="C55" t="s">
        <v>31</v>
      </c>
      <c r="D55">
        <v>72</v>
      </c>
      <c r="E55">
        <v>1214.47</v>
      </c>
      <c r="F55" t="s">
        <v>74</v>
      </c>
      <c r="G55">
        <v>3</v>
      </c>
      <c r="H55">
        <v>993.58</v>
      </c>
    </row>
    <row r="56" spans="1:8" s="40" customFormat="1" x14ac:dyDescent="0.3">
      <c r="A56" s="41" t="s">
        <v>976</v>
      </c>
      <c r="B56" s="40">
        <f>D55*E56+G55*H56+J55*K56</f>
        <v>90422.773428</v>
      </c>
      <c r="E56" s="40">
        <v>1214.4726679999999</v>
      </c>
      <c r="H56" s="40">
        <v>993.58044399999994</v>
      </c>
    </row>
    <row r="57" spans="1:8" x14ac:dyDescent="0.3">
      <c r="A57" t="s">
        <v>422</v>
      </c>
      <c r="B57">
        <v>57068.33</v>
      </c>
      <c r="C57" t="s">
        <v>27</v>
      </c>
      <c r="D57">
        <v>70</v>
      </c>
      <c r="E57">
        <v>772.68</v>
      </c>
      <c r="F57" t="s">
        <v>72</v>
      </c>
      <c r="G57">
        <v>3</v>
      </c>
      <c r="H57">
        <v>993.58</v>
      </c>
    </row>
    <row r="58" spans="1:8" s="40" customFormat="1" x14ac:dyDescent="0.3">
      <c r="A58" s="41" t="s">
        <v>976</v>
      </c>
      <c r="B58" s="40">
        <f>D57*E58+G57*H58+J57*K58</f>
        <v>57068.331741999995</v>
      </c>
      <c r="E58" s="40">
        <v>772.67986299999995</v>
      </c>
      <c r="H58" s="40">
        <v>993.58044399999994</v>
      </c>
    </row>
    <row r="59" spans="1:8" x14ac:dyDescent="0.3">
      <c r="A59" t="s">
        <v>425</v>
      </c>
      <c r="B59">
        <v>49341.53</v>
      </c>
      <c r="C59" t="s">
        <v>27</v>
      </c>
      <c r="D59">
        <v>60</v>
      </c>
      <c r="E59">
        <v>772.68</v>
      </c>
      <c r="F59" t="s">
        <v>72</v>
      </c>
      <c r="G59">
        <v>3</v>
      </c>
      <c r="H59">
        <v>993.58</v>
      </c>
    </row>
    <row r="60" spans="1:8" s="40" customFormat="1" x14ac:dyDescent="0.3">
      <c r="A60" s="41" t="s">
        <v>976</v>
      </c>
      <c r="B60" s="40">
        <f>D59*E60+G59*H60+J59*K60</f>
        <v>49341.533111999997</v>
      </c>
      <c r="E60" s="40">
        <v>772.67986299999995</v>
      </c>
      <c r="H60" s="40">
        <v>993.58044399999994</v>
      </c>
    </row>
    <row r="61" spans="1:8" x14ac:dyDescent="0.3">
      <c r="A61" t="s">
        <v>424</v>
      </c>
      <c r="B61">
        <v>122196.35</v>
      </c>
      <c r="C61" t="s">
        <v>57</v>
      </c>
      <c r="D61">
        <v>60</v>
      </c>
      <c r="E61">
        <v>1986.93</v>
      </c>
      <c r="F61" t="s">
        <v>83</v>
      </c>
      <c r="G61">
        <v>3</v>
      </c>
      <c r="H61">
        <v>993.58</v>
      </c>
    </row>
    <row r="62" spans="1:8" s="40" customFormat="1" x14ac:dyDescent="0.3">
      <c r="A62" s="41" t="s">
        <v>976</v>
      </c>
      <c r="B62" s="40">
        <f>D61*E62+G61*H62+J61*K62</f>
        <v>122196.354852</v>
      </c>
      <c r="E62" s="40">
        <v>1986.926892</v>
      </c>
      <c r="H62" s="40">
        <v>993.58044399999994</v>
      </c>
    </row>
    <row r="63" spans="1:8" x14ac:dyDescent="0.3">
      <c r="A63" t="s">
        <v>427</v>
      </c>
      <c r="B63">
        <v>49341.53</v>
      </c>
      <c r="C63" t="s">
        <v>27</v>
      </c>
      <c r="D63">
        <v>60</v>
      </c>
      <c r="E63">
        <v>772.68</v>
      </c>
      <c r="F63" t="s">
        <v>72</v>
      </c>
      <c r="G63">
        <v>3</v>
      </c>
      <c r="H63">
        <v>993.58</v>
      </c>
    </row>
    <row r="64" spans="1:8" s="40" customFormat="1" x14ac:dyDescent="0.3">
      <c r="A64" s="41" t="s">
        <v>976</v>
      </c>
      <c r="B64" s="40">
        <f>D63*E64+G63*H64+J63*K64</f>
        <v>49341.533111999997</v>
      </c>
      <c r="E64" s="40">
        <v>772.67986299999995</v>
      </c>
      <c r="H64" s="40">
        <v>993.58044399999994</v>
      </c>
    </row>
    <row r="65" spans="1:8" x14ac:dyDescent="0.3">
      <c r="A65" t="s">
        <v>426</v>
      </c>
      <c r="B65">
        <v>49341.53</v>
      </c>
      <c r="C65" t="s">
        <v>27</v>
      </c>
      <c r="D65">
        <v>60</v>
      </c>
      <c r="E65">
        <v>772.68</v>
      </c>
      <c r="F65" t="s">
        <v>72</v>
      </c>
      <c r="G65">
        <v>3</v>
      </c>
      <c r="H65">
        <v>993.58</v>
      </c>
    </row>
    <row r="66" spans="1:8" s="40" customFormat="1" x14ac:dyDescent="0.3">
      <c r="A66" s="41" t="s">
        <v>976</v>
      </c>
      <c r="B66" s="40">
        <f>D65*E66+G65*H66+J65*K66</f>
        <v>49341.533111999997</v>
      </c>
      <c r="E66" s="40">
        <v>772.67986299999995</v>
      </c>
      <c r="H66" s="40">
        <v>993.58044399999994</v>
      </c>
    </row>
    <row r="67" spans="1:8" x14ac:dyDescent="0.3">
      <c r="A67" t="s">
        <v>428</v>
      </c>
      <c r="B67">
        <v>75849.100000000006</v>
      </c>
      <c r="C67" t="s">
        <v>67</v>
      </c>
      <c r="D67">
        <v>60</v>
      </c>
      <c r="E67">
        <v>1214.47</v>
      </c>
      <c r="F67" t="s">
        <v>74</v>
      </c>
      <c r="G67">
        <v>3</v>
      </c>
      <c r="H67">
        <v>993.58</v>
      </c>
    </row>
    <row r="68" spans="1:8" s="40" customFormat="1" x14ac:dyDescent="0.3">
      <c r="A68" s="41" t="s">
        <v>976</v>
      </c>
      <c r="B68" s="40">
        <f>D67*E68+G67*H68+J67*K68</f>
        <v>75849.101412000004</v>
      </c>
      <c r="E68" s="40">
        <v>1214.4726679999999</v>
      </c>
      <c r="H68" s="40">
        <v>993.58044399999994</v>
      </c>
    </row>
    <row r="69" spans="1:8" x14ac:dyDescent="0.3">
      <c r="A69" t="s">
        <v>429</v>
      </c>
      <c r="B69">
        <v>75849.100000000006</v>
      </c>
      <c r="C69" t="s">
        <v>31</v>
      </c>
      <c r="D69">
        <v>60</v>
      </c>
      <c r="E69">
        <v>1214.47</v>
      </c>
      <c r="F69" t="s">
        <v>74</v>
      </c>
      <c r="G69">
        <v>3</v>
      </c>
      <c r="H69">
        <v>993.58</v>
      </c>
    </row>
    <row r="70" spans="1:8" s="40" customFormat="1" x14ac:dyDescent="0.3">
      <c r="A70" s="41" t="s">
        <v>976</v>
      </c>
      <c r="B70" s="40">
        <f>D69*E70+G69*H70+J69*K70</f>
        <v>75849.101412000004</v>
      </c>
      <c r="E70" s="40">
        <v>1214.4726679999999</v>
      </c>
      <c r="H70" s="40">
        <v>993.58044399999994</v>
      </c>
    </row>
    <row r="71" spans="1:8" x14ac:dyDescent="0.3">
      <c r="A71" t="s">
        <v>430</v>
      </c>
      <c r="B71">
        <v>89081.07</v>
      </c>
      <c r="C71" t="s">
        <v>69</v>
      </c>
      <c r="D71">
        <v>60</v>
      </c>
      <c r="E71">
        <v>1435.01</v>
      </c>
      <c r="F71" t="s">
        <v>74</v>
      </c>
      <c r="G71">
        <v>3</v>
      </c>
      <c r="H71">
        <v>993.58</v>
      </c>
    </row>
    <row r="72" spans="1:8" s="40" customFormat="1" x14ac:dyDescent="0.3">
      <c r="A72" s="41" t="s">
        <v>976</v>
      </c>
      <c r="B72" s="40">
        <f>D71*E72+G71*H72+J71*K72</f>
        <v>89081.073791999996</v>
      </c>
      <c r="E72" s="40">
        <v>1435.0055409999998</v>
      </c>
      <c r="H72" s="40">
        <v>993.58044399999994</v>
      </c>
    </row>
    <row r="73" spans="1:8" x14ac:dyDescent="0.3">
      <c r="A73" t="s">
        <v>432</v>
      </c>
      <c r="B73">
        <v>105307.55</v>
      </c>
      <c r="C73" t="s">
        <v>33</v>
      </c>
      <c r="D73">
        <v>60</v>
      </c>
      <c r="E73">
        <v>1655.81</v>
      </c>
      <c r="F73" t="s">
        <v>79</v>
      </c>
      <c r="G73">
        <v>3</v>
      </c>
      <c r="H73">
        <v>1986.23</v>
      </c>
    </row>
    <row r="74" spans="1:8" s="40" customFormat="1" x14ac:dyDescent="0.3">
      <c r="A74" s="41" t="s">
        <v>976</v>
      </c>
      <c r="B74" s="40">
        <f>D73*E74+G73*H74+J73*K74</f>
        <v>105307.551483</v>
      </c>
      <c r="E74" s="40">
        <v>1655.8141949999999</v>
      </c>
      <c r="H74" s="40">
        <v>1986.2332609999996</v>
      </c>
    </row>
    <row r="75" spans="1:8" x14ac:dyDescent="0.3">
      <c r="A75" t="s">
        <v>433</v>
      </c>
      <c r="B75">
        <v>82456.81</v>
      </c>
      <c r="C75" t="s">
        <v>43</v>
      </c>
      <c r="D75">
        <v>60</v>
      </c>
      <c r="E75">
        <v>1324.6</v>
      </c>
      <c r="F75" t="s">
        <v>74</v>
      </c>
      <c r="G75">
        <v>3</v>
      </c>
      <c r="H75">
        <v>993.58</v>
      </c>
    </row>
    <row r="76" spans="1:8" s="40" customFormat="1" x14ac:dyDescent="0.3">
      <c r="A76" s="41" t="s">
        <v>976</v>
      </c>
      <c r="B76" s="40">
        <f>D75*E76+G75*H76+J75*K76</f>
        <v>82456.814171999999</v>
      </c>
      <c r="E76" s="40">
        <v>1324.6012139999998</v>
      </c>
      <c r="H76" s="40">
        <v>993.58044399999994</v>
      </c>
    </row>
    <row r="77" spans="1:8" x14ac:dyDescent="0.3">
      <c r="A77" t="s">
        <v>431</v>
      </c>
      <c r="B77">
        <v>75849.100000000006</v>
      </c>
      <c r="C77" t="s">
        <v>31</v>
      </c>
      <c r="D77">
        <v>60</v>
      </c>
      <c r="E77">
        <v>1214.47</v>
      </c>
      <c r="F77" t="s">
        <v>74</v>
      </c>
      <c r="G77">
        <v>3</v>
      </c>
      <c r="H77">
        <v>993.58</v>
      </c>
    </row>
    <row r="78" spans="1:8" s="40" customFormat="1" x14ac:dyDescent="0.3">
      <c r="A78" s="41" t="s">
        <v>976</v>
      </c>
      <c r="B78" s="40">
        <f>D77*E78+G77*H78+J77*K78</f>
        <v>75849.101412000004</v>
      </c>
      <c r="E78" s="40">
        <v>1214.4726679999999</v>
      </c>
      <c r="H78" s="40">
        <v>993.58044399999994</v>
      </c>
    </row>
    <row r="79" spans="1:8" x14ac:dyDescent="0.3">
      <c r="A79" t="s">
        <v>434</v>
      </c>
      <c r="B79">
        <v>82456.81</v>
      </c>
      <c r="C79" t="s">
        <v>43</v>
      </c>
      <c r="D79">
        <v>60</v>
      </c>
      <c r="E79">
        <v>1324.6</v>
      </c>
      <c r="F79" t="s">
        <v>74</v>
      </c>
      <c r="G79">
        <v>3</v>
      </c>
      <c r="H79">
        <v>993.58</v>
      </c>
    </row>
    <row r="80" spans="1:8" s="40" customFormat="1" x14ac:dyDescent="0.3">
      <c r="A80" s="41" t="s">
        <v>976</v>
      </c>
      <c r="B80" s="40">
        <f>D79*E80+G79*H80+J79*K80</f>
        <v>82456.814171999999</v>
      </c>
      <c r="E80" s="40">
        <v>1324.6012139999998</v>
      </c>
      <c r="H80" s="40">
        <v>993.58044399999994</v>
      </c>
    </row>
    <row r="81" spans="1:8" x14ac:dyDescent="0.3">
      <c r="A81" t="s">
        <v>435</v>
      </c>
      <c r="B81">
        <v>46250.81</v>
      </c>
      <c r="C81" t="s">
        <v>27</v>
      </c>
      <c r="D81">
        <v>56</v>
      </c>
      <c r="E81">
        <v>772.68</v>
      </c>
      <c r="F81" t="s">
        <v>72</v>
      </c>
      <c r="G81">
        <v>3</v>
      </c>
      <c r="H81">
        <v>993.58</v>
      </c>
    </row>
    <row r="82" spans="1:8" s="40" customFormat="1" x14ac:dyDescent="0.3">
      <c r="A82" s="41" t="s">
        <v>976</v>
      </c>
      <c r="B82" s="40">
        <f>D81*E82+G81*H82+J81*K82</f>
        <v>46250.813659999993</v>
      </c>
      <c r="E82" s="40">
        <v>772.67986299999995</v>
      </c>
      <c r="H82" s="40">
        <v>993.58044399999994</v>
      </c>
    </row>
    <row r="83" spans="1:8" x14ac:dyDescent="0.3">
      <c r="A83" t="s">
        <v>437</v>
      </c>
      <c r="B83">
        <v>56634.09</v>
      </c>
      <c r="C83" t="s">
        <v>29</v>
      </c>
      <c r="D83">
        <v>54</v>
      </c>
      <c r="E83">
        <v>993.58</v>
      </c>
      <c r="F83" t="s">
        <v>74</v>
      </c>
      <c r="G83">
        <v>3</v>
      </c>
      <c r="H83">
        <v>993.58</v>
      </c>
    </row>
    <row r="84" spans="1:8" s="40" customFormat="1" x14ac:dyDescent="0.3">
      <c r="A84" s="41" t="s">
        <v>976</v>
      </c>
      <c r="B84" s="40">
        <f>D83*E84+G83*H84+J83*K84</f>
        <v>56634.085307999994</v>
      </c>
      <c r="E84" s="40">
        <v>993.58044399999994</v>
      </c>
      <c r="H84" s="40">
        <v>993.58044399999994</v>
      </c>
    </row>
    <row r="85" spans="1:8" x14ac:dyDescent="0.3">
      <c r="A85" t="s">
        <v>439</v>
      </c>
      <c r="B85">
        <v>63704.37</v>
      </c>
      <c r="C85" t="s">
        <v>31</v>
      </c>
      <c r="D85">
        <v>50</v>
      </c>
      <c r="E85">
        <v>1214.47</v>
      </c>
      <c r="F85" t="s">
        <v>74</v>
      </c>
      <c r="G85">
        <v>3</v>
      </c>
      <c r="H85">
        <v>993.58</v>
      </c>
    </row>
    <row r="86" spans="1:8" s="40" customFormat="1" x14ac:dyDescent="0.3">
      <c r="A86" s="41" t="s">
        <v>976</v>
      </c>
      <c r="B86" s="40">
        <f>D85*E86+G85*H86+J85*K86</f>
        <v>63704.374731999989</v>
      </c>
      <c r="E86" s="40">
        <v>1214.4726679999999</v>
      </c>
      <c r="H86" s="40">
        <v>993.58044399999994</v>
      </c>
    </row>
    <row r="87" spans="1:8" x14ac:dyDescent="0.3">
      <c r="A87" t="s">
        <v>436</v>
      </c>
      <c r="B87">
        <v>41614.730000000003</v>
      </c>
      <c r="C87" t="s">
        <v>27</v>
      </c>
      <c r="D87">
        <v>50</v>
      </c>
      <c r="E87">
        <v>772.68</v>
      </c>
      <c r="F87" t="s">
        <v>72</v>
      </c>
      <c r="G87">
        <v>3</v>
      </c>
      <c r="H87">
        <v>993.58</v>
      </c>
    </row>
    <row r="88" spans="1:8" s="40" customFormat="1" x14ac:dyDescent="0.3">
      <c r="A88" s="41" t="s">
        <v>976</v>
      </c>
      <c r="B88" s="40">
        <f>D87*E88+G87*H88+J87*K88</f>
        <v>41614.734481999993</v>
      </c>
      <c r="E88" s="40">
        <v>772.67986299999995</v>
      </c>
      <c r="H88" s="40">
        <v>993.58044399999994</v>
      </c>
    </row>
    <row r="89" spans="1:8" x14ac:dyDescent="0.3">
      <c r="A89" t="s">
        <v>438</v>
      </c>
      <c r="B89">
        <v>98353.23</v>
      </c>
      <c r="C89" t="s">
        <v>57</v>
      </c>
      <c r="D89">
        <v>48</v>
      </c>
      <c r="E89">
        <v>1986.93</v>
      </c>
      <c r="F89" t="s">
        <v>83</v>
      </c>
      <c r="G89">
        <v>3</v>
      </c>
      <c r="H89">
        <v>993.58</v>
      </c>
    </row>
    <row r="90" spans="1:8" s="40" customFormat="1" x14ac:dyDescent="0.3">
      <c r="A90" s="41" t="s">
        <v>976</v>
      </c>
      <c r="B90" s="40">
        <f>D89*E90+G89*H90+J89*K90</f>
        <v>98353.23214800001</v>
      </c>
      <c r="E90" s="40">
        <v>1986.926892</v>
      </c>
      <c r="H90" s="40">
        <v>993.58044399999994</v>
      </c>
    </row>
    <row r="91" spans="1:8" x14ac:dyDescent="0.3">
      <c r="A91" t="s">
        <v>440</v>
      </c>
      <c r="B91">
        <v>40069.370000000003</v>
      </c>
      <c r="C91" t="s">
        <v>27</v>
      </c>
      <c r="D91">
        <v>48</v>
      </c>
      <c r="E91">
        <v>772.68</v>
      </c>
      <c r="F91" t="s">
        <v>72</v>
      </c>
      <c r="G91">
        <v>3</v>
      </c>
      <c r="H91">
        <v>993.58</v>
      </c>
    </row>
    <row r="92" spans="1:8" s="40" customFormat="1" x14ac:dyDescent="0.3">
      <c r="A92" s="41" t="s">
        <v>976</v>
      </c>
      <c r="B92" s="40">
        <f>D91*E92+G91*H92+J91*K92</f>
        <v>40069.374755999997</v>
      </c>
      <c r="E92" s="40">
        <v>772.67986299999995</v>
      </c>
      <c r="H92" s="40">
        <v>993.58044399999994</v>
      </c>
    </row>
    <row r="93" spans="1:8" x14ac:dyDescent="0.3">
      <c r="A93" t="s">
        <v>441</v>
      </c>
      <c r="B93">
        <v>29466.15</v>
      </c>
      <c r="C93" t="s">
        <v>24</v>
      </c>
      <c r="D93">
        <v>48</v>
      </c>
      <c r="E93">
        <v>551.78</v>
      </c>
      <c r="F93" t="s">
        <v>72</v>
      </c>
      <c r="G93">
        <v>3</v>
      </c>
      <c r="H93">
        <v>993.58</v>
      </c>
    </row>
    <row r="94" spans="1:8" s="40" customFormat="1" x14ac:dyDescent="0.3">
      <c r="A94" s="41" t="s">
        <v>976</v>
      </c>
      <c r="B94" s="40">
        <f>D93*E94+G93*H94+J93*K94</f>
        <v>29466.146867999996</v>
      </c>
      <c r="E94" s="40">
        <v>551.77928199999997</v>
      </c>
      <c r="H94" s="40">
        <v>993.58044399999994</v>
      </c>
    </row>
    <row r="95" spans="1:8" x14ac:dyDescent="0.3">
      <c r="A95" t="s">
        <v>443</v>
      </c>
      <c r="B95">
        <v>40069.370000000003</v>
      </c>
      <c r="C95" t="s">
        <v>27</v>
      </c>
      <c r="D95">
        <v>48</v>
      </c>
      <c r="E95">
        <v>772.68</v>
      </c>
      <c r="F95" t="s">
        <v>72</v>
      </c>
      <c r="G95">
        <v>3</v>
      </c>
      <c r="H95">
        <v>993.58</v>
      </c>
    </row>
    <row r="96" spans="1:8" s="40" customFormat="1" x14ac:dyDescent="0.3">
      <c r="A96" s="41" t="s">
        <v>976</v>
      </c>
      <c r="B96" s="40">
        <f>D95*E96+G95*H96+J95*K96</f>
        <v>40069.374755999997</v>
      </c>
      <c r="E96" s="40">
        <v>772.67986299999995</v>
      </c>
      <c r="H96" s="40">
        <v>993.58044399999994</v>
      </c>
    </row>
    <row r="97" spans="1:8" x14ac:dyDescent="0.3">
      <c r="A97" t="s">
        <v>442</v>
      </c>
      <c r="B97">
        <v>40069.370000000003</v>
      </c>
      <c r="C97" t="s">
        <v>27</v>
      </c>
      <c r="D97">
        <v>48</v>
      </c>
      <c r="E97">
        <v>772.68</v>
      </c>
      <c r="F97" t="s">
        <v>72</v>
      </c>
      <c r="G97">
        <v>3</v>
      </c>
      <c r="H97">
        <v>993.58</v>
      </c>
    </row>
    <row r="98" spans="1:8" s="40" customFormat="1" x14ac:dyDescent="0.3">
      <c r="A98" s="41" t="s">
        <v>976</v>
      </c>
      <c r="B98" s="40">
        <f>D97*E98+G97*H98+J97*K98</f>
        <v>40069.374755999997</v>
      </c>
      <c r="E98" s="40">
        <v>772.67986299999995</v>
      </c>
      <c r="H98" s="40">
        <v>993.58044399999994</v>
      </c>
    </row>
    <row r="99" spans="1:8" x14ac:dyDescent="0.3">
      <c r="A99" t="s">
        <v>445</v>
      </c>
      <c r="B99">
        <v>50672.6</v>
      </c>
      <c r="C99" t="s">
        <v>29</v>
      </c>
      <c r="D99">
        <v>48</v>
      </c>
      <c r="E99">
        <v>993.58</v>
      </c>
      <c r="F99" t="s">
        <v>74</v>
      </c>
      <c r="G99">
        <v>3</v>
      </c>
      <c r="H99">
        <v>993.58</v>
      </c>
    </row>
    <row r="100" spans="1:8" s="40" customFormat="1" x14ac:dyDescent="0.3">
      <c r="A100" s="41" t="s">
        <v>976</v>
      </c>
      <c r="B100" s="40">
        <f>D99*E100+G99*H100+J99*K100</f>
        <v>50672.602643999991</v>
      </c>
      <c r="E100" s="40">
        <v>993.58044399999994</v>
      </c>
      <c r="H100" s="40">
        <v>993.58044399999994</v>
      </c>
    </row>
    <row r="101" spans="1:8" x14ac:dyDescent="0.3">
      <c r="A101" t="s">
        <v>444</v>
      </c>
      <c r="B101">
        <v>40069.370000000003</v>
      </c>
      <c r="C101" t="s">
        <v>27</v>
      </c>
      <c r="D101">
        <v>48</v>
      </c>
      <c r="E101">
        <v>772.68</v>
      </c>
      <c r="F101" t="s">
        <v>72</v>
      </c>
      <c r="G101">
        <v>3</v>
      </c>
      <c r="H101">
        <v>993.58</v>
      </c>
    </row>
    <row r="102" spans="1:8" s="40" customFormat="1" x14ac:dyDescent="0.3">
      <c r="A102" s="41" t="s">
        <v>976</v>
      </c>
      <c r="B102" s="40">
        <f>D101*E102+G101*H102+J101*K102</f>
        <v>40069.374755999997</v>
      </c>
      <c r="E102" s="40">
        <v>772.67986299999995</v>
      </c>
      <c r="H102" s="40">
        <v>993.58044399999994</v>
      </c>
    </row>
    <row r="103" spans="1:8" x14ac:dyDescent="0.3">
      <c r="A103" t="s">
        <v>446</v>
      </c>
      <c r="B103">
        <v>50672.6</v>
      </c>
      <c r="C103" t="s">
        <v>29</v>
      </c>
      <c r="D103">
        <v>48</v>
      </c>
      <c r="E103">
        <v>993.58</v>
      </c>
      <c r="F103" t="s">
        <v>74</v>
      </c>
      <c r="G103">
        <v>3</v>
      </c>
      <c r="H103">
        <v>993.58</v>
      </c>
    </row>
    <row r="104" spans="1:8" s="40" customFormat="1" x14ac:dyDescent="0.3">
      <c r="A104" s="41" t="s">
        <v>976</v>
      </c>
      <c r="B104" s="40">
        <f>D103*E104+G103*H104+J103*K104</f>
        <v>50672.602643999991</v>
      </c>
      <c r="E104" s="40">
        <v>993.58044399999994</v>
      </c>
      <c r="H104" s="40">
        <v>993.58044399999994</v>
      </c>
    </row>
    <row r="105" spans="1:8" x14ac:dyDescent="0.3">
      <c r="A105" t="s">
        <v>447</v>
      </c>
      <c r="B105">
        <v>61275.43</v>
      </c>
      <c r="C105" t="s">
        <v>67</v>
      </c>
      <c r="D105">
        <v>48</v>
      </c>
      <c r="E105">
        <v>1214.47</v>
      </c>
      <c r="F105" t="s">
        <v>74</v>
      </c>
      <c r="G105">
        <v>3</v>
      </c>
      <c r="H105">
        <v>993.58</v>
      </c>
    </row>
    <row r="106" spans="1:8" s="40" customFormat="1" x14ac:dyDescent="0.3">
      <c r="A106" s="41" t="s">
        <v>976</v>
      </c>
      <c r="B106" s="40">
        <f>D105*E106+G105*H106+J105*K106</f>
        <v>61275.429395999992</v>
      </c>
      <c r="E106" s="40">
        <v>1214.4726679999999</v>
      </c>
      <c r="H106" s="40">
        <v>993.58044399999994</v>
      </c>
    </row>
    <row r="107" spans="1:8" x14ac:dyDescent="0.3">
      <c r="A107" t="s">
        <v>448</v>
      </c>
      <c r="B107">
        <v>61275.43</v>
      </c>
      <c r="C107" t="s">
        <v>31</v>
      </c>
      <c r="D107">
        <v>48</v>
      </c>
      <c r="E107">
        <v>1214.47</v>
      </c>
      <c r="F107" t="s">
        <v>74</v>
      </c>
      <c r="G107">
        <v>3</v>
      </c>
      <c r="H107">
        <v>993.58</v>
      </c>
    </row>
    <row r="108" spans="1:8" s="40" customFormat="1" x14ac:dyDescent="0.3">
      <c r="A108" s="41" t="s">
        <v>976</v>
      </c>
      <c r="B108" s="40">
        <f>D107*E108+G107*H108+J107*K108</f>
        <v>61275.429395999992</v>
      </c>
      <c r="E108" s="40">
        <v>1214.4726679999999</v>
      </c>
      <c r="H108" s="40">
        <v>993.58044399999994</v>
      </c>
    </row>
    <row r="109" spans="1:8" x14ac:dyDescent="0.3">
      <c r="A109" t="s">
        <v>449</v>
      </c>
      <c r="B109">
        <v>61275.43</v>
      </c>
      <c r="C109" t="s">
        <v>31</v>
      </c>
      <c r="D109">
        <v>48</v>
      </c>
      <c r="E109">
        <v>1214.47</v>
      </c>
      <c r="F109" t="s">
        <v>74</v>
      </c>
      <c r="G109">
        <v>3</v>
      </c>
      <c r="H109">
        <v>993.58</v>
      </c>
    </row>
    <row r="110" spans="1:8" s="40" customFormat="1" x14ac:dyDescent="0.3">
      <c r="A110" s="41" t="s">
        <v>976</v>
      </c>
      <c r="B110" s="40">
        <f>D109*E110+G109*H110+J109*K110</f>
        <v>61275.429395999992</v>
      </c>
      <c r="E110" s="40">
        <v>1214.4726679999999</v>
      </c>
      <c r="H110" s="40">
        <v>993.58044399999994</v>
      </c>
    </row>
    <row r="111" spans="1:8" x14ac:dyDescent="0.3">
      <c r="A111" t="s">
        <v>450</v>
      </c>
      <c r="B111">
        <v>61275.43</v>
      </c>
      <c r="C111" t="s">
        <v>31</v>
      </c>
      <c r="D111">
        <v>48</v>
      </c>
      <c r="E111">
        <v>1214.47</v>
      </c>
      <c r="F111" t="s">
        <v>74</v>
      </c>
      <c r="G111">
        <v>3</v>
      </c>
      <c r="H111">
        <v>993.58</v>
      </c>
    </row>
    <row r="112" spans="1:8" s="40" customFormat="1" x14ac:dyDescent="0.3">
      <c r="A112" s="41" t="s">
        <v>976</v>
      </c>
      <c r="B112" s="40">
        <f>D111*E112+G111*H112+J111*K112</f>
        <v>61275.429395999992</v>
      </c>
      <c r="E112" s="40">
        <v>1214.4726679999999</v>
      </c>
      <c r="H112" s="40">
        <v>993.58044399999994</v>
      </c>
    </row>
    <row r="113" spans="1:8" x14ac:dyDescent="0.3">
      <c r="A113" t="s">
        <v>569</v>
      </c>
      <c r="B113">
        <v>61275.43</v>
      </c>
      <c r="C113" t="s">
        <v>31</v>
      </c>
      <c r="D113">
        <v>48</v>
      </c>
      <c r="E113">
        <v>1214.47</v>
      </c>
      <c r="F113" t="s">
        <v>74</v>
      </c>
      <c r="G113">
        <v>3</v>
      </c>
      <c r="H113">
        <v>993.58</v>
      </c>
    </row>
    <row r="114" spans="1:8" s="40" customFormat="1" x14ac:dyDescent="0.3">
      <c r="A114" s="41" t="s">
        <v>976</v>
      </c>
      <c r="B114" s="40">
        <f>D113*E114+G113*H114+J113*K114</f>
        <v>61275.429395999992</v>
      </c>
      <c r="E114" s="40">
        <v>1214.4726679999999</v>
      </c>
      <c r="H114" s="40">
        <v>993.58044399999994</v>
      </c>
    </row>
    <row r="115" spans="1:8" x14ac:dyDescent="0.3">
      <c r="A115" t="s">
        <v>451</v>
      </c>
      <c r="B115">
        <v>71861.009999999995</v>
      </c>
      <c r="C115" t="s">
        <v>69</v>
      </c>
      <c r="D115">
        <v>48</v>
      </c>
      <c r="E115">
        <v>1435.01</v>
      </c>
      <c r="F115" t="s">
        <v>74</v>
      </c>
      <c r="G115">
        <v>3</v>
      </c>
      <c r="H115">
        <v>993.58</v>
      </c>
    </row>
    <row r="116" spans="1:8" s="40" customFormat="1" x14ac:dyDescent="0.3">
      <c r="A116" s="41" t="s">
        <v>976</v>
      </c>
      <c r="B116" s="40">
        <f>D115*E116+G115*H116+J115*K116</f>
        <v>71861.007299999997</v>
      </c>
      <c r="E116" s="40">
        <v>1435.0055409999998</v>
      </c>
      <c r="H116" s="40">
        <v>993.58044399999994</v>
      </c>
    </row>
    <row r="117" spans="1:8" x14ac:dyDescent="0.3">
      <c r="A117" t="s">
        <v>452</v>
      </c>
      <c r="B117">
        <v>61275.43</v>
      </c>
      <c r="C117" t="s">
        <v>31</v>
      </c>
      <c r="D117">
        <v>48</v>
      </c>
      <c r="E117">
        <v>1214.47</v>
      </c>
      <c r="F117" t="s">
        <v>74</v>
      </c>
      <c r="G117">
        <v>3</v>
      </c>
      <c r="H117">
        <v>993.58</v>
      </c>
    </row>
    <row r="118" spans="1:8" s="40" customFormat="1" x14ac:dyDescent="0.3">
      <c r="A118" s="41" t="s">
        <v>976</v>
      </c>
      <c r="B118" s="40">
        <f>D117*E118+G117*H118+J117*K118</f>
        <v>61275.429395999992</v>
      </c>
      <c r="E118" s="40">
        <v>1214.4726679999999</v>
      </c>
      <c r="H118" s="40">
        <v>993.58044399999994</v>
      </c>
    </row>
    <row r="119" spans="1:8" x14ac:dyDescent="0.3">
      <c r="A119" t="s">
        <v>454</v>
      </c>
      <c r="B119">
        <v>61275.43</v>
      </c>
      <c r="C119" t="s">
        <v>31</v>
      </c>
      <c r="D119">
        <v>48</v>
      </c>
      <c r="E119">
        <v>1214.47</v>
      </c>
      <c r="F119" t="s">
        <v>74</v>
      </c>
      <c r="G119">
        <v>3</v>
      </c>
      <c r="H119">
        <v>993.58</v>
      </c>
    </row>
    <row r="120" spans="1:8" s="40" customFormat="1" x14ac:dyDescent="0.3">
      <c r="A120" s="41" t="s">
        <v>976</v>
      </c>
      <c r="B120" s="40">
        <f>D119*E120+G119*H120+J119*K120</f>
        <v>61275.429395999992</v>
      </c>
      <c r="E120" s="40">
        <v>1214.4726679999999</v>
      </c>
      <c r="H120" s="40">
        <v>993.58044399999994</v>
      </c>
    </row>
    <row r="121" spans="1:8" x14ac:dyDescent="0.3">
      <c r="A121" t="s">
        <v>456</v>
      </c>
      <c r="B121">
        <v>71861.009999999995</v>
      </c>
      <c r="C121" t="s">
        <v>69</v>
      </c>
      <c r="D121">
        <v>48</v>
      </c>
      <c r="E121">
        <v>1435.01</v>
      </c>
      <c r="F121" t="s">
        <v>74</v>
      </c>
      <c r="G121">
        <v>3</v>
      </c>
      <c r="H121">
        <v>993.58</v>
      </c>
    </row>
    <row r="122" spans="1:8" s="40" customFormat="1" x14ac:dyDescent="0.3">
      <c r="A122" s="41" t="s">
        <v>976</v>
      </c>
      <c r="B122" s="40">
        <f>D121*E122+G121*H122+J121*K122</f>
        <v>71861.007299999997</v>
      </c>
      <c r="E122" s="40">
        <v>1435.0055409999998</v>
      </c>
      <c r="H122" s="40">
        <v>993.58044399999994</v>
      </c>
    </row>
    <row r="123" spans="1:8" x14ac:dyDescent="0.3">
      <c r="A123" t="s">
        <v>455</v>
      </c>
      <c r="B123">
        <v>61275.43</v>
      </c>
      <c r="C123" t="s">
        <v>31</v>
      </c>
      <c r="D123">
        <v>48</v>
      </c>
      <c r="E123">
        <v>1214.47</v>
      </c>
      <c r="F123" t="s">
        <v>74</v>
      </c>
      <c r="G123">
        <v>3</v>
      </c>
      <c r="H123">
        <v>993.58</v>
      </c>
    </row>
    <row r="124" spans="1:8" s="40" customFormat="1" x14ac:dyDescent="0.3">
      <c r="A124" s="41" t="s">
        <v>976</v>
      </c>
      <c r="B124" s="40">
        <f>D123*E124+G123*H124+J123*K124</f>
        <v>61275.429395999992</v>
      </c>
      <c r="E124" s="40">
        <v>1214.4726679999999</v>
      </c>
      <c r="H124" s="40">
        <v>993.58044399999994</v>
      </c>
    </row>
    <row r="125" spans="1:8" x14ac:dyDescent="0.3">
      <c r="A125" t="s">
        <v>458</v>
      </c>
      <c r="B125">
        <v>61275.43</v>
      </c>
      <c r="C125" t="s">
        <v>31</v>
      </c>
      <c r="D125">
        <v>48</v>
      </c>
      <c r="E125">
        <v>1214.47</v>
      </c>
      <c r="F125" t="s">
        <v>74</v>
      </c>
      <c r="G125">
        <v>3</v>
      </c>
      <c r="H125">
        <v>993.58</v>
      </c>
    </row>
    <row r="126" spans="1:8" s="40" customFormat="1" x14ac:dyDescent="0.3">
      <c r="A126" s="41" t="s">
        <v>976</v>
      </c>
      <c r="B126" s="40">
        <f>D125*E126+G125*H126+J125*K126</f>
        <v>61275.429395999992</v>
      </c>
      <c r="E126" s="40">
        <v>1214.4726679999999</v>
      </c>
      <c r="H126" s="40">
        <v>993.58044399999994</v>
      </c>
    </row>
    <row r="127" spans="1:8" x14ac:dyDescent="0.3">
      <c r="A127" t="s">
        <v>457</v>
      </c>
      <c r="B127">
        <v>85437.78</v>
      </c>
      <c r="C127" t="s">
        <v>33</v>
      </c>
      <c r="D127">
        <v>48</v>
      </c>
      <c r="E127">
        <v>1655.81</v>
      </c>
      <c r="F127" t="s">
        <v>79</v>
      </c>
      <c r="G127">
        <v>3</v>
      </c>
      <c r="H127">
        <v>1986.23</v>
      </c>
    </row>
    <row r="128" spans="1:8" s="40" customFormat="1" x14ac:dyDescent="0.3">
      <c r="A128" s="41" t="s">
        <v>976</v>
      </c>
      <c r="B128" s="40">
        <f>D127*E128+G127*H128+J127*K128</f>
        <v>85437.781143</v>
      </c>
      <c r="E128" s="40">
        <v>1655.8141949999999</v>
      </c>
      <c r="H128" s="40">
        <v>1986.2332609999996</v>
      </c>
    </row>
    <row r="129" spans="1:8" x14ac:dyDescent="0.3">
      <c r="A129" t="s">
        <v>460</v>
      </c>
      <c r="B129">
        <v>85437.78</v>
      </c>
      <c r="C129" t="s">
        <v>33</v>
      </c>
      <c r="D129">
        <v>48</v>
      </c>
      <c r="E129">
        <v>1655.81</v>
      </c>
      <c r="F129" t="s">
        <v>79</v>
      </c>
      <c r="G129">
        <v>3</v>
      </c>
      <c r="H129">
        <v>1986.23</v>
      </c>
    </row>
    <row r="130" spans="1:8" s="40" customFormat="1" x14ac:dyDescent="0.3">
      <c r="A130" s="41" t="s">
        <v>976</v>
      </c>
      <c r="B130" s="40">
        <f>D129*E130+G129*H130+J129*K130</f>
        <v>85437.781143</v>
      </c>
      <c r="E130" s="40">
        <v>1655.8141949999999</v>
      </c>
      <c r="H130" s="40">
        <v>1986.2332609999996</v>
      </c>
    </row>
    <row r="131" spans="1:8" x14ac:dyDescent="0.3">
      <c r="A131" t="s">
        <v>462</v>
      </c>
      <c r="B131">
        <v>42719.28</v>
      </c>
      <c r="C131" t="s">
        <v>39</v>
      </c>
      <c r="D131">
        <v>48</v>
      </c>
      <c r="E131">
        <v>827.89</v>
      </c>
      <c r="F131" t="s">
        <v>72</v>
      </c>
      <c r="G131">
        <v>3</v>
      </c>
      <c r="H131">
        <v>993.58</v>
      </c>
    </row>
    <row r="132" spans="1:8" s="40" customFormat="1" x14ac:dyDescent="0.3">
      <c r="A132" s="41" t="s">
        <v>976</v>
      </c>
      <c r="B132" s="40">
        <f>D131*E132+G131*H132+J131*K132</f>
        <v>42719.279171999995</v>
      </c>
      <c r="E132" s="40">
        <v>827.8862049999999</v>
      </c>
      <c r="H132" s="40">
        <v>993.58044399999994</v>
      </c>
    </row>
    <row r="133" spans="1:8" x14ac:dyDescent="0.3">
      <c r="A133" t="s">
        <v>461</v>
      </c>
      <c r="B133">
        <v>66561.600000000006</v>
      </c>
      <c r="C133" t="s">
        <v>43</v>
      </c>
      <c r="D133">
        <v>48</v>
      </c>
      <c r="E133">
        <v>1324.6</v>
      </c>
      <c r="F133" t="s">
        <v>74</v>
      </c>
      <c r="G133">
        <v>3</v>
      </c>
      <c r="H133">
        <v>993.58</v>
      </c>
    </row>
    <row r="134" spans="1:8" s="40" customFormat="1" x14ac:dyDescent="0.3">
      <c r="A134" s="41" t="s">
        <v>976</v>
      </c>
      <c r="B134" s="40">
        <f>D133*E134+G133*H134+J133*K134</f>
        <v>66561.599603999988</v>
      </c>
      <c r="E134" s="40">
        <v>1324.6012139999998</v>
      </c>
      <c r="H134" s="40">
        <v>993.58044399999994</v>
      </c>
    </row>
    <row r="135" spans="1:8" x14ac:dyDescent="0.3">
      <c r="A135" t="s">
        <v>459</v>
      </c>
      <c r="B135">
        <v>85437.78</v>
      </c>
      <c r="C135" t="s">
        <v>33</v>
      </c>
      <c r="D135">
        <v>48</v>
      </c>
      <c r="E135">
        <v>1655.81</v>
      </c>
      <c r="F135" t="s">
        <v>79</v>
      </c>
      <c r="G135">
        <v>3</v>
      </c>
      <c r="H135">
        <v>1986.23</v>
      </c>
    </row>
    <row r="136" spans="1:8" s="40" customFormat="1" x14ac:dyDescent="0.3">
      <c r="A136" s="41" t="s">
        <v>976</v>
      </c>
      <c r="B136" s="40">
        <f>D135*E136+G135*H136+J135*K136</f>
        <v>85437.781143</v>
      </c>
      <c r="E136" s="40">
        <v>1655.8141949999999</v>
      </c>
      <c r="H136" s="40">
        <v>1986.2332609999996</v>
      </c>
    </row>
    <row r="137" spans="1:8" x14ac:dyDescent="0.3">
      <c r="A137" t="s">
        <v>463</v>
      </c>
      <c r="B137">
        <v>66561.600000000006</v>
      </c>
      <c r="C137" t="s">
        <v>43</v>
      </c>
      <c r="D137">
        <v>48</v>
      </c>
      <c r="E137">
        <v>1324.6</v>
      </c>
      <c r="F137" t="s">
        <v>74</v>
      </c>
      <c r="G137">
        <v>3</v>
      </c>
      <c r="H137">
        <v>993.58</v>
      </c>
    </row>
    <row r="138" spans="1:8" s="40" customFormat="1" x14ac:dyDescent="0.3">
      <c r="A138" s="41" t="s">
        <v>976</v>
      </c>
      <c r="B138" s="40">
        <f>D137*E138+G137*H138+J137*K138</f>
        <v>66561.599603999988</v>
      </c>
      <c r="E138" s="40">
        <v>1324.6012139999998</v>
      </c>
      <c r="H138" s="40">
        <v>993.58044399999994</v>
      </c>
    </row>
    <row r="139" spans="1:8" x14ac:dyDescent="0.3">
      <c r="A139" t="s">
        <v>465</v>
      </c>
      <c r="B139">
        <v>66561.600000000006</v>
      </c>
      <c r="C139" t="s">
        <v>43</v>
      </c>
      <c r="D139">
        <v>48</v>
      </c>
      <c r="E139">
        <v>1324.6</v>
      </c>
      <c r="F139" t="s">
        <v>74</v>
      </c>
      <c r="G139">
        <v>3</v>
      </c>
      <c r="H139">
        <v>993.58</v>
      </c>
    </row>
    <row r="140" spans="1:8" s="40" customFormat="1" x14ac:dyDescent="0.3">
      <c r="A140" s="41" t="s">
        <v>976</v>
      </c>
      <c r="B140" s="40">
        <f>D139*E140+G139*H140+J139*K140</f>
        <v>66561.599603999988</v>
      </c>
      <c r="E140" s="40">
        <v>1324.6012139999998</v>
      </c>
      <c r="H140" s="40">
        <v>993.58044399999994</v>
      </c>
    </row>
    <row r="141" spans="1:8" x14ac:dyDescent="0.3">
      <c r="A141" t="s">
        <v>464</v>
      </c>
      <c r="B141">
        <v>66561.600000000006</v>
      </c>
      <c r="C141" t="s">
        <v>43</v>
      </c>
      <c r="D141">
        <v>48</v>
      </c>
      <c r="E141">
        <v>1324.6</v>
      </c>
      <c r="F141" t="s">
        <v>74</v>
      </c>
      <c r="G141">
        <v>3</v>
      </c>
      <c r="H141">
        <v>993.58</v>
      </c>
    </row>
    <row r="142" spans="1:8" s="40" customFormat="1" x14ac:dyDescent="0.3">
      <c r="A142" s="41" t="s">
        <v>976</v>
      </c>
      <c r="B142" s="40">
        <f>D141*E142+G141*H142+J141*K142</f>
        <v>66561.599603999988</v>
      </c>
      <c r="E142" s="40">
        <v>1324.6012139999998</v>
      </c>
      <c r="H142" s="40">
        <v>993.58044399999994</v>
      </c>
    </row>
    <row r="143" spans="1:8" x14ac:dyDescent="0.3">
      <c r="A143" t="s">
        <v>466</v>
      </c>
      <c r="B143">
        <v>66561.600000000006</v>
      </c>
      <c r="C143" t="s">
        <v>43</v>
      </c>
      <c r="D143">
        <v>48</v>
      </c>
      <c r="E143">
        <v>1324.6</v>
      </c>
      <c r="F143" t="s">
        <v>74</v>
      </c>
      <c r="G143">
        <v>3</v>
      </c>
      <c r="H143">
        <v>993.58</v>
      </c>
    </row>
    <row r="144" spans="1:8" s="40" customFormat="1" x14ac:dyDescent="0.3">
      <c r="A144" s="41" t="s">
        <v>976</v>
      </c>
      <c r="B144" s="40">
        <f>D143*E144+G143*H144+J143*K144</f>
        <v>66561.599603999988</v>
      </c>
      <c r="E144" s="40">
        <v>1324.6012139999998</v>
      </c>
      <c r="H144" s="40">
        <v>993.58044399999994</v>
      </c>
    </row>
    <row r="145" spans="1:11" x14ac:dyDescent="0.3">
      <c r="A145" t="s">
        <v>468</v>
      </c>
      <c r="B145">
        <v>58294.69</v>
      </c>
      <c r="C145" t="s">
        <v>31</v>
      </c>
      <c r="D145">
        <v>48</v>
      </c>
      <c r="E145">
        <v>1214.47</v>
      </c>
    </row>
    <row r="146" spans="1:11" s="40" customFormat="1" x14ac:dyDescent="0.3">
      <c r="A146" s="41" t="s">
        <v>976</v>
      </c>
      <c r="B146" s="40">
        <f>D145*E146+G145*H146+J145*K146</f>
        <v>58294.688063999994</v>
      </c>
      <c r="E146" s="40">
        <v>1214.4726679999999</v>
      </c>
    </row>
    <row r="147" spans="1:11" x14ac:dyDescent="0.3">
      <c r="A147" t="s">
        <v>470</v>
      </c>
      <c r="B147">
        <v>37088.629999999997</v>
      </c>
      <c r="C147" t="s">
        <v>27</v>
      </c>
      <c r="D147">
        <v>48</v>
      </c>
      <c r="E147">
        <v>772.68</v>
      </c>
    </row>
    <row r="148" spans="1:11" s="40" customFormat="1" x14ac:dyDescent="0.3">
      <c r="A148" s="41" t="s">
        <v>976</v>
      </c>
      <c r="B148" s="40">
        <f>D147*E148+G147*H148+J147*K148</f>
        <v>37088.633424</v>
      </c>
      <c r="E148" s="40">
        <v>772.67986299999995</v>
      </c>
    </row>
    <row r="149" spans="1:11" x14ac:dyDescent="0.3">
      <c r="A149" t="s">
        <v>467</v>
      </c>
      <c r="B149">
        <v>66561.600000000006</v>
      </c>
      <c r="C149" t="s">
        <v>43</v>
      </c>
      <c r="D149">
        <v>48</v>
      </c>
      <c r="E149">
        <v>1324.6</v>
      </c>
      <c r="F149" t="s">
        <v>74</v>
      </c>
      <c r="G149">
        <v>3</v>
      </c>
      <c r="H149">
        <v>993.58</v>
      </c>
    </row>
    <row r="150" spans="1:11" s="40" customFormat="1" x14ac:dyDescent="0.3">
      <c r="A150" s="41" t="s">
        <v>976</v>
      </c>
      <c r="B150" s="40">
        <f>D149*E150+G149*H150+J149*K150</f>
        <v>66561.599603999988</v>
      </c>
      <c r="E150" s="40">
        <v>1324.6012139999998</v>
      </c>
      <c r="H150" s="40">
        <v>993.58044399999994</v>
      </c>
    </row>
    <row r="151" spans="1:11" x14ac:dyDescent="0.3">
      <c r="A151" t="s">
        <v>469</v>
      </c>
      <c r="B151">
        <v>115890.12</v>
      </c>
      <c r="C151" t="s">
        <v>57</v>
      </c>
      <c r="D151">
        <v>48</v>
      </c>
      <c r="E151">
        <v>1986.93</v>
      </c>
      <c r="F151" t="s">
        <v>119</v>
      </c>
      <c r="G151">
        <v>3</v>
      </c>
      <c r="H151">
        <v>1324.46</v>
      </c>
      <c r="I151" t="s">
        <v>137</v>
      </c>
      <c r="J151">
        <v>50</v>
      </c>
      <c r="K151">
        <v>330.88</v>
      </c>
    </row>
    <row r="152" spans="1:11" s="40" customFormat="1" x14ac:dyDescent="0.3">
      <c r="A152" s="41" t="s">
        <v>976</v>
      </c>
      <c r="B152" s="40">
        <f>D151*E152+G151*H152+J151*K152</f>
        <v>115890.119220671</v>
      </c>
      <c r="E152" s="40">
        <v>1986.926892</v>
      </c>
      <c r="H152" s="40">
        <v>1324.4633318569997</v>
      </c>
      <c r="K152" s="40">
        <v>330.88476818199996</v>
      </c>
    </row>
    <row r="153" spans="1:11" x14ac:dyDescent="0.3">
      <c r="A153" t="s">
        <v>472</v>
      </c>
      <c r="B153">
        <v>115890.12</v>
      </c>
      <c r="C153" t="s">
        <v>57</v>
      </c>
      <c r="D153">
        <v>48</v>
      </c>
      <c r="E153">
        <v>1986.93</v>
      </c>
      <c r="F153" t="s">
        <v>119</v>
      </c>
      <c r="G153">
        <v>3</v>
      </c>
      <c r="H153">
        <v>1324.46</v>
      </c>
      <c r="I153" t="s">
        <v>137</v>
      </c>
      <c r="J153">
        <v>50</v>
      </c>
      <c r="K153">
        <v>330.88</v>
      </c>
    </row>
    <row r="154" spans="1:11" s="40" customFormat="1" x14ac:dyDescent="0.3">
      <c r="A154" s="41" t="s">
        <v>976</v>
      </c>
      <c r="B154" s="40">
        <f>D153*E154+G153*H154+J153*K154</f>
        <v>115890.119220671</v>
      </c>
      <c r="E154" s="40">
        <v>1986.926892</v>
      </c>
      <c r="H154" s="40">
        <v>1324.4633318569997</v>
      </c>
      <c r="K154" s="40">
        <v>330.88476818199996</v>
      </c>
    </row>
    <row r="155" spans="1:11" x14ac:dyDescent="0.3">
      <c r="A155" t="s">
        <v>471</v>
      </c>
      <c r="B155">
        <v>78812.320000000007</v>
      </c>
      <c r="C155" t="s">
        <v>31</v>
      </c>
      <c r="D155">
        <v>48</v>
      </c>
      <c r="E155">
        <v>1214.47</v>
      </c>
      <c r="F155" t="s">
        <v>110</v>
      </c>
      <c r="G155">
        <v>3</v>
      </c>
      <c r="H155">
        <v>1324.46</v>
      </c>
      <c r="I155" t="s">
        <v>137</v>
      </c>
      <c r="J155">
        <v>50</v>
      </c>
      <c r="K155">
        <v>330.88</v>
      </c>
    </row>
    <row r="156" spans="1:11" s="40" customFormat="1" x14ac:dyDescent="0.3">
      <c r="A156" s="41" t="s">
        <v>976</v>
      </c>
      <c r="B156" s="40">
        <f>D155*E156+G155*H156+J155*K156</f>
        <v>78812.316468670993</v>
      </c>
      <c r="E156" s="40">
        <v>1214.4726679999999</v>
      </c>
      <c r="H156" s="40">
        <v>1324.4633318569997</v>
      </c>
      <c r="K156" s="40">
        <v>330.88476818199996</v>
      </c>
    </row>
    <row r="157" spans="1:11" x14ac:dyDescent="0.3">
      <c r="A157" t="s">
        <v>474</v>
      </c>
      <c r="B157">
        <v>89397.89</v>
      </c>
      <c r="C157" t="s">
        <v>69</v>
      </c>
      <c r="D157">
        <v>48</v>
      </c>
      <c r="E157">
        <v>1435.01</v>
      </c>
      <c r="F157" t="s">
        <v>110</v>
      </c>
      <c r="G157">
        <v>3</v>
      </c>
      <c r="H157">
        <v>1324.46</v>
      </c>
      <c r="I157" t="s">
        <v>137</v>
      </c>
      <c r="J157">
        <v>50</v>
      </c>
      <c r="K157">
        <v>330.88</v>
      </c>
    </row>
    <row r="158" spans="1:11" s="40" customFormat="1" x14ac:dyDescent="0.3">
      <c r="A158" s="41" t="s">
        <v>976</v>
      </c>
      <c r="B158" s="40">
        <f>D157*E158+G157*H158+J157*K158</f>
        <v>89397.894372670984</v>
      </c>
      <c r="E158" s="40">
        <v>1435.0055409999998</v>
      </c>
      <c r="H158" s="40">
        <v>1324.4633318569997</v>
      </c>
      <c r="K158" s="40">
        <v>330.88476818199996</v>
      </c>
    </row>
    <row r="159" spans="1:11" x14ac:dyDescent="0.3">
      <c r="A159" t="s">
        <v>473</v>
      </c>
      <c r="B159">
        <v>121864.29</v>
      </c>
      <c r="C159" t="s">
        <v>61</v>
      </c>
      <c r="D159">
        <v>42</v>
      </c>
      <c r="E159">
        <v>2759.66</v>
      </c>
      <c r="F159" t="s">
        <v>85</v>
      </c>
      <c r="G159">
        <v>3</v>
      </c>
      <c r="H159">
        <v>1986.23</v>
      </c>
    </row>
    <row r="160" spans="1:11" s="40" customFormat="1" x14ac:dyDescent="0.3">
      <c r="A160" s="41" t="s">
        <v>976</v>
      </c>
      <c r="B160" s="40">
        <f>D159*E160+G159*H160+J159*K160</f>
        <v>121864.28945699999</v>
      </c>
      <c r="E160" s="40">
        <v>2759.6568969999998</v>
      </c>
      <c r="H160" s="40">
        <v>1986.2332609999996</v>
      </c>
    </row>
    <row r="161" spans="1:11" x14ac:dyDescent="0.3">
      <c r="A161" t="s">
        <v>475</v>
      </c>
      <c r="B161">
        <v>53988.59</v>
      </c>
      <c r="C161" t="s">
        <v>31</v>
      </c>
      <c r="D161">
        <v>42</v>
      </c>
      <c r="E161">
        <v>1214.47</v>
      </c>
      <c r="F161" t="s">
        <v>74</v>
      </c>
      <c r="G161">
        <v>3</v>
      </c>
      <c r="H161">
        <v>993.58</v>
      </c>
    </row>
    <row r="162" spans="1:11" s="40" customFormat="1" x14ac:dyDescent="0.3">
      <c r="A162" s="41" t="s">
        <v>976</v>
      </c>
      <c r="B162" s="40">
        <f>D161*E162+G161*H162+J161*K162</f>
        <v>53988.593387999994</v>
      </c>
      <c r="E162" s="40">
        <v>1214.4726679999999</v>
      </c>
      <c r="H162" s="40">
        <v>993.58044399999994</v>
      </c>
    </row>
    <row r="163" spans="1:11" x14ac:dyDescent="0.3">
      <c r="A163" t="s">
        <v>476</v>
      </c>
      <c r="B163">
        <v>53988.59</v>
      </c>
      <c r="C163" t="s">
        <v>31</v>
      </c>
      <c r="D163">
        <v>42</v>
      </c>
      <c r="E163">
        <v>1214.47</v>
      </c>
      <c r="F163" t="s">
        <v>74</v>
      </c>
      <c r="G163">
        <v>3</v>
      </c>
      <c r="H163">
        <v>993.58</v>
      </c>
    </row>
    <row r="164" spans="1:11" s="40" customFormat="1" x14ac:dyDescent="0.3">
      <c r="A164" s="41" t="s">
        <v>976</v>
      </c>
      <c r="B164" s="40">
        <f>D163*E164+G163*H164+J163*K164</f>
        <v>53988.593387999994</v>
      </c>
      <c r="E164" s="40">
        <v>1214.4726679999999</v>
      </c>
      <c r="H164" s="40">
        <v>993.58044399999994</v>
      </c>
    </row>
    <row r="165" spans="1:11" x14ac:dyDescent="0.3">
      <c r="A165" t="s">
        <v>477</v>
      </c>
      <c r="B165">
        <v>98683.59</v>
      </c>
      <c r="C165" t="s">
        <v>47</v>
      </c>
      <c r="D165">
        <v>42</v>
      </c>
      <c r="E165">
        <v>2207.7399999999998</v>
      </c>
      <c r="F165" t="s">
        <v>79</v>
      </c>
      <c r="G165">
        <v>3</v>
      </c>
      <c r="H165">
        <v>1986.23</v>
      </c>
    </row>
    <row r="166" spans="1:11" s="40" customFormat="1" x14ac:dyDescent="0.3">
      <c r="A166" s="41" t="s">
        <v>976</v>
      </c>
      <c r="B166" s="40">
        <f>D165*E166+G165*H166+J165*K166</f>
        <v>98683.592714999992</v>
      </c>
      <c r="E166" s="40">
        <v>2207.7355459999999</v>
      </c>
      <c r="H166" s="40">
        <v>1986.2332609999996</v>
      </c>
    </row>
    <row r="167" spans="1:11" x14ac:dyDescent="0.3">
      <c r="A167" t="s">
        <v>478</v>
      </c>
      <c r="B167">
        <v>42723.96</v>
      </c>
      <c r="C167" t="s">
        <v>65</v>
      </c>
      <c r="D167">
        <v>40</v>
      </c>
      <c r="E167">
        <v>993.58</v>
      </c>
      <c r="F167" t="s">
        <v>72</v>
      </c>
      <c r="G167">
        <v>3</v>
      </c>
      <c r="H167">
        <v>993.58</v>
      </c>
    </row>
    <row r="168" spans="1:11" s="40" customFormat="1" x14ac:dyDescent="0.3">
      <c r="A168" s="41" t="s">
        <v>976</v>
      </c>
      <c r="B168" s="40">
        <f>D167*E168+G167*H168+J167*K168</f>
        <v>42723.959091999997</v>
      </c>
      <c r="E168" s="40">
        <v>993.58044399999994</v>
      </c>
      <c r="H168" s="40">
        <v>993.58044399999994</v>
      </c>
    </row>
    <row r="169" spans="1:11" x14ac:dyDescent="0.3">
      <c r="A169" t="s">
        <v>479</v>
      </c>
      <c r="B169">
        <v>51559.65</v>
      </c>
      <c r="C169" t="s">
        <v>31</v>
      </c>
      <c r="D169">
        <v>40</v>
      </c>
      <c r="E169">
        <v>1214.47</v>
      </c>
      <c r="F169" t="s">
        <v>74</v>
      </c>
      <c r="G169">
        <v>3</v>
      </c>
      <c r="H169">
        <v>993.58</v>
      </c>
    </row>
    <row r="170" spans="1:11" s="40" customFormat="1" x14ac:dyDescent="0.3">
      <c r="A170" s="41" t="s">
        <v>976</v>
      </c>
      <c r="B170" s="40">
        <f>D169*E170+G169*H170+J169*K170</f>
        <v>51559.648051999997</v>
      </c>
      <c r="E170" s="40">
        <v>1214.4726679999999</v>
      </c>
      <c r="H170" s="40">
        <v>993.58044399999994</v>
      </c>
    </row>
    <row r="171" spans="1:11" x14ac:dyDescent="0.3">
      <c r="A171" t="s">
        <v>480</v>
      </c>
      <c r="B171">
        <v>33225.230000000003</v>
      </c>
      <c r="C171" t="s">
        <v>27</v>
      </c>
      <c r="D171">
        <v>40</v>
      </c>
      <c r="E171">
        <v>772.68</v>
      </c>
      <c r="F171" t="s">
        <v>87</v>
      </c>
      <c r="G171">
        <v>3</v>
      </c>
      <c r="H171">
        <v>772.68</v>
      </c>
    </row>
    <row r="172" spans="1:11" s="40" customFormat="1" x14ac:dyDescent="0.3">
      <c r="A172" s="41" t="s">
        <v>976</v>
      </c>
      <c r="B172" s="40">
        <f>D171*E172+G171*H172+J171*K172</f>
        <v>33225.234108999997</v>
      </c>
      <c r="E172" s="40">
        <v>772.67986299999995</v>
      </c>
      <c r="H172" s="40">
        <v>772.67986299999995</v>
      </c>
    </row>
    <row r="173" spans="1:11" x14ac:dyDescent="0.3">
      <c r="A173" t="s">
        <v>481</v>
      </c>
      <c r="B173">
        <v>66449.460000000006</v>
      </c>
      <c r="C173" t="s">
        <v>31</v>
      </c>
      <c r="D173">
        <v>40</v>
      </c>
      <c r="E173">
        <v>1214.47</v>
      </c>
      <c r="F173" t="s">
        <v>110</v>
      </c>
      <c r="G173">
        <v>3</v>
      </c>
      <c r="H173">
        <v>1324.46</v>
      </c>
      <c r="I173" t="s">
        <v>137</v>
      </c>
      <c r="J173">
        <v>42</v>
      </c>
      <c r="K173">
        <v>330.88</v>
      </c>
    </row>
    <row r="174" spans="1:11" s="40" customFormat="1" x14ac:dyDescent="0.3">
      <c r="A174" s="41" t="s">
        <v>976</v>
      </c>
      <c r="B174" s="40">
        <f>D173*E174+G173*H174+J173*K174</f>
        <v>66449.456979215</v>
      </c>
      <c r="E174" s="40">
        <v>1214.4726679999999</v>
      </c>
      <c r="H174" s="40">
        <v>1324.4633318569997</v>
      </c>
      <c r="K174" s="40">
        <v>330.88476818199996</v>
      </c>
    </row>
    <row r="175" spans="1:11" x14ac:dyDescent="0.3">
      <c r="A175" t="s">
        <v>482</v>
      </c>
      <c r="B175">
        <v>73516.53</v>
      </c>
      <c r="C175" t="s">
        <v>57</v>
      </c>
      <c r="D175">
        <v>36</v>
      </c>
      <c r="E175">
        <v>1986.93</v>
      </c>
      <c r="F175" t="s">
        <v>83</v>
      </c>
      <c r="G175">
        <v>2</v>
      </c>
      <c r="H175">
        <v>993.58</v>
      </c>
    </row>
    <row r="176" spans="1:11" s="40" customFormat="1" x14ac:dyDescent="0.3">
      <c r="A176" s="41" t="s">
        <v>976</v>
      </c>
      <c r="B176" s="40">
        <f>D175*E176+G175*H176+J175*K176</f>
        <v>73516.528999999995</v>
      </c>
      <c r="E176" s="40">
        <v>1986.926892</v>
      </c>
      <c r="H176" s="40">
        <v>993.58044399999994</v>
      </c>
    </row>
    <row r="177" spans="1:8" x14ac:dyDescent="0.3">
      <c r="A177" t="s">
        <v>483</v>
      </c>
      <c r="B177">
        <v>83450.95</v>
      </c>
      <c r="C177" t="s">
        <v>59</v>
      </c>
      <c r="D177">
        <v>36</v>
      </c>
      <c r="E177">
        <v>2207.7399999999998</v>
      </c>
      <c r="F177" t="s">
        <v>85</v>
      </c>
      <c r="G177">
        <v>2</v>
      </c>
      <c r="H177">
        <v>1986.23</v>
      </c>
    </row>
    <row r="178" spans="1:8" s="40" customFormat="1" x14ac:dyDescent="0.3">
      <c r="A178" s="41" t="s">
        <v>976</v>
      </c>
      <c r="B178" s="40">
        <f>D177*E178+G177*H178+J177*K178</f>
        <v>83450.946177999998</v>
      </c>
      <c r="E178" s="40">
        <v>2207.7355459999999</v>
      </c>
      <c r="H178" s="40">
        <v>1986.2332609999996</v>
      </c>
    </row>
    <row r="179" spans="1:8" x14ac:dyDescent="0.3">
      <c r="A179" t="s">
        <v>484</v>
      </c>
      <c r="B179">
        <v>83450.95</v>
      </c>
      <c r="C179" t="s">
        <v>59</v>
      </c>
      <c r="D179">
        <v>36</v>
      </c>
      <c r="E179">
        <v>2207.7399999999998</v>
      </c>
      <c r="F179" t="s">
        <v>85</v>
      </c>
      <c r="G179">
        <v>2</v>
      </c>
      <c r="H179">
        <v>1986.23</v>
      </c>
    </row>
    <row r="180" spans="1:8" s="40" customFormat="1" x14ac:dyDescent="0.3">
      <c r="A180" s="41" t="s">
        <v>976</v>
      </c>
      <c r="B180" s="40">
        <f>D179*E180+G179*H180+J179*K180</f>
        <v>83450.946177999998</v>
      </c>
      <c r="E180" s="40">
        <v>2207.7355459999999</v>
      </c>
      <c r="H180" s="40">
        <v>1986.2332609999996</v>
      </c>
    </row>
    <row r="181" spans="1:8" x14ac:dyDescent="0.3">
      <c r="A181" t="s">
        <v>485</v>
      </c>
      <c r="B181">
        <v>29803.64</v>
      </c>
      <c r="C181" t="s">
        <v>27</v>
      </c>
      <c r="D181">
        <v>36</v>
      </c>
      <c r="E181">
        <v>772.68</v>
      </c>
      <c r="F181" t="s">
        <v>72</v>
      </c>
      <c r="G181">
        <v>2</v>
      </c>
      <c r="H181">
        <v>993.58</v>
      </c>
    </row>
    <row r="182" spans="1:8" s="40" customFormat="1" x14ac:dyDescent="0.3">
      <c r="A182" s="41" t="s">
        <v>976</v>
      </c>
      <c r="B182" s="40">
        <f>D181*E182+G181*H182+J181*K182</f>
        <v>29803.635955999998</v>
      </c>
      <c r="E182" s="40">
        <v>772.67986299999995</v>
      </c>
      <c r="H182" s="40">
        <v>993.58044399999994</v>
      </c>
    </row>
    <row r="183" spans="1:8" x14ac:dyDescent="0.3">
      <c r="A183" t="s">
        <v>486</v>
      </c>
      <c r="B183">
        <v>29803.64</v>
      </c>
      <c r="C183" t="s">
        <v>27</v>
      </c>
      <c r="D183">
        <v>36</v>
      </c>
      <c r="E183">
        <v>772.68</v>
      </c>
      <c r="F183" t="s">
        <v>72</v>
      </c>
      <c r="G183">
        <v>2</v>
      </c>
      <c r="H183">
        <v>993.58</v>
      </c>
    </row>
    <row r="184" spans="1:8" s="40" customFormat="1" x14ac:dyDescent="0.3">
      <c r="A184" s="41" t="s">
        <v>976</v>
      </c>
      <c r="B184" s="40">
        <f>D183*E184+G183*H184+J183*K184</f>
        <v>29803.635955999998</v>
      </c>
      <c r="E184" s="40">
        <v>772.67986299999995</v>
      </c>
      <c r="H184" s="40">
        <v>993.58044399999994</v>
      </c>
    </row>
    <row r="185" spans="1:8" x14ac:dyDescent="0.3">
      <c r="A185" t="s">
        <v>487</v>
      </c>
      <c r="B185">
        <v>29803.64</v>
      </c>
      <c r="C185" t="s">
        <v>27</v>
      </c>
      <c r="D185">
        <v>36</v>
      </c>
      <c r="E185">
        <v>772.68</v>
      </c>
      <c r="F185" t="s">
        <v>72</v>
      </c>
      <c r="G185">
        <v>2</v>
      </c>
      <c r="H185">
        <v>993.58</v>
      </c>
    </row>
    <row r="186" spans="1:8" s="40" customFormat="1" x14ac:dyDescent="0.3">
      <c r="A186" s="41" t="s">
        <v>976</v>
      </c>
      <c r="B186" s="40">
        <f>D185*E186+G185*H186+J185*K186</f>
        <v>29803.635955999998</v>
      </c>
      <c r="E186" s="40">
        <v>772.67986299999995</v>
      </c>
      <c r="H186" s="40">
        <v>993.58044399999994</v>
      </c>
    </row>
    <row r="187" spans="1:8" x14ac:dyDescent="0.3">
      <c r="A187" t="s">
        <v>489</v>
      </c>
      <c r="B187">
        <v>29803.64</v>
      </c>
      <c r="C187" t="s">
        <v>27</v>
      </c>
      <c r="D187">
        <v>36</v>
      </c>
      <c r="E187">
        <v>772.68</v>
      </c>
      <c r="F187" t="s">
        <v>72</v>
      </c>
      <c r="G187">
        <v>2</v>
      </c>
      <c r="H187">
        <v>993.58</v>
      </c>
    </row>
    <row r="188" spans="1:8" s="40" customFormat="1" x14ac:dyDescent="0.3">
      <c r="A188" s="41" t="s">
        <v>976</v>
      </c>
      <c r="B188" s="40">
        <f>D187*E188+G187*H188+J187*K188</f>
        <v>29803.635955999998</v>
      </c>
      <c r="E188" s="40">
        <v>772.67986299999995</v>
      </c>
      <c r="H188" s="40">
        <v>993.58044399999994</v>
      </c>
    </row>
    <row r="189" spans="1:8" x14ac:dyDescent="0.3">
      <c r="A189" t="s">
        <v>488</v>
      </c>
      <c r="B189">
        <v>29803.64</v>
      </c>
      <c r="C189" t="s">
        <v>27</v>
      </c>
      <c r="D189">
        <v>36</v>
      </c>
      <c r="E189">
        <v>772.68</v>
      </c>
      <c r="F189" t="s">
        <v>72</v>
      </c>
      <c r="G189">
        <v>2</v>
      </c>
      <c r="H189">
        <v>993.58</v>
      </c>
    </row>
    <row r="190" spans="1:8" s="40" customFormat="1" x14ac:dyDescent="0.3">
      <c r="A190" s="41" t="s">
        <v>976</v>
      </c>
      <c r="B190" s="40">
        <f>D189*E190+G189*H190+J189*K190</f>
        <v>29803.635955999998</v>
      </c>
      <c r="E190" s="40">
        <v>772.67986299999995</v>
      </c>
      <c r="H190" s="40">
        <v>993.58044399999994</v>
      </c>
    </row>
    <row r="191" spans="1:8" x14ac:dyDescent="0.3">
      <c r="A191" t="s">
        <v>491</v>
      </c>
      <c r="B191">
        <v>37756.06</v>
      </c>
      <c r="C191" t="s">
        <v>65</v>
      </c>
      <c r="D191">
        <v>36</v>
      </c>
      <c r="E191">
        <v>993.58</v>
      </c>
      <c r="F191" t="s">
        <v>72</v>
      </c>
      <c r="G191">
        <v>2</v>
      </c>
      <c r="H191">
        <v>993.58</v>
      </c>
    </row>
    <row r="192" spans="1:8" s="40" customFormat="1" x14ac:dyDescent="0.3">
      <c r="A192" s="41" t="s">
        <v>976</v>
      </c>
      <c r="B192" s="40">
        <f>D191*E192+G191*H192+J191*K192</f>
        <v>37756.056871999994</v>
      </c>
      <c r="E192" s="40">
        <v>993.58044399999994</v>
      </c>
      <c r="H192" s="40">
        <v>993.58044399999994</v>
      </c>
    </row>
    <row r="193" spans="1:8" x14ac:dyDescent="0.3">
      <c r="A193" t="s">
        <v>490</v>
      </c>
      <c r="B193">
        <v>29803.64</v>
      </c>
      <c r="C193" t="s">
        <v>27</v>
      </c>
      <c r="D193">
        <v>36</v>
      </c>
      <c r="E193">
        <v>772.68</v>
      </c>
      <c r="F193" t="s">
        <v>72</v>
      </c>
      <c r="G193">
        <v>2</v>
      </c>
      <c r="H193">
        <v>993.58</v>
      </c>
    </row>
    <row r="194" spans="1:8" s="40" customFormat="1" x14ac:dyDescent="0.3">
      <c r="A194" s="41" t="s">
        <v>976</v>
      </c>
      <c r="B194" s="40">
        <f>D193*E194+G193*H194+J193*K194</f>
        <v>29803.635955999998</v>
      </c>
      <c r="E194" s="40">
        <v>772.67986299999995</v>
      </c>
      <c r="H194" s="40">
        <v>993.58044399999994</v>
      </c>
    </row>
    <row r="195" spans="1:8" x14ac:dyDescent="0.3">
      <c r="A195" t="s">
        <v>493</v>
      </c>
      <c r="B195">
        <v>37756.06</v>
      </c>
      <c r="C195" t="s">
        <v>29</v>
      </c>
      <c r="D195">
        <v>36</v>
      </c>
      <c r="E195">
        <v>993.58</v>
      </c>
      <c r="F195" t="s">
        <v>74</v>
      </c>
      <c r="G195">
        <v>2</v>
      </c>
      <c r="H195">
        <v>993.58</v>
      </c>
    </row>
    <row r="196" spans="1:8" s="40" customFormat="1" x14ac:dyDescent="0.3">
      <c r="A196" s="41" t="s">
        <v>976</v>
      </c>
      <c r="B196" s="40">
        <f>D195*E196+G195*H196+J195*K196</f>
        <v>37756.056871999994</v>
      </c>
      <c r="E196" s="40">
        <v>993.58044399999994</v>
      </c>
      <c r="H196" s="40">
        <v>993.58044399999994</v>
      </c>
    </row>
    <row r="197" spans="1:8" x14ac:dyDescent="0.3">
      <c r="A197" t="s">
        <v>494</v>
      </c>
      <c r="B197">
        <v>37756.06</v>
      </c>
      <c r="C197" t="s">
        <v>29</v>
      </c>
      <c r="D197">
        <v>36</v>
      </c>
      <c r="E197">
        <v>993.58</v>
      </c>
      <c r="F197" t="s">
        <v>74</v>
      </c>
      <c r="G197">
        <v>2</v>
      </c>
      <c r="H197">
        <v>993.58</v>
      </c>
    </row>
    <row r="198" spans="1:8" s="40" customFormat="1" x14ac:dyDescent="0.3">
      <c r="A198" s="41" t="s">
        <v>976</v>
      </c>
      <c r="B198" s="40">
        <f>D197*E198+G197*H198+J197*K198</f>
        <v>37756.056871999994</v>
      </c>
      <c r="E198" s="40">
        <v>993.58044399999994</v>
      </c>
      <c r="H198" s="40">
        <v>993.58044399999994</v>
      </c>
    </row>
    <row r="199" spans="1:8" x14ac:dyDescent="0.3">
      <c r="A199" t="s">
        <v>492</v>
      </c>
      <c r="B199">
        <v>45708.18</v>
      </c>
      <c r="C199" t="s">
        <v>67</v>
      </c>
      <c r="D199">
        <v>36</v>
      </c>
      <c r="E199">
        <v>1214.47</v>
      </c>
      <c r="F199" t="s">
        <v>74</v>
      </c>
      <c r="G199">
        <v>2</v>
      </c>
      <c r="H199">
        <v>993.58</v>
      </c>
    </row>
    <row r="200" spans="1:8" s="40" customFormat="1" x14ac:dyDescent="0.3">
      <c r="A200" s="41" t="s">
        <v>976</v>
      </c>
      <c r="B200" s="40">
        <f>D199*E200+G199*H200+J199*K200</f>
        <v>45708.176935999996</v>
      </c>
      <c r="E200" s="40">
        <v>1214.4726679999999</v>
      </c>
      <c r="H200" s="40">
        <v>993.58044399999994</v>
      </c>
    </row>
    <row r="201" spans="1:8" x14ac:dyDescent="0.3">
      <c r="A201" t="s">
        <v>495</v>
      </c>
      <c r="B201">
        <v>45708.18</v>
      </c>
      <c r="C201" t="s">
        <v>67</v>
      </c>
      <c r="D201">
        <v>36</v>
      </c>
      <c r="E201">
        <v>1214.47</v>
      </c>
      <c r="F201" t="s">
        <v>74</v>
      </c>
      <c r="G201">
        <v>2</v>
      </c>
      <c r="H201">
        <v>993.58</v>
      </c>
    </row>
    <row r="202" spans="1:8" s="40" customFormat="1" x14ac:dyDescent="0.3">
      <c r="A202" s="41" t="s">
        <v>976</v>
      </c>
      <c r="B202" s="40">
        <f>D201*E202+G201*H202+J201*K202</f>
        <v>45708.176935999996</v>
      </c>
      <c r="E202" s="40">
        <v>1214.4726679999999</v>
      </c>
      <c r="H202" s="40">
        <v>993.58044399999994</v>
      </c>
    </row>
    <row r="203" spans="1:8" x14ac:dyDescent="0.3">
      <c r="A203" t="s">
        <v>497</v>
      </c>
      <c r="B203">
        <v>37756.06</v>
      </c>
      <c r="C203" t="s">
        <v>29</v>
      </c>
      <c r="D203">
        <v>36</v>
      </c>
      <c r="E203">
        <v>993.58</v>
      </c>
      <c r="F203" t="s">
        <v>74</v>
      </c>
      <c r="G203">
        <v>2</v>
      </c>
      <c r="H203">
        <v>993.58</v>
      </c>
    </row>
    <row r="204" spans="1:8" s="40" customFormat="1" x14ac:dyDescent="0.3">
      <c r="A204" s="41" t="s">
        <v>976</v>
      </c>
      <c r="B204" s="40">
        <f>D203*E204+G203*H204+J203*K204</f>
        <v>37756.056871999994</v>
      </c>
      <c r="E204" s="40">
        <v>993.58044399999994</v>
      </c>
      <c r="H204" s="40">
        <v>993.58044399999994</v>
      </c>
    </row>
    <row r="205" spans="1:8" x14ac:dyDescent="0.3">
      <c r="A205" t="s">
        <v>496</v>
      </c>
      <c r="B205">
        <v>45708.18</v>
      </c>
      <c r="C205" t="s">
        <v>31</v>
      </c>
      <c r="D205">
        <v>36</v>
      </c>
      <c r="E205">
        <v>1214.47</v>
      </c>
      <c r="F205" t="s">
        <v>74</v>
      </c>
      <c r="G205">
        <v>2</v>
      </c>
      <c r="H205">
        <v>993.58</v>
      </c>
    </row>
    <row r="206" spans="1:8" s="40" customFormat="1" x14ac:dyDescent="0.3">
      <c r="A206" s="41" t="s">
        <v>976</v>
      </c>
      <c r="B206" s="40">
        <f>D205*E206+G205*H206+J205*K206</f>
        <v>45708.176935999996</v>
      </c>
      <c r="E206" s="40">
        <v>1214.4726679999999</v>
      </c>
      <c r="H206" s="40">
        <v>993.58044399999994</v>
      </c>
    </row>
    <row r="207" spans="1:8" x14ac:dyDescent="0.3">
      <c r="A207" t="s">
        <v>498</v>
      </c>
      <c r="B207">
        <v>53647.360000000001</v>
      </c>
      <c r="C207" t="s">
        <v>69</v>
      </c>
      <c r="D207">
        <v>36</v>
      </c>
      <c r="E207">
        <v>1435.01</v>
      </c>
      <c r="F207" t="s">
        <v>74</v>
      </c>
      <c r="G207">
        <v>2</v>
      </c>
      <c r="H207">
        <v>993.58</v>
      </c>
    </row>
    <row r="208" spans="1:8" s="40" customFormat="1" x14ac:dyDescent="0.3">
      <c r="A208" s="41" t="s">
        <v>976</v>
      </c>
      <c r="B208" s="40">
        <f>D207*E208+G207*H208+J207*K208</f>
        <v>53647.360363999993</v>
      </c>
      <c r="E208" s="40">
        <v>1435.0055409999998</v>
      </c>
      <c r="H208" s="40">
        <v>993.58044399999994</v>
      </c>
    </row>
    <row r="209" spans="1:8" x14ac:dyDescent="0.3">
      <c r="A209" t="s">
        <v>499</v>
      </c>
      <c r="B209">
        <v>45708.18</v>
      </c>
      <c r="C209" t="s">
        <v>31</v>
      </c>
      <c r="D209">
        <v>36</v>
      </c>
      <c r="E209">
        <v>1214.47</v>
      </c>
      <c r="F209" t="s">
        <v>74</v>
      </c>
      <c r="G209">
        <v>2</v>
      </c>
      <c r="H209">
        <v>993.58</v>
      </c>
    </row>
    <row r="210" spans="1:8" s="40" customFormat="1" x14ac:dyDescent="0.3">
      <c r="A210" s="41" t="s">
        <v>976</v>
      </c>
      <c r="B210" s="40">
        <f>D209*E210+G209*H210+J209*K210</f>
        <v>45708.176935999996</v>
      </c>
      <c r="E210" s="40">
        <v>1214.4726679999999</v>
      </c>
      <c r="H210" s="40">
        <v>993.58044399999994</v>
      </c>
    </row>
    <row r="211" spans="1:8" x14ac:dyDescent="0.3">
      <c r="A211" t="s">
        <v>567</v>
      </c>
      <c r="B211">
        <v>45708.18</v>
      </c>
      <c r="C211" t="s">
        <v>31</v>
      </c>
      <c r="D211">
        <v>36</v>
      </c>
      <c r="E211">
        <v>1214.47</v>
      </c>
      <c r="F211" t="s">
        <v>74</v>
      </c>
      <c r="G211">
        <v>2</v>
      </c>
      <c r="H211">
        <v>993.58</v>
      </c>
    </row>
    <row r="212" spans="1:8" s="40" customFormat="1" x14ac:dyDescent="0.3">
      <c r="A212" s="41" t="s">
        <v>976</v>
      </c>
      <c r="B212" s="40">
        <f>D211*E212+G211*H212+J211*K212</f>
        <v>45708.176935999996</v>
      </c>
      <c r="E212" s="40">
        <v>1214.4726679999999</v>
      </c>
      <c r="H212" s="40">
        <v>993.58044399999994</v>
      </c>
    </row>
    <row r="213" spans="1:8" x14ac:dyDescent="0.3">
      <c r="A213" t="s">
        <v>500</v>
      </c>
      <c r="B213">
        <v>45708.18</v>
      </c>
      <c r="C213" t="s">
        <v>31</v>
      </c>
      <c r="D213">
        <v>36</v>
      </c>
      <c r="E213">
        <v>1214.47</v>
      </c>
      <c r="F213" t="s">
        <v>74</v>
      </c>
      <c r="G213">
        <v>2</v>
      </c>
      <c r="H213">
        <v>993.58</v>
      </c>
    </row>
    <row r="214" spans="1:8" s="40" customFormat="1" x14ac:dyDescent="0.3">
      <c r="A214" s="41" t="s">
        <v>976</v>
      </c>
      <c r="B214" s="40">
        <f>D213*E214+G213*H214+J213*K214</f>
        <v>45708.176935999996</v>
      </c>
      <c r="E214" s="40">
        <v>1214.4726679999999</v>
      </c>
      <c r="H214" s="40">
        <v>993.58044399999994</v>
      </c>
    </row>
    <row r="215" spans="1:8" x14ac:dyDescent="0.3">
      <c r="A215" t="s">
        <v>501</v>
      </c>
      <c r="B215">
        <v>53647.360000000001</v>
      </c>
      <c r="C215" t="s">
        <v>69</v>
      </c>
      <c r="D215">
        <v>36</v>
      </c>
      <c r="E215">
        <v>1435.01</v>
      </c>
      <c r="F215" t="s">
        <v>74</v>
      </c>
      <c r="G215">
        <v>2</v>
      </c>
      <c r="H215">
        <v>993.58</v>
      </c>
    </row>
    <row r="216" spans="1:8" s="40" customFormat="1" x14ac:dyDescent="0.3">
      <c r="A216" s="41" t="s">
        <v>976</v>
      </c>
      <c r="B216" s="40">
        <f>D215*E216+G215*H216+J215*K216</f>
        <v>53647.360363999993</v>
      </c>
      <c r="E216" s="40">
        <v>1435.0055409999998</v>
      </c>
      <c r="H216" s="40">
        <v>993.58044399999994</v>
      </c>
    </row>
    <row r="217" spans="1:8" x14ac:dyDescent="0.3">
      <c r="A217" t="s">
        <v>503</v>
      </c>
      <c r="B217">
        <v>45708.18</v>
      </c>
      <c r="C217" t="s">
        <v>31</v>
      </c>
      <c r="D217">
        <v>36</v>
      </c>
      <c r="E217">
        <v>1214.47</v>
      </c>
      <c r="F217" t="s">
        <v>74</v>
      </c>
      <c r="G217">
        <v>2</v>
      </c>
      <c r="H217">
        <v>993.58</v>
      </c>
    </row>
    <row r="218" spans="1:8" s="40" customFormat="1" x14ac:dyDescent="0.3">
      <c r="A218" s="41" t="s">
        <v>976</v>
      </c>
      <c r="B218" s="40">
        <f>D217*E218+G217*H218+J217*K218</f>
        <v>45708.176935999996</v>
      </c>
      <c r="E218" s="40">
        <v>1214.4726679999999</v>
      </c>
      <c r="H218" s="40">
        <v>993.58044399999994</v>
      </c>
    </row>
    <row r="219" spans="1:8" x14ac:dyDescent="0.3">
      <c r="A219" t="s">
        <v>502</v>
      </c>
      <c r="B219">
        <v>45708.18</v>
      </c>
      <c r="C219" t="s">
        <v>31</v>
      </c>
      <c r="D219">
        <v>36</v>
      </c>
      <c r="E219">
        <v>1214.47</v>
      </c>
      <c r="F219" t="s">
        <v>74</v>
      </c>
      <c r="G219">
        <v>2</v>
      </c>
      <c r="H219">
        <v>993.58</v>
      </c>
    </row>
    <row r="220" spans="1:8" s="40" customFormat="1" x14ac:dyDescent="0.3">
      <c r="A220" s="41" t="s">
        <v>976</v>
      </c>
      <c r="B220" s="40">
        <f>D219*E220+G219*H220+J219*K220</f>
        <v>45708.176935999996</v>
      </c>
      <c r="E220" s="40">
        <v>1214.4726679999999</v>
      </c>
      <c r="H220" s="40">
        <v>993.58044399999994</v>
      </c>
    </row>
    <row r="221" spans="1:8" x14ac:dyDescent="0.3">
      <c r="A221" t="s">
        <v>504</v>
      </c>
      <c r="B221">
        <v>45708.18</v>
      </c>
      <c r="C221" t="s">
        <v>31</v>
      </c>
      <c r="D221">
        <v>36</v>
      </c>
      <c r="E221">
        <v>1214.47</v>
      </c>
      <c r="F221" t="s">
        <v>74</v>
      </c>
      <c r="G221">
        <v>2</v>
      </c>
      <c r="H221">
        <v>993.58</v>
      </c>
    </row>
    <row r="222" spans="1:8" s="40" customFormat="1" x14ac:dyDescent="0.3">
      <c r="A222" s="41" t="s">
        <v>976</v>
      </c>
      <c r="B222" s="40">
        <f>D221*E222+G221*H222+J221*K222</f>
        <v>45708.176935999996</v>
      </c>
      <c r="E222" s="40">
        <v>1214.4726679999999</v>
      </c>
      <c r="H222" s="40">
        <v>993.58044399999994</v>
      </c>
    </row>
    <row r="223" spans="1:8" x14ac:dyDescent="0.3">
      <c r="A223" t="s">
        <v>505</v>
      </c>
      <c r="B223">
        <v>45708.18</v>
      </c>
      <c r="C223" t="s">
        <v>31</v>
      </c>
      <c r="D223">
        <v>36</v>
      </c>
      <c r="E223">
        <v>1214.47</v>
      </c>
      <c r="F223" t="s">
        <v>74</v>
      </c>
      <c r="G223">
        <v>2</v>
      </c>
      <c r="H223">
        <v>993.58</v>
      </c>
    </row>
    <row r="224" spans="1:8" s="40" customFormat="1" x14ac:dyDescent="0.3">
      <c r="A224" s="41" t="s">
        <v>976</v>
      </c>
      <c r="B224" s="40">
        <f>D223*E224+G223*H224+J223*K224</f>
        <v>45708.176935999996</v>
      </c>
      <c r="E224" s="40">
        <v>1214.4726679999999</v>
      </c>
      <c r="H224" s="40">
        <v>993.58044399999994</v>
      </c>
    </row>
    <row r="225" spans="1:8" x14ac:dyDescent="0.3">
      <c r="A225" t="s">
        <v>508</v>
      </c>
      <c r="B225">
        <v>45708.18</v>
      </c>
      <c r="C225" t="s">
        <v>31</v>
      </c>
      <c r="D225">
        <v>36</v>
      </c>
      <c r="E225">
        <v>1214.47</v>
      </c>
      <c r="F225" t="s">
        <v>74</v>
      </c>
      <c r="G225">
        <v>2</v>
      </c>
      <c r="H225">
        <v>993.58</v>
      </c>
    </row>
    <row r="226" spans="1:8" s="40" customFormat="1" x14ac:dyDescent="0.3">
      <c r="A226" s="41" t="s">
        <v>976</v>
      </c>
      <c r="B226" s="40">
        <f>D225*E226+G225*H226+J225*K226</f>
        <v>45708.176935999996</v>
      </c>
      <c r="E226" s="40">
        <v>1214.4726679999999</v>
      </c>
      <c r="H226" s="40">
        <v>993.58044399999994</v>
      </c>
    </row>
    <row r="227" spans="1:8" x14ac:dyDescent="0.3">
      <c r="A227" t="s">
        <v>506</v>
      </c>
      <c r="B227">
        <v>45708.18</v>
      </c>
      <c r="C227" t="s">
        <v>31</v>
      </c>
      <c r="D227">
        <v>36</v>
      </c>
      <c r="E227">
        <v>1214.47</v>
      </c>
      <c r="F227" t="s">
        <v>74</v>
      </c>
      <c r="G227">
        <v>2</v>
      </c>
      <c r="H227">
        <v>993.58</v>
      </c>
    </row>
    <row r="228" spans="1:8" s="40" customFormat="1" x14ac:dyDescent="0.3">
      <c r="A228" s="41" t="s">
        <v>976</v>
      </c>
      <c r="B228" s="40">
        <f>D227*E228+G227*H228+J227*K228</f>
        <v>45708.176935999996</v>
      </c>
      <c r="E228" s="40">
        <v>1214.4726679999999</v>
      </c>
      <c r="H228" s="40">
        <v>993.58044399999994</v>
      </c>
    </row>
    <row r="229" spans="1:8" x14ac:dyDescent="0.3">
      <c r="A229" t="s">
        <v>507</v>
      </c>
      <c r="B229">
        <v>53647.360000000001</v>
      </c>
      <c r="C229" t="s">
        <v>69</v>
      </c>
      <c r="D229">
        <v>36</v>
      </c>
      <c r="E229">
        <v>1435.01</v>
      </c>
      <c r="F229" t="s">
        <v>74</v>
      </c>
      <c r="G229">
        <v>2</v>
      </c>
      <c r="H229">
        <v>993.58</v>
      </c>
    </row>
    <row r="230" spans="1:8" s="40" customFormat="1" x14ac:dyDescent="0.3">
      <c r="A230" s="41" t="s">
        <v>976</v>
      </c>
      <c r="B230" s="40">
        <f>D229*E230+G229*H230+J229*K230</f>
        <v>53647.360363999993</v>
      </c>
      <c r="E230" s="40">
        <v>1435.0055409999998</v>
      </c>
      <c r="H230" s="40">
        <v>993.58044399999994</v>
      </c>
    </row>
    <row r="231" spans="1:8" x14ac:dyDescent="0.3">
      <c r="A231" t="s">
        <v>509</v>
      </c>
      <c r="B231">
        <v>45708.18</v>
      </c>
      <c r="C231" t="s">
        <v>31</v>
      </c>
      <c r="D231">
        <v>36</v>
      </c>
      <c r="E231">
        <v>1214.47</v>
      </c>
      <c r="F231" t="s">
        <v>74</v>
      </c>
      <c r="G231">
        <v>2</v>
      </c>
      <c r="H231">
        <v>993.58</v>
      </c>
    </row>
    <row r="232" spans="1:8" s="40" customFormat="1" x14ac:dyDescent="0.3">
      <c r="A232" s="41" t="s">
        <v>976</v>
      </c>
      <c r="B232" s="40">
        <f>D231*E232+G231*H232+J231*K232</f>
        <v>45708.176935999996</v>
      </c>
      <c r="E232" s="40">
        <v>1214.4726679999999</v>
      </c>
      <c r="H232" s="40">
        <v>993.58044399999994</v>
      </c>
    </row>
    <row r="233" spans="1:8" x14ac:dyDescent="0.3">
      <c r="A233" t="s">
        <v>511</v>
      </c>
      <c r="B233">
        <v>45708.18</v>
      </c>
      <c r="C233" t="s">
        <v>31</v>
      </c>
      <c r="D233">
        <v>36</v>
      </c>
      <c r="E233">
        <v>1214.47</v>
      </c>
      <c r="F233" t="s">
        <v>74</v>
      </c>
      <c r="G233">
        <v>2</v>
      </c>
      <c r="H233">
        <v>993.58</v>
      </c>
    </row>
    <row r="234" spans="1:8" s="40" customFormat="1" x14ac:dyDescent="0.3">
      <c r="A234" s="41" t="s">
        <v>976</v>
      </c>
      <c r="B234" s="40">
        <f>D233*E234+G233*H234+J233*K234</f>
        <v>45708.176935999996</v>
      </c>
      <c r="E234" s="40">
        <v>1214.4726679999999</v>
      </c>
      <c r="H234" s="40">
        <v>993.58044399999994</v>
      </c>
    </row>
    <row r="235" spans="1:8" x14ac:dyDescent="0.3">
      <c r="A235" t="s">
        <v>510</v>
      </c>
      <c r="B235">
        <v>53647.360000000001</v>
      </c>
      <c r="C235" t="s">
        <v>69</v>
      </c>
      <c r="D235">
        <v>36</v>
      </c>
      <c r="E235">
        <v>1435.01</v>
      </c>
      <c r="F235" t="s">
        <v>74</v>
      </c>
      <c r="G235">
        <v>2</v>
      </c>
      <c r="H235">
        <v>993.58</v>
      </c>
    </row>
    <row r="236" spans="1:8" s="40" customFormat="1" x14ac:dyDescent="0.3">
      <c r="A236" s="41" t="s">
        <v>976</v>
      </c>
      <c r="B236" s="40">
        <f>D235*E236+G235*H236+J235*K236</f>
        <v>53647.360363999993</v>
      </c>
      <c r="E236" s="40">
        <v>1435.0055409999998</v>
      </c>
      <c r="H236" s="40">
        <v>993.58044399999994</v>
      </c>
    </row>
    <row r="237" spans="1:8" x14ac:dyDescent="0.3">
      <c r="A237" t="s">
        <v>512</v>
      </c>
      <c r="B237">
        <v>45708.18</v>
      </c>
      <c r="C237" t="s">
        <v>31</v>
      </c>
      <c r="D237">
        <v>36</v>
      </c>
      <c r="E237">
        <v>1214.47</v>
      </c>
      <c r="F237" t="s">
        <v>74</v>
      </c>
      <c r="G237">
        <v>2</v>
      </c>
      <c r="H237">
        <v>993.58</v>
      </c>
    </row>
    <row r="238" spans="1:8" s="40" customFormat="1" x14ac:dyDescent="0.3">
      <c r="A238" s="41" t="s">
        <v>976</v>
      </c>
      <c r="B238" s="40">
        <f>D237*E238+G237*H238+J237*K238</f>
        <v>45708.176935999996</v>
      </c>
      <c r="E238" s="40">
        <v>1214.4726679999999</v>
      </c>
      <c r="H238" s="40">
        <v>993.58044399999994</v>
      </c>
    </row>
    <row r="239" spans="1:8" x14ac:dyDescent="0.3">
      <c r="A239" t="s">
        <v>513</v>
      </c>
      <c r="B239">
        <v>63581.78</v>
      </c>
      <c r="C239" t="s">
        <v>33</v>
      </c>
      <c r="D239">
        <v>36</v>
      </c>
      <c r="E239">
        <v>1655.81</v>
      </c>
      <c r="F239" t="s">
        <v>79</v>
      </c>
      <c r="G239">
        <v>2</v>
      </c>
      <c r="H239">
        <v>1986.23</v>
      </c>
    </row>
    <row r="240" spans="1:8" s="40" customFormat="1" x14ac:dyDescent="0.3">
      <c r="A240" s="41" t="s">
        <v>976</v>
      </c>
      <c r="B240" s="40">
        <f>D239*E240+G239*H240+J239*K240</f>
        <v>63581.777541999996</v>
      </c>
      <c r="E240" s="40">
        <v>1655.8141949999999</v>
      </c>
      <c r="H240" s="40">
        <v>1986.2332609999996</v>
      </c>
    </row>
    <row r="241" spans="1:8" x14ac:dyDescent="0.3">
      <c r="A241" t="s">
        <v>514</v>
      </c>
      <c r="B241">
        <v>63581.78</v>
      </c>
      <c r="C241" t="s">
        <v>33</v>
      </c>
      <c r="D241">
        <v>36</v>
      </c>
      <c r="E241">
        <v>1655.81</v>
      </c>
      <c r="F241" t="s">
        <v>79</v>
      </c>
      <c r="G241">
        <v>2</v>
      </c>
      <c r="H241">
        <v>1986.23</v>
      </c>
    </row>
    <row r="242" spans="1:8" s="40" customFormat="1" x14ac:dyDescent="0.3">
      <c r="A242" s="41" t="s">
        <v>976</v>
      </c>
      <c r="B242" s="40">
        <f>D241*E242+G241*H242+J241*K242</f>
        <v>63581.777541999996</v>
      </c>
      <c r="E242" s="40">
        <v>1655.8141949999999</v>
      </c>
      <c r="H242" s="40">
        <v>1986.2332609999996</v>
      </c>
    </row>
    <row r="243" spans="1:8" x14ac:dyDescent="0.3">
      <c r="A243" t="s">
        <v>515</v>
      </c>
      <c r="B243">
        <v>63581.78</v>
      </c>
      <c r="C243" t="s">
        <v>33</v>
      </c>
      <c r="D243">
        <v>36</v>
      </c>
      <c r="E243">
        <v>1655.81</v>
      </c>
      <c r="F243" t="s">
        <v>79</v>
      </c>
      <c r="G243">
        <v>2</v>
      </c>
      <c r="H243">
        <v>1986.23</v>
      </c>
    </row>
    <row r="244" spans="1:8" s="40" customFormat="1" x14ac:dyDescent="0.3">
      <c r="A244" s="41" t="s">
        <v>976</v>
      </c>
      <c r="B244" s="40">
        <f>D243*E244+G243*H244+J243*K244</f>
        <v>63581.777541999996</v>
      </c>
      <c r="E244" s="40">
        <v>1655.8141949999999</v>
      </c>
      <c r="H244" s="40">
        <v>1986.2332609999996</v>
      </c>
    </row>
    <row r="245" spans="1:8" x14ac:dyDescent="0.3">
      <c r="A245" t="s">
        <v>516</v>
      </c>
      <c r="B245">
        <v>63581.78</v>
      </c>
      <c r="C245" t="s">
        <v>33</v>
      </c>
      <c r="D245">
        <v>36</v>
      </c>
      <c r="E245">
        <v>1655.81</v>
      </c>
      <c r="F245" t="s">
        <v>79</v>
      </c>
      <c r="G245">
        <v>2</v>
      </c>
      <c r="H245">
        <v>1986.23</v>
      </c>
    </row>
    <row r="246" spans="1:8" s="40" customFormat="1" x14ac:dyDescent="0.3">
      <c r="A246" s="41" t="s">
        <v>976</v>
      </c>
      <c r="B246" s="40">
        <f>D245*E246+G245*H246+J245*K246</f>
        <v>63581.777541999996</v>
      </c>
      <c r="E246" s="40">
        <v>1655.8141949999999</v>
      </c>
      <c r="H246" s="40">
        <v>1986.2332609999996</v>
      </c>
    </row>
    <row r="247" spans="1:8" x14ac:dyDescent="0.3">
      <c r="A247" t="s">
        <v>517</v>
      </c>
      <c r="B247">
        <v>63581.78</v>
      </c>
      <c r="C247" t="s">
        <v>33</v>
      </c>
      <c r="D247">
        <v>36</v>
      </c>
      <c r="E247">
        <v>1655.81</v>
      </c>
      <c r="F247" t="s">
        <v>79</v>
      </c>
      <c r="G247">
        <v>2</v>
      </c>
      <c r="H247">
        <v>1986.23</v>
      </c>
    </row>
    <row r="248" spans="1:8" s="40" customFormat="1" x14ac:dyDescent="0.3">
      <c r="A248" s="41" t="s">
        <v>976</v>
      </c>
      <c r="B248" s="40">
        <f>D247*E248+G247*H248+J247*K248</f>
        <v>63581.777541999996</v>
      </c>
      <c r="E248" s="40">
        <v>1655.8141949999999</v>
      </c>
      <c r="H248" s="40">
        <v>1986.2332609999996</v>
      </c>
    </row>
    <row r="249" spans="1:8" x14ac:dyDescent="0.3">
      <c r="A249" t="s">
        <v>518</v>
      </c>
      <c r="B249">
        <v>63581.78</v>
      </c>
      <c r="C249" t="s">
        <v>33</v>
      </c>
      <c r="D249">
        <v>36</v>
      </c>
      <c r="E249">
        <v>1655.81</v>
      </c>
      <c r="F249" t="s">
        <v>79</v>
      </c>
      <c r="G249">
        <v>2</v>
      </c>
      <c r="H249">
        <v>1986.23</v>
      </c>
    </row>
    <row r="250" spans="1:8" s="40" customFormat="1" x14ac:dyDescent="0.3">
      <c r="A250" s="41" t="s">
        <v>976</v>
      </c>
      <c r="B250" s="40">
        <f>D249*E250+G249*H250+J249*K250</f>
        <v>63581.777541999996</v>
      </c>
      <c r="E250" s="40">
        <v>1655.8141949999999</v>
      </c>
      <c r="H250" s="40">
        <v>1986.2332609999996</v>
      </c>
    </row>
    <row r="251" spans="1:8" x14ac:dyDescent="0.3">
      <c r="A251" t="s">
        <v>519</v>
      </c>
      <c r="B251">
        <v>71529.08</v>
      </c>
      <c r="C251" t="s">
        <v>35</v>
      </c>
      <c r="D251">
        <v>36</v>
      </c>
      <c r="E251">
        <v>1876.57</v>
      </c>
      <c r="F251" t="s">
        <v>79</v>
      </c>
      <c r="G251">
        <v>2</v>
      </c>
      <c r="H251">
        <v>1986.23</v>
      </c>
    </row>
    <row r="252" spans="1:8" s="40" customFormat="1" x14ac:dyDescent="0.3">
      <c r="A252" s="41" t="s">
        <v>976</v>
      </c>
      <c r="B252" s="40">
        <f>D251*E252+G251*H252+J251*K252</f>
        <v>71529.083974000008</v>
      </c>
      <c r="E252" s="40">
        <v>1876.572707</v>
      </c>
      <c r="H252" s="40">
        <v>1986.2332609999996</v>
      </c>
    </row>
    <row r="253" spans="1:8" x14ac:dyDescent="0.3">
      <c r="A253" t="s">
        <v>520</v>
      </c>
      <c r="B253">
        <v>71529.08</v>
      </c>
      <c r="C253" t="s">
        <v>35</v>
      </c>
      <c r="D253">
        <v>36</v>
      </c>
      <c r="E253">
        <v>1876.57</v>
      </c>
      <c r="F253" t="s">
        <v>79</v>
      </c>
      <c r="G253">
        <v>2</v>
      </c>
      <c r="H253">
        <v>1986.23</v>
      </c>
    </row>
    <row r="254" spans="1:8" s="40" customFormat="1" x14ac:dyDescent="0.3">
      <c r="A254" s="41" t="s">
        <v>976</v>
      </c>
      <c r="B254" s="40">
        <f>D253*E254+G253*H254+J253*K254</f>
        <v>71529.083974000008</v>
      </c>
      <c r="E254" s="40">
        <v>1876.572707</v>
      </c>
      <c r="H254" s="40">
        <v>1986.2332609999996</v>
      </c>
    </row>
    <row r="255" spans="1:8" x14ac:dyDescent="0.3">
      <c r="A255" t="s">
        <v>521</v>
      </c>
      <c r="B255">
        <v>71529.08</v>
      </c>
      <c r="C255" t="s">
        <v>35</v>
      </c>
      <c r="D255">
        <v>36</v>
      </c>
      <c r="E255">
        <v>1876.57</v>
      </c>
      <c r="F255" t="s">
        <v>79</v>
      </c>
      <c r="G255">
        <v>2</v>
      </c>
      <c r="H255">
        <v>1986.23</v>
      </c>
    </row>
    <row r="256" spans="1:8" s="40" customFormat="1" x14ac:dyDescent="0.3">
      <c r="A256" s="41" t="s">
        <v>976</v>
      </c>
      <c r="B256" s="40">
        <f>D255*E256+G255*H256+J255*K256</f>
        <v>71529.083974000008</v>
      </c>
      <c r="E256" s="40">
        <v>1876.572707</v>
      </c>
      <c r="H256" s="40">
        <v>1986.2332609999996</v>
      </c>
    </row>
    <row r="257" spans="1:11" x14ac:dyDescent="0.3">
      <c r="A257" t="s">
        <v>522</v>
      </c>
      <c r="B257">
        <v>31791.06</v>
      </c>
      <c r="C257" t="s">
        <v>39</v>
      </c>
      <c r="D257">
        <v>36</v>
      </c>
      <c r="E257">
        <v>827.89</v>
      </c>
      <c r="F257" t="s">
        <v>72</v>
      </c>
      <c r="G257">
        <v>2</v>
      </c>
      <c r="H257">
        <v>993.58</v>
      </c>
    </row>
    <row r="258" spans="1:11" s="40" customFormat="1" x14ac:dyDescent="0.3">
      <c r="A258" s="41" t="s">
        <v>976</v>
      </c>
      <c r="B258" s="40">
        <f>D257*E258+G257*H258+J257*K258</f>
        <v>31791.064267999995</v>
      </c>
      <c r="E258" s="40">
        <v>827.8862049999999</v>
      </c>
      <c r="H258" s="40">
        <v>993.58044399999994</v>
      </c>
    </row>
    <row r="259" spans="1:11" x14ac:dyDescent="0.3">
      <c r="A259" t="s">
        <v>523</v>
      </c>
      <c r="B259">
        <v>49672.800000000003</v>
      </c>
      <c r="C259" t="s">
        <v>43</v>
      </c>
      <c r="D259">
        <v>36</v>
      </c>
      <c r="E259">
        <v>1324.6</v>
      </c>
      <c r="F259" t="s">
        <v>74</v>
      </c>
      <c r="G259">
        <v>2</v>
      </c>
      <c r="H259">
        <v>993.58</v>
      </c>
    </row>
    <row r="260" spans="1:11" s="40" customFormat="1" x14ac:dyDescent="0.3">
      <c r="A260" s="41" t="s">
        <v>976</v>
      </c>
      <c r="B260" s="40">
        <f>D259*E260+G259*H260+J259*K260</f>
        <v>49672.804591999993</v>
      </c>
      <c r="E260" s="40">
        <v>1324.6012139999998</v>
      </c>
      <c r="H260" s="40">
        <v>993.58044399999994</v>
      </c>
    </row>
    <row r="261" spans="1:11" x14ac:dyDescent="0.3">
      <c r="A261" t="s">
        <v>524</v>
      </c>
      <c r="B261">
        <v>83450.95</v>
      </c>
      <c r="C261" t="s">
        <v>47</v>
      </c>
      <c r="D261">
        <v>36</v>
      </c>
      <c r="E261">
        <v>2207.7399999999998</v>
      </c>
      <c r="F261" t="s">
        <v>79</v>
      </c>
      <c r="G261">
        <v>2</v>
      </c>
      <c r="H261">
        <v>1986.23</v>
      </c>
    </row>
    <row r="262" spans="1:11" s="40" customFormat="1" x14ac:dyDescent="0.3">
      <c r="A262" s="41" t="s">
        <v>976</v>
      </c>
      <c r="B262" s="40">
        <f>D261*E262+G261*H262+J261*K262</f>
        <v>83450.946177999998</v>
      </c>
      <c r="E262" s="40">
        <v>2207.7355459999999</v>
      </c>
      <c r="H262" s="40">
        <v>1986.2332609999996</v>
      </c>
    </row>
    <row r="263" spans="1:11" x14ac:dyDescent="0.3">
      <c r="A263" t="s">
        <v>527</v>
      </c>
      <c r="B263">
        <v>50117.09</v>
      </c>
      <c r="C263" t="s">
        <v>29</v>
      </c>
      <c r="D263">
        <v>36</v>
      </c>
      <c r="E263">
        <v>993.58</v>
      </c>
      <c r="F263" t="s">
        <v>99</v>
      </c>
      <c r="G263">
        <v>2</v>
      </c>
      <c r="H263">
        <v>551.78</v>
      </c>
      <c r="I263" t="s">
        <v>164</v>
      </c>
      <c r="J263">
        <v>10</v>
      </c>
      <c r="K263">
        <v>1324.46</v>
      </c>
    </row>
    <row r="264" spans="1:11" s="40" customFormat="1" x14ac:dyDescent="0.3">
      <c r="A264" s="41" t="s">
        <v>976</v>
      </c>
      <c r="B264" s="40">
        <f>D263*E264+G263*H264+J263*K264</f>
        <v>50117.09470259599</v>
      </c>
      <c r="E264" s="40">
        <v>993.58044399999994</v>
      </c>
      <c r="H264" s="40">
        <v>551.78270001299984</v>
      </c>
      <c r="K264" s="40">
        <v>1324.4633318569997</v>
      </c>
    </row>
    <row r="265" spans="1:11" x14ac:dyDescent="0.3">
      <c r="A265" t="s">
        <v>525</v>
      </c>
      <c r="B265">
        <v>27816.48</v>
      </c>
      <c r="C265" t="s">
        <v>27</v>
      </c>
      <c r="D265">
        <v>36</v>
      </c>
      <c r="E265">
        <v>772.68</v>
      </c>
    </row>
    <row r="266" spans="1:11" s="40" customFormat="1" x14ac:dyDescent="0.3">
      <c r="A266" s="41" t="s">
        <v>976</v>
      </c>
      <c r="B266" s="40">
        <f>D265*E266+G265*H266+J265*K266</f>
        <v>27816.475068</v>
      </c>
      <c r="E266" s="40">
        <v>772.67986299999995</v>
      </c>
    </row>
    <row r="267" spans="1:11" x14ac:dyDescent="0.3">
      <c r="A267" t="s">
        <v>526</v>
      </c>
      <c r="B267">
        <v>86751.92</v>
      </c>
      <c r="C267" t="s">
        <v>57</v>
      </c>
      <c r="D267">
        <v>36</v>
      </c>
      <c r="E267">
        <v>1986.93</v>
      </c>
      <c r="F267" t="s">
        <v>119</v>
      </c>
      <c r="G267">
        <v>2</v>
      </c>
      <c r="H267">
        <v>1324.46</v>
      </c>
      <c r="I267" t="s">
        <v>137</v>
      </c>
      <c r="J267">
        <v>38</v>
      </c>
      <c r="K267">
        <v>330.88</v>
      </c>
    </row>
    <row r="268" spans="1:11" s="40" customFormat="1" x14ac:dyDescent="0.3">
      <c r="A268" s="41" t="s">
        <v>976</v>
      </c>
      <c r="B268" s="40">
        <f>D267*E268+G267*H268+J267*K268</f>
        <v>86751.915966629997</v>
      </c>
      <c r="E268" s="40">
        <v>1986.926892</v>
      </c>
      <c r="H268" s="40">
        <v>1324.4633318569997</v>
      </c>
      <c r="K268" s="40">
        <v>330.88476818199996</v>
      </c>
    </row>
    <row r="269" spans="1:11" x14ac:dyDescent="0.3">
      <c r="A269" t="s">
        <v>528</v>
      </c>
      <c r="B269">
        <v>86751.92</v>
      </c>
      <c r="C269" t="s">
        <v>57</v>
      </c>
      <c r="D269">
        <v>36</v>
      </c>
      <c r="E269">
        <v>1986.93</v>
      </c>
      <c r="F269" t="s">
        <v>119</v>
      </c>
      <c r="G269">
        <v>2</v>
      </c>
      <c r="H269">
        <v>1324.46</v>
      </c>
      <c r="I269" t="s">
        <v>137</v>
      </c>
      <c r="J269">
        <v>38</v>
      </c>
      <c r="K269">
        <v>330.88</v>
      </c>
    </row>
    <row r="270" spans="1:11" s="40" customFormat="1" x14ac:dyDescent="0.3">
      <c r="A270" s="41" t="s">
        <v>976</v>
      </c>
      <c r="B270" s="40">
        <f>D269*E270+G269*H270+J269*K270</f>
        <v>86751.915966629997</v>
      </c>
      <c r="E270" s="40">
        <v>1986.926892</v>
      </c>
      <c r="H270" s="40">
        <v>1324.4633318569997</v>
      </c>
      <c r="K270" s="40">
        <v>330.88476818199996</v>
      </c>
    </row>
    <row r="271" spans="1:11" x14ac:dyDescent="0.3">
      <c r="A271" t="s">
        <v>529</v>
      </c>
      <c r="B271">
        <v>58943.56</v>
      </c>
      <c r="C271" t="s">
        <v>31</v>
      </c>
      <c r="D271">
        <v>36</v>
      </c>
      <c r="E271">
        <v>1214.47</v>
      </c>
      <c r="F271" t="s">
        <v>110</v>
      </c>
      <c r="G271">
        <v>2</v>
      </c>
      <c r="H271">
        <v>1324.46</v>
      </c>
      <c r="I271" t="s">
        <v>137</v>
      </c>
      <c r="J271">
        <v>38</v>
      </c>
      <c r="K271">
        <v>330.88</v>
      </c>
    </row>
    <row r="272" spans="1:11" s="40" customFormat="1" x14ac:dyDescent="0.3">
      <c r="A272" s="41" t="s">
        <v>976</v>
      </c>
      <c r="B272" s="40">
        <f>D271*E272+G271*H272+J271*K272</f>
        <v>58943.563902629998</v>
      </c>
      <c r="E272" s="40">
        <v>1214.4726679999999</v>
      </c>
      <c r="H272" s="40">
        <v>1324.4633318569997</v>
      </c>
      <c r="K272" s="40">
        <v>330.88476818199996</v>
      </c>
    </row>
    <row r="273" spans="1:8" x14ac:dyDescent="0.3">
      <c r="A273" t="s">
        <v>530</v>
      </c>
      <c r="B273">
        <v>43279.23</v>
      </c>
      <c r="C273" t="s">
        <v>31</v>
      </c>
      <c r="D273">
        <v>34</v>
      </c>
      <c r="E273">
        <v>1214.47</v>
      </c>
      <c r="F273" t="s">
        <v>74</v>
      </c>
      <c r="G273">
        <v>2</v>
      </c>
      <c r="H273">
        <v>993.58</v>
      </c>
    </row>
    <row r="274" spans="1:8" s="40" customFormat="1" x14ac:dyDescent="0.3">
      <c r="A274" s="41" t="s">
        <v>976</v>
      </c>
      <c r="B274" s="40">
        <f>D273*E274+G273*H274+J273*K274</f>
        <v>43279.231599999992</v>
      </c>
      <c r="E274" s="40">
        <v>1214.4726679999999</v>
      </c>
      <c r="H274" s="40">
        <v>993.58044399999994</v>
      </c>
    </row>
    <row r="275" spans="1:8" x14ac:dyDescent="0.3">
      <c r="A275" t="s">
        <v>531</v>
      </c>
      <c r="B275">
        <v>43279.23</v>
      </c>
      <c r="C275" t="s">
        <v>31</v>
      </c>
      <c r="D275">
        <v>34</v>
      </c>
      <c r="E275">
        <v>1214.47</v>
      </c>
      <c r="F275" t="s">
        <v>74</v>
      </c>
      <c r="G275">
        <v>2</v>
      </c>
      <c r="H275">
        <v>993.58</v>
      </c>
    </row>
    <row r="276" spans="1:8" s="40" customFormat="1" x14ac:dyDescent="0.3">
      <c r="A276" s="41" t="s">
        <v>976</v>
      </c>
      <c r="B276" s="40">
        <f>D275*E276+G275*H276+J275*K276</f>
        <v>43279.231599999992</v>
      </c>
      <c r="E276" s="40">
        <v>1214.4726679999999</v>
      </c>
      <c r="H276" s="40">
        <v>993.58044399999994</v>
      </c>
    </row>
    <row r="277" spans="1:8" x14ac:dyDescent="0.3">
      <c r="A277" t="s">
        <v>532</v>
      </c>
      <c r="B277">
        <v>49342.34</v>
      </c>
      <c r="C277" t="s">
        <v>69</v>
      </c>
      <c r="D277">
        <v>33</v>
      </c>
      <c r="E277">
        <v>1435.01</v>
      </c>
      <c r="F277" t="s">
        <v>74</v>
      </c>
      <c r="G277">
        <v>2</v>
      </c>
      <c r="H277">
        <v>993.58</v>
      </c>
    </row>
    <row r="278" spans="1:8" s="40" customFormat="1" x14ac:dyDescent="0.3">
      <c r="A278" s="41" t="s">
        <v>976</v>
      </c>
      <c r="B278" s="40">
        <f>D277*E278+G277*H278+J277*K278</f>
        <v>49342.34374099999</v>
      </c>
      <c r="E278" s="40">
        <v>1435.0055409999998</v>
      </c>
      <c r="H278" s="40">
        <v>993.58044399999994</v>
      </c>
    </row>
    <row r="279" spans="1:8" x14ac:dyDescent="0.3">
      <c r="A279" t="s">
        <v>535</v>
      </c>
      <c r="B279">
        <v>40850.29</v>
      </c>
      <c r="C279" t="s">
        <v>31</v>
      </c>
      <c r="D279">
        <v>32</v>
      </c>
      <c r="E279">
        <v>1214.47</v>
      </c>
      <c r="F279" t="s">
        <v>74</v>
      </c>
      <c r="G279">
        <v>2</v>
      </c>
      <c r="H279">
        <v>993.58</v>
      </c>
    </row>
    <row r="280" spans="1:8" s="40" customFormat="1" x14ac:dyDescent="0.3">
      <c r="A280" s="41" t="s">
        <v>976</v>
      </c>
      <c r="B280" s="40">
        <f>D279*E280+G279*H280+J279*K280</f>
        <v>40850.286263999995</v>
      </c>
      <c r="E280" s="40">
        <v>1214.4726679999999</v>
      </c>
      <c r="H280" s="40">
        <v>993.58044399999994</v>
      </c>
    </row>
    <row r="281" spans="1:8" x14ac:dyDescent="0.3">
      <c r="A281" t="s">
        <v>533</v>
      </c>
      <c r="B281">
        <v>48900.54</v>
      </c>
      <c r="C281" t="s">
        <v>69</v>
      </c>
      <c r="D281">
        <v>33</v>
      </c>
      <c r="E281">
        <v>1435.01</v>
      </c>
      <c r="F281" t="s">
        <v>89</v>
      </c>
      <c r="G281">
        <v>2</v>
      </c>
      <c r="H281">
        <v>772.68</v>
      </c>
    </row>
    <row r="282" spans="1:8" s="40" customFormat="1" x14ac:dyDescent="0.3">
      <c r="A282" s="41" t="s">
        <v>976</v>
      </c>
      <c r="B282" s="40">
        <f>D281*E282+G281*H282+J281*K282</f>
        <v>48900.542578999994</v>
      </c>
      <c r="E282" s="40">
        <v>1435.0055409999998</v>
      </c>
      <c r="H282" s="40">
        <v>772.67986299999995</v>
      </c>
    </row>
    <row r="283" spans="1:8" x14ac:dyDescent="0.3">
      <c r="A283" t="s">
        <v>534</v>
      </c>
      <c r="B283">
        <v>40850.29</v>
      </c>
      <c r="C283" t="s">
        <v>31</v>
      </c>
      <c r="D283">
        <v>32</v>
      </c>
      <c r="E283">
        <v>1214.47</v>
      </c>
      <c r="F283" t="s">
        <v>74</v>
      </c>
      <c r="G283">
        <v>2</v>
      </c>
      <c r="H283">
        <v>993.58</v>
      </c>
    </row>
    <row r="284" spans="1:8" s="40" customFormat="1" x14ac:dyDescent="0.3">
      <c r="A284" s="41" t="s">
        <v>976</v>
      </c>
      <c r="B284" s="40">
        <f>D283*E284+G283*H284+J283*K284</f>
        <v>40850.286263999995</v>
      </c>
      <c r="E284" s="40">
        <v>1214.4726679999999</v>
      </c>
      <c r="H284" s="40">
        <v>993.58044399999994</v>
      </c>
    </row>
    <row r="285" spans="1:8" x14ac:dyDescent="0.3">
      <c r="A285" t="s">
        <v>536</v>
      </c>
      <c r="B285">
        <v>40850.29</v>
      </c>
      <c r="C285" t="s">
        <v>31</v>
      </c>
      <c r="D285">
        <v>32</v>
      </c>
      <c r="E285">
        <v>1214.47</v>
      </c>
      <c r="F285" t="s">
        <v>74</v>
      </c>
      <c r="G285">
        <v>2</v>
      </c>
      <c r="H285">
        <v>993.58</v>
      </c>
    </row>
    <row r="286" spans="1:8" s="40" customFormat="1" x14ac:dyDescent="0.3">
      <c r="A286" s="41" t="s">
        <v>976</v>
      </c>
      <c r="B286" s="40">
        <f>D285*E286+G285*H286+J285*K286</f>
        <v>40850.286263999995</v>
      </c>
      <c r="E286" s="40">
        <v>1214.4726679999999</v>
      </c>
      <c r="H286" s="40">
        <v>993.58044399999994</v>
      </c>
    </row>
    <row r="287" spans="1:8" x14ac:dyDescent="0.3">
      <c r="A287" t="s">
        <v>537</v>
      </c>
      <c r="B287">
        <v>25167.56</v>
      </c>
      <c r="C287" t="s">
        <v>27</v>
      </c>
      <c r="D287">
        <v>30</v>
      </c>
      <c r="E287">
        <v>772.68</v>
      </c>
      <c r="F287" t="s">
        <v>72</v>
      </c>
      <c r="G287">
        <v>2</v>
      </c>
      <c r="H287">
        <v>993.58</v>
      </c>
    </row>
    <row r="288" spans="1:8" s="40" customFormat="1" x14ac:dyDescent="0.3">
      <c r="A288" s="41" t="s">
        <v>976</v>
      </c>
      <c r="B288" s="40">
        <f>D287*E288+G287*H288+J287*K288</f>
        <v>25167.556777999998</v>
      </c>
      <c r="E288" s="40">
        <v>772.67986299999995</v>
      </c>
      <c r="H288" s="40">
        <v>993.58044399999994</v>
      </c>
    </row>
    <row r="289" spans="1:8" x14ac:dyDescent="0.3">
      <c r="A289" t="s">
        <v>539</v>
      </c>
      <c r="B289">
        <v>31794.57</v>
      </c>
      <c r="C289" t="s">
        <v>65</v>
      </c>
      <c r="D289">
        <v>30</v>
      </c>
      <c r="E289">
        <v>993.58</v>
      </c>
      <c r="F289" t="s">
        <v>72</v>
      </c>
      <c r="G289">
        <v>2</v>
      </c>
      <c r="H289">
        <v>993.58</v>
      </c>
    </row>
    <row r="290" spans="1:8" s="40" customFormat="1" x14ac:dyDescent="0.3">
      <c r="A290" s="41" t="s">
        <v>976</v>
      </c>
      <c r="B290" s="40">
        <f>D289*E290+G289*H290+J289*K290</f>
        <v>31794.574207999998</v>
      </c>
      <c r="E290" s="40">
        <v>993.58044399999994</v>
      </c>
      <c r="H290" s="40">
        <v>993.58044399999994</v>
      </c>
    </row>
    <row r="291" spans="1:8" x14ac:dyDescent="0.3">
      <c r="A291" t="s">
        <v>538</v>
      </c>
      <c r="B291">
        <v>25167.56</v>
      </c>
      <c r="C291" t="s">
        <v>27</v>
      </c>
      <c r="D291">
        <v>30</v>
      </c>
      <c r="E291">
        <v>772.68</v>
      </c>
      <c r="F291" t="s">
        <v>72</v>
      </c>
      <c r="G291">
        <v>2</v>
      </c>
      <c r="H291">
        <v>993.58</v>
      </c>
    </row>
    <row r="292" spans="1:8" s="40" customFormat="1" x14ac:dyDescent="0.3">
      <c r="A292" s="41" t="s">
        <v>976</v>
      </c>
      <c r="B292" s="40">
        <f>D291*E292+G291*H292+J291*K292</f>
        <v>25167.556777999998</v>
      </c>
      <c r="E292" s="40">
        <v>772.67986299999995</v>
      </c>
      <c r="H292" s="40">
        <v>993.58044399999994</v>
      </c>
    </row>
    <row r="293" spans="1:8" x14ac:dyDescent="0.3">
      <c r="A293" t="s">
        <v>540</v>
      </c>
      <c r="B293">
        <v>25167.56</v>
      </c>
      <c r="C293" t="s">
        <v>27</v>
      </c>
      <c r="D293">
        <v>30</v>
      </c>
      <c r="E293">
        <v>772.68</v>
      </c>
      <c r="F293" t="s">
        <v>72</v>
      </c>
      <c r="G293">
        <v>2</v>
      </c>
      <c r="H293">
        <v>993.58</v>
      </c>
    </row>
    <row r="294" spans="1:8" s="40" customFormat="1" x14ac:dyDescent="0.3">
      <c r="A294" s="41" t="s">
        <v>976</v>
      </c>
      <c r="B294" s="40">
        <f>D293*E294+G293*H294+J293*K294</f>
        <v>25167.556777999998</v>
      </c>
      <c r="E294" s="40">
        <v>772.67986299999995</v>
      </c>
      <c r="H294" s="40">
        <v>993.58044399999994</v>
      </c>
    </row>
    <row r="295" spans="1:8" x14ac:dyDescent="0.3">
      <c r="A295" t="s">
        <v>541</v>
      </c>
      <c r="B295">
        <v>31794.57</v>
      </c>
      <c r="C295" t="s">
        <v>29</v>
      </c>
      <c r="D295">
        <v>30</v>
      </c>
      <c r="E295">
        <v>993.58</v>
      </c>
      <c r="F295" t="s">
        <v>74</v>
      </c>
      <c r="G295">
        <v>2</v>
      </c>
      <c r="H295">
        <v>993.58</v>
      </c>
    </row>
    <row r="296" spans="1:8" s="40" customFormat="1" x14ac:dyDescent="0.3">
      <c r="A296" s="41" t="s">
        <v>976</v>
      </c>
      <c r="B296" s="40">
        <f>D295*E296+G295*H296+J295*K296</f>
        <v>31794.574207999998</v>
      </c>
      <c r="E296" s="40">
        <v>993.58044399999994</v>
      </c>
      <c r="H296" s="40">
        <v>993.58044399999994</v>
      </c>
    </row>
    <row r="297" spans="1:8" x14ac:dyDescent="0.3">
      <c r="A297" t="s">
        <v>543</v>
      </c>
      <c r="B297">
        <v>38421.339999999997</v>
      </c>
      <c r="C297" t="s">
        <v>31</v>
      </c>
      <c r="D297">
        <v>30</v>
      </c>
      <c r="E297">
        <v>1214.47</v>
      </c>
      <c r="F297" t="s">
        <v>74</v>
      </c>
      <c r="G297">
        <v>2</v>
      </c>
      <c r="H297">
        <v>993.58</v>
      </c>
    </row>
    <row r="298" spans="1:8" s="40" customFormat="1" x14ac:dyDescent="0.3">
      <c r="A298" s="41" t="s">
        <v>976</v>
      </c>
      <c r="B298" s="40">
        <f>D297*E298+G297*H298+J297*K298</f>
        <v>38421.340927999998</v>
      </c>
      <c r="E298" s="40">
        <v>1214.4726679999999</v>
      </c>
      <c r="H298" s="40">
        <v>993.58044399999994</v>
      </c>
    </row>
    <row r="299" spans="1:8" x14ac:dyDescent="0.3">
      <c r="A299" t="s">
        <v>544</v>
      </c>
      <c r="B299">
        <v>45037.33</v>
      </c>
      <c r="C299" t="s">
        <v>69</v>
      </c>
      <c r="D299">
        <v>30</v>
      </c>
      <c r="E299">
        <v>1435.01</v>
      </c>
      <c r="F299" t="s">
        <v>74</v>
      </c>
      <c r="G299">
        <v>2</v>
      </c>
      <c r="H299">
        <v>993.58</v>
      </c>
    </row>
    <row r="300" spans="1:8" s="40" customFormat="1" x14ac:dyDescent="0.3">
      <c r="A300" s="41" t="s">
        <v>976</v>
      </c>
      <c r="B300" s="40">
        <f>D299*E300+G299*H300+J299*K300</f>
        <v>45037.327117999994</v>
      </c>
      <c r="E300" s="40">
        <v>1435.0055409999998</v>
      </c>
      <c r="H300" s="40">
        <v>993.58044399999994</v>
      </c>
    </row>
    <row r="301" spans="1:8" x14ac:dyDescent="0.3">
      <c r="A301" t="s">
        <v>545</v>
      </c>
      <c r="B301">
        <v>38421.339999999997</v>
      </c>
      <c r="C301" t="s">
        <v>31</v>
      </c>
      <c r="D301">
        <v>30</v>
      </c>
      <c r="E301">
        <v>1214.47</v>
      </c>
      <c r="F301" t="s">
        <v>74</v>
      </c>
      <c r="G301">
        <v>2</v>
      </c>
      <c r="H301">
        <v>993.58</v>
      </c>
    </row>
    <row r="302" spans="1:8" s="40" customFormat="1" x14ac:dyDescent="0.3">
      <c r="A302" s="41" t="s">
        <v>976</v>
      </c>
      <c r="B302" s="40">
        <f>D301*E302+G301*H302+J301*K302</f>
        <v>38421.340927999998</v>
      </c>
      <c r="E302" s="40">
        <v>1214.4726679999999</v>
      </c>
      <c r="H302" s="40">
        <v>993.58044399999994</v>
      </c>
    </row>
    <row r="303" spans="1:8" x14ac:dyDescent="0.3">
      <c r="A303" t="s">
        <v>548</v>
      </c>
      <c r="B303">
        <v>53646.89</v>
      </c>
      <c r="C303" t="s">
        <v>33</v>
      </c>
      <c r="D303">
        <v>30</v>
      </c>
      <c r="E303">
        <v>1655.81</v>
      </c>
      <c r="F303" t="s">
        <v>79</v>
      </c>
      <c r="G303">
        <v>2</v>
      </c>
      <c r="H303">
        <v>1986.23</v>
      </c>
    </row>
    <row r="304" spans="1:8" s="40" customFormat="1" x14ac:dyDescent="0.3">
      <c r="A304" s="41" t="s">
        <v>976</v>
      </c>
      <c r="B304" s="40">
        <f>D303*E304+G303*H304+J303*K304</f>
        <v>53646.892372000002</v>
      </c>
      <c r="E304" s="40">
        <v>1655.8141949999999</v>
      </c>
      <c r="H304" s="40">
        <v>1986.2332609999996</v>
      </c>
    </row>
    <row r="305" spans="1:8" x14ac:dyDescent="0.3">
      <c r="A305" t="s">
        <v>546</v>
      </c>
      <c r="B305">
        <v>38421.339999999997</v>
      </c>
      <c r="C305" t="s">
        <v>31</v>
      </c>
      <c r="D305">
        <v>30</v>
      </c>
      <c r="E305">
        <v>1214.47</v>
      </c>
      <c r="F305" t="s">
        <v>74</v>
      </c>
      <c r="G305">
        <v>2</v>
      </c>
      <c r="H305">
        <v>993.58</v>
      </c>
    </row>
    <row r="306" spans="1:8" s="40" customFormat="1" x14ac:dyDescent="0.3">
      <c r="A306" s="41" t="s">
        <v>976</v>
      </c>
      <c r="B306" s="40">
        <f>D305*E306+G305*H306+J305*K306</f>
        <v>38421.340927999998</v>
      </c>
      <c r="E306" s="40">
        <v>1214.4726679999999</v>
      </c>
      <c r="H306" s="40">
        <v>993.58044399999994</v>
      </c>
    </row>
    <row r="307" spans="1:8" x14ac:dyDescent="0.3">
      <c r="A307" t="s">
        <v>550</v>
      </c>
      <c r="B307">
        <v>41725.199999999997</v>
      </c>
      <c r="C307" t="s">
        <v>43</v>
      </c>
      <c r="D307">
        <v>30</v>
      </c>
      <c r="E307">
        <v>1324.6</v>
      </c>
      <c r="F307" t="s">
        <v>74</v>
      </c>
      <c r="G307">
        <v>2</v>
      </c>
      <c r="H307">
        <v>993.58</v>
      </c>
    </row>
    <row r="308" spans="1:8" s="40" customFormat="1" x14ac:dyDescent="0.3">
      <c r="A308" s="41" t="s">
        <v>976</v>
      </c>
      <c r="B308" s="40">
        <f>D307*E308+G307*H308+J307*K308</f>
        <v>41725.197307999995</v>
      </c>
      <c r="E308" s="40">
        <v>1324.6012139999998</v>
      </c>
      <c r="H308" s="40">
        <v>993.58044399999994</v>
      </c>
    </row>
    <row r="309" spans="1:8" x14ac:dyDescent="0.3">
      <c r="A309" t="s">
        <v>549</v>
      </c>
      <c r="B309">
        <v>60269.65</v>
      </c>
      <c r="C309" t="s">
        <v>35</v>
      </c>
      <c r="D309">
        <v>30</v>
      </c>
      <c r="E309">
        <v>1876.57</v>
      </c>
      <c r="F309" t="s">
        <v>79</v>
      </c>
      <c r="G309">
        <v>2</v>
      </c>
      <c r="H309">
        <v>1986.23</v>
      </c>
    </row>
    <row r="310" spans="1:8" s="40" customFormat="1" x14ac:dyDescent="0.3">
      <c r="A310" s="41" t="s">
        <v>976</v>
      </c>
      <c r="B310" s="40">
        <f>D309*E310+G309*H310+J309*K310</f>
        <v>60269.647732000005</v>
      </c>
      <c r="E310" s="40">
        <v>1876.572707</v>
      </c>
      <c r="H310" s="40">
        <v>1986.2332609999996</v>
      </c>
    </row>
    <row r="311" spans="1:8" x14ac:dyDescent="0.3">
      <c r="A311" t="s">
        <v>547</v>
      </c>
      <c r="B311">
        <v>53646.89</v>
      </c>
      <c r="C311" t="s">
        <v>33</v>
      </c>
      <c r="D311">
        <v>30</v>
      </c>
      <c r="E311">
        <v>1655.81</v>
      </c>
      <c r="F311" t="s">
        <v>79</v>
      </c>
      <c r="G311">
        <v>2</v>
      </c>
      <c r="H311">
        <v>1986.23</v>
      </c>
    </row>
    <row r="312" spans="1:8" s="40" customFormat="1" x14ac:dyDescent="0.3">
      <c r="A312" s="41" t="s">
        <v>976</v>
      </c>
      <c r="B312" s="40">
        <f>D311*E312+G311*H312+J311*K312</f>
        <v>53646.892372000002</v>
      </c>
      <c r="E312" s="40">
        <v>1655.8141949999999</v>
      </c>
      <c r="H312" s="40">
        <v>1986.2332609999996</v>
      </c>
    </row>
    <row r="313" spans="1:8" x14ac:dyDescent="0.3">
      <c r="A313" t="s">
        <v>551</v>
      </c>
      <c r="B313">
        <v>41725.199999999997</v>
      </c>
      <c r="C313" t="s">
        <v>43</v>
      </c>
      <c r="D313">
        <v>30</v>
      </c>
      <c r="E313">
        <v>1324.6</v>
      </c>
      <c r="F313" t="s">
        <v>74</v>
      </c>
      <c r="G313">
        <v>2</v>
      </c>
      <c r="H313">
        <v>993.58</v>
      </c>
    </row>
    <row r="314" spans="1:8" s="40" customFormat="1" x14ac:dyDescent="0.3">
      <c r="A314" s="41" t="s">
        <v>976</v>
      </c>
      <c r="B314" s="40">
        <f>D313*E314+G313*H314+J313*K314</f>
        <v>41725.197307999995</v>
      </c>
      <c r="E314" s="40">
        <v>1324.6012139999998</v>
      </c>
      <c r="H314" s="40">
        <v>993.58044399999994</v>
      </c>
    </row>
    <row r="315" spans="1:8" x14ac:dyDescent="0.3">
      <c r="A315" t="s">
        <v>552</v>
      </c>
      <c r="B315">
        <v>70204.53</v>
      </c>
      <c r="C315" t="s">
        <v>47</v>
      </c>
      <c r="D315">
        <v>30</v>
      </c>
      <c r="E315">
        <v>2207.7399999999998</v>
      </c>
      <c r="F315" t="s">
        <v>79</v>
      </c>
      <c r="G315">
        <v>2</v>
      </c>
      <c r="H315">
        <v>1986.23</v>
      </c>
    </row>
    <row r="316" spans="1:8" s="40" customFormat="1" x14ac:dyDescent="0.3">
      <c r="A316" s="41" t="s">
        <v>976</v>
      </c>
      <c r="B316" s="40">
        <f>D315*E316+G315*H316+J315*K316</f>
        <v>70204.532902000006</v>
      </c>
      <c r="E316" s="40">
        <v>2207.7355459999999</v>
      </c>
      <c r="H316" s="40">
        <v>1986.2332609999996</v>
      </c>
    </row>
    <row r="317" spans="1:8" x14ac:dyDescent="0.3">
      <c r="A317" t="s">
        <v>553</v>
      </c>
      <c r="B317">
        <v>31352.77</v>
      </c>
      <c r="C317" t="s">
        <v>65</v>
      </c>
      <c r="D317">
        <v>30</v>
      </c>
      <c r="E317">
        <v>993.58</v>
      </c>
      <c r="F317" t="s">
        <v>87</v>
      </c>
      <c r="G317">
        <v>2</v>
      </c>
      <c r="H317">
        <v>772.68</v>
      </c>
    </row>
    <row r="318" spans="1:8" s="40" customFormat="1" x14ac:dyDescent="0.3">
      <c r="A318" s="41" t="s">
        <v>976</v>
      </c>
      <c r="B318" s="40">
        <f>D317*E318+G317*H318+J317*K318</f>
        <v>31352.773045999998</v>
      </c>
      <c r="E318" s="40">
        <v>993.58044399999994</v>
      </c>
      <c r="H318" s="40">
        <v>772.67986299999995</v>
      </c>
    </row>
    <row r="319" spans="1:8" x14ac:dyDescent="0.3">
      <c r="A319" t="s">
        <v>555</v>
      </c>
      <c r="B319">
        <v>31352.77</v>
      </c>
      <c r="C319" t="s">
        <v>29</v>
      </c>
      <c r="D319">
        <v>30</v>
      </c>
      <c r="E319">
        <v>993.58</v>
      </c>
      <c r="F319" t="s">
        <v>89</v>
      </c>
      <c r="G319">
        <v>2</v>
      </c>
      <c r="H319">
        <v>772.68</v>
      </c>
    </row>
    <row r="320" spans="1:8" s="40" customFormat="1" x14ac:dyDescent="0.3">
      <c r="A320" s="41" t="s">
        <v>976</v>
      </c>
      <c r="B320" s="40">
        <f>D319*E320+G319*H320+J319*K320</f>
        <v>31352.773045999998</v>
      </c>
      <c r="E320" s="40">
        <v>993.58044399999994</v>
      </c>
      <c r="H320" s="40">
        <v>772.67986299999995</v>
      </c>
    </row>
    <row r="321" spans="1:11" x14ac:dyDescent="0.3">
      <c r="A321" t="s">
        <v>554</v>
      </c>
      <c r="B321">
        <v>52985.05</v>
      </c>
      <c r="C321" t="s">
        <v>53</v>
      </c>
      <c r="D321">
        <v>30</v>
      </c>
      <c r="E321">
        <v>1766.17</v>
      </c>
    </row>
    <row r="322" spans="1:11" s="40" customFormat="1" x14ac:dyDescent="0.3">
      <c r="A322" s="41" t="s">
        <v>976</v>
      </c>
      <c r="B322" s="40">
        <f>D321*E322+G321*H322+J321*K322</f>
        <v>52985.051399999997</v>
      </c>
      <c r="E322" s="40">
        <v>1766.1683799999998</v>
      </c>
    </row>
    <row r="323" spans="1:11" x14ac:dyDescent="0.3">
      <c r="A323" t="s">
        <v>557</v>
      </c>
      <c r="B323">
        <v>35992.400000000001</v>
      </c>
      <c r="C323" t="s">
        <v>31</v>
      </c>
      <c r="D323">
        <v>28</v>
      </c>
      <c r="E323">
        <v>1214.47</v>
      </c>
      <c r="F323" t="s">
        <v>74</v>
      </c>
      <c r="G323">
        <v>2</v>
      </c>
      <c r="H323">
        <v>993.58</v>
      </c>
    </row>
    <row r="324" spans="1:11" s="40" customFormat="1" x14ac:dyDescent="0.3">
      <c r="A324" s="41" t="s">
        <v>976</v>
      </c>
      <c r="B324" s="40">
        <f>D323*E324+G323*H324+J323*K324</f>
        <v>35992.395591999993</v>
      </c>
      <c r="E324" s="40">
        <v>1214.4726679999999</v>
      </c>
      <c r="H324" s="40">
        <v>993.58044399999994</v>
      </c>
    </row>
    <row r="325" spans="1:11" x14ac:dyDescent="0.3">
      <c r="A325" t="s">
        <v>556</v>
      </c>
      <c r="B325">
        <v>42167.32</v>
      </c>
      <c r="C325" t="s">
        <v>69</v>
      </c>
      <c r="D325">
        <v>28</v>
      </c>
      <c r="E325">
        <v>1435.01</v>
      </c>
      <c r="F325" t="s">
        <v>74</v>
      </c>
      <c r="G325">
        <v>2</v>
      </c>
      <c r="H325">
        <v>993.58</v>
      </c>
    </row>
    <row r="326" spans="1:11" s="40" customFormat="1" x14ac:dyDescent="0.3">
      <c r="A326" s="41" t="s">
        <v>976</v>
      </c>
      <c r="B326" s="40">
        <f>D325*E326+G325*H326+J325*K326</f>
        <v>42167.316035999989</v>
      </c>
      <c r="E326" s="40">
        <v>1435.0055409999998</v>
      </c>
      <c r="H326" s="40">
        <v>993.58044399999994</v>
      </c>
    </row>
    <row r="327" spans="1:11" x14ac:dyDescent="0.3">
      <c r="A327" t="s">
        <v>559</v>
      </c>
      <c r="B327">
        <v>35992.400000000001</v>
      </c>
      <c r="C327" t="s">
        <v>31</v>
      </c>
      <c r="D327">
        <v>28</v>
      </c>
      <c r="E327">
        <v>1214.47</v>
      </c>
      <c r="F327" t="s">
        <v>74</v>
      </c>
      <c r="G327">
        <v>2</v>
      </c>
      <c r="H327">
        <v>993.58</v>
      </c>
    </row>
    <row r="328" spans="1:11" s="40" customFormat="1" x14ac:dyDescent="0.3">
      <c r="A328" s="41" t="s">
        <v>976</v>
      </c>
      <c r="B328" s="40">
        <f>D327*E328+G327*H328+J327*K328</f>
        <v>35992.395591999993</v>
      </c>
      <c r="E328" s="40">
        <v>1214.4726679999999</v>
      </c>
      <c r="H328" s="40">
        <v>993.58044399999994</v>
      </c>
    </row>
    <row r="329" spans="1:11" x14ac:dyDescent="0.3">
      <c r="A329" t="s">
        <v>558</v>
      </c>
      <c r="B329">
        <v>34005.230000000003</v>
      </c>
      <c r="C329" t="s">
        <v>31</v>
      </c>
      <c r="D329">
        <v>28</v>
      </c>
      <c r="E329">
        <v>1214.47</v>
      </c>
    </row>
    <row r="330" spans="1:11" s="40" customFormat="1" x14ac:dyDescent="0.3">
      <c r="A330" s="41" t="s">
        <v>976</v>
      </c>
      <c r="B330" s="40">
        <f>D329*E330+G329*H330+J329*K330</f>
        <v>34005.234703999995</v>
      </c>
      <c r="E330" s="40">
        <v>1214.4726679999999</v>
      </c>
    </row>
    <row r="331" spans="1:11" x14ac:dyDescent="0.3">
      <c r="A331" t="s">
        <v>560</v>
      </c>
      <c r="B331">
        <v>63573.8</v>
      </c>
      <c r="C331" t="s">
        <v>57</v>
      </c>
      <c r="D331">
        <v>26</v>
      </c>
      <c r="E331">
        <v>1986.93</v>
      </c>
      <c r="F331" t="s">
        <v>119</v>
      </c>
      <c r="G331">
        <v>2</v>
      </c>
      <c r="H331">
        <v>1324.46</v>
      </c>
      <c r="I331" t="s">
        <v>137</v>
      </c>
      <c r="J331">
        <v>28</v>
      </c>
      <c r="K331">
        <v>330.88</v>
      </c>
    </row>
    <row r="332" spans="1:11" s="40" customFormat="1" x14ac:dyDescent="0.3">
      <c r="A332" s="41" t="s">
        <v>976</v>
      </c>
      <c r="B332" s="40">
        <f>D331*E332+G331*H332+J331*K332</f>
        <v>63573.799364810002</v>
      </c>
      <c r="E332" s="40">
        <v>1986.926892</v>
      </c>
      <c r="H332" s="40">
        <v>1324.4633318569997</v>
      </c>
      <c r="K332" s="40">
        <v>330.88476818199996</v>
      </c>
    </row>
    <row r="333" spans="1:11" x14ac:dyDescent="0.3">
      <c r="A333" t="s">
        <v>561</v>
      </c>
      <c r="B333">
        <v>44375.199999999997</v>
      </c>
      <c r="C333" t="s">
        <v>53</v>
      </c>
      <c r="D333">
        <v>24</v>
      </c>
      <c r="E333">
        <v>1766.17</v>
      </c>
      <c r="F333" t="s">
        <v>81</v>
      </c>
      <c r="G333">
        <v>2</v>
      </c>
      <c r="H333">
        <v>993.58</v>
      </c>
    </row>
    <row r="334" spans="1:11" s="40" customFormat="1" x14ac:dyDescent="0.3">
      <c r="A334" s="41" t="s">
        <v>976</v>
      </c>
      <c r="B334" s="40">
        <f>D333*E334+G333*H334+J333*K334</f>
        <v>44375.202007999993</v>
      </c>
      <c r="E334" s="40">
        <v>1766.1683799999998</v>
      </c>
      <c r="H334" s="40">
        <v>993.58044399999994</v>
      </c>
    </row>
    <row r="335" spans="1:11" x14ac:dyDescent="0.3">
      <c r="A335" t="s">
        <v>563</v>
      </c>
      <c r="B335">
        <v>44375.199999999997</v>
      </c>
      <c r="C335" t="s">
        <v>53</v>
      </c>
      <c r="D335">
        <v>24</v>
      </c>
      <c r="E335">
        <v>1766.17</v>
      </c>
      <c r="F335" t="s">
        <v>81</v>
      </c>
      <c r="G335">
        <v>2</v>
      </c>
      <c r="H335">
        <v>993.58</v>
      </c>
    </row>
    <row r="336" spans="1:11" s="40" customFormat="1" x14ac:dyDescent="0.3">
      <c r="A336" s="41" t="s">
        <v>976</v>
      </c>
      <c r="B336" s="40">
        <f>D335*E336+G335*H336+J335*K336</f>
        <v>44375.202007999993</v>
      </c>
      <c r="E336" s="40">
        <v>1766.1683799999998</v>
      </c>
      <c r="H336" s="40">
        <v>993.58044399999994</v>
      </c>
    </row>
    <row r="337" spans="1:8" x14ac:dyDescent="0.3">
      <c r="A337" t="s">
        <v>562</v>
      </c>
      <c r="B337">
        <v>49673.41</v>
      </c>
      <c r="C337" t="s">
        <v>57</v>
      </c>
      <c r="D337">
        <v>24</v>
      </c>
      <c r="E337">
        <v>1986.93</v>
      </c>
      <c r="F337" t="s">
        <v>83</v>
      </c>
      <c r="G337">
        <v>2</v>
      </c>
      <c r="H337">
        <v>993.58</v>
      </c>
    </row>
    <row r="338" spans="1:8" s="40" customFormat="1" x14ac:dyDescent="0.3">
      <c r="A338" s="41" t="s">
        <v>976</v>
      </c>
      <c r="B338" s="40">
        <f>D337*E338+G337*H338+J337*K338</f>
        <v>49673.406296000001</v>
      </c>
      <c r="E338" s="40">
        <v>1986.926892</v>
      </c>
      <c r="H338" s="40">
        <v>993.58044399999994</v>
      </c>
    </row>
    <row r="339" spans="1:8" x14ac:dyDescent="0.3">
      <c r="A339" t="s">
        <v>565</v>
      </c>
      <c r="B339">
        <v>56958.12</v>
      </c>
      <c r="C339" t="s">
        <v>59</v>
      </c>
      <c r="D339">
        <v>24</v>
      </c>
      <c r="E339">
        <v>2207.7399999999998</v>
      </c>
      <c r="F339" t="s">
        <v>85</v>
      </c>
      <c r="G339">
        <v>2</v>
      </c>
      <c r="H339">
        <v>1986.23</v>
      </c>
    </row>
    <row r="340" spans="1:8" s="40" customFormat="1" x14ac:dyDescent="0.3">
      <c r="A340" s="41" t="s">
        <v>976</v>
      </c>
      <c r="B340" s="40">
        <f>D339*E340+G339*H340+J339*K340</f>
        <v>56958.119626</v>
      </c>
      <c r="E340" s="40">
        <v>2207.7355459999999</v>
      </c>
      <c r="H340" s="40">
        <v>1986.2332609999996</v>
      </c>
    </row>
    <row r="341" spans="1:8" x14ac:dyDescent="0.3">
      <c r="A341" t="s">
        <v>564</v>
      </c>
      <c r="B341">
        <v>49673.41</v>
      </c>
      <c r="C341" t="s">
        <v>57</v>
      </c>
      <c r="D341">
        <v>24</v>
      </c>
      <c r="E341">
        <v>1986.93</v>
      </c>
      <c r="F341" t="s">
        <v>83</v>
      </c>
      <c r="G341">
        <v>2</v>
      </c>
      <c r="H341">
        <v>993.58</v>
      </c>
    </row>
    <row r="342" spans="1:8" s="40" customFormat="1" x14ac:dyDescent="0.3">
      <c r="A342" s="41" t="s">
        <v>976</v>
      </c>
      <c r="B342" s="40">
        <f>D341*E342+G341*H342+J341*K342</f>
        <v>49673.406296000001</v>
      </c>
      <c r="E342" s="40">
        <v>1986.926892</v>
      </c>
      <c r="H342" s="40">
        <v>993.58044399999994</v>
      </c>
    </row>
    <row r="343" spans="1:8" x14ac:dyDescent="0.3">
      <c r="A343" t="s">
        <v>566</v>
      </c>
      <c r="B343">
        <v>56958.12</v>
      </c>
      <c r="C343" t="s">
        <v>59</v>
      </c>
      <c r="D343">
        <v>24</v>
      </c>
      <c r="E343">
        <v>2207.7399999999998</v>
      </c>
      <c r="F343" t="s">
        <v>85</v>
      </c>
      <c r="G343">
        <v>2</v>
      </c>
      <c r="H343">
        <v>1986.23</v>
      </c>
    </row>
    <row r="344" spans="1:8" s="40" customFormat="1" x14ac:dyDescent="0.3">
      <c r="A344" s="41" t="s">
        <v>976</v>
      </c>
      <c r="B344" s="40">
        <f>D343*E344+G343*H344+J343*K344</f>
        <v>56958.119626</v>
      </c>
      <c r="E344" s="40">
        <v>2207.7355459999999</v>
      </c>
      <c r="H344" s="40">
        <v>1986.2332609999996</v>
      </c>
    </row>
    <row r="345" spans="1:8" x14ac:dyDescent="0.3">
      <c r="A345" t="s">
        <v>568</v>
      </c>
      <c r="B345">
        <v>70204.23</v>
      </c>
      <c r="C345" t="s">
        <v>61</v>
      </c>
      <c r="D345">
        <v>24</v>
      </c>
      <c r="E345">
        <v>2759.66</v>
      </c>
      <c r="F345" t="s">
        <v>85</v>
      </c>
      <c r="G345">
        <v>2</v>
      </c>
      <c r="H345">
        <v>1986.23</v>
      </c>
    </row>
    <row r="346" spans="1:8" s="40" customFormat="1" x14ac:dyDescent="0.3">
      <c r="A346" s="41" t="s">
        <v>976</v>
      </c>
      <c r="B346" s="40">
        <f>D345*E346+G345*H346+J345*K346</f>
        <v>70204.232049999991</v>
      </c>
      <c r="E346" s="40">
        <v>2759.6568969999998</v>
      </c>
      <c r="H346" s="40">
        <v>1986.2332609999996</v>
      </c>
    </row>
    <row r="347" spans="1:8" x14ac:dyDescent="0.3">
      <c r="A347" t="s">
        <v>571</v>
      </c>
      <c r="B347">
        <v>15229.86</v>
      </c>
      <c r="C347" t="s">
        <v>24</v>
      </c>
      <c r="D347">
        <v>24</v>
      </c>
      <c r="E347">
        <v>551.78</v>
      </c>
      <c r="F347" t="s">
        <v>72</v>
      </c>
      <c r="G347">
        <v>2</v>
      </c>
      <c r="H347">
        <v>993.58</v>
      </c>
    </row>
    <row r="348" spans="1:8" s="40" customFormat="1" x14ac:dyDescent="0.3">
      <c r="A348" s="41" t="s">
        <v>976</v>
      </c>
      <c r="B348" s="40">
        <f>D347*E348+G347*H348+J347*K348</f>
        <v>15229.863656</v>
      </c>
      <c r="E348" s="40">
        <v>551.77928199999997</v>
      </c>
      <c r="H348" s="40">
        <v>993.58044399999994</v>
      </c>
    </row>
    <row r="349" spans="1:8" x14ac:dyDescent="0.3">
      <c r="A349" t="s">
        <v>573</v>
      </c>
      <c r="B349">
        <v>20531.48</v>
      </c>
      <c r="C349" t="s">
        <v>27</v>
      </c>
      <c r="D349">
        <v>24</v>
      </c>
      <c r="E349">
        <v>772.68</v>
      </c>
      <c r="F349" t="s">
        <v>72</v>
      </c>
      <c r="G349">
        <v>2</v>
      </c>
      <c r="H349">
        <v>993.58</v>
      </c>
    </row>
    <row r="350" spans="1:8" s="40" customFormat="1" x14ac:dyDescent="0.3">
      <c r="A350" s="41" t="s">
        <v>976</v>
      </c>
      <c r="B350" s="40">
        <f>D349*E350+G349*H350+J349*K350</f>
        <v>20531.477599999998</v>
      </c>
      <c r="E350" s="40">
        <v>772.67986299999995</v>
      </c>
      <c r="H350" s="40">
        <v>993.58044399999994</v>
      </c>
    </row>
    <row r="351" spans="1:8" x14ac:dyDescent="0.3">
      <c r="A351" t="s">
        <v>574</v>
      </c>
      <c r="B351">
        <v>25833.09</v>
      </c>
      <c r="C351" t="s">
        <v>65</v>
      </c>
      <c r="D351">
        <v>24</v>
      </c>
      <c r="E351">
        <v>993.58</v>
      </c>
      <c r="F351" t="s">
        <v>72</v>
      </c>
      <c r="G351">
        <v>2</v>
      </c>
      <c r="H351">
        <v>993.58</v>
      </c>
    </row>
    <row r="352" spans="1:8" s="40" customFormat="1" x14ac:dyDescent="0.3">
      <c r="A352" s="41" t="s">
        <v>976</v>
      </c>
      <c r="B352" s="40">
        <f>D351*E352+G351*H352+J351*K352</f>
        <v>25833.091543999995</v>
      </c>
      <c r="E352" s="40">
        <v>993.58044399999994</v>
      </c>
      <c r="H352" s="40">
        <v>993.58044399999994</v>
      </c>
    </row>
    <row r="353" spans="1:8" x14ac:dyDescent="0.3">
      <c r="A353" t="s">
        <v>576</v>
      </c>
      <c r="B353">
        <v>20531.48</v>
      </c>
      <c r="C353" t="s">
        <v>27</v>
      </c>
      <c r="D353">
        <v>24</v>
      </c>
      <c r="E353">
        <v>772.68</v>
      </c>
      <c r="F353" t="s">
        <v>72</v>
      </c>
      <c r="G353">
        <v>2</v>
      </c>
      <c r="H353">
        <v>993.58</v>
      </c>
    </row>
    <row r="354" spans="1:8" s="40" customFormat="1" x14ac:dyDescent="0.3">
      <c r="A354" s="41" t="s">
        <v>976</v>
      </c>
      <c r="B354" s="40">
        <f>D353*E354+G353*H354+J353*K354</f>
        <v>20531.477599999998</v>
      </c>
      <c r="E354" s="40">
        <v>772.67986299999995</v>
      </c>
      <c r="H354" s="40">
        <v>993.58044399999994</v>
      </c>
    </row>
    <row r="355" spans="1:8" x14ac:dyDescent="0.3">
      <c r="A355" t="s">
        <v>575</v>
      </c>
      <c r="B355">
        <v>20531.48</v>
      </c>
      <c r="C355" t="s">
        <v>27</v>
      </c>
      <c r="D355">
        <v>24</v>
      </c>
      <c r="E355">
        <v>772.68</v>
      </c>
      <c r="F355" t="s">
        <v>72</v>
      </c>
      <c r="G355">
        <v>2</v>
      </c>
      <c r="H355">
        <v>993.58</v>
      </c>
    </row>
    <row r="356" spans="1:8" s="40" customFormat="1" x14ac:dyDescent="0.3">
      <c r="A356" s="41" t="s">
        <v>976</v>
      </c>
      <c r="B356" s="40">
        <f>D355*E356+G355*H356+J355*K356</f>
        <v>20531.477599999998</v>
      </c>
      <c r="E356" s="40">
        <v>772.67986299999995</v>
      </c>
      <c r="H356" s="40">
        <v>993.58044399999994</v>
      </c>
    </row>
    <row r="357" spans="1:8" x14ac:dyDescent="0.3">
      <c r="A357" t="s">
        <v>572</v>
      </c>
      <c r="B357">
        <v>20531.48</v>
      </c>
      <c r="C357" t="s">
        <v>27</v>
      </c>
      <c r="D357">
        <v>24</v>
      </c>
      <c r="E357">
        <v>772.68</v>
      </c>
      <c r="F357" t="s">
        <v>72</v>
      </c>
      <c r="G357">
        <v>2</v>
      </c>
      <c r="H357">
        <v>993.58</v>
      </c>
    </row>
    <row r="358" spans="1:8" s="40" customFormat="1" x14ac:dyDescent="0.3">
      <c r="A358" s="41" t="s">
        <v>976</v>
      </c>
      <c r="B358" s="40">
        <f>D357*E358+G357*H358+J357*K358</f>
        <v>20531.477599999998</v>
      </c>
      <c r="E358" s="40">
        <v>772.67986299999995</v>
      </c>
      <c r="H358" s="40">
        <v>993.58044399999994</v>
      </c>
    </row>
    <row r="359" spans="1:8" x14ac:dyDescent="0.3">
      <c r="A359" t="s">
        <v>577</v>
      </c>
      <c r="B359">
        <v>25833.09</v>
      </c>
      <c r="C359" t="s">
        <v>65</v>
      </c>
      <c r="D359">
        <v>24</v>
      </c>
      <c r="E359">
        <v>993.58</v>
      </c>
      <c r="F359" t="s">
        <v>72</v>
      </c>
      <c r="G359">
        <v>2</v>
      </c>
      <c r="H359">
        <v>993.58</v>
      </c>
    </row>
    <row r="360" spans="1:8" s="40" customFormat="1" x14ac:dyDescent="0.3">
      <c r="A360" s="41" t="s">
        <v>976</v>
      </c>
      <c r="B360" s="40">
        <f>D359*E360+G359*H360+J359*K360</f>
        <v>25833.091543999995</v>
      </c>
      <c r="E360" s="40">
        <v>993.58044399999994</v>
      </c>
      <c r="H360" s="40">
        <v>993.58044399999994</v>
      </c>
    </row>
    <row r="361" spans="1:8" x14ac:dyDescent="0.3">
      <c r="A361" t="s">
        <v>578</v>
      </c>
      <c r="B361">
        <v>20531.48</v>
      </c>
      <c r="C361" t="s">
        <v>27</v>
      </c>
      <c r="D361">
        <v>24</v>
      </c>
      <c r="E361">
        <v>772.68</v>
      </c>
      <c r="F361" t="s">
        <v>72</v>
      </c>
      <c r="G361">
        <v>2</v>
      </c>
      <c r="H361">
        <v>993.58</v>
      </c>
    </row>
    <row r="362" spans="1:8" s="40" customFormat="1" x14ac:dyDescent="0.3">
      <c r="A362" s="41" t="s">
        <v>976</v>
      </c>
      <c r="B362" s="40">
        <f>D361*E362+G361*H362+J361*K362</f>
        <v>20531.477599999998</v>
      </c>
      <c r="E362" s="40">
        <v>772.67986299999995</v>
      </c>
      <c r="H362" s="40">
        <v>993.58044399999994</v>
      </c>
    </row>
    <row r="363" spans="1:8" x14ac:dyDescent="0.3">
      <c r="A363" t="s">
        <v>579</v>
      </c>
      <c r="B363">
        <v>20531.48</v>
      </c>
      <c r="C363" t="s">
        <v>27</v>
      </c>
      <c r="D363">
        <v>24</v>
      </c>
      <c r="E363">
        <v>772.68</v>
      </c>
      <c r="F363" t="s">
        <v>72</v>
      </c>
      <c r="G363">
        <v>2</v>
      </c>
      <c r="H363">
        <v>993.58</v>
      </c>
    </row>
    <row r="364" spans="1:8" s="40" customFormat="1" x14ac:dyDescent="0.3">
      <c r="A364" s="41" t="s">
        <v>976</v>
      </c>
      <c r="B364" s="40">
        <f>D363*E364+G363*H364+J363*K364</f>
        <v>20531.477599999998</v>
      </c>
      <c r="E364" s="40">
        <v>772.67986299999995</v>
      </c>
      <c r="H364" s="40">
        <v>993.58044399999994</v>
      </c>
    </row>
    <row r="365" spans="1:8" x14ac:dyDescent="0.3">
      <c r="A365" t="s">
        <v>601</v>
      </c>
      <c r="B365">
        <v>25833.09</v>
      </c>
      <c r="C365" t="s">
        <v>29</v>
      </c>
      <c r="D365">
        <v>24</v>
      </c>
      <c r="E365">
        <v>993.58</v>
      </c>
      <c r="F365" t="s">
        <v>74</v>
      </c>
      <c r="G365">
        <v>2</v>
      </c>
      <c r="H365">
        <v>993.58</v>
      </c>
    </row>
    <row r="366" spans="1:8" s="40" customFormat="1" x14ac:dyDescent="0.3">
      <c r="A366" s="41" t="s">
        <v>976</v>
      </c>
      <c r="B366" s="40">
        <f>D365*E366+G365*H366+J365*K366</f>
        <v>25833.091543999995</v>
      </c>
      <c r="E366" s="40">
        <v>993.58044399999994</v>
      </c>
      <c r="H366" s="40">
        <v>993.58044399999994</v>
      </c>
    </row>
    <row r="367" spans="1:8" x14ac:dyDescent="0.3">
      <c r="A367" t="s">
        <v>580</v>
      </c>
      <c r="B367">
        <v>20531.48</v>
      </c>
      <c r="C367" t="s">
        <v>27</v>
      </c>
      <c r="D367">
        <v>24</v>
      </c>
      <c r="E367">
        <v>772.68</v>
      </c>
      <c r="F367" t="s">
        <v>72</v>
      </c>
      <c r="G367">
        <v>2</v>
      </c>
      <c r="H367">
        <v>993.58</v>
      </c>
    </row>
    <row r="368" spans="1:8" s="40" customFormat="1" x14ac:dyDescent="0.3">
      <c r="A368" s="41" t="s">
        <v>976</v>
      </c>
      <c r="B368" s="40">
        <f>D367*E368+G367*H368+J367*K368</f>
        <v>20531.477599999998</v>
      </c>
      <c r="E368" s="40">
        <v>772.67986299999995</v>
      </c>
      <c r="H368" s="40">
        <v>993.58044399999994</v>
      </c>
    </row>
    <row r="369" spans="1:8" x14ac:dyDescent="0.3">
      <c r="A369" t="s">
        <v>581</v>
      </c>
      <c r="B369">
        <v>25833.09</v>
      </c>
      <c r="C369" t="s">
        <v>65</v>
      </c>
      <c r="D369">
        <v>24</v>
      </c>
      <c r="E369">
        <v>993.58</v>
      </c>
      <c r="F369" t="s">
        <v>72</v>
      </c>
      <c r="G369">
        <v>2</v>
      </c>
      <c r="H369">
        <v>993.58</v>
      </c>
    </row>
    <row r="370" spans="1:8" s="40" customFormat="1" x14ac:dyDescent="0.3">
      <c r="A370" s="41" t="s">
        <v>976</v>
      </c>
      <c r="B370" s="40">
        <f>D369*E370+G369*H370+J369*K370</f>
        <v>25833.091543999995</v>
      </c>
      <c r="E370" s="40">
        <v>993.58044399999994</v>
      </c>
      <c r="H370" s="40">
        <v>993.58044399999994</v>
      </c>
    </row>
    <row r="371" spans="1:8" x14ac:dyDescent="0.3">
      <c r="A371" t="s">
        <v>582</v>
      </c>
      <c r="B371">
        <v>20531.48</v>
      </c>
      <c r="C371" t="s">
        <v>27</v>
      </c>
      <c r="D371">
        <v>24</v>
      </c>
      <c r="E371">
        <v>772.68</v>
      </c>
      <c r="F371" t="s">
        <v>72</v>
      </c>
      <c r="G371">
        <v>2</v>
      </c>
      <c r="H371">
        <v>993.58</v>
      </c>
    </row>
    <row r="372" spans="1:8" s="40" customFormat="1" x14ac:dyDescent="0.3">
      <c r="A372" s="41" t="s">
        <v>976</v>
      </c>
      <c r="B372" s="40">
        <f>D371*E372+G371*H372+J371*K372</f>
        <v>20531.477599999998</v>
      </c>
      <c r="E372" s="40">
        <v>772.67986299999995</v>
      </c>
      <c r="H372" s="40">
        <v>993.58044399999994</v>
      </c>
    </row>
    <row r="373" spans="1:8" x14ac:dyDescent="0.3">
      <c r="A373" t="s">
        <v>583</v>
      </c>
      <c r="B373">
        <v>20531.48</v>
      </c>
      <c r="C373" t="s">
        <v>27</v>
      </c>
      <c r="D373">
        <v>24</v>
      </c>
      <c r="E373">
        <v>772.68</v>
      </c>
      <c r="F373" t="s">
        <v>72</v>
      </c>
      <c r="G373">
        <v>2</v>
      </c>
      <c r="H373">
        <v>993.58</v>
      </c>
    </row>
    <row r="374" spans="1:8" s="40" customFormat="1" x14ac:dyDescent="0.3">
      <c r="A374" s="41" t="s">
        <v>976</v>
      </c>
      <c r="B374" s="40">
        <f>D373*E374+G373*H374+J373*K374</f>
        <v>20531.477599999998</v>
      </c>
      <c r="E374" s="40">
        <v>772.67986299999995</v>
      </c>
      <c r="H374" s="40">
        <v>993.58044399999994</v>
      </c>
    </row>
    <row r="375" spans="1:8" x14ac:dyDescent="0.3">
      <c r="A375" t="s">
        <v>584</v>
      </c>
      <c r="B375">
        <v>25833.09</v>
      </c>
      <c r="C375" t="s">
        <v>29</v>
      </c>
      <c r="D375">
        <v>24</v>
      </c>
      <c r="E375">
        <v>993.58</v>
      </c>
      <c r="F375" t="s">
        <v>74</v>
      </c>
      <c r="G375">
        <v>2</v>
      </c>
      <c r="H375">
        <v>993.58</v>
      </c>
    </row>
    <row r="376" spans="1:8" s="40" customFormat="1" x14ac:dyDescent="0.3">
      <c r="A376" s="41" t="s">
        <v>976</v>
      </c>
      <c r="B376" s="40">
        <f>D375*E376+G375*H376+J375*K376</f>
        <v>25833.091543999995</v>
      </c>
      <c r="E376" s="40">
        <v>993.58044399999994</v>
      </c>
      <c r="H376" s="40">
        <v>993.58044399999994</v>
      </c>
    </row>
    <row r="377" spans="1:8" x14ac:dyDescent="0.3">
      <c r="A377" t="s">
        <v>586</v>
      </c>
      <c r="B377">
        <v>31134.5</v>
      </c>
      <c r="C377" t="s">
        <v>67</v>
      </c>
      <c r="D377">
        <v>24</v>
      </c>
      <c r="E377">
        <v>1214.47</v>
      </c>
      <c r="F377" t="s">
        <v>74</v>
      </c>
      <c r="G377">
        <v>2</v>
      </c>
      <c r="H377">
        <v>993.58</v>
      </c>
    </row>
    <row r="378" spans="1:8" s="40" customFormat="1" x14ac:dyDescent="0.3">
      <c r="A378" s="41" t="s">
        <v>976</v>
      </c>
      <c r="B378" s="40">
        <f>D377*E378+G377*H378+J377*K378</f>
        <v>31134.504919999996</v>
      </c>
      <c r="E378" s="40">
        <v>1214.4726679999999</v>
      </c>
      <c r="H378" s="40">
        <v>993.58044399999994</v>
      </c>
    </row>
    <row r="379" spans="1:8" x14ac:dyDescent="0.3">
      <c r="A379" t="s">
        <v>587</v>
      </c>
      <c r="B379">
        <v>25833.09</v>
      </c>
      <c r="C379" t="s">
        <v>29</v>
      </c>
      <c r="D379">
        <v>24</v>
      </c>
      <c r="E379">
        <v>993.58</v>
      </c>
      <c r="F379" t="s">
        <v>74</v>
      </c>
      <c r="G379">
        <v>2</v>
      </c>
      <c r="H379">
        <v>993.58</v>
      </c>
    </row>
    <row r="380" spans="1:8" s="40" customFormat="1" x14ac:dyDescent="0.3">
      <c r="A380" s="41" t="s">
        <v>976</v>
      </c>
      <c r="B380" s="40">
        <f>D379*E380+G379*H380+J379*K380</f>
        <v>25833.091543999995</v>
      </c>
      <c r="E380" s="40">
        <v>993.58044399999994</v>
      </c>
      <c r="H380" s="40">
        <v>993.58044399999994</v>
      </c>
    </row>
    <row r="381" spans="1:8" x14ac:dyDescent="0.3">
      <c r="A381" t="s">
        <v>585</v>
      </c>
      <c r="B381">
        <v>25833.09</v>
      </c>
      <c r="C381" t="s">
        <v>29</v>
      </c>
      <c r="D381">
        <v>24</v>
      </c>
      <c r="E381">
        <v>993.58</v>
      </c>
      <c r="F381" t="s">
        <v>74</v>
      </c>
      <c r="G381">
        <v>2</v>
      </c>
      <c r="H381">
        <v>993.58</v>
      </c>
    </row>
    <row r="382" spans="1:8" s="40" customFormat="1" x14ac:dyDescent="0.3">
      <c r="A382" s="41" t="s">
        <v>976</v>
      </c>
      <c r="B382" s="40">
        <f>D381*E382+G381*H382+J381*K382</f>
        <v>25833.091543999995</v>
      </c>
      <c r="E382" s="40">
        <v>993.58044399999994</v>
      </c>
      <c r="H382" s="40">
        <v>993.58044399999994</v>
      </c>
    </row>
    <row r="383" spans="1:8" x14ac:dyDescent="0.3">
      <c r="A383" t="s">
        <v>602</v>
      </c>
      <c r="B383">
        <v>31134.5</v>
      </c>
      <c r="C383" t="s">
        <v>67</v>
      </c>
      <c r="D383">
        <v>24</v>
      </c>
      <c r="E383">
        <v>1214.47</v>
      </c>
      <c r="F383" t="s">
        <v>74</v>
      </c>
      <c r="G383">
        <v>2</v>
      </c>
      <c r="H383">
        <v>993.58</v>
      </c>
    </row>
    <row r="384" spans="1:8" s="40" customFormat="1" x14ac:dyDescent="0.3">
      <c r="A384" s="41" t="s">
        <v>976</v>
      </c>
      <c r="B384" s="40">
        <f>D383*E384+G383*H384+J383*K384</f>
        <v>31134.504919999996</v>
      </c>
      <c r="E384" s="40">
        <v>1214.4726679999999</v>
      </c>
      <c r="H384" s="40">
        <v>993.58044399999994</v>
      </c>
    </row>
    <row r="385" spans="1:8" x14ac:dyDescent="0.3">
      <c r="A385" t="s">
        <v>588</v>
      </c>
      <c r="B385">
        <v>31134.5</v>
      </c>
      <c r="C385" t="s">
        <v>67</v>
      </c>
      <c r="D385">
        <v>24</v>
      </c>
      <c r="E385">
        <v>1214.47</v>
      </c>
      <c r="F385" t="s">
        <v>74</v>
      </c>
      <c r="G385">
        <v>2</v>
      </c>
      <c r="H385">
        <v>993.58</v>
      </c>
    </row>
    <row r="386" spans="1:8" s="40" customFormat="1" x14ac:dyDescent="0.3">
      <c r="A386" s="41" t="s">
        <v>976</v>
      </c>
      <c r="B386" s="40">
        <f>D385*E386+G385*H386+J385*K386</f>
        <v>31134.504919999996</v>
      </c>
      <c r="E386" s="40">
        <v>1214.4726679999999</v>
      </c>
      <c r="H386" s="40">
        <v>993.58044399999994</v>
      </c>
    </row>
    <row r="387" spans="1:8" x14ac:dyDescent="0.3">
      <c r="A387" t="s">
        <v>590</v>
      </c>
      <c r="B387">
        <v>25833.09</v>
      </c>
      <c r="C387" t="s">
        <v>29</v>
      </c>
      <c r="D387">
        <v>24</v>
      </c>
      <c r="E387">
        <v>993.58</v>
      </c>
      <c r="F387" t="s">
        <v>74</v>
      </c>
      <c r="G387">
        <v>2</v>
      </c>
      <c r="H387">
        <v>993.58</v>
      </c>
    </row>
    <row r="388" spans="1:8" s="40" customFormat="1" x14ac:dyDescent="0.3">
      <c r="A388" s="41" t="s">
        <v>976</v>
      </c>
      <c r="B388" s="40">
        <f>D387*E388+G387*H388+J387*K388</f>
        <v>25833.091543999995</v>
      </c>
      <c r="E388" s="40">
        <v>993.58044399999994</v>
      </c>
      <c r="H388" s="40">
        <v>993.58044399999994</v>
      </c>
    </row>
    <row r="389" spans="1:8" x14ac:dyDescent="0.3">
      <c r="A389" t="s">
        <v>589</v>
      </c>
      <c r="B389">
        <v>25833.09</v>
      </c>
      <c r="C389" t="s">
        <v>29</v>
      </c>
      <c r="D389">
        <v>24</v>
      </c>
      <c r="E389">
        <v>993.58</v>
      </c>
      <c r="F389" t="s">
        <v>74</v>
      </c>
      <c r="G389">
        <v>2</v>
      </c>
      <c r="H389">
        <v>993.58</v>
      </c>
    </row>
    <row r="390" spans="1:8" s="40" customFormat="1" x14ac:dyDescent="0.3">
      <c r="A390" s="41" t="s">
        <v>976</v>
      </c>
      <c r="B390" s="40">
        <f>D389*E390+G389*H390+J389*K390</f>
        <v>25833.091543999995</v>
      </c>
      <c r="E390" s="40">
        <v>993.58044399999994</v>
      </c>
      <c r="H390" s="40">
        <v>993.58044399999994</v>
      </c>
    </row>
    <row r="391" spans="1:8" x14ac:dyDescent="0.3">
      <c r="A391" t="s">
        <v>591</v>
      </c>
      <c r="B391">
        <v>25833.09</v>
      </c>
      <c r="C391" t="s">
        <v>29</v>
      </c>
      <c r="D391">
        <v>24</v>
      </c>
      <c r="E391">
        <v>993.58</v>
      </c>
      <c r="F391" t="s">
        <v>74</v>
      </c>
      <c r="G391">
        <v>2</v>
      </c>
      <c r="H391">
        <v>993.58</v>
      </c>
    </row>
    <row r="392" spans="1:8" s="40" customFormat="1" x14ac:dyDescent="0.3">
      <c r="A392" s="41" t="s">
        <v>976</v>
      </c>
      <c r="B392" s="40">
        <f>D391*E392+G391*H392+J391*K392</f>
        <v>25833.091543999995</v>
      </c>
      <c r="E392" s="40">
        <v>993.58044399999994</v>
      </c>
      <c r="H392" s="40">
        <v>993.58044399999994</v>
      </c>
    </row>
    <row r="393" spans="1:8" x14ac:dyDescent="0.3">
      <c r="A393" t="s">
        <v>592</v>
      </c>
      <c r="B393">
        <v>31134.5</v>
      </c>
      <c r="C393" t="s">
        <v>67</v>
      </c>
      <c r="D393">
        <v>24</v>
      </c>
      <c r="E393">
        <v>1214.47</v>
      </c>
      <c r="F393" t="s">
        <v>74</v>
      </c>
      <c r="G393">
        <v>2</v>
      </c>
      <c r="H393">
        <v>993.58</v>
      </c>
    </row>
    <row r="394" spans="1:8" s="40" customFormat="1" x14ac:dyDescent="0.3">
      <c r="A394" s="41" t="s">
        <v>976</v>
      </c>
      <c r="B394" s="40">
        <f>D393*E394+G393*H394+J393*K394</f>
        <v>31134.504919999996</v>
      </c>
      <c r="E394" s="40">
        <v>1214.4726679999999</v>
      </c>
      <c r="H394" s="40">
        <v>993.58044399999994</v>
      </c>
    </row>
    <row r="395" spans="1:8" x14ac:dyDescent="0.3">
      <c r="A395" t="s">
        <v>595</v>
      </c>
      <c r="B395">
        <v>31134.5</v>
      </c>
      <c r="C395" t="s">
        <v>31</v>
      </c>
      <c r="D395">
        <v>24</v>
      </c>
      <c r="E395">
        <v>1214.47</v>
      </c>
      <c r="F395" t="s">
        <v>74</v>
      </c>
      <c r="G395">
        <v>2</v>
      </c>
      <c r="H395">
        <v>993.58</v>
      </c>
    </row>
    <row r="396" spans="1:8" s="40" customFormat="1" x14ac:dyDescent="0.3">
      <c r="A396" s="41" t="s">
        <v>976</v>
      </c>
      <c r="B396" s="40">
        <f>D395*E396+G395*H396+J395*K396</f>
        <v>31134.504919999996</v>
      </c>
      <c r="E396" s="40">
        <v>1214.4726679999999</v>
      </c>
      <c r="H396" s="40">
        <v>993.58044399999994</v>
      </c>
    </row>
    <row r="397" spans="1:8" x14ac:dyDescent="0.3">
      <c r="A397" t="s">
        <v>594</v>
      </c>
      <c r="B397">
        <v>36427.29</v>
      </c>
      <c r="C397" t="s">
        <v>69</v>
      </c>
      <c r="D397">
        <v>24</v>
      </c>
      <c r="E397">
        <v>1435.01</v>
      </c>
      <c r="F397" t="s">
        <v>74</v>
      </c>
      <c r="G397">
        <v>2</v>
      </c>
      <c r="H397">
        <v>993.58</v>
      </c>
    </row>
    <row r="398" spans="1:8" s="40" customFormat="1" x14ac:dyDescent="0.3">
      <c r="A398" s="41" t="s">
        <v>976</v>
      </c>
      <c r="B398" s="40">
        <f>D397*E398+G397*H398+J397*K398</f>
        <v>36427.293871999995</v>
      </c>
      <c r="E398" s="40">
        <v>1435.0055409999998</v>
      </c>
      <c r="H398" s="40">
        <v>993.58044399999994</v>
      </c>
    </row>
    <row r="399" spans="1:8" x14ac:dyDescent="0.3">
      <c r="A399" t="s">
        <v>593</v>
      </c>
      <c r="B399">
        <v>25833.09</v>
      </c>
      <c r="C399" t="s">
        <v>29</v>
      </c>
      <c r="D399">
        <v>24</v>
      </c>
      <c r="E399">
        <v>993.58</v>
      </c>
      <c r="F399" t="s">
        <v>74</v>
      </c>
      <c r="G399">
        <v>2</v>
      </c>
      <c r="H399">
        <v>993.58</v>
      </c>
    </row>
    <row r="400" spans="1:8" s="40" customFormat="1" x14ac:dyDescent="0.3">
      <c r="A400" s="41" t="s">
        <v>976</v>
      </c>
      <c r="B400" s="40">
        <f>D399*E400+G399*H400+J399*K400</f>
        <v>25833.091543999995</v>
      </c>
      <c r="E400" s="40">
        <v>993.58044399999994</v>
      </c>
      <c r="H400" s="40">
        <v>993.58044399999994</v>
      </c>
    </row>
    <row r="401" spans="1:8" x14ac:dyDescent="0.3">
      <c r="A401" t="s">
        <v>598</v>
      </c>
      <c r="B401">
        <v>36427.29</v>
      </c>
      <c r="C401" t="s">
        <v>69</v>
      </c>
      <c r="D401">
        <v>24</v>
      </c>
      <c r="E401">
        <v>1435.01</v>
      </c>
      <c r="F401" t="s">
        <v>74</v>
      </c>
      <c r="G401">
        <v>2</v>
      </c>
      <c r="H401">
        <v>993.58</v>
      </c>
    </row>
    <row r="402" spans="1:8" s="40" customFormat="1" x14ac:dyDescent="0.3">
      <c r="A402" s="41" t="s">
        <v>976</v>
      </c>
      <c r="B402" s="40">
        <f>D401*E402+G401*H402+J401*K402</f>
        <v>36427.293871999995</v>
      </c>
      <c r="E402" s="40">
        <v>1435.0055409999998</v>
      </c>
      <c r="H402" s="40">
        <v>993.58044399999994</v>
      </c>
    </row>
    <row r="403" spans="1:8" x14ac:dyDescent="0.3">
      <c r="A403" t="s">
        <v>597</v>
      </c>
      <c r="B403">
        <v>31134.5</v>
      </c>
      <c r="C403" t="s">
        <v>31</v>
      </c>
      <c r="D403">
        <v>24</v>
      </c>
      <c r="E403">
        <v>1214.47</v>
      </c>
      <c r="F403" t="s">
        <v>74</v>
      </c>
      <c r="G403">
        <v>2</v>
      </c>
      <c r="H403">
        <v>993.58</v>
      </c>
    </row>
    <row r="404" spans="1:8" s="40" customFormat="1" x14ac:dyDescent="0.3">
      <c r="A404" s="41" t="s">
        <v>976</v>
      </c>
      <c r="B404" s="40">
        <f>D403*E404+G403*H404+J403*K404</f>
        <v>31134.504919999996</v>
      </c>
      <c r="E404" s="40">
        <v>1214.4726679999999</v>
      </c>
      <c r="H404" s="40">
        <v>993.58044399999994</v>
      </c>
    </row>
    <row r="405" spans="1:8" x14ac:dyDescent="0.3">
      <c r="A405" t="s">
        <v>599</v>
      </c>
      <c r="B405">
        <v>31134.5</v>
      </c>
      <c r="C405" t="s">
        <v>31</v>
      </c>
      <c r="D405">
        <v>24</v>
      </c>
      <c r="E405">
        <v>1214.47</v>
      </c>
      <c r="F405" t="s">
        <v>74</v>
      </c>
      <c r="G405">
        <v>2</v>
      </c>
      <c r="H405">
        <v>993.58</v>
      </c>
    </row>
    <row r="406" spans="1:8" s="40" customFormat="1" x14ac:dyDescent="0.3">
      <c r="A406" s="41" t="s">
        <v>976</v>
      </c>
      <c r="B406" s="40">
        <f>D405*E406+G405*H406+J405*K406</f>
        <v>31134.504919999996</v>
      </c>
      <c r="E406" s="40">
        <v>1214.4726679999999</v>
      </c>
      <c r="H406" s="40">
        <v>993.58044399999994</v>
      </c>
    </row>
    <row r="407" spans="1:8" x14ac:dyDescent="0.3">
      <c r="A407" t="s">
        <v>605</v>
      </c>
      <c r="B407">
        <v>36427.29</v>
      </c>
      <c r="C407" t="s">
        <v>69</v>
      </c>
      <c r="D407">
        <v>24</v>
      </c>
      <c r="E407">
        <v>1435.01</v>
      </c>
      <c r="F407" t="s">
        <v>74</v>
      </c>
      <c r="G407">
        <v>2</v>
      </c>
      <c r="H407">
        <v>993.58</v>
      </c>
    </row>
    <row r="408" spans="1:8" s="40" customFormat="1" x14ac:dyDescent="0.3">
      <c r="A408" s="41" t="s">
        <v>976</v>
      </c>
      <c r="B408" s="40">
        <f>D407*E408+G407*H408+J407*K408</f>
        <v>36427.293871999995</v>
      </c>
      <c r="E408" s="40">
        <v>1435.0055409999998</v>
      </c>
      <c r="H408" s="40">
        <v>993.58044399999994</v>
      </c>
    </row>
    <row r="409" spans="1:8" x14ac:dyDescent="0.3">
      <c r="A409" t="s">
        <v>604</v>
      </c>
      <c r="B409">
        <v>31134.5</v>
      </c>
      <c r="C409" t="s">
        <v>31</v>
      </c>
      <c r="D409">
        <v>24</v>
      </c>
      <c r="E409">
        <v>1214.47</v>
      </c>
      <c r="F409" t="s">
        <v>74</v>
      </c>
      <c r="G409">
        <v>2</v>
      </c>
      <c r="H409">
        <v>993.58</v>
      </c>
    </row>
    <row r="410" spans="1:8" s="40" customFormat="1" x14ac:dyDescent="0.3">
      <c r="A410" s="41" t="s">
        <v>976</v>
      </c>
      <c r="B410" s="40">
        <f>D409*E410+G409*H410+J409*K410</f>
        <v>31134.504919999996</v>
      </c>
      <c r="E410" s="40">
        <v>1214.4726679999999</v>
      </c>
      <c r="H410" s="40">
        <v>993.58044399999994</v>
      </c>
    </row>
    <row r="411" spans="1:8" x14ac:dyDescent="0.3">
      <c r="A411" t="s">
        <v>607</v>
      </c>
      <c r="B411">
        <v>31134.5</v>
      </c>
      <c r="C411" t="s">
        <v>31</v>
      </c>
      <c r="D411">
        <v>24</v>
      </c>
      <c r="E411">
        <v>1214.47</v>
      </c>
      <c r="F411" t="s">
        <v>74</v>
      </c>
      <c r="G411">
        <v>2</v>
      </c>
      <c r="H411">
        <v>993.58</v>
      </c>
    </row>
    <row r="412" spans="1:8" s="40" customFormat="1" x14ac:dyDescent="0.3">
      <c r="A412" s="41" t="s">
        <v>976</v>
      </c>
      <c r="B412" s="40">
        <f>D411*E412+G411*H412+J411*K412</f>
        <v>31134.504919999996</v>
      </c>
      <c r="E412" s="40">
        <v>1214.4726679999999</v>
      </c>
      <c r="H412" s="40">
        <v>993.58044399999994</v>
      </c>
    </row>
    <row r="413" spans="1:8" x14ac:dyDescent="0.3">
      <c r="A413" t="s">
        <v>600</v>
      </c>
      <c r="B413">
        <v>31134.5</v>
      </c>
      <c r="C413" t="s">
        <v>31</v>
      </c>
      <c r="D413">
        <v>24</v>
      </c>
      <c r="E413">
        <v>1214.47</v>
      </c>
      <c r="F413" t="s">
        <v>74</v>
      </c>
      <c r="G413">
        <v>2</v>
      </c>
      <c r="H413">
        <v>993.58</v>
      </c>
    </row>
    <row r="414" spans="1:8" s="40" customFormat="1" x14ac:dyDescent="0.3">
      <c r="A414" s="41" t="s">
        <v>976</v>
      </c>
      <c r="B414" s="40">
        <f>D413*E414+G413*H414+J413*K414</f>
        <v>31134.504919999996</v>
      </c>
      <c r="E414" s="40">
        <v>1214.4726679999999</v>
      </c>
      <c r="H414" s="40">
        <v>993.58044399999994</v>
      </c>
    </row>
    <row r="415" spans="1:8" x14ac:dyDescent="0.3">
      <c r="A415" t="s">
        <v>615</v>
      </c>
      <c r="B415">
        <v>36427.29</v>
      </c>
      <c r="C415" t="s">
        <v>69</v>
      </c>
      <c r="D415">
        <v>24</v>
      </c>
      <c r="E415">
        <v>1435.01</v>
      </c>
      <c r="F415" t="s">
        <v>74</v>
      </c>
      <c r="G415">
        <v>2</v>
      </c>
      <c r="H415">
        <v>993.58</v>
      </c>
    </row>
    <row r="416" spans="1:8" s="40" customFormat="1" x14ac:dyDescent="0.3">
      <c r="A416" s="41" t="s">
        <v>976</v>
      </c>
      <c r="B416" s="40">
        <f>D415*E416+G415*H416+J415*K416</f>
        <v>36427.293871999995</v>
      </c>
      <c r="E416" s="40">
        <v>1435.0055409999998</v>
      </c>
      <c r="H416" s="40">
        <v>993.58044399999994</v>
      </c>
    </row>
    <row r="417" spans="1:8" x14ac:dyDescent="0.3">
      <c r="A417" t="s">
        <v>606</v>
      </c>
      <c r="B417">
        <v>36427.29</v>
      </c>
      <c r="C417" t="s">
        <v>69</v>
      </c>
      <c r="D417">
        <v>24</v>
      </c>
      <c r="E417">
        <v>1435.01</v>
      </c>
      <c r="F417" t="s">
        <v>74</v>
      </c>
      <c r="G417">
        <v>2</v>
      </c>
      <c r="H417">
        <v>993.58</v>
      </c>
    </row>
    <row r="418" spans="1:8" s="40" customFormat="1" x14ac:dyDescent="0.3">
      <c r="A418" s="41" t="s">
        <v>976</v>
      </c>
      <c r="B418" s="40">
        <f>D417*E418+G417*H418+J417*K418</f>
        <v>36427.293871999995</v>
      </c>
      <c r="E418" s="40">
        <v>1435.0055409999998</v>
      </c>
      <c r="H418" s="40">
        <v>993.58044399999994</v>
      </c>
    </row>
    <row r="419" spans="1:8" x14ac:dyDescent="0.3">
      <c r="A419" t="s">
        <v>603</v>
      </c>
      <c r="B419">
        <v>36427.29</v>
      </c>
      <c r="C419" t="s">
        <v>69</v>
      </c>
      <c r="D419">
        <v>24</v>
      </c>
      <c r="E419">
        <v>1435.01</v>
      </c>
      <c r="F419" t="s">
        <v>74</v>
      </c>
      <c r="G419">
        <v>2</v>
      </c>
      <c r="H419">
        <v>993.58</v>
      </c>
    </row>
    <row r="420" spans="1:8" s="40" customFormat="1" x14ac:dyDescent="0.3">
      <c r="A420" s="41" t="s">
        <v>976</v>
      </c>
      <c r="B420" s="40">
        <f>D419*E420+G419*H420+J419*K420</f>
        <v>36427.293871999995</v>
      </c>
      <c r="E420" s="40">
        <v>1435.0055409999998</v>
      </c>
      <c r="H420" s="40">
        <v>993.58044399999994</v>
      </c>
    </row>
    <row r="421" spans="1:8" x14ac:dyDescent="0.3">
      <c r="A421" t="s">
        <v>610</v>
      </c>
      <c r="B421">
        <v>31134.5</v>
      </c>
      <c r="C421" t="s">
        <v>31</v>
      </c>
      <c r="D421">
        <v>24</v>
      </c>
      <c r="E421">
        <v>1214.47</v>
      </c>
      <c r="F421" t="s">
        <v>74</v>
      </c>
      <c r="G421">
        <v>2</v>
      </c>
      <c r="H421">
        <v>993.58</v>
      </c>
    </row>
    <row r="422" spans="1:8" s="40" customFormat="1" x14ac:dyDescent="0.3">
      <c r="A422" s="41" t="s">
        <v>976</v>
      </c>
      <c r="B422" s="40">
        <f>D421*E422+G421*H422+J421*K422</f>
        <v>31134.504919999996</v>
      </c>
      <c r="E422" s="40">
        <v>1214.4726679999999</v>
      </c>
      <c r="H422" s="40">
        <v>993.58044399999994</v>
      </c>
    </row>
    <row r="423" spans="1:8" x14ac:dyDescent="0.3">
      <c r="A423" t="s">
        <v>608</v>
      </c>
      <c r="B423">
        <v>31134.5</v>
      </c>
      <c r="C423" t="s">
        <v>31</v>
      </c>
      <c r="D423">
        <v>24</v>
      </c>
      <c r="E423">
        <v>1214.47</v>
      </c>
      <c r="F423" t="s">
        <v>74</v>
      </c>
      <c r="G423">
        <v>2</v>
      </c>
      <c r="H423">
        <v>993.58</v>
      </c>
    </row>
    <row r="424" spans="1:8" s="40" customFormat="1" x14ac:dyDescent="0.3">
      <c r="A424" s="41" t="s">
        <v>976</v>
      </c>
      <c r="B424" s="40">
        <f>D423*E424+G423*H424+J423*K424</f>
        <v>31134.504919999996</v>
      </c>
      <c r="E424" s="40">
        <v>1214.4726679999999</v>
      </c>
      <c r="H424" s="40">
        <v>993.58044399999994</v>
      </c>
    </row>
    <row r="425" spans="1:8" x14ac:dyDescent="0.3">
      <c r="A425" t="s">
        <v>609</v>
      </c>
      <c r="B425">
        <v>31134.5</v>
      </c>
      <c r="C425" t="s">
        <v>31</v>
      </c>
      <c r="D425">
        <v>24</v>
      </c>
      <c r="E425">
        <v>1214.47</v>
      </c>
      <c r="F425" t="s">
        <v>74</v>
      </c>
      <c r="G425">
        <v>2</v>
      </c>
      <c r="H425">
        <v>993.58</v>
      </c>
    </row>
    <row r="426" spans="1:8" s="40" customFormat="1" x14ac:dyDescent="0.3">
      <c r="A426" s="41" t="s">
        <v>976</v>
      </c>
      <c r="B426" s="40">
        <f>D425*E426+G425*H426+J425*K426</f>
        <v>31134.504919999996</v>
      </c>
      <c r="E426" s="40">
        <v>1214.4726679999999</v>
      </c>
      <c r="H426" s="40">
        <v>993.58044399999994</v>
      </c>
    </row>
    <row r="427" spans="1:8" x14ac:dyDescent="0.3">
      <c r="A427" t="s">
        <v>612</v>
      </c>
      <c r="B427">
        <v>36427.29</v>
      </c>
      <c r="C427" t="s">
        <v>69</v>
      </c>
      <c r="D427">
        <v>24</v>
      </c>
      <c r="E427">
        <v>1435.01</v>
      </c>
      <c r="F427" t="s">
        <v>74</v>
      </c>
      <c r="G427">
        <v>2</v>
      </c>
      <c r="H427">
        <v>993.58</v>
      </c>
    </row>
    <row r="428" spans="1:8" s="40" customFormat="1" x14ac:dyDescent="0.3">
      <c r="A428" s="41" t="s">
        <v>976</v>
      </c>
      <c r="B428" s="40">
        <f>D427*E428+G427*H428+J427*K428</f>
        <v>36427.293871999995</v>
      </c>
      <c r="E428" s="40">
        <v>1435.0055409999998</v>
      </c>
      <c r="H428" s="40">
        <v>993.58044399999994</v>
      </c>
    </row>
    <row r="429" spans="1:8" x14ac:dyDescent="0.3">
      <c r="A429" t="s">
        <v>614</v>
      </c>
      <c r="B429">
        <v>31134.5</v>
      </c>
      <c r="C429" t="s">
        <v>31</v>
      </c>
      <c r="D429">
        <v>24</v>
      </c>
      <c r="E429">
        <v>1214.47</v>
      </c>
      <c r="F429" t="s">
        <v>74</v>
      </c>
      <c r="G429">
        <v>2</v>
      </c>
      <c r="H429">
        <v>993.58</v>
      </c>
    </row>
    <row r="430" spans="1:8" s="40" customFormat="1" x14ac:dyDescent="0.3">
      <c r="A430" s="41" t="s">
        <v>976</v>
      </c>
      <c r="B430" s="40">
        <f>D429*E430+G429*H430+J429*K430</f>
        <v>31134.504919999996</v>
      </c>
      <c r="E430" s="40">
        <v>1214.4726679999999</v>
      </c>
      <c r="H430" s="40">
        <v>993.58044399999994</v>
      </c>
    </row>
    <row r="431" spans="1:8" x14ac:dyDescent="0.3">
      <c r="A431" t="s">
        <v>611</v>
      </c>
      <c r="B431">
        <v>36427.29</v>
      </c>
      <c r="C431" t="s">
        <v>69</v>
      </c>
      <c r="D431">
        <v>24</v>
      </c>
      <c r="E431">
        <v>1435.01</v>
      </c>
      <c r="F431" t="s">
        <v>74</v>
      </c>
      <c r="G431">
        <v>2</v>
      </c>
      <c r="H431">
        <v>993.58</v>
      </c>
    </row>
    <row r="432" spans="1:8" s="40" customFormat="1" x14ac:dyDescent="0.3">
      <c r="A432" s="41" t="s">
        <v>976</v>
      </c>
      <c r="B432" s="40">
        <f>D431*E432+G431*H432+J431*K432</f>
        <v>36427.293871999995</v>
      </c>
      <c r="E432" s="40">
        <v>1435.0055409999998</v>
      </c>
      <c r="H432" s="40">
        <v>993.58044399999994</v>
      </c>
    </row>
    <row r="433" spans="1:8" x14ac:dyDescent="0.3">
      <c r="A433" t="s">
        <v>616</v>
      </c>
      <c r="B433">
        <v>31134.5</v>
      </c>
      <c r="C433" t="s">
        <v>31</v>
      </c>
      <c r="D433">
        <v>24</v>
      </c>
      <c r="E433">
        <v>1214.47</v>
      </c>
      <c r="F433" t="s">
        <v>74</v>
      </c>
      <c r="G433">
        <v>2</v>
      </c>
      <c r="H433">
        <v>993.58</v>
      </c>
    </row>
    <row r="434" spans="1:8" s="40" customFormat="1" x14ac:dyDescent="0.3">
      <c r="A434" s="41" t="s">
        <v>976</v>
      </c>
      <c r="B434" s="40">
        <f>D433*E434+G433*H434+J433*K434</f>
        <v>31134.504919999996</v>
      </c>
      <c r="E434" s="40">
        <v>1214.4726679999999</v>
      </c>
      <c r="H434" s="40">
        <v>993.58044399999994</v>
      </c>
    </row>
    <row r="435" spans="1:8" x14ac:dyDescent="0.3">
      <c r="A435" t="s">
        <v>622</v>
      </c>
      <c r="B435">
        <v>36427.29</v>
      </c>
      <c r="C435" t="s">
        <v>69</v>
      </c>
      <c r="D435">
        <v>24</v>
      </c>
      <c r="E435">
        <v>1435.01</v>
      </c>
      <c r="F435" t="s">
        <v>74</v>
      </c>
      <c r="G435">
        <v>2</v>
      </c>
      <c r="H435">
        <v>993.58</v>
      </c>
    </row>
    <row r="436" spans="1:8" s="40" customFormat="1" x14ac:dyDescent="0.3">
      <c r="A436" s="41" t="s">
        <v>976</v>
      </c>
      <c r="B436" s="40">
        <f>D435*E436+G435*H436+J435*K436</f>
        <v>36427.293871999995</v>
      </c>
      <c r="E436" s="40">
        <v>1435.0055409999998</v>
      </c>
      <c r="H436" s="40">
        <v>993.58044399999994</v>
      </c>
    </row>
    <row r="437" spans="1:8" x14ac:dyDescent="0.3">
      <c r="A437" t="s">
        <v>618</v>
      </c>
      <c r="B437">
        <v>31134.5</v>
      </c>
      <c r="C437" t="s">
        <v>31</v>
      </c>
      <c r="D437">
        <v>24</v>
      </c>
      <c r="E437">
        <v>1214.47</v>
      </c>
      <c r="F437" t="s">
        <v>74</v>
      </c>
      <c r="G437">
        <v>2</v>
      </c>
      <c r="H437">
        <v>993.58</v>
      </c>
    </row>
    <row r="438" spans="1:8" s="40" customFormat="1" x14ac:dyDescent="0.3">
      <c r="A438" s="41" t="s">
        <v>976</v>
      </c>
      <c r="B438" s="40">
        <f>D437*E438+G437*H438+J437*K438</f>
        <v>31134.504919999996</v>
      </c>
      <c r="E438" s="40">
        <v>1214.4726679999999</v>
      </c>
      <c r="H438" s="40">
        <v>993.58044399999994</v>
      </c>
    </row>
    <row r="439" spans="1:8" x14ac:dyDescent="0.3">
      <c r="A439" t="s">
        <v>617</v>
      </c>
      <c r="B439">
        <v>31134.5</v>
      </c>
      <c r="C439" t="s">
        <v>31</v>
      </c>
      <c r="D439">
        <v>24</v>
      </c>
      <c r="E439">
        <v>1214.47</v>
      </c>
      <c r="F439" t="s">
        <v>74</v>
      </c>
      <c r="G439">
        <v>2</v>
      </c>
      <c r="H439">
        <v>993.58</v>
      </c>
    </row>
    <row r="440" spans="1:8" s="40" customFormat="1" x14ac:dyDescent="0.3">
      <c r="A440" s="41" t="s">
        <v>976</v>
      </c>
      <c r="B440" s="40">
        <f>D439*E440+G439*H440+J439*K440</f>
        <v>31134.504919999996</v>
      </c>
      <c r="E440" s="40">
        <v>1214.4726679999999</v>
      </c>
      <c r="H440" s="40">
        <v>993.58044399999994</v>
      </c>
    </row>
    <row r="441" spans="1:8" x14ac:dyDescent="0.3">
      <c r="A441" t="s">
        <v>623</v>
      </c>
      <c r="B441">
        <v>36427.29</v>
      </c>
      <c r="C441" t="s">
        <v>69</v>
      </c>
      <c r="D441">
        <v>24</v>
      </c>
      <c r="E441">
        <v>1435.01</v>
      </c>
      <c r="F441" t="s">
        <v>74</v>
      </c>
      <c r="G441">
        <v>2</v>
      </c>
      <c r="H441">
        <v>993.58</v>
      </c>
    </row>
    <row r="442" spans="1:8" s="40" customFormat="1" x14ac:dyDescent="0.3">
      <c r="A442" s="41" t="s">
        <v>976</v>
      </c>
      <c r="B442" s="40">
        <f>D441*E442+G441*H442+J441*K442</f>
        <v>36427.293871999995</v>
      </c>
      <c r="E442" s="40">
        <v>1435.0055409999998</v>
      </c>
      <c r="H442" s="40">
        <v>993.58044399999994</v>
      </c>
    </row>
    <row r="443" spans="1:8" x14ac:dyDescent="0.3">
      <c r="A443" t="s">
        <v>620</v>
      </c>
      <c r="B443">
        <v>31134.5</v>
      </c>
      <c r="C443" t="s">
        <v>31</v>
      </c>
      <c r="D443">
        <v>24</v>
      </c>
      <c r="E443">
        <v>1214.47</v>
      </c>
      <c r="F443" t="s">
        <v>74</v>
      </c>
      <c r="G443">
        <v>2</v>
      </c>
      <c r="H443">
        <v>993.58</v>
      </c>
    </row>
    <row r="444" spans="1:8" s="40" customFormat="1" x14ac:dyDescent="0.3">
      <c r="A444" s="41" t="s">
        <v>976</v>
      </c>
      <c r="B444" s="40">
        <f>D443*E444+G443*H444+J443*K444</f>
        <v>31134.504919999996</v>
      </c>
      <c r="E444" s="40">
        <v>1214.4726679999999</v>
      </c>
      <c r="H444" s="40">
        <v>993.58044399999994</v>
      </c>
    </row>
    <row r="445" spans="1:8" x14ac:dyDescent="0.3">
      <c r="A445" t="s">
        <v>619</v>
      </c>
      <c r="B445">
        <v>36427.29</v>
      </c>
      <c r="C445" t="s">
        <v>69</v>
      </c>
      <c r="D445">
        <v>24</v>
      </c>
      <c r="E445">
        <v>1435.01</v>
      </c>
      <c r="F445" t="s">
        <v>74</v>
      </c>
      <c r="G445">
        <v>2</v>
      </c>
      <c r="H445">
        <v>993.58</v>
      </c>
    </row>
    <row r="446" spans="1:8" s="40" customFormat="1" x14ac:dyDescent="0.3">
      <c r="A446" s="41" t="s">
        <v>976</v>
      </c>
      <c r="B446" s="40">
        <f>D445*E446+G445*H446+J445*K446</f>
        <v>36427.293871999995</v>
      </c>
      <c r="E446" s="40">
        <v>1435.0055409999998</v>
      </c>
      <c r="H446" s="40">
        <v>993.58044399999994</v>
      </c>
    </row>
    <row r="447" spans="1:8" x14ac:dyDescent="0.3">
      <c r="A447" t="s">
        <v>624</v>
      </c>
      <c r="B447">
        <v>49010.21</v>
      </c>
      <c r="C447" t="s">
        <v>35</v>
      </c>
      <c r="D447">
        <v>24</v>
      </c>
      <c r="E447">
        <v>1876.57</v>
      </c>
      <c r="F447" t="s">
        <v>79</v>
      </c>
      <c r="G447">
        <v>2</v>
      </c>
      <c r="H447">
        <v>1986.23</v>
      </c>
    </row>
    <row r="448" spans="1:8" s="40" customFormat="1" x14ac:dyDescent="0.3">
      <c r="A448" s="41" t="s">
        <v>976</v>
      </c>
      <c r="B448" s="40">
        <f>D447*E448+G447*H448+J447*K448</f>
        <v>49010.211490000002</v>
      </c>
      <c r="E448" s="40">
        <v>1876.572707</v>
      </c>
      <c r="H448" s="40">
        <v>1986.2332609999996</v>
      </c>
    </row>
    <row r="449" spans="1:8" x14ac:dyDescent="0.3">
      <c r="A449" t="s">
        <v>625</v>
      </c>
      <c r="B449">
        <v>49010.21</v>
      </c>
      <c r="C449" t="s">
        <v>35</v>
      </c>
      <c r="D449">
        <v>24</v>
      </c>
      <c r="E449">
        <v>1876.57</v>
      </c>
      <c r="F449" t="s">
        <v>79</v>
      </c>
      <c r="G449">
        <v>2</v>
      </c>
      <c r="H449">
        <v>1986.23</v>
      </c>
    </row>
    <row r="450" spans="1:8" s="40" customFormat="1" x14ac:dyDescent="0.3">
      <c r="A450" s="41" t="s">
        <v>976</v>
      </c>
      <c r="B450" s="40">
        <f>D449*E450+G449*H450+J449*K450</f>
        <v>49010.211490000002</v>
      </c>
      <c r="E450" s="40">
        <v>1876.572707</v>
      </c>
      <c r="H450" s="40">
        <v>1986.2332609999996</v>
      </c>
    </row>
    <row r="451" spans="1:8" x14ac:dyDescent="0.3">
      <c r="A451" t="s">
        <v>626</v>
      </c>
      <c r="B451">
        <v>49010.21</v>
      </c>
      <c r="C451" t="s">
        <v>35</v>
      </c>
      <c r="D451">
        <v>24</v>
      </c>
      <c r="E451">
        <v>1876.57</v>
      </c>
      <c r="F451" t="s">
        <v>79</v>
      </c>
      <c r="G451">
        <v>2</v>
      </c>
      <c r="H451">
        <v>1986.23</v>
      </c>
    </row>
    <row r="452" spans="1:8" s="40" customFormat="1" x14ac:dyDescent="0.3">
      <c r="A452" s="41" t="s">
        <v>976</v>
      </c>
      <c r="B452" s="40">
        <f>D451*E452+G451*H452+J451*K452</f>
        <v>49010.211490000002</v>
      </c>
      <c r="E452" s="40">
        <v>1876.572707</v>
      </c>
      <c r="H452" s="40">
        <v>1986.2332609999996</v>
      </c>
    </row>
    <row r="453" spans="1:8" x14ac:dyDescent="0.3">
      <c r="A453" t="s">
        <v>629</v>
      </c>
      <c r="B453">
        <v>49010.21</v>
      </c>
      <c r="C453" t="s">
        <v>35</v>
      </c>
      <c r="D453">
        <v>24</v>
      </c>
      <c r="E453">
        <v>1876.57</v>
      </c>
      <c r="F453" t="s">
        <v>79</v>
      </c>
      <c r="G453">
        <v>2</v>
      </c>
      <c r="H453">
        <v>1986.23</v>
      </c>
    </row>
    <row r="454" spans="1:8" s="40" customFormat="1" x14ac:dyDescent="0.3">
      <c r="A454" s="41" t="s">
        <v>976</v>
      </c>
      <c r="B454" s="40">
        <f>D453*E454+G453*H454+J453*K454</f>
        <v>49010.211490000002</v>
      </c>
      <c r="E454" s="40">
        <v>1876.572707</v>
      </c>
      <c r="H454" s="40">
        <v>1986.2332609999996</v>
      </c>
    </row>
    <row r="455" spans="1:8" x14ac:dyDescent="0.3">
      <c r="A455" t="s">
        <v>627</v>
      </c>
      <c r="B455">
        <v>33777.589999999997</v>
      </c>
      <c r="C455" t="s">
        <v>43</v>
      </c>
      <c r="D455">
        <v>24</v>
      </c>
      <c r="E455">
        <v>1324.6</v>
      </c>
      <c r="F455" t="s">
        <v>74</v>
      </c>
      <c r="G455">
        <v>2</v>
      </c>
      <c r="H455">
        <v>993.58</v>
      </c>
    </row>
    <row r="456" spans="1:8" s="40" customFormat="1" x14ac:dyDescent="0.3">
      <c r="A456" s="41" t="s">
        <v>976</v>
      </c>
      <c r="B456" s="40">
        <f>D455*E456+G455*H456+J455*K456</f>
        <v>33777.590023999997</v>
      </c>
      <c r="E456" s="40">
        <v>1324.6012139999998</v>
      </c>
      <c r="H456" s="40">
        <v>993.58044399999994</v>
      </c>
    </row>
    <row r="457" spans="1:8" x14ac:dyDescent="0.3">
      <c r="A457" t="s">
        <v>631</v>
      </c>
      <c r="B457">
        <v>33777.589999999997</v>
      </c>
      <c r="C457" t="s">
        <v>43</v>
      </c>
      <c r="D457">
        <v>24</v>
      </c>
      <c r="E457">
        <v>1324.6</v>
      </c>
      <c r="F457" t="s">
        <v>74</v>
      </c>
      <c r="G457">
        <v>2</v>
      </c>
      <c r="H457">
        <v>993.58</v>
      </c>
    </row>
    <row r="458" spans="1:8" s="40" customFormat="1" x14ac:dyDescent="0.3">
      <c r="A458" s="41" t="s">
        <v>976</v>
      </c>
      <c r="B458" s="40">
        <f>D457*E458+G457*H458+J457*K458</f>
        <v>33777.590023999997</v>
      </c>
      <c r="E458" s="40">
        <v>1324.6012139999998</v>
      </c>
      <c r="H458" s="40">
        <v>993.58044399999994</v>
      </c>
    </row>
    <row r="459" spans="1:8" x14ac:dyDescent="0.3">
      <c r="A459" t="s">
        <v>628</v>
      </c>
      <c r="B459">
        <v>56958.12</v>
      </c>
      <c r="C459" t="s">
        <v>47</v>
      </c>
      <c r="D459">
        <v>24</v>
      </c>
      <c r="E459">
        <v>2207.7399999999998</v>
      </c>
      <c r="F459" t="s">
        <v>79</v>
      </c>
      <c r="G459">
        <v>2</v>
      </c>
      <c r="H459">
        <v>1986.23</v>
      </c>
    </row>
    <row r="460" spans="1:8" s="40" customFormat="1" x14ac:dyDescent="0.3">
      <c r="A460" s="41" t="s">
        <v>976</v>
      </c>
      <c r="B460" s="40">
        <f>D459*E460+G459*H460+J459*K460</f>
        <v>56958.119626</v>
      </c>
      <c r="E460" s="40">
        <v>2207.7355459999999</v>
      </c>
      <c r="H460" s="40">
        <v>1986.2332609999996</v>
      </c>
    </row>
    <row r="461" spans="1:8" x14ac:dyDescent="0.3">
      <c r="A461" t="s">
        <v>632</v>
      </c>
      <c r="B461">
        <v>56958.12</v>
      </c>
      <c r="C461" t="s">
        <v>47</v>
      </c>
      <c r="D461">
        <v>24</v>
      </c>
      <c r="E461">
        <v>2207.7399999999998</v>
      </c>
      <c r="F461" t="s">
        <v>79</v>
      </c>
      <c r="G461">
        <v>2</v>
      </c>
      <c r="H461">
        <v>1986.23</v>
      </c>
    </row>
    <row r="462" spans="1:8" s="40" customFormat="1" x14ac:dyDescent="0.3">
      <c r="A462" s="41" t="s">
        <v>976</v>
      </c>
      <c r="B462" s="40">
        <f>D461*E462+G461*H462+J461*K462</f>
        <v>56958.119626</v>
      </c>
      <c r="E462" s="40">
        <v>2207.7355459999999</v>
      </c>
      <c r="H462" s="40">
        <v>1986.2332609999996</v>
      </c>
    </row>
    <row r="463" spans="1:8" x14ac:dyDescent="0.3">
      <c r="A463" t="s">
        <v>630</v>
      </c>
      <c r="B463">
        <v>33777.589999999997</v>
      </c>
      <c r="C463" t="s">
        <v>43</v>
      </c>
      <c r="D463">
        <v>24</v>
      </c>
      <c r="E463">
        <v>1324.6</v>
      </c>
      <c r="F463" t="s">
        <v>74</v>
      </c>
      <c r="G463">
        <v>2</v>
      </c>
      <c r="H463">
        <v>993.58</v>
      </c>
    </row>
    <row r="464" spans="1:8" s="40" customFormat="1" x14ac:dyDescent="0.3">
      <c r="A464" s="41" t="s">
        <v>976</v>
      </c>
      <c r="B464" s="40">
        <f>D463*E464+G463*H464+J463*K464</f>
        <v>33777.590023999997</v>
      </c>
      <c r="E464" s="40">
        <v>1324.6012139999998</v>
      </c>
      <c r="H464" s="40">
        <v>993.58044399999994</v>
      </c>
    </row>
    <row r="465" spans="1:8" x14ac:dyDescent="0.3">
      <c r="A465" t="s">
        <v>634</v>
      </c>
      <c r="B465">
        <v>25391.29</v>
      </c>
      <c r="C465" t="s">
        <v>29</v>
      </c>
      <c r="D465">
        <v>24</v>
      </c>
      <c r="E465">
        <v>993.58</v>
      </c>
      <c r="F465" t="s">
        <v>89</v>
      </c>
      <c r="G465">
        <v>2</v>
      </c>
      <c r="H465">
        <v>772.68</v>
      </c>
    </row>
    <row r="466" spans="1:8" s="40" customFormat="1" x14ac:dyDescent="0.3">
      <c r="A466" s="41" t="s">
        <v>976</v>
      </c>
      <c r="B466" s="40">
        <f>D465*E466+G465*H466+J465*K466</f>
        <v>25391.290381999996</v>
      </c>
      <c r="E466" s="40">
        <v>993.58044399999994</v>
      </c>
      <c r="H466" s="40">
        <v>772.67986299999995</v>
      </c>
    </row>
    <row r="467" spans="1:8" x14ac:dyDescent="0.3">
      <c r="A467" t="s">
        <v>633</v>
      </c>
      <c r="B467">
        <v>30692.7</v>
      </c>
      <c r="C467" t="s">
        <v>31</v>
      </c>
      <c r="D467">
        <v>24</v>
      </c>
      <c r="E467">
        <v>1214.47</v>
      </c>
      <c r="F467" t="s">
        <v>89</v>
      </c>
      <c r="G467">
        <v>2</v>
      </c>
      <c r="H467">
        <v>772.68</v>
      </c>
    </row>
    <row r="468" spans="1:8" s="40" customFormat="1" x14ac:dyDescent="0.3">
      <c r="A468" s="41" t="s">
        <v>976</v>
      </c>
      <c r="B468" s="40">
        <f>D467*E468+G467*H468+J467*K468</f>
        <v>30692.703757999996</v>
      </c>
      <c r="E468" s="40">
        <v>1214.4726679999999</v>
      </c>
      <c r="H468" s="40">
        <v>772.67986299999995</v>
      </c>
    </row>
    <row r="469" spans="1:8" x14ac:dyDescent="0.3">
      <c r="A469" t="s">
        <v>635</v>
      </c>
      <c r="B469">
        <v>30692.7</v>
      </c>
      <c r="C469" t="s">
        <v>31</v>
      </c>
      <c r="D469">
        <v>24</v>
      </c>
      <c r="E469">
        <v>1214.47</v>
      </c>
      <c r="F469" t="s">
        <v>89</v>
      </c>
      <c r="G469">
        <v>2</v>
      </c>
      <c r="H469">
        <v>772.68</v>
      </c>
    </row>
    <row r="470" spans="1:8" s="40" customFormat="1" x14ac:dyDescent="0.3">
      <c r="A470" s="41" t="s">
        <v>976</v>
      </c>
      <c r="B470" s="40">
        <f>D469*E470+G469*H470+J469*K470</f>
        <v>30692.703757999996</v>
      </c>
      <c r="E470" s="40">
        <v>1214.4726679999999</v>
      </c>
      <c r="H470" s="40">
        <v>772.67986299999995</v>
      </c>
    </row>
    <row r="471" spans="1:8" x14ac:dyDescent="0.3">
      <c r="A471" t="s">
        <v>636</v>
      </c>
      <c r="B471">
        <v>30692.7</v>
      </c>
      <c r="C471" t="s">
        <v>31</v>
      </c>
      <c r="D471">
        <v>24</v>
      </c>
      <c r="E471">
        <v>1214.47</v>
      </c>
      <c r="F471" t="s">
        <v>89</v>
      </c>
      <c r="G471">
        <v>2</v>
      </c>
      <c r="H471">
        <v>772.68</v>
      </c>
    </row>
    <row r="472" spans="1:8" s="40" customFormat="1" x14ac:dyDescent="0.3">
      <c r="A472" s="41" t="s">
        <v>976</v>
      </c>
      <c r="B472" s="40">
        <f>D471*E472+G471*H472+J471*K472</f>
        <v>30692.703757999996</v>
      </c>
      <c r="E472" s="40">
        <v>1214.4726679999999</v>
      </c>
      <c r="H472" s="40">
        <v>772.67986299999995</v>
      </c>
    </row>
    <row r="473" spans="1:8" x14ac:dyDescent="0.3">
      <c r="A473" t="s">
        <v>640</v>
      </c>
      <c r="B473">
        <v>29147.34</v>
      </c>
      <c r="C473" t="s">
        <v>31</v>
      </c>
      <c r="D473">
        <v>24</v>
      </c>
      <c r="E473">
        <v>1214.47</v>
      </c>
    </row>
    <row r="474" spans="1:8" s="40" customFormat="1" x14ac:dyDescent="0.3">
      <c r="A474" s="41" t="s">
        <v>976</v>
      </c>
      <c r="B474" s="40">
        <f>D473*E474+G473*H474+J473*K474</f>
        <v>29147.344031999997</v>
      </c>
      <c r="E474" s="40">
        <v>1214.4726679999999</v>
      </c>
    </row>
    <row r="475" spans="1:8" x14ac:dyDescent="0.3">
      <c r="A475" t="s">
        <v>637</v>
      </c>
      <c r="B475">
        <v>27374.11</v>
      </c>
      <c r="C475" t="s">
        <v>41</v>
      </c>
      <c r="D475">
        <v>24</v>
      </c>
      <c r="E475">
        <v>1076.2</v>
      </c>
      <c r="F475" t="s">
        <v>89</v>
      </c>
      <c r="G475">
        <v>2</v>
      </c>
      <c r="H475">
        <v>772.68</v>
      </c>
    </row>
    <row r="476" spans="1:8" s="40" customFormat="1" x14ac:dyDescent="0.3">
      <c r="A476" s="41" t="s">
        <v>976</v>
      </c>
      <c r="B476" s="40">
        <f>D475*E476+G475*H476+J475*K476</f>
        <v>27374.105630000002</v>
      </c>
      <c r="E476" s="40">
        <v>1076.1977460000001</v>
      </c>
      <c r="H476" s="40">
        <v>772.67986299999995</v>
      </c>
    </row>
    <row r="477" spans="1:8" x14ac:dyDescent="0.3">
      <c r="A477" t="s">
        <v>638</v>
      </c>
      <c r="B477">
        <v>13242.7</v>
      </c>
      <c r="C477" t="s">
        <v>24</v>
      </c>
      <c r="D477">
        <v>24</v>
      </c>
      <c r="E477">
        <v>551.78</v>
      </c>
    </row>
    <row r="478" spans="1:8" s="40" customFormat="1" x14ac:dyDescent="0.3">
      <c r="A478" s="41" t="s">
        <v>976</v>
      </c>
      <c r="B478" s="40">
        <f>D477*E478+G477*H478+J477*K478</f>
        <v>13242.702767999999</v>
      </c>
      <c r="E478" s="40">
        <v>551.77928199999997</v>
      </c>
    </row>
    <row r="479" spans="1:8" x14ac:dyDescent="0.3">
      <c r="A479" t="s">
        <v>639</v>
      </c>
      <c r="B479">
        <v>18544.32</v>
      </c>
      <c r="C479" t="s">
        <v>27</v>
      </c>
      <c r="D479">
        <v>24</v>
      </c>
      <c r="E479">
        <v>772.68</v>
      </c>
    </row>
    <row r="480" spans="1:8" s="40" customFormat="1" x14ac:dyDescent="0.3">
      <c r="A480" s="41" t="s">
        <v>976</v>
      </c>
      <c r="B480" s="40">
        <f>D479*E480+G479*H480+J479*K480</f>
        <v>18544.316712</v>
      </c>
      <c r="E480" s="40">
        <v>772.67986299999995</v>
      </c>
    </row>
    <row r="481" spans="1:11" x14ac:dyDescent="0.3">
      <c r="A481" t="s">
        <v>642</v>
      </c>
      <c r="B481">
        <v>19647.88</v>
      </c>
      <c r="C481" t="s">
        <v>27</v>
      </c>
      <c r="D481">
        <v>24</v>
      </c>
      <c r="E481">
        <v>772.68</v>
      </c>
      <c r="F481" t="s">
        <v>99</v>
      </c>
      <c r="G481">
        <v>2</v>
      </c>
      <c r="H481">
        <v>551.78</v>
      </c>
    </row>
    <row r="482" spans="1:11" s="40" customFormat="1" x14ac:dyDescent="0.3">
      <c r="A482" s="41" t="s">
        <v>976</v>
      </c>
      <c r="B482" s="40">
        <f>D481*E482+G481*H482+J481*K482</f>
        <v>19647.882112026</v>
      </c>
      <c r="E482" s="40">
        <v>772.67986299999995</v>
      </c>
      <c r="H482" s="40">
        <v>551.78270001299984</v>
      </c>
    </row>
    <row r="483" spans="1:11" x14ac:dyDescent="0.3">
      <c r="A483" t="s">
        <v>641</v>
      </c>
      <c r="B483">
        <v>58938.18</v>
      </c>
      <c r="C483" t="s">
        <v>57</v>
      </c>
      <c r="D483">
        <v>24</v>
      </c>
      <c r="E483">
        <v>1986.93</v>
      </c>
      <c r="F483" t="s">
        <v>119</v>
      </c>
      <c r="G483">
        <v>2</v>
      </c>
      <c r="H483">
        <v>1324.46</v>
      </c>
      <c r="I483" t="s">
        <v>137</v>
      </c>
      <c r="J483">
        <v>26</v>
      </c>
      <c r="K483">
        <v>330.88</v>
      </c>
    </row>
    <row r="484" spans="1:11" s="40" customFormat="1" x14ac:dyDescent="0.3">
      <c r="A484" s="41" t="s">
        <v>976</v>
      </c>
      <c r="B484" s="40">
        <f>D483*E484+G483*H484+J483*K484</f>
        <v>58938.176044446001</v>
      </c>
      <c r="E484" s="40">
        <v>1986.926892</v>
      </c>
      <c r="H484" s="40">
        <v>1324.4633318569997</v>
      </c>
      <c r="K484" s="40">
        <v>330.88476818199996</v>
      </c>
    </row>
    <row r="485" spans="1:11" x14ac:dyDescent="0.3">
      <c r="A485" t="s">
        <v>643</v>
      </c>
      <c r="B485">
        <v>58938.18</v>
      </c>
      <c r="C485" t="s">
        <v>57</v>
      </c>
      <c r="D485">
        <v>24</v>
      </c>
      <c r="E485">
        <v>1986.93</v>
      </c>
      <c r="F485" t="s">
        <v>119</v>
      </c>
      <c r="G485">
        <v>2</v>
      </c>
      <c r="H485">
        <v>1324.46</v>
      </c>
      <c r="I485" t="s">
        <v>137</v>
      </c>
      <c r="J485">
        <v>26</v>
      </c>
      <c r="K485">
        <v>330.88</v>
      </c>
    </row>
    <row r="486" spans="1:11" s="40" customFormat="1" x14ac:dyDescent="0.3">
      <c r="A486" s="41" t="s">
        <v>976</v>
      </c>
      <c r="B486" s="40">
        <f>D485*E486+G485*H486+J485*K486</f>
        <v>58938.176044446001</v>
      </c>
      <c r="E486" s="40">
        <v>1986.926892</v>
      </c>
      <c r="H486" s="40">
        <v>1324.4633318569997</v>
      </c>
      <c r="K486" s="40">
        <v>330.88476818199996</v>
      </c>
    </row>
    <row r="487" spans="1:11" x14ac:dyDescent="0.3">
      <c r="A487" t="s">
        <v>644</v>
      </c>
      <c r="B487">
        <v>40399.269999999997</v>
      </c>
      <c r="C487" t="s">
        <v>31</v>
      </c>
      <c r="D487">
        <v>24</v>
      </c>
      <c r="E487">
        <v>1214.47</v>
      </c>
      <c r="F487" t="s">
        <v>110</v>
      </c>
      <c r="G487">
        <v>2</v>
      </c>
      <c r="H487">
        <v>1324.46</v>
      </c>
      <c r="I487" t="s">
        <v>137</v>
      </c>
      <c r="J487">
        <v>26</v>
      </c>
      <c r="K487">
        <v>330.88</v>
      </c>
    </row>
    <row r="488" spans="1:11" s="40" customFormat="1" x14ac:dyDescent="0.3">
      <c r="A488" s="41" t="s">
        <v>976</v>
      </c>
      <c r="B488" s="40">
        <f>D487*E488+G487*H488+J487*K488</f>
        <v>40399.274668445993</v>
      </c>
      <c r="E488" s="40">
        <v>1214.4726679999999</v>
      </c>
      <c r="H488" s="40">
        <v>1324.4633318569997</v>
      </c>
      <c r="K488" s="40">
        <v>330.88476818199996</v>
      </c>
    </row>
    <row r="489" spans="1:11" x14ac:dyDescent="0.3">
      <c r="A489" t="s">
        <v>649</v>
      </c>
      <c r="B489">
        <v>23845.93</v>
      </c>
      <c r="C489" t="s">
        <v>65</v>
      </c>
      <c r="D489">
        <v>22</v>
      </c>
      <c r="E489">
        <v>993.58</v>
      </c>
      <c r="F489" t="s">
        <v>72</v>
      </c>
      <c r="G489">
        <v>2</v>
      </c>
      <c r="H489">
        <v>993.58</v>
      </c>
    </row>
    <row r="490" spans="1:11" s="40" customFormat="1" x14ac:dyDescent="0.3">
      <c r="A490" s="41" t="s">
        <v>976</v>
      </c>
      <c r="B490" s="40">
        <f>D489*E490+G489*H490+J489*K490</f>
        <v>23845.930655999997</v>
      </c>
      <c r="E490" s="40">
        <v>993.58044399999994</v>
      </c>
      <c r="H490" s="40">
        <v>993.58044399999994</v>
      </c>
    </row>
    <row r="491" spans="1:11" x14ac:dyDescent="0.3">
      <c r="A491" t="s">
        <v>647</v>
      </c>
      <c r="B491">
        <v>40399.269999999997</v>
      </c>
      <c r="C491" t="s">
        <v>31</v>
      </c>
      <c r="D491">
        <v>24</v>
      </c>
      <c r="E491">
        <v>1214.47</v>
      </c>
      <c r="F491" t="s">
        <v>110</v>
      </c>
      <c r="G491">
        <v>2</v>
      </c>
      <c r="H491">
        <v>1324.46</v>
      </c>
      <c r="I491" t="s">
        <v>137</v>
      </c>
      <c r="J491">
        <v>26</v>
      </c>
      <c r="K491">
        <v>330.88</v>
      </c>
    </row>
    <row r="492" spans="1:11" s="40" customFormat="1" x14ac:dyDescent="0.3">
      <c r="A492" s="41" t="s">
        <v>976</v>
      </c>
      <c r="B492" s="40">
        <f>D491*E492+G491*H492+J491*K492</f>
        <v>40399.274668445993</v>
      </c>
      <c r="E492" s="40">
        <v>1214.4726679999999</v>
      </c>
      <c r="H492" s="40">
        <v>1324.4633318569997</v>
      </c>
      <c r="K492" s="40">
        <v>330.88476818199996</v>
      </c>
    </row>
    <row r="493" spans="1:11" x14ac:dyDescent="0.3">
      <c r="A493" t="s">
        <v>648</v>
      </c>
      <c r="B493">
        <v>28705.56</v>
      </c>
      <c r="C493" t="s">
        <v>31</v>
      </c>
      <c r="D493">
        <v>22</v>
      </c>
      <c r="E493">
        <v>1214.47</v>
      </c>
      <c r="F493" t="s">
        <v>74</v>
      </c>
      <c r="G493">
        <v>2</v>
      </c>
      <c r="H493">
        <v>993.58</v>
      </c>
    </row>
    <row r="494" spans="1:11" s="40" customFormat="1" x14ac:dyDescent="0.3">
      <c r="A494" s="41" t="s">
        <v>976</v>
      </c>
      <c r="B494" s="40">
        <f>D493*E494+G493*H494+J493*K494</f>
        <v>28705.559583999995</v>
      </c>
      <c r="E494" s="40">
        <v>1214.4726679999999</v>
      </c>
      <c r="H494" s="40">
        <v>993.58044399999994</v>
      </c>
    </row>
    <row r="495" spans="1:11" x14ac:dyDescent="0.3">
      <c r="A495" t="s">
        <v>646</v>
      </c>
      <c r="B495">
        <v>40399.269999999997</v>
      </c>
      <c r="C495" t="s">
        <v>31</v>
      </c>
      <c r="D495">
        <v>24</v>
      </c>
      <c r="E495">
        <v>1214.47</v>
      </c>
      <c r="F495" t="s">
        <v>110</v>
      </c>
      <c r="G495">
        <v>2</v>
      </c>
      <c r="H495">
        <v>1324.46</v>
      </c>
      <c r="I495" t="s">
        <v>137</v>
      </c>
      <c r="J495">
        <v>26</v>
      </c>
      <c r="K495">
        <v>330.88</v>
      </c>
    </row>
    <row r="496" spans="1:11" s="40" customFormat="1" x14ac:dyDescent="0.3">
      <c r="A496" s="41" t="s">
        <v>976</v>
      </c>
      <c r="B496" s="40">
        <f>D495*E496+G495*H496+J495*K496</f>
        <v>40399.274668445993</v>
      </c>
      <c r="E496" s="40">
        <v>1214.4726679999999</v>
      </c>
      <c r="H496" s="40">
        <v>1324.4633318569997</v>
      </c>
      <c r="K496" s="40">
        <v>330.88476818199996</v>
      </c>
    </row>
    <row r="497" spans="1:11" x14ac:dyDescent="0.3">
      <c r="A497" t="s">
        <v>645</v>
      </c>
      <c r="B497">
        <v>40399.269999999997</v>
      </c>
      <c r="C497" t="s">
        <v>31</v>
      </c>
      <c r="D497">
        <v>24</v>
      </c>
      <c r="E497">
        <v>1214.47</v>
      </c>
      <c r="F497" t="s">
        <v>110</v>
      </c>
      <c r="G497">
        <v>2</v>
      </c>
      <c r="H497">
        <v>1324.46</v>
      </c>
      <c r="I497" t="s">
        <v>137</v>
      </c>
      <c r="J497">
        <v>26</v>
      </c>
      <c r="K497">
        <v>330.88</v>
      </c>
    </row>
    <row r="498" spans="1:11" s="40" customFormat="1" x14ac:dyDescent="0.3">
      <c r="A498" s="41" t="s">
        <v>976</v>
      </c>
      <c r="B498" s="40">
        <f>D497*E498+G497*H498+J497*K498</f>
        <v>40399.274668445993</v>
      </c>
      <c r="E498" s="40">
        <v>1214.4726679999999</v>
      </c>
      <c r="H498" s="40">
        <v>1324.4633318569997</v>
      </c>
      <c r="K498" s="40">
        <v>330.88476818199996</v>
      </c>
    </row>
    <row r="499" spans="1:11" x14ac:dyDescent="0.3">
      <c r="A499" t="s">
        <v>650</v>
      </c>
      <c r="B499">
        <v>27491.09</v>
      </c>
      <c r="C499" t="s">
        <v>31</v>
      </c>
      <c r="D499">
        <v>21</v>
      </c>
      <c r="E499">
        <v>1214.47</v>
      </c>
      <c r="F499" t="s">
        <v>74</v>
      </c>
      <c r="G499">
        <v>2</v>
      </c>
      <c r="H499">
        <v>993.58</v>
      </c>
    </row>
    <row r="500" spans="1:11" s="40" customFormat="1" x14ac:dyDescent="0.3">
      <c r="A500" s="41" t="s">
        <v>976</v>
      </c>
      <c r="B500" s="40">
        <f>D499*E500+G499*H500+J499*K500</f>
        <v>27491.086915999997</v>
      </c>
      <c r="E500" s="40">
        <v>1214.4726679999999</v>
      </c>
      <c r="H500" s="40">
        <v>993.58044399999994</v>
      </c>
    </row>
    <row r="501" spans="1:11" x14ac:dyDescent="0.3">
      <c r="A501" t="s">
        <v>651</v>
      </c>
      <c r="B501">
        <v>41725.699999999997</v>
      </c>
      <c r="C501" t="s">
        <v>57</v>
      </c>
      <c r="D501">
        <v>20</v>
      </c>
      <c r="E501">
        <v>1986.93</v>
      </c>
      <c r="F501" t="s">
        <v>83</v>
      </c>
      <c r="G501">
        <v>2</v>
      </c>
      <c r="H501">
        <v>993.58</v>
      </c>
    </row>
    <row r="502" spans="1:11" s="40" customFormat="1" x14ac:dyDescent="0.3">
      <c r="A502" s="41" t="s">
        <v>976</v>
      </c>
      <c r="B502" s="40">
        <f>D501*E502+G501*H502+J501*K502</f>
        <v>41725.698727999996</v>
      </c>
      <c r="E502" s="40">
        <v>1986.926892</v>
      </c>
      <c r="H502" s="40">
        <v>993.58044399999994</v>
      </c>
    </row>
    <row r="503" spans="1:11" x14ac:dyDescent="0.3">
      <c r="A503" t="s">
        <v>652</v>
      </c>
      <c r="B503">
        <v>17440.759999999998</v>
      </c>
      <c r="C503" t="s">
        <v>27</v>
      </c>
      <c r="D503">
        <v>20</v>
      </c>
      <c r="E503">
        <v>772.68</v>
      </c>
      <c r="F503" t="s">
        <v>72</v>
      </c>
      <c r="G503">
        <v>2</v>
      </c>
      <c r="H503">
        <v>993.58</v>
      </c>
    </row>
    <row r="504" spans="1:11" s="40" customFormat="1" x14ac:dyDescent="0.3">
      <c r="A504" s="41" t="s">
        <v>976</v>
      </c>
      <c r="B504" s="40">
        <f>D503*E504+G503*H504+J503*K504</f>
        <v>17440.758147999997</v>
      </c>
      <c r="E504" s="40">
        <v>772.67986299999995</v>
      </c>
      <c r="H504" s="40">
        <v>993.58044399999994</v>
      </c>
    </row>
    <row r="505" spans="1:11" x14ac:dyDescent="0.3">
      <c r="A505" t="s">
        <v>655</v>
      </c>
      <c r="B505">
        <v>17440.759999999998</v>
      </c>
      <c r="C505" t="s">
        <v>27</v>
      </c>
      <c r="D505">
        <v>20</v>
      </c>
      <c r="E505">
        <v>772.68</v>
      </c>
      <c r="F505" t="s">
        <v>72</v>
      </c>
      <c r="G505">
        <v>2</v>
      </c>
      <c r="H505">
        <v>993.58</v>
      </c>
    </row>
    <row r="506" spans="1:11" s="40" customFormat="1" x14ac:dyDescent="0.3">
      <c r="A506" s="41" t="s">
        <v>976</v>
      </c>
      <c r="B506" s="40">
        <f>D505*E506+G505*H506+J505*K506</f>
        <v>17440.758147999997</v>
      </c>
      <c r="E506" s="40">
        <v>772.67986299999995</v>
      </c>
      <c r="H506" s="40">
        <v>993.58044399999994</v>
      </c>
    </row>
    <row r="507" spans="1:11" x14ac:dyDescent="0.3">
      <c r="A507" t="s">
        <v>654</v>
      </c>
      <c r="B507">
        <v>17440.759999999998</v>
      </c>
      <c r="C507" t="s">
        <v>27</v>
      </c>
      <c r="D507">
        <v>20</v>
      </c>
      <c r="E507">
        <v>772.68</v>
      </c>
      <c r="F507" t="s">
        <v>72</v>
      </c>
      <c r="G507">
        <v>2</v>
      </c>
      <c r="H507">
        <v>993.58</v>
      </c>
    </row>
    <row r="508" spans="1:11" s="40" customFormat="1" x14ac:dyDescent="0.3">
      <c r="A508" s="41" t="s">
        <v>976</v>
      </c>
      <c r="B508" s="40">
        <f>D507*E508+G507*H508+J507*K508</f>
        <v>17440.758147999997</v>
      </c>
      <c r="E508" s="40">
        <v>772.67986299999995</v>
      </c>
      <c r="H508" s="40">
        <v>993.58044399999994</v>
      </c>
    </row>
    <row r="509" spans="1:11" x14ac:dyDescent="0.3">
      <c r="A509" t="s">
        <v>656</v>
      </c>
      <c r="B509">
        <v>17440.759999999998</v>
      </c>
      <c r="C509" t="s">
        <v>27</v>
      </c>
      <c r="D509">
        <v>20</v>
      </c>
      <c r="E509">
        <v>772.68</v>
      </c>
      <c r="F509" t="s">
        <v>72</v>
      </c>
      <c r="G509">
        <v>2</v>
      </c>
      <c r="H509">
        <v>993.58</v>
      </c>
    </row>
    <row r="510" spans="1:11" s="40" customFormat="1" x14ac:dyDescent="0.3">
      <c r="A510" s="41" t="s">
        <v>976</v>
      </c>
      <c r="B510" s="40">
        <f>D509*E510+G509*H510+J509*K510</f>
        <v>17440.758147999997</v>
      </c>
      <c r="E510" s="40">
        <v>772.67986299999995</v>
      </c>
      <c r="H510" s="40">
        <v>993.58044399999994</v>
      </c>
    </row>
    <row r="511" spans="1:11" x14ac:dyDescent="0.3">
      <c r="A511" t="s">
        <v>653</v>
      </c>
      <c r="B511">
        <v>21858.77</v>
      </c>
      <c r="C511" t="s">
        <v>65</v>
      </c>
      <c r="D511">
        <v>20</v>
      </c>
      <c r="E511">
        <v>993.58</v>
      </c>
      <c r="F511" t="s">
        <v>72</v>
      </c>
      <c r="G511">
        <v>2</v>
      </c>
      <c r="H511">
        <v>993.58</v>
      </c>
    </row>
    <row r="512" spans="1:11" s="40" customFormat="1" x14ac:dyDescent="0.3">
      <c r="A512" s="41" t="s">
        <v>976</v>
      </c>
      <c r="B512" s="40">
        <f>D511*E512+G511*H512+J511*K512</f>
        <v>21858.769767999998</v>
      </c>
      <c r="E512" s="40">
        <v>993.58044399999994</v>
      </c>
      <c r="H512" s="40">
        <v>993.58044399999994</v>
      </c>
    </row>
    <row r="513" spans="1:11" x14ac:dyDescent="0.3">
      <c r="A513" t="s">
        <v>657</v>
      </c>
      <c r="B513">
        <v>17440.759999999998</v>
      </c>
      <c r="C513" t="s">
        <v>27</v>
      </c>
      <c r="D513">
        <v>20</v>
      </c>
      <c r="E513">
        <v>772.68</v>
      </c>
      <c r="F513" t="s">
        <v>72</v>
      </c>
      <c r="G513">
        <v>2</v>
      </c>
      <c r="H513">
        <v>993.58</v>
      </c>
    </row>
    <row r="514" spans="1:11" s="40" customFormat="1" x14ac:dyDescent="0.3">
      <c r="A514" s="41" t="s">
        <v>976</v>
      </c>
      <c r="B514" s="40">
        <f>D513*E514+G513*H514+J513*K514</f>
        <v>17440.758147999997</v>
      </c>
      <c r="E514" s="40">
        <v>772.67986299999995</v>
      </c>
      <c r="H514" s="40">
        <v>993.58044399999994</v>
      </c>
    </row>
    <row r="515" spans="1:11" x14ac:dyDescent="0.3">
      <c r="A515" t="s">
        <v>658</v>
      </c>
      <c r="B515">
        <v>17440.759999999998</v>
      </c>
      <c r="C515" t="s">
        <v>27</v>
      </c>
      <c r="D515">
        <v>20</v>
      </c>
      <c r="E515">
        <v>772.68</v>
      </c>
      <c r="F515" t="s">
        <v>72</v>
      </c>
      <c r="G515">
        <v>2</v>
      </c>
      <c r="H515">
        <v>993.58</v>
      </c>
    </row>
    <row r="516" spans="1:11" s="40" customFormat="1" x14ac:dyDescent="0.3">
      <c r="A516" s="41" t="s">
        <v>976</v>
      </c>
      <c r="B516" s="40">
        <f>D515*E516+G515*H516+J515*K516</f>
        <v>17440.758147999997</v>
      </c>
      <c r="E516" s="40">
        <v>772.67986299999995</v>
      </c>
      <c r="H516" s="40">
        <v>993.58044399999994</v>
      </c>
    </row>
    <row r="517" spans="1:11" x14ac:dyDescent="0.3">
      <c r="A517" t="s">
        <v>659</v>
      </c>
      <c r="B517">
        <v>21858.77</v>
      </c>
      <c r="C517" t="s">
        <v>29</v>
      </c>
      <c r="D517">
        <v>20</v>
      </c>
      <c r="E517">
        <v>993.58</v>
      </c>
      <c r="F517" t="s">
        <v>74</v>
      </c>
      <c r="G517">
        <v>2</v>
      </c>
      <c r="H517">
        <v>993.58</v>
      </c>
    </row>
    <row r="518" spans="1:11" s="40" customFormat="1" x14ac:dyDescent="0.3">
      <c r="A518" s="41" t="s">
        <v>976</v>
      </c>
      <c r="B518" s="40">
        <f>D517*E518+G517*H518+J517*K518</f>
        <v>21858.769767999998</v>
      </c>
      <c r="E518" s="40">
        <v>993.58044399999994</v>
      </c>
      <c r="H518" s="40">
        <v>993.58044399999994</v>
      </c>
    </row>
    <row r="519" spans="1:11" x14ac:dyDescent="0.3">
      <c r="A519" t="s">
        <v>660</v>
      </c>
      <c r="B519">
        <v>21858.77</v>
      </c>
      <c r="C519" t="s">
        <v>29</v>
      </c>
      <c r="D519">
        <v>20</v>
      </c>
      <c r="E519">
        <v>993.58</v>
      </c>
      <c r="F519" t="s">
        <v>74</v>
      </c>
      <c r="G519">
        <v>2</v>
      </c>
      <c r="H519">
        <v>993.58</v>
      </c>
    </row>
    <row r="520" spans="1:11" s="40" customFormat="1" x14ac:dyDescent="0.3">
      <c r="A520" s="41" t="s">
        <v>976</v>
      </c>
      <c r="B520" s="40">
        <f>D519*E520+G519*H520+J519*K520</f>
        <v>21858.769767999998</v>
      </c>
      <c r="E520" s="40">
        <v>993.58044399999994</v>
      </c>
      <c r="H520" s="40">
        <v>993.58044399999994</v>
      </c>
    </row>
    <row r="521" spans="1:11" x14ac:dyDescent="0.3">
      <c r="A521" t="s">
        <v>662</v>
      </c>
      <c r="B521">
        <v>26276.61</v>
      </c>
      <c r="C521" t="s">
        <v>31</v>
      </c>
      <c r="D521">
        <v>20</v>
      </c>
      <c r="E521">
        <v>1214.47</v>
      </c>
      <c r="F521" t="s">
        <v>74</v>
      </c>
      <c r="G521">
        <v>2</v>
      </c>
      <c r="H521">
        <v>993.58</v>
      </c>
    </row>
    <row r="522" spans="1:11" s="40" customFormat="1" x14ac:dyDescent="0.3">
      <c r="A522" s="41" t="s">
        <v>976</v>
      </c>
      <c r="B522" s="40">
        <f>D521*E522+G521*H522+J521*K522</f>
        <v>26276.614247999998</v>
      </c>
      <c r="E522" s="40">
        <v>1214.4726679999999</v>
      </c>
      <c r="H522" s="40">
        <v>993.58044399999994</v>
      </c>
    </row>
    <row r="523" spans="1:11" x14ac:dyDescent="0.3">
      <c r="A523" t="s">
        <v>661</v>
      </c>
      <c r="B523">
        <v>32898.93</v>
      </c>
      <c r="C523" t="s">
        <v>31</v>
      </c>
      <c r="D523">
        <v>20</v>
      </c>
      <c r="E523">
        <v>1214.47</v>
      </c>
      <c r="F523" t="s">
        <v>74</v>
      </c>
      <c r="G523">
        <v>2</v>
      </c>
      <c r="H523">
        <v>993.58</v>
      </c>
      <c r="I523" t="s">
        <v>150</v>
      </c>
      <c r="J523">
        <v>5</v>
      </c>
      <c r="K523">
        <v>1324.46</v>
      </c>
    </row>
    <row r="524" spans="1:11" s="40" customFormat="1" x14ac:dyDescent="0.3">
      <c r="A524" s="41" t="s">
        <v>976</v>
      </c>
      <c r="B524" s="40">
        <f>D523*E524+G523*H524+J523*K524</f>
        <v>32898.930907284994</v>
      </c>
      <c r="E524" s="40">
        <v>1214.4726679999999</v>
      </c>
      <c r="H524" s="40">
        <v>993.58044399999994</v>
      </c>
      <c r="K524" s="40">
        <v>1324.4633318569997</v>
      </c>
    </row>
    <row r="525" spans="1:11" x14ac:dyDescent="0.3">
      <c r="A525" t="s">
        <v>663</v>
      </c>
      <c r="B525">
        <v>65123.32</v>
      </c>
      <c r="C525" t="s">
        <v>69</v>
      </c>
      <c r="D525">
        <v>20</v>
      </c>
      <c r="E525">
        <v>1435.01</v>
      </c>
      <c r="F525" t="s">
        <v>74</v>
      </c>
      <c r="G525">
        <v>2</v>
      </c>
      <c r="H525">
        <v>993.58</v>
      </c>
      <c r="I525" t="s">
        <v>160</v>
      </c>
      <c r="J525">
        <v>26</v>
      </c>
      <c r="K525">
        <v>1324.46</v>
      </c>
    </row>
    <row r="526" spans="1:11" s="40" customFormat="1" x14ac:dyDescent="0.3">
      <c r="A526" s="41" t="s">
        <v>976</v>
      </c>
      <c r="B526" s="40">
        <f>D525*E526+G525*H526+J525*K526</f>
        <v>65123.318336281984</v>
      </c>
      <c r="E526" s="40">
        <v>1435.0055409999998</v>
      </c>
      <c r="H526" s="40">
        <v>993.58044399999994</v>
      </c>
      <c r="K526" s="40">
        <v>1324.4633318569997</v>
      </c>
    </row>
    <row r="527" spans="1:11" x14ac:dyDescent="0.3">
      <c r="A527" t="s">
        <v>664</v>
      </c>
      <c r="B527">
        <v>26276.61</v>
      </c>
      <c r="C527" t="s">
        <v>31</v>
      </c>
      <c r="D527">
        <v>20</v>
      </c>
      <c r="E527">
        <v>1214.47</v>
      </c>
      <c r="F527" t="s">
        <v>74</v>
      </c>
      <c r="G527">
        <v>2</v>
      </c>
      <c r="H527">
        <v>993.58</v>
      </c>
    </row>
    <row r="528" spans="1:11" s="40" customFormat="1" x14ac:dyDescent="0.3">
      <c r="A528" s="41" t="s">
        <v>976</v>
      </c>
      <c r="B528" s="40">
        <f>D527*E528+G527*H528+J527*K528</f>
        <v>26276.614247999998</v>
      </c>
      <c r="E528" s="40">
        <v>1214.4726679999999</v>
      </c>
      <c r="H528" s="40">
        <v>993.58044399999994</v>
      </c>
    </row>
    <row r="529" spans="1:8" x14ac:dyDescent="0.3">
      <c r="A529" t="s">
        <v>666</v>
      </c>
      <c r="B529">
        <v>26276.61</v>
      </c>
      <c r="C529" t="s">
        <v>31</v>
      </c>
      <c r="D529">
        <v>20</v>
      </c>
      <c r="E529">
        <v>1214.47</v>
      </c>
      <c r="F529" t="s">
        <v>74</v>
      </c>
      <c r="G529">
        <v>2</v>
      </c>
      <c r="H529">
        <v>993.58</v>
      </c>
    </row>
    <row r="530" spans="1:8" s="40" customFormat="1" x14ac:dyDescent="0.3">
      <c r="A530" s="41" t="s">
        <v>976</v>
      </c>
      <c r="B530" s="40">
        <f>D529*E530+G529*H530+J529*K530</f>
        <v>26276.614247999998</v>
      </c>
      <c r="E530" s="40">
        <v>1214.4726679999999</v>
      </c>
      <c r="H530" s="40">
        <v>993.58044399999994</v>
      </c>
    </row>
    <row r="531" spans="1:8" x14ac:dyDescent="0.3">
      <c r="A531" t="s">
        <v>665</v>
      </c>
      <c r="B531">
        <v>30687.27</v>
      </c>
      <c r="C531" t="s">
        <v>69</v>
      </c>
      <c r="D531">
        <v>20</v>
      </c>
      <c r="E531">
        <v>1435.01</v>
      </c>
      <c r="F531" t="s">
        <v>74</v>
      </c>
      <c r="G531">
        <v>2</v>
      </c>
      <c r="H531">
        <v>993.58</v>
      </c>
    </row>
    <row r="532" spans="1:8" s="40" customFormat="1" x14ac:dyDescent="0.3">
      <c r="A532" s="41" t="s">
        <v>976</v>
      </c>
      <c r="B532" s="40">
        <f>D531*E532+G531*H532+J531*K532</f>
        <v>30687.271707999993</v>
      </c>
      <c r="E532" s="40">
        <v>1435.0055409999998</v>
      </c>
      <c r="H532" s="40">
        <v>993.58044399999994</v>
      </c>
    </row>
    <row r="533" spans="1:8" x14ac:dyDescent="0.3">
      <c r="A533" t="s">
        <v>668</v>
      </c>
      <c r="B533">
        <v>30687.27</v>
      </c>
      <c r="C533" t="s">
        <v>69</v>
      </c>
      <c r="D533">
        <v>20</v>
      </c>
      <c r="E533">
        <v>1435.01</v>
      </c>
      <c r="F533" t="s">
        <v>74</v>
      </c>
      <c r="G533">
        <v>2</v>
      </c>
      <c r="H533">
        <v>993.58</v>
      </c>
    </row>
    <row r="534" spans="1:8" s="40" customFormat="1" x14ac:dyDescent="0.3">
      <c r="A534" s="41" t="s">
        <v>976</v>
      </c>
      <c r="B534" s="40">
        <f>D533*E534+G533*H534+J533*K534</f>
        <v>30687.271707999993</v>
      </c>
      <c r="E534" s="40">
        <v>1435.0055409999998</v>
      </c>
      <c r="H534" s="40">
        <v>993.58044399999994</v>
      </c>
    </row>
    <row r="535" spans="1:8" x14ac:dyDescent="0.3">
      <c r="A535" t="s">
        <v>667</v>
      </c>
      <c r="B535">
        <v>26276.61</v>
      </c>
      <c r="C535" t="s">
        <v>31</v>
      </c>
      <c r="D535">
        <v>20</v>
      </c>
      <c r="E535">
        <v>1214.47</v>
      </c>
      <c r="F535" t="s">
        <v>74</v>
      </c>
      <c r="G535">
        <v>2</v>
      </c>
      <c r="H535">
        <v>993.58</v>
      </c>
    </row>
    <row r="536" spans="1:8" s="40" customFormat="1" x14ac:dyDescent="0.3">
      <c r="A536" s="41" t="s">
        <v>976</v>
      </c>
      <c r="B536" s="40">
        <f>D535*E536+G535*H536+J535*K536</f>
        <v>26276.614247999998</v>
      </c>
      <c r="E536" s="40">
        <v>1214.4726679999999</v>
      </c>
      <c r="H536" s="40">
        <v>993.58044399999994</v>
      </c>
    </row>
    <row r="537" spans="1:8" x14ac:dyDescent="0.3">
      <c r="A537" t="s">
        <v>670</v>
      </c>
      <c r="B537">
        <v>26276.61</v>
      </c>
      <c r="C537" t="s">
        <v>31</v>
      </c>
      <c r="D537">
        <v>20</v>
      </c>
      <c r="E537">
        <v>1214.47</v>
      </c>
      <c r="F537" t="s">
        <v>74</v>
      </c>
      <c r="G537">
        <v>2</v>
      </c>
      <c r="H537">
        <v>993.58</v>
      </c>
    </row>
    <row r="538" spans="1:8" s="40" customFormat="1" x14ac:dyDescent="0.3">
      <c r="A538" s="41" t="s">
        <v>976</v>
      </c>
      <c r="B538" s="40">
        <f>D537*E538+G537*H538+J537*K538</f>
        <v>26276.614247999998</v>
      </c>
      <c r="E538" s="40">
        <v>1214.4726679999999</v>
      </c>
      <c r="H538" s="40">
        <v>993.58044399999994</v>
      </c>
    </row>
    <row r="539" spans="1:8" x14ac:dyDescent="0.3">
      <c r="A539" t="s">
        <v>669</v>
      </c>
      <c r="B539">
        <v>26276.61</v>
      </c>
      <c r="C539" t="s">
        <v>31</v>
      </c>
      <c r="D539">
        <v>20</v>
      </c>
      <c r="E539">
        <v>1214.47</v>
      </c>
      <c r="F539" t="s">
        <v>74</v>
      </c>
      <c r="G539">
        <v>2</v>
      </c>
      <c r="H539">
        <v>993.58</v>
      </c>
    </row>
    <row r="540" spans="1:8" s="40" customFormat="1" x14ac:dyDescent="0.3">
      <c r="A540" s="41" t="s">
        <v>976</v>
      </c>
      <c r="B540" s="40">
        <f>D539*E540+G539*H540+J539*K540</f>
        <v>26276.614247999998</v>
      </c>
      <c r="E540" s="40">
        <v>1214.4726679999999</v>
      </c>
      <c r="H540" s="40">
        <v>993.58044399999994</v>
      </c>
    </row>
    <row r="541" spans="1:8" x14ac:dyDescent="0.3">
      <c r="A541" t="s">
        <v>671</v>
      </c>
      <c r="B541">
        <v>26276.61</v>
      </c>
      <c r="C541" t="s">
        <v>31</v>
      </c>
      <c r="D541">
        <v>20</v>
      </c>
      <c r="E541">
        <v>1214.47</v>
      </c>
      <c r="F541" t="s">
        <v>74</v>
      </c>
      <c r="G541">
        <v>2</v>
      </c>
      <c r="H541">
        <v>993.58</v>
      </c>
    </row>
    <row r="542" spans="1:8" s="40" customFormat="1" x14ac:dyDescent="0.3">
      <c r="A542" s="41" t="s">
        <v>976</v>
      </c>
      <c r="B542" s="40">
        <f>D541*E542+G541*H542+J541*K542</f>
        <v>26276.614247999998</v>
      </c>
      <c r="E542" s="40">
        <v>1214.4726679999999</v>
      </c>
      <c r="H542" s="40">
        <v>993.58044399999994</v>
      </c>
    </row>
    <row r="543" spans="1:8" x14ac:dyDescent="0.3">
      <c r="A543" t="s">
        <v>672</v>
      </c>
      <c r="B543">
        <v>30687.27</v>
      </c>
      <c r="C543" t="s">
        <v>69</v>
      </c>
      <c r="D543">
        <v>20</v>
      </c>
      <c r="E543">
        <v>1435.01</v>
      </c>
      <c r="F543" t="s">
        <v>74</v>
      </c>
      <c r="G543">
        <v>2</v>
      </c>
      <c r="H543">
        <v>993.58</v>
      </c>
    </row>
    <row r="544" spans="1:8" s="40" customFormat="1" x14ac:dyDescent="0.3">
      <c r="A544" s="41" t="s">
        <v>976</v>
      </c>
      <c r="B544" s="40">
        <f>D543*E544+G543*H544+J543*K544</f>
        <v>30687.271707999993</v>
      </c>
      <c r="E544" s="40">
        <v>1435.0055409999998</v>
      </c>
      <c r="H544" s="40">
        <v>993.58044399999994</v>
      </c>
    </row>
    <row r="545" spans="1:11" x14ac:dyDescent="0.3">
      <c r="A545" t="s">
        <v>674</v>
      </c>
      <c r="B545">
        <v>26276.61</v>
      </c>
      <c r="C545" t="s">
        <v>31</v>
      </c>
      <c r="D545">
        <v>20</v>
      </c>
      <c r="E545">
        <v>1214.47</v>
      </c>
      <c r="F545" t="s">
        <v>74</v>
      </c>
      <c r="G545">
        <v>2</v>
      </c>
      <c r="H545">
        <v>993.58</v>
      </c>
    </row>
    <row r="546" spans="1:11" s="40" customFormat="1" x14ac:dyDescent="0.3">
      <c r="A546" s="41" t="s">
        <v>976</v>
      </c>
      <c r="B546" s="40">
        <f>D545*E546+G545*H546+J545*K546</f>
        <v>26276.614247999998</v>
      </c>
      <c r="E546" s="40">
        <v>1214.4726679999999</v>
      </c>
      <c r="H546" s="40">
        <v>993.58044399999994</v>
      </c>
    </row>
    <row r="547" spans="1:11" x14ac:dyDescent="0.3">
      <c r="A547" t="s">
        <v>673</v>
      </c>
      <c r="B547">
        <v>26276.61</v>
      </c>
      <c r="C547" t="s">
        <v>31</v>
      </c>
      <c r="D547">
        <v>20</v>
      </c>
      <c r="E547">
        <v>1214.47</v>
      </c>
      <c r="F547" t="s">
        <v>74</v>
      </c>
      <c r="G547">
        <v>2</v>
      </c>
      <c r="H547">
        <v>993.58</v>
      </c>
    </row>
    <row r="548" spans="1:11" s="40" customFormat="1" x14ac:dyDescent="0.3">
      <c r="A548" s="41" t="s">
        <v>976</v>
      </c>
      <c r="B548" s="40">
        <f>D547*E548+G547*H548+J547*K548</f>
        <v>26276.614247999998</v>
      </c>
      <c r="E548" s="40">
        <v>1214.4726679999999</v>
      </c>
      <c r="H548" s="40">
        <v>993.58044399999994</v>
      </c>
    </row>
    <row r="549" spans="1:11" x14ac:dyDescent="0.3">
      <c r="A549" t="s">
        <v>676</v>
      </c>
      <c r="B549">
        <v>26276.61</v>
      </c>
      <c r="C549" t="s">
        <v>31</v>
      </c>
      <c r="D549">
        <v>20</v>
      </c>
      <c r="E549">
        <v>1214.47</v>
      </c>
      <c r="F549" t="s">
        <v>74</v>
      </c>
      <c r="G549">
        <v>2</v>
      </c>
      <c r="H549">
        <v>993.58</v>
      </c>
    </row>
    <row r="550" spans="1:11" s="40" customFormat="1" x14ac:dyDescent="0.3">
      <c r="A550" s="41" t="s">
        <v>976</v>
      </c>
      <c r="B550" s="40">
        <f>D549*E550+G549*H550+J549*K550</f>
        <v>26276.614247999998</v>
      </c>
      <c r="E550" s="40">
        <v>1214.4726679999999</v>
      </c>
      <c r="H550" s="40">
        <v>993.58044399999994</v>
      </c>
    </row>
    <row r="551" spans="1:11" x14ac:dyDescent="0.3">
      <c r="A551" t="s">
        <v>675</v>
      </c>
      <c r="B551">
        <v>30687.27</v>
      </c>
      <c r="C551" t="s">
        <v>69</v>
      </c>
      <c r="D551">
        <v>20</v>
      </c>
      <c r="E551">
        <v>1435.01</v>
      </c>
      <c r="F551" t="s">
        <v>74</v>
      </c>
      <c r="G551">
        <v>2</v>
      </c>
      <c r="H551">
        <v>993.58</v>
      </c>
    </row>
    <row r="552" spans="1:11" s="40" customFormat="1" x14ac:dyDescent="0.3">
      <c r="A552" s="41" t="s">
        <v>976</v>
      </c>
      <c r="B552" s="40">
        <f>D551*E552+G551*H552+J551*K552</f>
        <v>30687.271707999993</v>
      </c>
      <c r="E552" s="40">
        <v>1435.0055409999998</v>
      </c>
      <c r="H552" s="40">
        <v>993.58044399999994</v>
      </c>
    </row>
    <row r="553" spans="1:11" x14ac:dyDescent="0.3">
      <c r="A553" t="s">
        <v>678</v>
      </c>
      <c r="B553">
        <v>28479.19</v>
      </c>
      <c r="C553" t="s">
        <v>43</v>
      </c>
      <c r="D553">
        <v>20</v>
      </c>
      <c r="E553">
        <v>1324.6</v>
      </c>
      <c r="F553" t="s">
        <v>74</v>
      </c>
      <c r="G553">
        <v>2</v>
      </c>
      <c r="H553">
        <v>993.58</v>
      </c>
    </row>
    <row r="554" spans="1:11" s="40" customFormat="1" x14ac:dyDescent="0.3">
      <c r="A554" s="41" t="s">
        <v>976</v>
      </c>
      <c r="B554" s="40">
        <f>D553*E554+G553*H554+J553*K554</f>
        <v>28479.185167999996</v>
      </c>
      <c r="E554" s="40">
        <v>1324.6012139999998</v>
      </c>
      <c r="H554" s="40">
        <v>993.58044399999994</v>
      </c>
    </row>
    <row r="555" spans="1:11" x14ac:dyDescent="0.3">
      <c r="A555" t="s">
        <v>679</v>
      </c>
      <c r="B555">
        <v>23511.119999999999</v>
      </c>
      <c r="C555" t="s">
        <v>41</v>
      </c>
      <c r="D555">
        <v>20</v>
      </c>
      <c r="E555">
        <v>1076.2</v>
      </c>
      <c r="F555" t="s">
        <v>74</v>
      </c>
      <c r="G555">
        <v>2</v>
      </c>
      <c r="H555">
        <v>993.58</v>
      </c>
    </row>
    <row r="556" spans="1:11" s="40" customFormat="1" x14ac:dyDescent="0.3">
      <c r="A556" s="41" t="s">
        <v>976</v>
      </c>
      <c r="B556" s="40">
        <f>D555*E556+G555*H556+J555*K556</f>
        <v>23511.115807999999</v>
      </c>
      <c r="E556" s="40">
        <v>1076.1977460000001</v>
      </c>
      <c r="H556" s="40">
        <v>993.58044399999994</v>
      </c>
    </row>
    <row r="557" spans="1:11" x14ac:dyDescent="0.3">
      <c r="A557" t="s">
        <v>680</v>
      </c>
      <c r="B557">
        <v>25834.81</v>
      </c>
      <c r="C557" t="s">
        <v>31</v>
      </c>
      <c r="D557">
        <v>20</v>
      </c>
      <c r="E557">
        <v>1214.47</v>
      </c>
      <c r="F557" t="s">
        <v>89</v>
      </c>
      <c r="G557">
        <v>2</v>
      </c>
      <c r="H557">
        <v>772.68</v>
      </c>
    </row>
    <row r="558" spans="1:11" s="40" customFormat="1" x14ac:dyDescent="0.3">
      <c r="A558" s="41" t="s">
        <v>976</v>
      </c>
      <c r="B558" s="40">
        <f>D557*E558+G557*H558+J557*K558</f>
        <v>25834.813085999998</v>
      </c>
      <c r="E558" s="40">
        <v>1214.4726679999999</v>
      </c>
      <c r="H558" s="40">
        <v>772.67986299999995</v>
      </c>
    </row>
    <row r="559" spans="1:11" x14ac:dyDescent="0.3">
      <c r="A559" t="s">
        <v>681</v>
      </c>
      <c r="B559">
        <v>34217.839999999997</v>
      </c>
      <c r="C559" t="s">
        <v>31</v>
      </c>
      <c r="D559">
        <v>20</v>
      </c>
      <c r="E559">
        <v>1214.47</v>
      </c>
      <c r="F559" t="s">
        <v>110</v>
      </c>
      <c r="G559">
        <v>2</v>
      </c>
      <c r="H559">
        <v>1324.46</v>
      </c>
      <c r="I559" t="s">
        <v>137</v>
      </c>
      <c r="J559">
        <v>22</v>
      </c>
      <c r="K559">
        <v>330.88</v>
      </c>
    </row>
    <row r="560" spans="1:11" s="40" customFormat="1" x14ac:dyDescent="0.3">
      <c r="A560" s="41" t="s">
        <v>976</v>
      </c>
      <c r="B560" s="40">
        <f>D559*E560+G559*H560+J559*K560</f>
        <v>34217.844923717996</v>
      </c>
      <c r="E560" s="40">
        <v>1214.4726679999999</v>
      </c>
      <c r="H560" s="40">
        <v>1324.4633318569997</v>
      </c>
      <c r="K560" s="40">
        <v>330.88476818199996</v>
      </c>
    </row>
    <row r="561" spans="1:11" x14ac:dyDescent="0.3">
      <c r="A561" t="s">
        <v>684</v>
      </c>
      <c r="B561">
        <v>34217.839999999997</v>
      </c>
      <c r="C561" t="s">
        <v>31</v>
      </c>
      <c r="D561">
        <v>20</v>
      </c>
      <c r="E561">
        <v>1214.47</v>
      </c>
      <c r="F561" t="s">
        <v>110</v>
      </c>
      <c r="G561">
        <v>2</v>
      </c>
      <c r="H561">
        <v>1324.46</v>
      </c>
      <c r="I561" t="s">
        <v>137</v>
      </c>
      <c r="J561">
        <v>22</v>
      </c>
      <c r="K561">
        <v>330.88</v>
      </c>
    </row>
    <row r="562" spans="1:11" s="40" customFormat="1" x14ac:dyDescent="0.3">
      <c r="A562" s="41" t="s">
        <v>976</v>
      </c>
      <c r="B562" s="40">
        <f>D561*E562+G561*H562+J561*K562</f>
        <v>34217.844923717996</v>
      </c>
      <c r="E562" s="40">
        <v>1214.4726679999999</v>
      </c>
      <c r="H562" s="40">
        <v>1324.4633318569997</v>
      </c>
      <c r="K562" s="40">
        <v>330.88476818199996</v>
      </c>
    </row>
    <row r="563" spans="1:11" x14ac:dyDescent="0.3">
      <c r="A563" t="s">
        <v>682</v>
      </c>
      <c r="B563">
        <v>38628.5</v>
      </c>
      <c r="C563" t="s">
        <v>69</v>
      </c>
      <c r="D563">
        <v>20</v>
      </c>
      <c r="E563">
        <v>1435.01</v>
      </c>
      <c r="F563" t="s">
        <v>110</v>
      </c>
      <c r="G563">
        <v>2</v>
      </c>
      <c r="H563">
        <v>1324.46</v>
      </c>
      <c r="I563" t="s">
        <v>137</v>
      </c>
      <c r="J563">
        <v>22</v>
      </c>
      <c r="K563">
        <v>330.88</v>
      </c>
    </row>
    <row r="564" spans="1:11" s="40" customFormat="1" x14ac:dyDescent="0.3">
      <c r="A564" s="41" t="s">
        <v>976</v>
      </c>
      <c r="B564" s="40">
        <f>D563*E564+G563*H564+J563*K564</f>
        <v>38628.502383717991</v>
      </c>
      <c r="E564" s="40">
        <v>1435.0055409999998</v>
      </c>
      <c r="H564" s="40">
        <v>1324.4633318569997</v>
      </c>
      <c r="K564" s="40">
        <v>330.88476818199996</v>
      </c>
    </row>
    <row r="565" spans="1:11" x14ac:dyDescent="0.3">
      <c r="A565" t="s">
        <v>683</v>
      </c>
      <c r="B565">
        <v>37751.839999999997</v>
      </c>
      <c r="C565" t="s">
        <v>57</v>
      </c>
      <c r="D565">
        <v>18</v>
      </c>
      <c r="E565">
        <v>1986.93</v>
      </c>
      <c r="F565" t="s">
        <v>83</v>
      </c>
      <c r="G565">
        <v>2</v>
      </c>
      <c r="H565">
        <v>993.58</v>
      </c>
    </row>
    <row r="566" spans="1:11" s="40" customFormat="1" x14ac:dyDescent="0.3">
      <c r="A566" s="41" t="s">
        <v>976</v>
      </c>
      <c r="B566" s="40">
        <f>D565*E566+G565*H566+J565*K566</f>
        <v>37751.844943999997</v>
      </c>
      <c r="E566" s="40">
        <v>1986.926892</v>
      </c>
      <c r="H566" s="40">
        <v>993.58044399999994</v>
      </c>
    </row>
    <row r="567" spans="1:11" x14ac:dyDescent="0.3">
      <c r="A567" t="s">
        <v>685</v>
      </c>
      <c r="B567">
        <v>37751.839999999997</v>
      </c>
      <c r="C567" t="s">
        <v>57</v>
      </c>
      <c r="D567">
        <v>18</v>
      </c>
      <c r="E567">
        <v>1986.93</v>
      </c>
      <c r="F567" t="s">
        <v>83</v>
      </c>
      <c r="G567">
        <v>2</v>
      </c>
      <c r="H567">
        <v>993.58</v>
      </c>
    </row>
    <row r="568" spans="1:11" s="40" customFormat="1" x14ac:dyDescent="0.3">
      <c r="A568" s="41" t="s">
        <v>976</v>
      </c>
      <c r="B568" s="40">
        <f>D567*E568+G567*H568+J567*K568</f>
        <v>37751.844943999997</v>
      </c>
      <c r="E568" s="40">
        <v>1986.926892</v>
      </c>
      <c r="H568" s="40">
        <v>993.58044399999994</v>
      </c>
    </row>
    <row r="569" spans="1:11" x14ac:dyDescent="0.3">
      <c r="A569" t="s">
        <v>686</v>
      </c>
      <c r="B569">
        <v>37751.839999999997</v>
      </c>
      <c r="C569" t="s">
        <v>57</v>
      </c>
      <c r="D569">
        <v>18</v>
      </c>
      <c r="E569">
        <v>1986.93</v>
      </c>
      <c r="F569" t="s">
        <v>83</v>
      </c>
      <c r="G569">
        <v>2</v>
      </c>
      <c r="H569">
        <v>993.58</v>
      </c>
    </row>
    <row r="570" spans="1:11" s="40" customFormat="1" x14ac:dyDescent="0.3">
      <c r="A570" s="41" t="s">
        <v>976</v>
      </c>
      <c r="B570" s="40">
        <f>D569*E570+G569*H570+J569*K570</f>
        <v>37751.844943999997</v>
      </c>
      <c r="E570" s="40">
        <v>1986.926892</v>
      </c>
      <c r="H570" s="40">
        <v>993.58044399999994</v>
      </c>
    </row>
    <row r="571" spans="1:11" x14ac:dyDescent="0.3">
      <c r="A571" t="s">
        <v>687</v>
      </c>
      <c r="B571">
        <v>11919.19</v>
      </c>
      <c r="C571" t="s">
        <v>24</v>
      </c>
      <c r="D571">
        <v>18</v>
      </c>
      <c r="E571">
        <v>551.78</v>
      </c>
      <c r="F571" t="s">
        <v>72</v>
      </c>
      <c r="G571">
        <v>2</v>
      </c>
      <c r="H571">
        <v>993.58</v>
      </c>
    </row>
    <row r="572" spans="1:11" s="40" customFormat="1" x14ac:dyDescent="0.3">
      <c r="A572" s="41" t="s">
        <v>976</v>
      </c>
      <c r="B572" s="40">
        <f>D571*E572+G571*H572+J571*K572</f>
        <v>11919.187963999999</v>
      </c>
      <c r="E572" s="40">
        <v>551.77928199999997</v>
      </c>
      <c r="H572" s="40">
        <v>993.58044399999994</v>
      </c>
    </row>
    <row r="573" spans="1:11" x14ac:dyDescent="0.3">
      <c r="A573" t="s">
        <v>688</v>
      </c>
      <c r="B573">
        <v>15895.4</v>
      </c>
      <c r="C573" t="s">
        <v>27</v>
      </c>
      <c r="D573">
        <v>18</v>
      </c>
      <c r="E573">
        <v>772.68</v>
      </c>
      <c r="F573" t="s">
        <v>72</v>
      </c>
      <c r="G573">
        <v>2</v>
      </c>
      <c r="H573">
        <v>993.58</v>
      </c>
    </row>
    <row r="574" spans="1:11" s="40" customFormat="1" x14ac:dyDescent="0.3">
      <c r="A574" s="41" t="s">
        <v>976</v>
      </c>
      <c r="B574" s="40">
        <f>D573*E574+G573*H574+J573*K574</f>
        <v>15895.398422</v>
      </c>
      <c r="E574" s="40">
        <v>772.67986299999995</v>
      </c>
      <c r="H574" s="40">
        <v>993.58044399999994</v>
      </c>
    </row>
    <row r="575" spans="1:11" x14ac:dyDescent="0.3">
      <c r="A575" t="s">
        <v>689</v>
      </c>
      <c r="B575">
        <v>15895.4</v>
      </c>
      <c r="C575" t="s">
        <v>27</v>
      </c>
      <c r="D575">
        <v>18</v>
      </c>
      <c r="E575">
        <v>772.68</v>
      </c>
      <c r="F575" t="s">
        <v>72</v>
      </c>
      <c r="G575">
        <v>2</v>
      </c>
      <c r="H575">
        <v>993.58</v>
      </c>
    </row>
    <row r="576" spans="1:11" s="40" customFormat="1" x14ac:dyDescent="0.3">
      <c r="A576" s="41" t="s">
        <v>976</v>
      </c>
      <c r="B576" s="40">
        <f>D575*E576+G575*H576+J575*K576</f>
        <v>15895.398422</v>
      </c>
      <c r="E576" s="40">
        <v>772.67986299999995</v>
      </c>
      <c r="H576" s="40">
        <v>993.58044399999994</v>
      </c>
    </row>
    <row r="577" spans="1:8" x14ac:dyDescent="0.3">
      <c r="A577" t="s">
        <v>691</v>
      </c>
      <c r="B577">
        <v>15895.4</v>
      </c>
      <c r="C577" t="s">
        <v>27</v>
      </c>
      <c r="D577">
        <v>18</v>
      </c>
      <c r="E577">
        <v>772.68</v>
      </c>
      <c r="F577" t="s">
        <v>72</v>
      </c>
      <c r="G577">
        <v>2</v>
      </c>
      <c r="H577">
        <v>993.58</v>
      </c>
    </row>
    <row r="578" spans="1:8" s="40" customFormat="1" x14ac:dyDescent="0.3">
      <c r="A578" s="41" t="s">
        <v>976</v>
      </c>
      <c r="B578" s="40">
        <f>D577*E578+G577*H578+J577*K578</f>
        <v>15895.398422</v>
      </c>
      <c r="E578" s="40">
        <v>772.67986299999995</v>
      </c>
      <c r="H578" s="40">
        <v>993.58044399999994</v>
      </c>
    </row>
    <row r="579" spans="1:8" x14ac:dyDescent="0.3">
      <c r="A579" t="s">
        <v>690</v>
      </c>
      <c r="B579">
        <v>15895.4</v>
      </c>
      <c r="C579" t="s">
        <v>27</v>
      </c>
      <c r="D579">
        <v>18</v>
      </c>
      <c r="E579">
        <v>772.68</v>
      </c>
      <c r="F579" t="s">
        <v>72</v>
      </c>
      <c r="G579">
        <v>2</v>
      </c>
      <c r="H579">
        <v>993.58</v>
      </c>
    </row>
    <row r="580" spans="1:8" s="40" customFormat="1" x14ac:dyDescent="0.3">
      <c r="A580" s="41" t="s">
        <v>976</v>
      </c>
      <c r="B580" s="40">
        <f>D579*E580+G579*H580+J579*K580</f>
        <v>15895.398422</v>
      </c>
      <c r="E580" s="40">
        <v>772.67986299999995</v>
      </c>
      <c r="H580" s="40">
        <v>993.58044399999994</v>
      </c>
    </row>
    <row r="581" spans="1:8" x14ac:dyDescent="0.3">
      <c r="A581" t="s">
        <v>693</v>
      </c>
      <c r="B581">
        <v>15895.4</v>
      </c>
      <c r="C581" t="s">
        <v>27</v>
      </c>
      <c r="D581">
        <v>18</v>
      </c>
      <c r="E581">
        <v>772.68</v>
      </c>
      <c r="F581" t="s">
        <v>72</v>
      </c>
      <c r="G581">
        <v>2</v>
      </c>
      <c r="H581">
        <v>993.58</v>
      </c>
    </row>
    <row r="582" spans="1:8" s="40" customFormat="1" x14ac:dyDescent="0.3">
      <c r="A582" s="41" t="s">
        <v>976</v>
      </c>
      <c r="B582" s="40">
        <f>D581*E582+G581*H582+J581*K582</f>
        <v>15895.398422</v>
      </c>
      <c r="E582" s="40">
        <v>772.67986299999995</v>
      </c>
      <c r="H582" s="40">
        <v>993.58044399999994</v>
      </c>
    </row>
    <row r="583" spans="1:8" x14ac:dyDescent="0.3">
      <c r="A583" t="s">
        <v>692</v>
      </c>
      <c r="B583">
        <v>19871.61</v>
      </c>
      <c r="C583" t="s">
        <v>65</v>
      </c>
      <c r="D583">
        <v>18</v>
      </c>
      <c r="E583">
        <v>993.58</v>
      </c>
      <c r="F583" t="s">
        <v>72</v>
      </c>
      <c r="G583">
        <v>2</v>
      </c>
      <c r="H583">
        <v>993.58</v>
      </c>
    </row>
    <row r="584" spans="1:8" s="40" customFormat="1" x14ac:dyDescent="0.3">
      <c r="A584" s="41" t="s">
        <v>976</v>
      </c>
      <c r="B584" s="40">
        <f>D583*E584+G583*H584+J583*K584</f>
        <v>19871.608879999996</v>
      </c>
      <c r="E584" s="40">
        <v>993.58044399999994</v>
      </c>
      <c r="H584" s="40">
        <v>993.58044399999994</v>
      </c>
    </row>
    <row r="585" spans="1:8" x14ac:dyDescent="0.3">
      <c r="A585" t="s">
        <v>694</v>
      </c>
      <c r="B585">
        <v>19871.61</v>
      </c>
      <c r="C585" t="s">
        <v>29</v>
      </c>
      <c r="D585">
        <v>18</v>
      </c>
      <c r="E585">
        <v>993.58</v>
      </c>
      <c r="F585" t="s">
        <v>74</v>
      </c>
      <c r="G585">
        <v>2</v>
      </c>
      <c r="H585">
        <v>993.58</v>
      </c>
    </row>
    <row r="586" spans="1:8" s="40" customFormat="1" x14ac:dyDescent="0.3">
      <c r="A586" s="41" t="s">
        <v>976</v>
      </c>
      <c r="B586" s="40">
        <f>D585*E586+G585*H586+J585*K586</f>
        <v>19871.608879999996</v>
      </c>
      <c r="E586" s="40">
        <v>993.58044399999994</v>
      </c>
      <c r="H586" s="40">
        <v>993.58044399999994</v>
      </c>
    </row>
    <row r="587" spans="1:8" x14ac:dyDescent="0.3">
      <c r="A587" t="s">
        <v>696</v>
      </c>
      <c r="B587">
        <v>19871.61</v>
      </c>
      <c r="C587" t="s">
        <v>29</v>
      </c>
      <c r="D587">
        <v>18</v>
      </c>
      <c r="E587">
        <v>993.58</v>
      </c>
      <c r="F587" t="s">
        <v>74</v>
      </c>
      <c r="G587">
        <v>2</v>
      </c>
      <c r="H587">
        <v>993.58</v>
      </c>
    </row>
    <row r="588" spans="1:8" s="40" customFormat="1" x14ac:dyDescent="0.3">
      <c r="A588" s="41" t="s">
        <v>976</v>
      </c>
      <c r="B588" s="40">
        <f>D587*E588+G587*H588+J587*K588</f>
        <v>19871.608879999996</v>
      </c>
      <c r="E588" s="40">
        <v>993.58044399999994</v>
      </c>
      <c r="H588" s="40">
        <v>993.58044399999994</v>
      </c>
    </row>
    <row r="589" spans="1:8" x14ac:dyDescent="0.3">
      <c r="A589" t="s">
        <v>695</v>
      </c>
      <c r="B589">
        <v>19871.61</v>
      </c>
      <c r="C589" t="s">
        <v>29</v>
      </c>
      <c r="D589">
        <v>18</v>
      </c>
      <c r="E589">
        <v>993.58</v>
      </c>
      <c r="F589" t="s">
        <v>74</v>
      </c>
      <c r="G589">
        <v>2</v>
      </c>
      <c r="H589">
        <v>993.58</v>
      </c>
    </row>
    <row r="590" spans="1:8" s="40" customFormat="1" x14ac:dyDescent="0.3">
      <c r="A590" s="41" t="s">
        <v>976</v>
      </c>
      <c r="B590" s="40">
        <f>D589*E590+G589*H590+J589*K590</f>
        <v>19871.608879999996</v>
      </c>
      <c r="E590" s="40">
        <v>993.58044399999994</v>
      </c>
      <c r="H590" s="40">
        <v>993.58044399999994</v>
      </c>
    </row>
    <row r="591" spans="1:8" x14ac:dyDescent="0.3">
      <c r="A591" t="s">
        <v>697</v>
      </c>
      <c r="B591">
        <v>23847.67</v>
      </c>
      <c r="C591" t="s">
        <v>31</v>
      </c>
      <c r="D591">
        <v>18</v>
      </c>
      <c r="E591">
        <v>1214.47</v>
      </c>
      <c r="F591" t="s">
        <v>74</v>
      </c>
      <c r="G591">
        <v>2</v>
      </c>
      <c r="H591">
        <v>993.58</v>
      </c>
    </row>
    <row r="592" spans="1:8" s="40" customFormat="1" x14ac:dyDescent="0.3">
      <c r="A592" s="41" t="s">
        <v>976</v>
      </c>
      <c r="B592" s="40">
        <f>D591*E592+G591*H592+J591*K592</f>
        <v>23847.668911999997</v>
      </c>
      <c r="E592" s="40">
        <v>1214.4726679999999</v>
      </c>
      <c r="H592" s="40">
        <v>993.58044399999994</v>
      </c>
    </row>
    <row r="593" spans="1:8" x14ac:dyDescent="0.3">
      <c r="A593" t="s">
        <v>699</v>
      </c>
      <c r="B593">
        <v>23847.67</v>
      </c>
      <c r="C593" t="s">
        <v>31</v>
      </c>
      <c r="D593">
        <v>18</v>
      </c>
      <c r="E593">
        <v>1214.47</v>
      </c>
      <c r="F593" t="s">
        <v>74</v>
      </c>
      <c r="G593">
        <v>2</v>
      </c>
      <c r="H593">
        <v>993.58</v>
      </c>
    </row>
    <row r="594" spans="1:8" s="40" customFormat="1" x14ac:dyDescent="0.3">
      <c r="A594" s="41" t="s">
        <v>976</v>
      </c>
      <c r="B594" s="40">
        <f>D593*E594+G593*H594+J593*K594</f>
        <v>23847.668911999997</v>
      </c>
      <c r="E594" s="40">
        <v>1214.4726679999999</v>
      </c>
      <c r="H594" s="40">
        <v>993.58044399999994</v>
      </c>
    </row>
    <row r="595" spans="1:8" x14ac:dyDescent="0.3">
      <c r="A595" t="s">
        <v>700</v>
      </c>
      <c r="B595">
        <v>23847.67</v>
      </c>
      <c r="C595" t="s">
        <v>31</v>
      </c>
      <c r="D595">
        <v>18</v>
      </c>
      <c r="E595">
        <v>1214.47</v>
      </c>
      <c r="F595" t="s">
        <v>74</v>
      </c>
      <c r="G595">
        <v>2</v>
      </c>
      <c r="H595">
        <v>993.58</v>
      </c>
    </row>
    <row r="596" spans="1:8" s="40" customFormat="1" x14ac:dyDescent="0.3">
      <c r="A596" s="41" t="s">
        <v>976</v>
      </c>
      <c r="B596" s="40">
        <f>D595*E596+G595*H596+J595*K596</f>
        <v>23847.668911999997</v>
      </c>
      <c r="E596" s="40">
        <v>1214.4726679999999</v>
      </c>
      <c r="H596" s="40">
        <v>993.58044399999994</v>
      </c>
    </row>
    <row r="597" spans="1:8" x14ac:dyDescent="0.3">
      <c r="A597" t="s">
        <v>701</v>
      </c>
      <c r="B597">
        <v>23847.67</v>
      </c>
      <c r="C597" t="s">
        <v>31</v>
      </c>
      <c r="D597">
        <v>18</v>
      </c>
      <c r="E597">
        <v>1214.47</v>
      </c>
      <c r="F597" t="s">
        <v>74</v>
      </c>
      <c r="G597">
        <v>2</v>
      </c>
      <c r="H597">
        <v>993.58</v>
      </c>
    </row>
    <row r="598" spans="1:8" s="40" customFormat="1" x14ac:dyDescent="0.3">
      <c r="A598" s="41" t="s">
        <v>976</v>
      </c>
      <c r="B598" s="40">
        <f>D597*E598+G597*H598+J597*K598</f>
        <v>23847.668911999997</v>
      </c>
      <c r="E598" s="40">
        <v>1214.4726679999999</v>
      </c>
      <c r="H598" s="40">
        <v>993.58044399999994</v>
      </c>
    </row>
    <row r="599" spans="1:8" x14ac:dyDescent="0.3">
      <c r="A599" t="s">
        <v>703</v>
      </c>
      <c r="B599">
        <v>27817.26</v>
      </c>
      <c r="C599" t="s">
        <v>69</v>
      </c>
      <c r="D599">
        <v>18</v>
      </c>
      <c r="E599">
        <v>1435.01</v>
      </c>
      <c r="F599" t="s">
        <v>74</v>
      </c>
      <c r="G599">
        <v>2</v>
      </c>
      <c r="H599">
        <v>993.58</v>
      </c>
    </row>
    <row r="600" spans="1:8" s="40" customFormat="1" x14ac:dyDescent="0.3">
      <c r="A600" s="41" t="s">
        <v>976</v>
      </c>
      <c r="B600" s="40">
        <f>D599*E600+G599*H600+J599*K600</f>
        <v>27817.260625999996</v>
      </c>
      <c r="E600" s="40">
        <v>1435.0055409999998</v>
      </c>
      <c r="H600" s="40">
        <v>993.58044399999994</v>
      </c>
    </row>
    <row r="601" spans="1:8" x14ac:dyDescent="0.3">
      <c r="A601" t="s">
        <v>702</v>
      </c>
      <c r="B601">
        <v>23847.67</v>
      </c>
      <c r="C601" t="s">
        <v>31</v>
      </c>
      <c r="D601">
        <v>18</v>
      </c>
      <c r="E601">
        <v>1214.47</v>
      </c>
      <c r="F601" t="s">
        <v>74</v>
      </c>
      <c r="G601">
        <v>2</v>
      </c>
      <c r="H601">
        <v>993.58</v>
      </c>
    </row>
    <row r="602" spans="1:8" s="40" customFormat="1" x14ac:dyDescent="0.3">
      <c r="A602" s="41" t="s">
        <v>976</v>
      </c>
      <c r="B602" s="40">
        <f>D601*E602+G601*H602+J601*K602</f>
        <v>23847.668911999997</v>
      </c>
      <c r="E602" s="40">
        <v>1214.4726679999999</v>
      </c>
      <c r="H602" s="40">
        <v>993.58044399999994</v>
      </c>
    </row>
    <row r="603" spans="1:8" x14ac:dyDescent="0.3">
      <c r="A603" t="s">
        <v>704</v>
      </c>
      <c r="B603">
        <v>23847.67</v>
      </c>
      <c r="C603" t="s">
        <v>31</v>
      </c>
      <c r="D603">
        <v>18</v>
      </c>
      <c r="E603">
        <v>1214.47</v>
      </c>
      <c r="F603" t="s">
        <v>74</v>
      </c>
      <c r="G603">
        <v>2</v>
      </c>
      <c r="H603">
        <v>993.58</v>
      </c>
    </row>
    <row r="604" spans="1:8" s="40" customFormat="1" x14ac:dyDescent="0.3">
      <c r="A604" s="41" t="s">
        <v>976</v>
      </c>
      <c r="B604" s="40">
        <f>D603*E604+G603*H604+J603*K604</f>
        <v>23847.668911999997</v>
      </c>
      <c r="E604" s="40">
        <v>1214.4726679999999</v>
      </c>
      <c r="H604" s="40">
        <v>993.58044399999994</v>
      </c>
    </row>
    <row r="605" spans="1:8" x14ac:dyDescent="0.3">
      <c r="A605" t="s">
        <v>706</v>
      </c>
      <c r="B605">
        <v>23847.67</v>
      </c>
      <c r="C605" t="s">
        <v>31</v>
      </c>
      <c r="D605">
        <v>18</v>
      </c>
      <c r="E605">
        <v>1214.47</v>
      </c>
      <c r="F605" t="s">
        <v>74</v>
      </c>
      <c r="G605">
        <v>2</v>
      </c>
      <c r="H605">
        <v>993.58</v>
      </c>
    </row>
    <row r="606" spans="1:8" s="40" customFormat="1" x14ac:dyDescent="0.3">
      <c r="A606" s="41" t="s">
        <v>976</v>
      </c>
      <c r="B606" s="40">
        <f>D605*E606+G605*H606+J605*K606</f>
        <v>23847.668911999997</v>
      </c>
      <c r="E606" s="40">
        <v>1214.4726679999999</v>
      </c>
      <c r="H606" s="40">
        <v>993.58044399999994</v>
      </c>
    </row>
    <row r="607" spans="1:8" x14ac:dyDescent="0.3">
      <c r="A607" t="s">
        <v>705</v>
      </c>
      <c r="B607">
        <v>23847.67</v>
      </c>
      <c r="C607" t="s">
        <v>31</v>
      </c>
      <c r="D607">
        <v>18</v>
      </c>
      <c r="E607">
        <v>1214.47</v>
      </c>
      <c r="F607" t="s">
        <v>74</v>
      </c>
      <c r="G607">
        <v>2</v>
      </c>
      <c r="H607">
        <v>993.58</v>
      </c>
    </row>
    <row r="608" spans="1:8" s="40" customFormat="1" x14ac:dyDescent="0.3">
      <c r="A608" s="41" t="s">
        <v>976</v>
      </c>
      <c r="B608" s="40">
        <f>D607*E608+G607*H608+J607*K608</f>
        <v>23847.668911999997</v>
      </c>
      <c r="E608" s="40">
        <v>1214.4726679999999</v>
      </c>
      <c r="H608" s="40">
        <v>993.58044399999994</v>
      </c>
    </row>
    <row r="609" spans="1:8" x14ac:dyDescent="0.3">
      <c r="A609" t="s">
        <v>707</v>
      </c>
      <c r="B609">
        <v>23847.67</v>
      </c>
      <c r="C609" t="s">
        <v>31</v>
      </c>
      <c r="D609">
        <v>18</v>
      </c>
      <c r="E609">
        <v>1214.47</v>
      </c>
      <c r="F609" t="s">
        <v>74</v>
      </c>
      <c r="G609">
        <v>2</v>
      </c>
      <c r="H609">
        <v>993.58</v>
      </c>
    </row>
    <row r="610" spans="1:8" s="40" customFormat="1" x14ac:dyDescent="0.3">
      <c r="A610" s="41" t="s">
        <v>976</v>
      </c>
      <c r="B610" s="40">
        <f>D609*E610+G609*H610+J609*K610</f>
        <v>23847.668911999997</v>
      </c>
      <c r="E610" s="40">
        <v>1214.4726679999999</v>
      </c>
      <c r="H610" s="40">
        <v>993.58044399999994</v>
      </c>
    </row>
    <row r="611" spans="1:8" x14ac:dyDescent="0.3">
      <c r="A611" t="s">
        <v>708</v>
      </c>
      <c r="B611">
        <v>27817.26</v>
      </c>
      <c r="C611" t="s">
        <v>69</v>
      </c>
      <c r="D611">
        <v>18</v>
      </c>
      <c r="E611">
        <v>1435.01</v>
      </c>
      <c r="F611" t="s">
        <v>74</v>
      </c>
      <c r="G611">
        <v>2</v>
      </c>
      <c r="H611">
        <v>993.58</v>
      </c>
    </row>
    <row r="612" spans="1:8" s="40" customFormat="1" x14ac:dyDescent="0.3">
      <c r="A612" s="41" t="s">
        <v>976</v>
      </c>
      <c r="B612" s="40">
        <f>D611*E612+G611*H612+J611*K612</f>
        <v>27817.260625999996</v>
      </c>
      <c r="E612" s="40">
        <v>1435.0055409999998</v>
      </c>
      <c r="H612" s="40">
        <v>993.58044399999994</v>
      </c>
    </row>
    <row r="613" spans="1:8" x14ac:dyDescent="0.3">
      <c r="A613" t="s">
        <v>709</v>
      </c>
      <c r="B613">
        <v>23847.67</v>
      </c>
      <c r="C613" t="s">
        <v>31</v>
      </c>
      <c r="D613">
        <v>18</v>
      </c>
      <c r="E613">
        <v>1214.47</v>
      </c>
      <c r="F613" t="s">
        <v>74</v>
      </c>
      <c r="G613">
        <v>2</v>
      </c>
      <c r="H613">
        <v>993.58</v>
      </c>
    </row>
    <row r="614" spans="1:8" s="40" customFormat="1" x14ac:dyDescent="0.3">
      <c r="A614" s="41" t="s">
        <v>976</v>
      </c>
      <c r="B614" s="40">
        <f>D613*E614+G613*H614+J613*K614</f>
        <v>23847.668911999997</v>
      </c>
      <c r="E614" s="40">
        <v>1214.4726679999999</v>
      </c>
      <c r="H614" s="40">
        <v>993.58044399999994</v>
      </c>
    </row>
    <row r="615" spans="1:8" x14ac:dyDescent="0.3">
      <c r="A615" t="s">
        <v>711</v>
      </c>
      <c r="B615">
        <v>23847.67</v>
      </c>
      <c r="C615" t="s">
        <v>31</v>
      </c>
      <c r="D615">
        <v>18</v>
      </c>
      <c r="E615">
        <v>1214.47</v>
      </c>
      <c r="F615" t="s">
        <v>74</v>
      </c>
      <c r="G615">
        <v>2</v>
      </c>
      <c r="H615">
        <v>993.58</v>
      </c>
    </row>
    <row r="616" spans="1:8" s="40" customFormat="1" x14ac:dyDescent="0.3">
      <c r="A616" s="41" t="s">
        <v>976</v>
      </c>
      <c r="B616" s="40">
        <f>D615*E616+G615*H616+J615*K616</f>
        <v>23847.668911999997</v>
      </c>
      <c r="E616" s="40">
        <v>1214.4726679999999</v>
      </c>
      <c r="H616" s="40">
        <v>993.58044399999994</v>
      </c>
    </row>
    <row r="617" spans="1:8" x14ac:dyDescent="0.3">
      <c r="A617" t="s">
        <v>710</v>
      </c>
      <c r="B617">
        <v>25829.98</v>
      </c>
      <c r="C617" t="s">
        <v>43</v>
      </c>
      <c r="D617">
        <v>18</v>
      </c>
      <c r="E617">
        <v>1324.6</v>
      </c>
      <c r="F617" t="s">
        <v>74</v>
      </c>
      <c r="G617">
        <v>2</v>
      </c>
      <c r="H617">
        <v>993.58</v>
      </c>
    </row>
    <row r="618" spans="1:8" s="40" customFormat="1" x14ac:dyDescent="0.3">
      <c r="A618" s="41" t="s">
        <v>976</v>
      </c>
      <c r="B618" s="40">
        <f>D617*E618+G617*H618+J617*K618</f>
        <v>25829.982739999996</v>
      </c>
      <c r="E618" s="40">
        <v>1324.6012139999998</v>
      </c>
      <c r="H618" s="40">
        <v>993.58044399999994</v>
      </c>
    </row>
    <row r="619" spans="1:8" x14ac:dyDescent="0.3">
      <c r="A619" t="s">
        <v>712</v>
      </c>
      <c r="B619">
        <v>25829.98</v>
      </c>
      <c r="C619" t="s">
        <v>43</v>
      </c>
      <c r="D619">
        <v>18</v>
      </c>
      <c r="E619">
        <v>1324.6</v>
      </c>
      <c r="F619" t="s">
        <v>74</v>
      </c>
      <c r="G619">
        <v>2</v>
      </c>
      <c r="H619">
        <v>993.58</v>
      </c>
    </row>
    <row r="620" spans="1:8" s="40" customFormat="1" x14ac:dyDescent="0.3">
      <c r="A620" s="41" t="s">
        <v>976</v>
      </c>
      <c r="B620" s="40">
        <f>D619*E620+G619*H620+J619*K620</f>
        <v>25829.982739999996</v>
      </c>
      <c r="E620" s="40">
        <v>1324.6012139999998</v>
      </c>
      <c r="H620" s="40">
        <v>993.58044399999994</v>
      </c>
    </row>
    <row r="621" spans="1:8" x14ac:dyDescent="0.3">
      <c r="A621" t="s">
        <v>715</v>
      </c>
      <c r="B621">
        <v>25829.98</v>
      </c>
      <c r="C621" t="s">
        <v>43</v>
      </c>
      <c r="D621">
        <v>18</v>
      </c>
      <c r="E621">
        <v>1324.6</v>
      </c>
      <c r="F621" t="s">
        <v>74</v>
      </c>
      <c r="G621">
        <v>2</v>
      </c>
      <c r="H621">
        <v>993.58</v>
      </c>
    </row>
    <row r="622" spans="1:8" s="40" customFormat="1" x14ac:dyDescent="0.3">
      <c r="A622" s="41" t="s">
        <v>976</v>
      </c>
      <c r="B622" s="40">
        <f>D621*E622+G621*H622+J621*K622</f>
        <v>25829.982739999996</v>
      </c>
      <c r="E622" s="40">
        <v>1324.6012139999998</v>
      </c>
      <c r="H622" s="40">
        <v>993.58044399999994</v>
      </c>
    </row>
    <row r="623" spans="1:8" x14ac:dyDescent="0.3">
      <c r="A623" t="s">
        <v>713</v>
      </c>
      <c r="B623">
        <v>23405.87</v>
      </c>
      <c r="C623" t="s">
        <v>31</v>
      </c>
      <c r="D623">
        <v>18</v>
      </c>
      <c r="E623">
        <v>1214.47</v>
      </c>
      <c r="F623" t="s">
        <v>89</v>
      </c>
      <c r="G623">
        <v>2</v>
      </c>
      <c r="H623">
        <v>772.68</v>
      </c>
    </row>
    <row r="624" spans="1:8" s="40" customFormat="1" x14ac:dyDescent="0.3">
      <c r="A624" s="41" t="s">
        <v>976</v>
      </c>
      <c r="B624" s="40">
        <f>D623*E624+G623*H624+J623*K624</f>
        <v>23405.867749999998</v>
      </c>
      <c r="E624" s="40">
        <v>1214.4726679999999</v>
      </c>
      <c r="H624" s="40">
        <v>772.67986299999995</v>
      </c>
    </row>
    <row r="625" spans="1:11" x14ac:dyDescent="0.3">
      <c r="A625" t="s">
        <v>716</v>
      </c>
      <c r="B625">
        <v>9932.0300000000007</v>
      </c>
      <c r="C625" t="s">
        <v>24</v>
      </c>
      <c r="D625">
        <v>18</v>
      </c>
      <c r="E625">
        <v>551.78</v>
      </c>
    </row>
    <row r="626" spans="1:11" s="40" customFormat="1" x14ac:dyDescent="0.3">
      <c r="A626" s="41" t="s">
        <v>976</v>
      </c>
      <c r="B626" s="40">
        <f>D625*E626+G625*H626+J625*K626</f>
        <v>9932.0270759999985</v>
      </c>
      <c r="E626" s="40">
        <v>551.77928199999997</v>
      </c>
    </row>
    <row r="627" spans="1:11" x14ac:dyDescent="0.3">
      <c r="A627" t="s">
        <v>717</v>
      </c>
      <c r="B627">
        <v>17884.45</v>
      </c>
      <c r="C627" t="s">
        <v>65</v>
      </c>
      <c r="D627">
        <v>18</v>
      </c>
      <c r="E627">
        <v>993.58</v>
      </c>
    </row>
    <row r="628" spans="1:11" s="40" customFormat="1" x14ac:dyDescent="0.3">
      <c r="A628" s="41" t="s">
        <v>976</v>
      </c>
      <c r="B628" s="40">
        <f>D627*E628+G627*H628+J627*K628</f>
        <v>17884.447991999998</v>
      </c>
      <c r="E628" s="40">
        <v>993.58044399999994</v>
      </c>
    </row>
    <row r="629" spans="1:11" x14ac:dyDescent="0.3">
      <c r="A629" t="s">
        <v>719</v>
      </c>
      <c r="B629">
        <v>31127.13</v>
      </c>
      <c r="C629" t="s">
        <v>31</v>
      </c>
      <c r="D629">
        <v>18</v>
      </c>
      <c r="E629">
        <v>1214.47</v>
      </c>
      <c r="F629" t="s">
        <v>110</v>
      </c>
      <c r="G629">
        <v>2</v>
      </c>
      <c r="H629">
        <v>1324.46</v>
      </c>
      <c r="I629" t="s">
        <v>137</v>
      </c>
      <c r="J629">
        <v>20</v>
      </c>
      <c r="K629">
        <v>330.88</v>
      </c>
    </row>
    <row r="630" spans="1:11" s="40" customFormat="1" x14ac:dyDescent="0.3">
      <c r="A630" s="41" t="s">
        <v>976</v>
      </c>
      <c r="B630" s="40">
        <f>D629*E630+G629*H630+J629*K630</f>
        <v>31127.130051353997</v>
      </c>
      <c r="E630" s="40">
        <v>1214.4726679999999</v>
      </c>
      <c r="H630" s="40">
        <v>1324.4633318569997</v>
      </c>
      <c r="K630" s="40">
        <v>330.88476818199996</v>
      </c>
    </row>
    <row r="631" spans="1:11" x14ac:dyDescent="0.3">
      <c r="A631" t="s">
        <v>718</v>
      </c>
      <c r="B631">
        <v>35096.720000000001</v>
      </c>
      <c r="C631" t="s">
        <v>69</v>
      </c>
      <c r="D631">
        <v>18</v>
      </c>
      <c r="E631">
        <v>1435.01</v>
      </c>
      <c r="F631" t="s">
        <v>110</v>
      </c>
      <c r="G631">
        <v>2</v>
      </c>
      <c r="H631">
        <v>1324.46</v>
      </c>
      <c r="I631" t="s">
        <v>137</v>
      </c>
      <c r="J631">
        <v>20</v>
      </c>
      <c r="K631">
        <v>330.88</v>
      </c>
    </row>
    <row r="632" spans="1:11" s="40" customFormat="1" x14ac:dyDescent="0.3">
      <c r="A632" s="41" t="s">
        <v>976</v>
      </c>
      <c r="B632" s="40">
        <f>D631*E632+G631*H632+J631*K632</f>
        <v>35096.721765353999</v>
      </c>
      <c r="E632" s="40">
        <v>1435.0055409999998</v>
      </c>
      <c r="H632" s="40">
        <v>1324.4633318569997</v>
      </c>
      <c r="K632" s="40">
        <v>330.88476818199996</v>
      </c>
    </row>
    <row r="633" spans="1:11" x14ac:dyDescent="0.3">
      <c r="A633" t="s">
        <v>721</v>
      </c>
      <c r="B633">
        <v>31127.13</v>
      </c>
      <c r="C633" t="s">
        <v>31</v>
      </c>
      <c r="D633">
        <v>18</v>
      </c>
      <c r="E633">
        <v>1214.47</v>
      </c>
      <c r="F633" t="s">
        <v>110</v>
      </c>
      <c r="G633">
        <v>2</v>
      </c>
      <c r="H633">
        <v>1324.46</v>
      </c>
      <c r="I633" t="s">
        <v>137</v>
      </c>
      <c r="J633">
        <v>20</v>
      </c>
      <c r="K633">
        <v>330.88</v>
      </c>
    </row>
    <row r="634" spans="1:11" s="40" customFormat="1" x14ac:dyDescent="0.3">
      <c r="A634" s="41" t="s">
        <v>976</v>
      </c>
      <c r="B634" s="40">
        <f>D633*E634+G633*H634+J633*K634</f>
        <v>31127.130051353997</v>
      </c>
      <c r="E634" s="40">
        <v>1214.4726679999999</v>
      </c>
      <c r="H634" s="40">
        <v>1324.4633318569997</v>
      </c>
      <c r="K634" s="40">
        <v>330.88476818199996</v>
      </c>
    </row>
    <row r="635" spans="1:11" x14ac:dyDescent="0.3">
      <c r="A635" t="s">
        <v>720</v>
      </c>
      <c r="B635">
        <v>33777.99</v>
      </c>
      <c r="C635" t="s">
        <v>57</v>
      </c>
      <c r="D635">
        <v>16</v>
      </c>
      <c r="E635">
        <v>1986.93</v>
      </c>
      <c r="F635" t="s">
        <v>83</v>
      </c>
      <c r="G635">
        <v>2</v>
      </c>
      <c r="H635">
        <v>993.58</v>
      </c>
    </row>
    <row r="636" spans="1:11" s="40" customFormat="1" x14ac:dyDescent="0.3">
      <c r="A636" s="41" t="s">
        <v>976</v>
      </c>
      <c r="B636" s="40">
        <f>D635*E636+G635*H636+J635*K636</f>
        <v>33777.991159999998</v>
      </c>
      <c r="E636" s="40">
        <v>1986.926892</v>
      </c>
      <c r="H636" s="40">
        <v>993.58044399999994</v>
      </c>
    </row>
    <row r="637" spans="1:11" x14ac:dyDescent="0.3">
      <c r="A637" t="s">
        <v>722</v>
      </c>
      <c r="B637">
        <v>33777.99</v>
      </c>
      <c r="C637" t="s">
        <v>57</v>
      </c>
      <c r="D637">
        <v>16</v>
      </c>
      <c r="E637">
        <v>1986.93</v>
      </c>
      <c r="F637" t="s">
        <v>83</v>
      </c>
      <c r="G637">
        <v>2</v>
      </c>
      <c r="H637">
        <v>993.58</v>
      </c>
    </row>
    <row r="638" spans="1:11" s="40" customFormat="1" x14ac:dyDescent="0.3">
      <c r="A638" s="41" t="s">
        <v>976</v>
      </c>
      <c r="B638" s="40">
        <f>D637*E638+G637*H638+J637*K638</f>
        <v>33777.991159999998</v>
      </c>
      <c r="E638" s="40">
        <v>1986.926892</v>
      </c>
      <c r="H638" s="40">
        <v>993.58044399999994</v>
      </c>
    </row>
    <row r="639" spans="1:11" x14ac:dyDescent="0.3">
      <c r="A639" t="s">
        <v>723</v>
      </c>
      <c r="B639">
        <v>33777.99</v>
      </c>
      <c r="C639" t="s">
        <v>57</v>
      </c>
      <c r="D639">
        <v>16</v>
      </c>
      <c r="E639">
        <v>1986.93</v>
      </c>
      <c r="F639" t="s">
        <v>83</v>
      </c>
      <c r="G639">
        <v>2</v>
      </c>
      <c r="H639">
        <v>993.58</v>
      </c>
    </row>
    <row r="640" spans="1:11" s="40" customFormat="1" x14ac:dyDescent="0.3">
      <c r="A640" s="41" t="s">
        <v>976</v>
      </c>
      <c r="B640" s="40">
        <f>D639*E640+G639*H640+J639*K640</f>
        <v>33777.991159999998</v>
      </c>
      <c r="E640" s="40">
        <v>1986.926892</v>
      </c>
      <c r="H640" s="40">
        <v>993.58044399999994</v>
      </c>
    </row>
    <row r="641" spans="1:8" x14ac:dyDescent="0.3">
      <c r="A641" t="s">
        <v>724</v>
      </c>
      <c r="B641">
        <v>10815.63</v>
      </c>
      <c r="C641" t="s">
        <v>24</v>
      </c>
      <c r="D641">
        <v>16</v>
      </c>
      <c r="E641">
        <v>551.78</v>
      </c>
      <c r="F641" t="s">
        <v>72</v>
      </c>
      <c r="G641">
        <v>2</v>
      </c>
      <c r="H641">
        <v>993.58</v>
      </c>
    </row>
    <row r="642" spans="1:8" s="40" customFormat="1" x14ac:dyDescent="0.3">
      <c r="A642" s="41" t="s">
        <v>976</v>
      </c>
      <c r="B642" s="40">
        <f>D641*E642+G641*H642+J641*K642</f>
        <v>10815.6294</v>
      </c>
      <c r="E642" s="40">
        <v>551.77928199999997</v>
      </c>
      <c r="H642" s="40">
        <v>993.58044399999994</v>
      </c>
    </row>
    <row r="643" spans="1:8" x14ac:dyDescent="0.3">
      <c r="A643" t="s">
        <v>726</v>
      </c>
      <c r="B643">
        <v>14350.04</v>
      </c>
      <c r="C643" t="s">
        <v>27</v>
      </c>
      <c r="D643">
        <v>16</v>
      </c>
      <c r="E643">
        <v>772.68</v>
      </c>
      <c r="F643" t="s">
        <v>72</v>
      </c>
      <c r="G643">
        <v>2</v>
      </c>
      <c r="H643">
        <v>993.58</v>
      </c>
    </row>
    <row r="644" spans="1:8" s="40" customFormat="1" x14ac:dyDescent="0.3">
      <c r="A644" s="41" t="s">
        <v>976</v>
      </c>
      <c r="B644" s="40">
        <f>D643*E644+G643*H644+J643*K644</f>
        <v>14350.038696</v>
      </c>
      <c r="E644" s="40">
        <v>772.67986299999995</v>
      </c>
      <c r="H644" s="40">
        <v>993.58044399999994</v>
      </c>
    </row>
    <row r="645" spans="1:8" x14ac:dyDescent="0.3">
      <c r="A645" t="s">
        <v>725</v>
      </c>
      <c r="B645">
        <v>14350.04</v>
      </c>
      <c r="C645" t="s">
        <v>27</v>
      </c>
      <c r="D645">
        <v>16</v>
      </c>
      <c r="E645">
        <v>772.68</v>
      </c>
      <c r="F645" t="s">
        <v>72</v>
      </c>
      <c r="G645">
        <v>2</v>
      </c>
      <c r="H645">
        <v>993.58</v>
      </c>
    </row>
    <row r="646" spans="1:8" s="40" customFormat="1" x14ac:dyDescent="0.3">
      <c r="A646" s="41" t="s">
        <v>976</v>
      </c>
      <c r="B646" s="40">
        <f>D645*E646+G645*H646+J645*K646</f>
        <v>14350.038696</v>
      </c>
      <c r="E646" s="40">
        <v>772.67986299999995</v>
      </c>
      <c r="H646" s="40">
        <v>993.58044399999994</v>
      </c>
    </row>
    <row r="647" spans="1:8" x14ac:dyDescent="0.3">
      <c r="A647" t="s">
        <v>727</v>
      </c>
      <c r="B647">
        <v>14350.04</v>
      </c>
      <c r="C647" t="s">
        <v>27</v>
      </c>
      <c r="D647">
        <v>16</v>
      </c>
      <c r="E647">
        <v>772.68</v>
      </c>
      <c r="F647" t="s">
        <v>72</v>
      </c>
      <c r="G647">
        <v>2</v>
      </c>
      <c r="H647">
        <v>993.58</v>
      </c>
    </row>
    <row r="648" spans="1:8" s="40" customFormat="1" x14ac:dyDescent="0.3">
      <c r="A648" s="41" t="s">
        <v>976</v>
      </c>
      <c r="B648" s="40">
        <f>D647*E648+G647*H648+J647*K648</f>
        <v>14350.038696</v>
      </c>
      <c r="E648" s="40">
        <v>772.67986299999995</v>
      </c>
      <c r="H648" s="40">
        <v>993.58044399999994</v>
      </c>
    </row>
    <row r="649" spans="1:8" x14ac:dyDescent="0.3">
      <c r="A649" t="s">
        <v>728</v>
      </c>
      <c r="B649">
        <v>14350.04</v>
      </c>
      <c r="C649" t="s">
        <v>27</v>
      </c>
      <c r="D649">
        <v>16</v>
      </c>
      <c r="E649">
        <v>772.68</v>
      </c>
      <c r="F649" t="s">
        <v>72</v>
      </c>
      <c r="G649">
        <v>2</v>
      </c>
      <c r="H649">
        <v>993.58</v>
      </c>
    </row>
    <row r="650" spans="1:8" s="40" customFormat="1" x14ac:dyDescent="0.3">
      <c r="A650" s="41" t="s">
        <v>976</v>
      </c>
      <c r="B650" s="40">
        <f>D649*E650+G649*H650+J649*K650</f>
        <v>14350.038696</v>
      </c>
      <c r="E650" s="40">
        <v>772.67986299999995</v>
      </c>
      <c r="H650" s="40">
        <v>993.58044399999994</v>
      </c>
    </row>
    <row r="651" spans="1:8" x14ac:dyDescent="0.3">
      <c r="A651" t="s">
        <v>730</v>
      </c>
      <c r="B651">
        <v>17884.45</v>
      </c>
      <c r="C651" t="s">
        <v>65</v>
      </c>
      <c r="D651">
        <v>16</v>
      </c>
      <c r="E651">
        <v>993.58</v>
      </c>
      <c r="F651" t="s">
        <v>72</v>
      </c>
      <c r="G651">
        <v>2</v>
      </c>
      <c r="H651">
        <v>993.58</v>
      </c>
    </row>
    <row r="652" spans="1:8" s="40" customFormat="1" x14ac:dyDescent="0.3">
      <c r="A652" s="41" t="s">
        <v>976</v>
      </c>
      <c r="B652" s="40">
        <f>D651*E652+G651*H652+J651*K652</f>
        <v>17884.447991999998</v>
      </c>
      <c r="E652" s="40">
        <v>993.58044399999994</v>
      </c>
      <c r="H652" s="40">
        <v>993.58044399999994</v>
      </c>
    </row>
    <row r="653" spans="1:8" x14ac:dyDescent="0.3">
      <c r="A653" t="s">
        <v>729</v>
      </c>
      <c r="B653">
        <v>14350.04</v>
      </c>
      <c r="C653" t="s">
        <v>27</v>
      </c>
      <c r="D653">
        <v>16</v>
      </c>
      <c r="E653">
        <v>772.68</v>
      </c>
      <c r="F653" t="s">
        <v>72</v>
      </c>
      <c r="G653">
        <v>2</v>
      </c>
      <c r="H653">
        <v>993.58</v>
      </c>
    </row>
    <row r="654" spans="1:8" s="40" customFormat="1" x14ac:dyDescent="0.3">
      <c r="A654" s="41" t="s">
        <v>976</v>
      </c>
      <c r="B654" s="40">
        <f>D653*E654+G653*H654+J653*K654</f>
        <v>14350.038696</v>
      </c>
      <c r="E654" s="40">
        <v>772.67986299999995</v>
      </c>
      <c r="H654" s="40">
        <v>993.58044399999994</v>
      </c>
    </row>
    <row r="655" spans="1:8" x14ac:dyDescent="0.3">
      <c r="A655" t="s">
        <v>731</v>
      </c>
      <c r="B655">
        <v>17884.45</v>
      </c>
      <c r="C655" t="s">
        <v>29</v>
      </c>
      <c r="D655">
        <v>16</v>
      </c>
      <c r="E655">
        <v>993.58</v>
      </c>
      <c r="F655" t="s">
        <v>74</v>
      </c>
      <c r="G655">
        <v>2</v>
      </c>
      <c r="H655">
        <v>993.58</v>
      </c>
    </row>
    <row r="656" spans="1:8" s="40" customFormat="1" x14ac:dyDescent="0.3">
      <c r="A656" s="41" t="s">
        <v>976</v>
      </c>
      <c r="B656" s="40">
        <f>D655*E656+G655*H656+J655*K656</f>
        <v>17884.447991999998</v>
      </c>
      <c r="E656" s="40">
        <v>993.58044399999994</v>
      </c>
      <c r="H656" s="40">
        <v>993.58044399999994</v>
      </c>
    </row>
    <row r="657" spans="1:8" x14ac:dyDescent="0.3">
      <c r="A657" t="s">
        <v>732</v>
      </c>
      <c r="B657">
        <v>21418.720000000001</v>
      </c>
      <c r="C657" t="s">
        <v>31</v>
      </c>
      <c r="D657">
        <v>16</v>
      </c>
      <c r="E657">
        <v>1214.47</v>
      </c>
      <c r="F657" t="s">
        <v>74</v>
      </c>
      <c r="G657">
        <v>2</v>
      </c>
      <c r="H657">
        <v>993.58</v>
      </c>
    </row>
    <row r="658" spans="1:8" s="40" customFormat="1" x14ac:dyDescent="0.3">
      <c r="A658" s="41" t="s">
        <v>976</v>
      </c>
      <c r="B658" s="40">
        <f>D657*E658+G657*H658+J657*K658</f>
        <v>21418.723575999997</v>
      </c>
      <c r="E658" s="40">
        <v>1214.4726679999999</v>
      </c>
      <c r="H658" s="40">
        <v>993.58044399999994</v>
      </c>
    </row>
    <row r="659" spans="1:8" x14ac:dyDescent="0.3">
      <c r="A659" t="s">
        <v>733</v>
      </c>
      <c r="B659">
        <v>24947.25</v>
      </c>
      <c r="C659" t="s">
        <v>69</v>
      </c>
      <c r="D659">
        <v>16</v>
      </c>
      <c r="E659">
        <v>1435.01</v>
      </c>
      <c r="F659" t="s">
        <v>74</v>
      </c>
      <c r="G659">
        <v>2</v>
      </c>
      <c r="H659">
        <v>993.58</v>
      </c>
    </row>
    <row r="660" spans="1:8" s="40" customFormat="1" x14ac:dyDescent="0.3">
      <c r="A660" s="41" t="s">
        <v>976</v>
      </c>
      <c r="B660" s="40">
        <f>D659*E660+G659*H660+J659*K660</f>
        <v>24947.249543999995</v>
      </c>
      <c r="E660" s="40">
        <v>1435.0055409999998</v>
      </c>
      <c r="H660" s="40">
        <v>993.58044399999994</v>
      </c>
    </row>
    <row r="661" spans="1:8" x14ac:dyDescent="0.3">
      <c r="A661" t="s">
        <v>734</v>
      </c>
      <c r="B661">
        <v>21418.720000000001</v>
      </c>
      <c r="C661" t="s">
        <v>31</v>
      </c>
      <c r="D661">
        <v>16</v>
      </c>
      <c r="E661">
        <v>1214.47</v>
      </c>
      <c r="F661" t="s">
        <v>74</v>
      </c>
      <c r="G661">
        <v>2</v>
      </c>
      <c r="H661">
        <v>993.58</v>
      </c>
    </row>
    <row r="662" spans="1:8" s="40" customFormat="1" x14ac:dyDescent="0.3">
      <c r="A662" s="41" t="s">
        <v>976</v>
      </c>
      <c r="B662" s="40">
        <f>D661*E662+G661*H662+J661*K662</f>
        <v>21418.723575999997</v>
      </c>
      <c r="E662" s="40">
        <v>1214.4726679999999</v>
      </c>
      <c r="H662" s="40">
        <v>993.58044399999994</v>
      </c>
    </row>
    <row r="663" spans="1:8" x14ac:dyDescent="0.3">
      <c r="A663" t="s">
        <v>735</v>
      </c>
      <c r="B663">
        <v>21418.720000000001</v>
      </c>
      <c r="C663" t="s">
        <v>31</v>
      </c>
      <c r="D663">
        <v>16</v>
      </c>
      <c r="E663">
        <v>1214.47</v>
      </c>
      <c r="F663" t="s">
        <v>74</v>
      </c>
      <c r="G663">
        <v>2</v>
      </c>
      <c r="H663">
        <v>993.58</v>
      </c>
    </row>
    <row r="664" spans="1:8" s="40" customFormat="1" x14ac:dyDescent="0.3">
      <c r="A664" s="41" t="s">
        <v>976</v>
      </c>
      <c r="B664" s="40">
        <f>D663*E664+G663*H664+J663*K664</f>
        <v>21418.723575999997</v>
      </c>
      <c r="E664" s="40">
        <v>1214.4726679999999</v>
      </c>
      <c r="H664" s="40">
        <v>993.58044399999994</v>
      </c>
    </row>
    <row r="665" spans="1:8" x14ac:dyDescent="0.3">
      <c r="A665" t="s">
        <v>736</v>
      </c>
      <c r="B665">
        <v>21418.720000000001</v>
      </c>
      <c r="C665" t="s">
        <v>31</v>
      </c>
      <c r="D665">
        <v>16</v>
      </c>
      <c r="E665">
        <v>1214.47</v>
      </c>
      <c r="F665" t="s">
        <v>74</v>
      </c>
      <c r="G665">
        <v>2</v>
      </c>
      <c r="H665">
        <v>993.58</v>
      </c>
    </row>
    <row r="666" spans="1:8" s="40" customFormat="1" x14ac:dyDescent="0.3">
      <c r="A666" s="41" t="s">
        <v>976</v>
      </c>
      <c r="B666" s="40">
        <f>D665*E666+G665*H666+J665*K666</f>
        <v>21418.723575999997</v>
      </c>
      <c r="E666" s="40">
        <v>1214.4726679999999</v>
      </c>
      <c r="H666" s="40">
        <v>993.58044399999994</v>
      </c>
    </row>
    <row r="667" spans="1:8" x14ac:dyDescent="0.3">
      <c r="A667" t="s">
        <v>738</v>
      </c>
      <c r="B667">
        <v>24947.25</v>
      </c>
      <c r="C667" t="s">
        <v>69</v>
      </c>
      <c r="D667">
        <v>16</v>
      </c>
      <c r="E667">
        <v>1435.01</v>
      </c>
      <c r="F667" t="s">
        <v>74</v>
      </c>
      <c r="G667">
        <v>2</v>
      </c>
      <c r="H667">
        <v>993.58</v>
      </c>
    </row>
    <row r="668" spans="1:8" s="40" customFormat="1" x14ac:dyDescent="0.3">
      <c r="A668" s="41" t="s">
        <v>976</v>
      </c>
      <c r="B668" s="40">
        <f>D667*E668+G667*H668+J667*K668</f>
        <v>24947.249543999995</v>
      </c>
      <c r="E668" s="40">
        <v>1435.0055409999998</v>
      </c>
      <c r="H668" s="40">
        <v>993.58044399999994</v>
      </c>
    </row>
    <row r="669" spans="1:8" x14ac:dyDescent="0.3">
      <c r="A669" t="s">
        <v>737</v>
      </c>
      <c r="B669">
        <v>21418.720000000001</v>
      </c>
      <c r="C669" t="s">
        <v>31</v>
      </c>
      <c r="D669">
        <v>16</v>
      </c>
      <c r="E669">
        <v>1214.47</v>
      </c>
      <c r="F669" t="s">
        <v>74</v>
      </c>
      <c r="G669">
        <v>2</v>
      </c>
      <c r="H669">
        <v>993.58</v>
      </c>
    </row>
    <row r="670" spans="1:8" s="40" customFormat="1" x14ac:dyDescent="0.3">
      <c r="A670" s="41" t="s">
        <v>976</v>
      </c>
      <c r="B670" s="40">
        <f>D669*E670+G669*H670+J669*K670</f>
        <v>21418.723575999997</v>
      </c>
      <c r="E670" s="40">
        <v>1214.4726679999999</v>
      </c>
      <c r="H670" s="40">
        <v>993.58044399999994</v>
      </c>
    </row>
    <row r="671" spans="1:8" x14ac:dyDescent="0.3">
      <c r="A671" t="s">
        <v>739</v>
      </c>
      <c r="B671">
        <v>21418.720000000001</v>
      </c>
      <c r="C671" t="s">
        <v>31</v>
      </c>
      <c r="D671">
        <v>16</v>
      </c>
      <c r="E671">
        <v>1214.47</v>
      </c>
      <c r="F671" t="s">
        <v>74</v>
      </c>
      <c r="G671">
        <v>2</v>
      </c>
      <c r="H671">
        <v>993.58</v>
      </c>
    </row>
    <row r="672" spans="1:8" s="40" customFormat="1" x14ac:dyDescent="0.3">
      <c r="A672" s="41" t="s">
        <v>976</v>
      </c>
      <c r="B672" s="40">
        <f>D671*E672+G671*H672+J671*K672</f>
        <v>21418.723575999997</v>
      </c>
      <c r="E672" s="40">
        <v>1214.4726679999999</v>
      </c>
      <c r="H672" s="40">
        <v>993.58044399999994</v>
      </c>
    </row>
    <row r="673" spans="1:11" x14ac:dyDescent="0.3">
      <c r="A673" t="s">
        <v>740</v>
      </c>
      <c r="B673">
        <v>24947.25</v>
      </c>
      <c r="C673" t="s">
        <v>69</v>
      </c>
      <c r="D673">
        <v>16</v>
      </c>
      <c r="E673">
        <v>1435.01</v>
      </c>
      <c r="F673" t="s">
        <v>74</v>
      </c>
      <c r="G673">
        <v>2</v>
      </c>
      <c r="H673">
        <v>993.58</v>
      </c>
    </row>
    <row r="674" spans="1:11" s="40" customFormat="1" x14ac:dyDescent="0.3">
      <c r="A674" s="41" t="s">
        <v>976</v>
      </c>
      <c r="B674" s="40">
        <f>D673*E674+G673*H674+J673*K674</f>
        <v>24947.249543999995</v>
      </c>
      <c r="E674" s="40">
        <v>1435.0055409999998</v>
      </c>
      <c r="H674" s="40">
        <v>993.58044399999994</v>
      </c>
    </row>
    <row r="675" spans="1:11" x14ac:dyDescent="0.3">
      <c r="A675" t="s">
        <v>741</v>
      </c>
      <c r="B675">
        <v>21418.720000000001</v>
      </c>
      <c r="C675" t="s">
        <v>31</v>
      </c>
      <c r="D675">
        <v>16</v>
      </c>
      <c r="E675">
        <v>1214.47</v>
      </c>
      <c r="F675" t="s">
        <v>74</v>
      </c>
      <c r="G675">
        <v>2</v>
      </c>
      <c r="H675">
        <v>993.58</v>
      </c>
    </row>
    <row r="676" spans="1:11" s="40" customFormat="1" x14ac:dyDescent="0.3">
      <c r="A676" s="41" t="s">
        <v>976</v>
      </c>
      <c r="B676" s="40">
        <f>D675*E676+G675*H676+J675*K676</f>
        <v>21418.723575999997</v>
      </c>
      <c r="E676" s="40">
        <v>1214.4726679999999</v>
      </c>
      <c r="H676" s="40">
        <v>993.58044399999994</v>
      </c>
    </row>
    <row r="677" spans="1:11" x14ac:dyDescent="0.3">
      <c r="A677" t="s">
        <v>742</v>
      </c>
      <c r="B677">
        <v>24947.25</v>
      </c>
      <c r="C677" t="s">
        <v>69</v>
      </c>
      <c r="D677">
        <v>16</v>
      </c>
      <c r="E677">
        <v>1435.01</v>
      </c>
      <c r="F677" t="s">
        <v>74</v>
      </c>
      <c r="G677">
        <v>2</v>
      </c>
      <c r="H677">
        <v>993.58</v>
      </c>
    </row>
    <row r="678" spans="1:11" s="40" customFormat="1" x14ac:dyDescent="0.3">
      <c r="A678" s="41" t="s">
        <v>976</v>
      </c>
      <c r="B678" s="40">
        <f>D677*E678+G677*H678+J677*K678</f>
        <v>24947.249543999995</v>
      </c>
      <c r="E678" s="40">
        <v>1435.0055409999998</v>
      </c>
      <c r="H678" s="40">
        <v>993.58044399999994</v>
      </c>
    </row>
    <row r="679" spans="1:11" x14ac:dyDescent="0.3">
      <c r="A679" t="s">
        <v>743</v>
      </c>
      <c r="B679">
        <v>23180.78</v>
      </c>
      <c r="C679" t="s">
        <v>43</v>
      </c>
      <c r="D679">
        <v>16</v>
      </c>
      <c r="E679">
        <v>1324.6</v>
      </c>
      <c r="F679" t="s">
        <v>74</v>
      </c>
      <c r="G679">
        <v>2</v>
      </c>
      <c r="H679">
        <v>993.58</v>
      </c>
    </row>
    <row r="680" spans="1:11" s="40" customFormat="1" x14ac:dyDescent="0.3">
      <c r="A680" s="41" t="s">
        <v>976</v>
      </c>
      <c r="B680" s="40">
        <f>D679*E680+G679*H680+J679*K680</f>
        <v>23180.780311999995</v>
      </c>
      <c r="E680" s="40">
        <v>1324.6012139999998</v>
      </c>
      <c r="H680" s="40">
        <v>993.58044399999994</v>
      </c>
    </row>
    <row r="681" spans="1:11" x14ac:dyDescent="0.3">
      <c r="A681" t="s">
        <v>744</v>
      </c>
      <c r="B681">
        <v>15897.29</v>
      </c>
      <c r="C681" t="s">
        <v>29</v>
      </c>
      <c r="D681">
        <v>16</v>
      </c>
      <c r="E681">
        <v>993.58</v>
      </c>
    </row>
    <row r="682" spans="1:11" s="40" customFormat="1" x14ac:dyDescent="0.3">
      <c r="A682" s="41" t="s">
        <v>976</v>
      </c>
      <c r="B682" s="40">
        <f>D681*E682+G681*H682+J681*K682</f>
        <v>15897.287103999999</v>
      </c>
      <c r="E682" s="40">
        <v>993.58044399999994</v>
      </c>
    </row>
    <row r="683" spans="1:11" x14ac:dyDescent="0.3">
      <c r="A683" t="s">
        <v>745</v>
      </c>
      <c r="B683">
        <v>19431.560000000001</v>
      </c>
      <c r="C683" t="s">
        <v>31</v>
      </c>
      <c r="D683">
        <v>16</v>
      </c>
      <c r="E683">
        <v>1214.47</v>
      </c>
    </row>
    <row r="684" spans="1:11" s="40" customFormat="1" x14ac:dyDescent="0.3">
      <c r="A684" s="41" t="s">
        <v>976</v>
      </c>
      <c r="B684" s="40">
        <f>D683*E684+G683*H684+J683*K684</f>
        <v>19431.562687999998</v>
      </c>
      <c r="E684" s="40">
        <v>1214.4726679999999</v>
      </c>
    </row>
    <row r="685" spans="1:11" x14ac:dyDescent="0.3">
      <c r="A685" t="s">
        <v>747</v>
      </c>
      <c r="B685">
        <v>24063.65</v>
      </c>
      <c r="C685" t="s">
        <v>69</v>
      </c>
      <c r="D685">
        <v>16</v>
      </c>
      <c r="E685">
        <v>1435.01</v>
      </c>
      <c r="F685" t="s">
        <v>99</v>
      </c>
      <c r="G685">
        <v>2</v>
      </c>
      <c r="H685">
        <v>551.78</v>
      </c>
    </row>
    <row r="686" spans="1:11" s="40" customFormat="1" x14ac:dyDescent="0.3">
      <c r="A686" s="41" t="s">
        <v>976</v>
      </c>
      <c r="B686" s="40">
        <f>D685*E686+G685*H686+J685*K686</f>
        <v>24063.654056025996</v>
      </c>
      <c r="E686" s="40">
        <v>1435.0055409999998</v>
      </c>
      <c r="H686" s="40">
        <v>551.78270001299984</v>
      </c>
    </row>
    <row r="687" spans="1:11" x14ac:dyDescent="0.3">
      <c r="A687" t="s">
        <v>748</v>
      </c>
      <c r="B687">
        <v>28036.42</v>
      </c>
      <c r="C687" t="s">
        <v>31</v>
      </c>
      <c r="D687">
        <v>16</v>
      </c>
      <c r="E687">
        <v>1214.47</v>
      </c>
      <c r="F687" t="s">
        <v>110</v>
      </c>
      <c r="G687">
        <v>2</v>
      </c>
      <c r="H687">
        <v>1324.46</v>
      </c>
      <c r="I687" t="s">
        <v>137</v>
      </c>
      <c r="J687">
        <v>18</v>
      </c>
      <c r="K687">
        <v>330.88</v>
      </c>
    </row>
    <row r="688" spans="1:11" s="40" customFormat="1" x14ac:dyDescent="0.3">
      <c r="A688" s="41" t="s">
        <v>976</v>
      </c>
      <c r="B688" s="40">
        <f>D687*E688+G687*H688+J687*K688</f>
        <v>28036.415178989995</v>
      </c>
      <c r="E688" s="40">
        <v>1214.4726679999999</v>
      </c>
      <c r="H688" s="40">
        <v>1324.4633318569997</v>
      </c>
      <c r="K688" s="40">
        <v>330.88476818199996</v>
      </c>
    </row>
    <row r="689" spans="1:11" x14ac:dyDescent="0.3">
      <c r="A689" t="s">
        <v>749</v>
      </c>
      <c r="B689">
        <v>31564.94</v>
      </c>
      <c r="C689" t="s">
        <v>69</v>
      </c>
      <c r="D689">
        <v>16</v>
      </c>
      <c r="E689">
        <v>1435.01</v>
      </c>
      <c r="F689" t="s">
        <v>110</v>
      </c>
      <c r="G689">
        <v>2</v>
      </c>
      <c r="H689">
        <v>1324.46</v>
      </c>
      <c r="I689" t="s">
        <v>137</v>
      </c>
      <c r="J689">
        <v>18</v>
      </c>
      <c r="K689">
        <v>330.88</v>
      </c>
    </row>
    <row r="690" spans="1:11" s="40" customFormat="1" x14ac:dyDescent="0.3">
      <c r="A690" s="41" t="s">
        <v>976</v>
      </c>
      <c r="B690" s="40">
        <f>D689*E690+G689*H690+J689*K690</f>
        <v>31564.941146989993</v>
      </c>
      <c r="E690" s="40">
        <v>1435.0055409999998</v>
      </c>
      <c r="H690" s="40">
        <v>1324.4633318569997</v>
      </c>
      <c r="K690" s="40">
        <v>330.88476818199996</v>
      </c>
    </row>
    <row r="691" spans="1:11" x14ac:dyDescent="0.3">
      <c r="A691" t="s">
        <v>751</v>
      </c>
      <c r="B691">
        <v>16890.87</v>
      </c>
      <c r="C691" t="s">
        <v>65</v>
      </c>
      <c r="D691">
        <v>15</v>
      </c>
      <c r="E691">
        <v>993.58</v>
      </c>
      <c r="F691" t="s">
        <v>72</v>
      </c>
      <c r="G691">
        <v>2</v>
      </c>
      <c r="H691">
        <v>993.58</v>
      </c>
    </row>
    <row r="692" spans="1:11" s="40" customFormat="1" x14ac:dyDescent="0.3">
      <c r="A692" s="41" t="s">
        <v>976</v>
      </c>
      <c r="B692" s="40">
        <f>D691*E692+G691*H692+J691*K692</f>
        <v>16890.867547999998</v>
      </c>
      <c r="E692" s="40">
        <v>993.58044399999994</v>
      </c>
      <c r="H692" s="40">
        <v>993.58044399999994</v>
      </c>
    </row>
    <row r="693" spans="1:11" x14ac:dyDescent="0.3">
      <c r="A693" t="s">
        <v>750</v>
      </c>
      <c r="B693">
        <v>16890.87</v>
      </c>
      <c r="C693" t="s">
        <v>65</v>
      </c>
      <c r="D693">
        <v>15</v>
      </c>
      <c r="E693">
        <v>993.58</v>
      </c>
      <c r="F693" t="s">
        <v>72</v>
      </c>
      <c r="G693">
        <v>2</v>
      </c>
      <c r="H693">
        <v>993.58</v>
      </c>
    </row>
    <row r="694" spans="1:11" s="40" customFormat="1" x14ac:dyDescent="0.3">
      <c r="A694" s="41" t="s">
        <v>976</v>
      </c>
      <c r="B694" s="40">
        <f>D693*E694+G693*H694+J693*K694</f>
        <v>16890.867547999998</v>
      </c>
      <c r="E694" s="40">
        <v>993.58044399999994</v>
      </c>
      <c r="H694" s="40">
        <v>993.58044399999994</v>
      </c>
    </row>
    <row r="695" spans="1:11" x14ac:dyDescent="0.3">
      <c r="A695" t="s">
        <v>752</v>
      </c>
      <c r="B695">
        <v>13577.36</v>
      </c>
      <c r="C695" t="s">
        <v>27</v>
      </c>
      <c r="D695">
        <v>15</v>
      </c>
      <c r="E695">
        <v>772.68</v>
      </c>
      <c r="F695" t="s">
        <v>72</v>
      </c>
      <c r="G695">
        <v>2</v>
      </c>
      <c r="H695">
        <v>993.58</v>
      </c>
    </row>
    <row r="696" spans="1:11" s="40" customFormat="1" x14ac:dyDescent="0.3">
      <c r="A696" s="41" t="s">
        <v>976</v>
      </c>
      <c r="B696" s="40">
        <f>D695*E696+G695*H696+J695*K696</f>
        <v>13577.358833</v>
      </c>
      <c r="E696" s="40">
        <v>772.67986299999995</v>
      </c>
      <c r="H696" s="40">
        <v>993.58044399999994</v>
      </c>
    </row>
    <row r="697" spans="1:11" x14ac:dyDescent="0.3">
      <c r="A697" t="s">
        <v>753</v>
      </c>
      <c r="B697">
        <v>13577.36</v>
      </c>
      <c r="C697" t="s">
        <v>27</v>
      </c>
      <c r="D697">
        <v>15</v>
      </c>
      <c r="E697">
        <v>772.68</v>
      </c>
      <c r="F697" t="s">
        <v>72</v>
      </c>
      <c r="G697">
        <v>2</v>
      </c>
      <c r="H697">
        <v>993.58</v>
      </c>
    </row>
    <row r="698" spans="1:11" s="40" customFormat="1" x14ac:dyDescent="0.3">
      <c r="A698" s="41" t="s">
        <v>976</v>
      </c>
      <c r="B698" s="40">
        <f>D697*E698+G697*H698+J697*K698</f>
        <v>13577.358833</v>
      </c>
      <c r="E698" s="40">
        <v>772.67986299999995</v>
      </c>
      <c r="H698" s="40">
        <v>993.58044399999994</v>
      </c>
    </row>
    <row r="699" spans="1:11" x14ac:dyDescent="0.3">
      <c r="A699" t="s">
        <v>755</v>
      </c>
      <c r="B699">
        <v>13577.36</v>
      </c>
      <c r="C699" t="s">
        <v>27</v>
      </c>
      <c r="D699">
        <v>15</v>
      </c>
      <c r="E699">
        <v>772.68</v>
      </c>
      <c r="F699" t="s">
        <v>72</v>
      </c>
      <c r="G699">
        <v>2</v>
      </c>
      <c r="H699">
        <v>993.58</v>
      </c>
    </row>
    <row r="700" spans="1:11" s="40" customFormat="1" x14ac:dyDescent="0.3">
      <c r="A700" s="41" t="s">
        <v>976</v>
      </c>
      <c r="B700" s="40">
        <f>D699*E700+G699*H700+J699*K700</f>
        <v>13577.358833</v>
      </c>
      <c r="E700" s="40">
        <v>772.67986299999995</v>
      </c>
      <c r="H700" s="40">
        <v>993.58044399999994</v>
      </c>
    </row>
    <row r="701" spans="1:11" x14ac:dyDescent="0.3">
      <c r="A701" t="s">
        <v>756</v>
      </c>
      <c r="B701">
        <v>16890.87</v>
      </c>
      <c r="C701" t="s">
        <v>65</v>
      </c>
      <c r="D701">
        <v>15</v>
      </c>
      <c r="E701">
        <v>993.58</v>
      </c>
      <c r="F701" t="s">
        <v>72</v>
      </c>
      <c r="G701">
        <v>2</v>
      </c>
      <c r="H701">
        <v>993.58</v>
      </c>
    </row>
    <row r="702" spans="1:11" s="40" customFormat="1" x14ac:dyDescent="0.3">
      <c r="A702" s="41" t="s">
        <v>976</v>
      </c>
      <c r="B702" s="40">
        <f>D701*E702+G701*H702+J701*K702</f>
        <v>16890.867547999998</v>
      </c>
      <c r="E702" s="40">
        <v>993.58044399999994</v>
      </c>
      <c r="H702" s="40">
        <v>993.58044399999994</v>
      </c>
    </row>
    <row r="703" spans="1:11" x14ac:dyDescent="0.3">
      <c r="A703" t="s">
        <v>754</v>
      </c>
      <c r="B703">
        <v>20204.25</v>
      </c>
      <c r="C703" t="s">
        <v>31</v>
      </c>
      <c r="D703">
        <v>15</v>
      </c>
      <c r="E703">
        <v>1214.47</v>
      </c>
      <c r="F703" t="s">
        <v>74</v>
      </c>
      <c r="G703">
        <v>2</v>
      </c>
      <c r="H703">
        <v>993.58</v>
      </c>
    </row>
    <row r="704" spans="1:11" s="40" customFormat="1" x14ac:dyDescent="0.3">
      <c r="A704" s="41" t="s">
        <v>976</v>
      </c>
      <c r="B704" s="40">
        <f>D703*E704+G703*H704+J703*K704</f>
        <v>20204.250907999998</v>
      </c>
      <c r="E704" s="40">
        <v>1214.4726679999999</v>
      </c>
      <c r="H704" s="40">
        <v>993.58044399999994</v>
      </c>
    </row>
    <row r="705" spans="1:8" x14ac:dyDescent="0.3">
      <c r="A705" t="s">
        <v>759</v>
      </c>
      <c r="B705">
        <v>20204.25</v>
      </c>
      <c r="C705" t="s">
        <v>31</v>
      </c>
      <c r="D705">
        <v>15</v>
      </c>
      <c r="E705">
        <v>1214.47</v>
      </c>
      <c r="F705" t="s">
        <v>74</v>
      </c>
      <c r="G705">
        <v>2</v>
      </c>
      <c r="H705">
        <v>993.58</v>
      </c>
    </row>
    <row r="706" spans="1:8" s="40" customFormat="1" x14ac:dyDescent="0.3">
      <c r="A706" s="41" t="s">
        <v>976</v>
      </c>
      <c r="B706" s="40">
        <f>D705*E706+G705*H706+J705*K706</f>
        <v>20204.250907999998</v>
      </c>
      <c r="E706" s="40">
        <v>1214.4726679999999</v>
      </c>
      <c r="H706" s="40">
        <v>993.58044399999994</v>
      </c>
    </row>
    <row r="707" spans="1:8" x14ac:dyDescent="0.3">
      <c r="A707" t="s">
        <v>757</v>
      </c>
      <c r="B707">
        <v>23512.240000000002</v>
      </c>
      <c r="C707" t="s">
        <v>69</v>
      </c>
      <c r="D707">
        <v>15</v>
      </c>
      <c r="E707">
        <v>1435.01</v>
      </c>
      <c r="F707" t="s">
        <v>74</v>
      </c>
      <c r="G707">
        <v>2</v>
      </c>
      <c r="H707">
        <v>993.58</v>
      </c>
    </row>
    <row r="708" spans="1:8" s="40" customFormat="1" x14ac:dyDescent="0.3">
      <c r="A708" s="41" t="s">
        <v>976</v>
      </c>
      <c r="B708" s="40">
        <f>D707*E708+G707*H708+J707*K708</f>
        <v>23512.244002999996</v>
      </c>
      <c r="E708" s="40">
        <v>1435.0055409999998</v>
      </c>
      <c r="H708" s="40">
        <v>993.58044399999994</v>
      </c>
    </row>
    <row r="709" spans="1:8" x14ac:dyDescent="0.3">
      <c r="A709" t="s">
        <v>758</v>
      </c>
      <c r="B709">
        <v>20204.25</v>
      </c>
      <c r="C709" t="s">
        <v>31</v>
      </c>
      <c r="D709">
        <v>15</v>
      </c>
      <c r="E709">
        <v>1214.47</v>
      </c>
      <c r="F709" t="s">
        <v>74</v>
      </c>
      <c r="G709">
        <v>2</v>
      </c>
      <c r="H709">
        <v>993.58</v>
      </c>
    </row>
    <row r="710" spans="1:8" s="40" customFormat="1" x14ac:dyDescent="0.3">
      <c r="A710" s="41" t="s">
        <v>976</v>
      </c>
      <c r="B710" s="40">
        <f>D709*E710+G709*H710+J709*K710</f>
        <v>20204.250907999998</v>
      </c>
      <c r="E710" s="40">
        <v>1214.4726679999999</v>
      </c>
      <c r="H710" s="40">
        <v>993.58044399999994</v>
      </c>
    </row>
    <row r="711" spans="1:8" x14ac:dyDescent="0.3">
      <c r="A711" t="s">
        <v>760</v>
      </c>
      <c r="B711">
        <v>11590.2</v>
      </c>
      <c r="C711" t="s">
        <v>27</v>
      </c>
      <c r="D711">
        <v>15</v>
      </c>
      <c r="E711">
        <v>772.68</v>
      </c>
    </row>
    <row r="712" spans="1:8" s="40" customFormat="1" x14ac:dyDescent="0.3">
      <c r="A712" s="41" t="s">
        <v>976</v>
      </c>
      <c r="B712" s="40">
        <f>D711*E712+G711*H712+J711*K712</f>
        <v>11590.197945</v>
      </c>
      <c r="E712" s="40">
        <v>772.67986299999995</v>
      </c>
    </row>
    <row r="713" spans="1:8" x14ac:dyDescent="0.3">
      <c r="A713" t="s">
        <v>761</v>
      </c>
      <c r="B713">
        <v>29804.14</v>
      </c>
      <c r="C713" t="s">
        <v>57</v>
      </c>
      <c r="D713">
        <v>14</v>
      </c>
      <c r="E713">
        <v>1986.93</v>
      </c>
      <c r="F713" t="s">
        <v>83</v>
      </c>
      <c r="G713">
        <v>2</v>
      </c>
      <c r="H713">
        <v>993.58</v>
      </c>
    </row>
    <row r="714" spans="1:8" s="40" customFormat="1" x14ac:dyDescent="0.3">
      <c r="A714" s="41" t="s">
        <v>976</v>
      </c>
      <c r="B714" s="40">
        <f>D713*E714+G713*H714+J713*K714</f>
        <v>29804.137375999999</v>
      </c>
      <c r="E714" s="40">
        <v>1986.926892</v>
      </c>
      <c r="H714" s="40">
        <v>993.58044399999994</v>
      </c>
    </row>
    <row r="715" spans="1:8" x14ac:dyDescent="0.3">
      <c r="A715" t="s">
        <v>762</v>
      </c>
      <c r="B715">
        <v>12804.68</v>
      </c>
      <c r="C715" t="s">
        <v>27</v>
      </c>
      <c r="D715">
        <v>14</v>
      </c>
      <c r="E715">
        <v>772.68</v>
      </c>
      <c r="F715" t="s">
        <v>72</v>
      </c>
      <c r="G715">
        <v>2</v>
      </c>
      <c r="H715">
        <v>993.58</v>
      </c>
    </row>
    <row r="716" spans="1:8" s="40" customFormat="1" x14ac:dyDescent="0.3">
      <c r="A716" s="41" t="s">
        <v>976</v>
      </c>
      <c r="B716" s="40">
        <f>D715*E716+G715*H716+J715*K716</f>
        <v>12804.678969999999</v>
      </c>
      <c r="E716" s="40">
        <v>772.67986299999995</v>
      </c>
      <c r="H716" s="40">
        <v>993.58044399999994</v>
      </c>
    </row>
    <row r="717" spans="1:8" x14ac:dyDescent="0.3">
      <c r="A717" t="s">
        <v>763</v>
      </c>
      <c r="B717">
        <v>15897.29</v>
      </c>
      <c r="C717" t="s">
        <v>65</v>
      </c>
      <c r="D717">
        <v>14</v>
      </c>
      <c r="E717">
        <v>993.58</v>
      </c>
      <c r="F717" t="s">
        <v>72</v>
      </c>
      <c r="G717">
        <v>2</v>
      </c>
      <c r="H717">
        <v>993.58</v>
      </c>
    </row>
    <row r="718" spans="1:8" s="40" customFormat="1" x14ac:dyDescent="0.3">
      <c r="A718" s="41" t="s">
        <v>976</v>
      </c>
      <c r="B718" s="40">
        <f>D717*E718+G717*H718+J717*K718</f>
        <v>15897.287103999999</v>
      </c>
      <c r="E718" s="40">
        <v>993.58044399999994</v>
      </c>
      <c r="H718" s="40">
        <v>993.58044399999994</v>
      </c>
    </row>
    <row r="719" spans="1:8" x14ac:dyDescent="0.3">
      <c r="A719" t="s">
        <v>764</v>
      </c>
      <c r="B719">
        <v>12804.68</v>
      </c>
      <c r="C719" t="s">
        <v>27</v>
      </c>
      <c r="D719">
        <v>14</v>
      </c>
      <c r="E719">
        <v>772.68</v>
      </c>
      <c r="F719" t="s">
        <v>72</v>
      </c>
      <c r="G719">
        <v>2</v>
      </c>
      <c r="H719">
        <v>993.58</v>
      </c>
    </row>
    <row r="720" spans="1:8" s="40" customFormat="1" x14ac:dyDescent="0.3">
      <c r="A720" s="41" t="s">
        <v>976</v>
      </c>
      <c r="B720" s="40">
        <f>D719*E720+G719*H720+J719*K720</f>
        <v>12804.678969999999</v>
      </c>
      <c r="E720" s="40">
        <v>772.67986299999995</v>
      </c>
      <c r="H720" s="40">
        <v>993.58044399999994</v>
      </c>
    </row>
    <row r="721" spans="1:8" x14ac:dyDescent="0.3">
      <c r="A721" t="s">
        <v>766</v>
      </c>
      <c r="B721">
        <v>12804.68</v>
      </c>
      <c r="C721" t="s">
        <v>27</v>
      </c>
      <c r="D721">
        <v>14</v>
      </c>
      <c r="E721">
        <v>772.68</v>
      </c>
      <c r="F721" t="s">
        <v>72</v>
      </c>
      <c r="G721">
        <v>2</v>
      </c>
      <c r="H721">
        <v>993.58</v>
      </c>
    </row>
    <row r="722" spans="1:8" s="40" customFormat="1" x14ac:dyDescent="0.3">
      <c r="A722" s="41" t="s">
        <v>976</v>
      </c>
      <c r="B722" s="40">
        <f>D721*E722+G721*H722+J721*K722</f>
        <v>12804.678969999999</v>
      </c>
      <c r="E722" s="40">
        <v>772.67986299999995</v>
      </c>
      <c r="H722" s="40">
        <v>993.58044399999994</v>
      </c>
    </row>
    <row r="723" spans="1:8" x14ac:dyDescent="0.3">
      <c r="A723" t="s">
        <v>765</v>
      </c>
      <c r="B723">
        <v>15897.29</v>
      </c>
      <c r="C723" t="s">
        <v>65</v>
      </c>
      <c r="D723">
        <v>14</v>
      </c>
      <c r="E723">
        <v>993.58</v>
      </c>
      <c r="F723" t="s">
        <v>72</v>
      </c>
      <c r="G723">
        <v>2</v>
      </c>
      <c r="H723">
        <v>993.58</v>
      </c>
    </row>
    <row r="724" spans="1:8" s="40" customFormat="1" x14ac:dyDescent="0.3">
      <c r="A724" s="41" t="s">
        <v>976</v>
      </c>
      <c r="B724" s="40">
        <f>D723*E724+G723*H724+J723*K724</f>
        <v>15897.287103999999</v>
      </c>
      <c r="E724" s="40">
        <v>993.58044399999994</v>
      </c>
      <c r="H724" s="40">
        <v>993.58044399999994</v>
      </c>
    </row>
    <row r="725" spans="1:8" x14ac:dyDescent="0.3">
      <c r="A725" t="s">
        <v>767</v>
      </c>
      <c r="B725">
        <v>12804.68</v>
      </c>
      <c r="C725" t="s">
        <v>27</v>
      </c>
      <c r="D725">
        <v>14</v>
      </c>
      <c r="E725">
        <v>772.68</v>
      </c>
      <c r="F725" t="s">
        <v>72</v>
      </c>
      <c r="G725">
        <v>2</v>
      </c>
      <c r="H725">
        <v>993.58</v>
      </c>
    </row>
    <row r="726" spans="1:8" s="40" customFormat="1" x14ac:dyDescent="0.3">
      <c r="A726" s="41" t="s">
        <v>976</v>
      </c>
      <c r="B726" s="40">
        <f>D725*E726+G725*H726+J725*K726</f>
        <v>12804.678969999999</v>
      </c>
      <c r="E726" s="40">
        <v>772.67986299999995</v>
      </c>
      <c r="H726" s="40">
        <v>993.58044399999994</v>
      </c>
    </row>
    <row r="727" spans="1:8" x14ac:dyDescent="0.3">
      <c r="A727" t="s">
        <v>768</v>
      </c>
      <c r="B727">
        <v>18989.78</v>
      </c>
      <c r="C727" t="s">
        <v>31</v>
      </c>
      <c r="D727">
        <v>14</v>
      </c>
      <c r="E727">
        <v>1214.47</v>
      </c>
      <c r="F727" t="s">
        <v>74</v>
      </c>
      <c r="G727">
        <v>2</v>
      </c>
      <c r="H727">
        <v>993.58</v>
      </c>
    </row>
    <row r="728" spans="1:8" s="40" customFormat="1" x14ac:dyDescent="0.3">
      <c r="A728" s="41" t="s">
        <v>976</v>
      </c>
      <c r="B728" s="40">
        <f>D727*E728+G727*H728+J727*K728</f>
        <v>18989.778239999996</v>
      </c>
      <c r="E728" s="40">
        <v>1214.4726679999999</v>
      </c>
      <c r="H728" s="40">
        <v>993.58044399999994</v>
      </c>
    </row>
    <row r="729" spans="1:8" x14ac:dyDescent="0.3">
      <c r="A729" t="s">
        <v>769</v>
      </c>
      <c r="B729">
        <v>18989.78</v>
      </c>
      <c r="C729" t="s">
        <v>31</v>
      </c>
      <c r="D729">
        <v>14</v>
      </c>
      <c r="E729">
        <v>1214.47</v>
      </c>
      <c r="F729" t="s">
        <v>74</v>
      </c>
      <c r="G729">
        <v>2</v>
      </c>
      <c r="H729">
        <v>993.58</v>
      </c>
    </row>
    <row r="730" spans="1:8" s="40" customFormat="1" x14ac:dyDescent="0.3">
      <c r="A730" s="41" t="s">
        <v>976</v>
      </c>
      <c r="B730" s="40">
        <f>D729*E730+G729*H730+J729*K730</f>
        <v>18989.778239999996</v>
      </c>
      <c r="E730" s="40">
        <v>1214.4726679999999</v>
      </c>
      <c r="H730" s="40">
        <v>993.58044399999994</v>
      </c>
    </row>
    <row r="731" spans="1:8" x14ac:dyDescent="0.3">
      <c r="A731" t="s">
        <v>770</v>
      </c>
      <c r="B731">
        <v>18989.78</v>
      </c>
      <c r="C731" t="s">
        <v>31</v>
      </c>
      <c r="D731">
        <v>14</v>
      </c>
      <c r="E731">
        <v>1214.47</v>
      </c>
      <c r="F731" t="s">
        <v>74</v>
      </c>
      <c r="G731">
        <v>2</v>
      </c>
      <c r="H731">
        <v>993.58</v>
      </c>
    </row>
    <row r="732" spans="1:8" s="40" customFormat="1" x14ac:dyDescent="0.3">
      <c r="A732" s="41" t="s">
        <v>976</v>
      </c>
      <c r="B732" s="40">
        <f>D731*E732+G731*H732+J731*K732</f>
        <v>18989.778239999996</v>
      </c>
      <c r="E732" s="40">
        <v>1214.4726679999999</v>
      </c>
      <c r="H732" s="40">
        <v>993.58044399999994</v>
      </c>
    </row>
    <row r="733" spans="1:8" x14ac:dyDescent="0.3">
      <c r="A733" t="s">
        <v>772</v>
      </c>
      <c r="B733">
        <v>18989.78</v>
      </c>
      <c r="C733" t="s">
        <v>31</v>
      </c>
      <c r="D733">
        <v>14</v>
      </c>
      <c r="E733">
        <v>1214.47</v>
      </c>
      <c r="F733" t="s">
        <v>74</v>
      </c>
      <c r="G733">
        <v>2</v>
      </c>
      <c r="H733">
        <v>993.58</v>
      </c>
    </row>
    <row r="734" spans="1:8" s="40" customFormat="1" x14ac:dyDescent="0.3">
      <c r="A734" s="41" t="s">
        <v>976</v>
      </c>
      <c r="B734" s="40">
        <f>D733*E734+G733*H734+J733*K734</f>
        <v>18989.778239999996</v>
      </c>
      <c r="E734" s="40">
        <v>1214.4726679999999</v>
      </c>
      <c r="H734" s="40">
        <v>993.58044399999994</v>
      </c>
    </row>
    <row r="735" spans="1:8" x14ac:dyDescent="0.3">
      <c r="A735" t="s">
        <v>771</v>
      </c>
      <c r="B735">
        <v>18989.78</v>
      </c>
      <c r="C735" t="s">
        <v>31</v>
      </c>
      <c r="D735">
        <v>14</v>
      </c>
      <c r="E735">
        <v>1214.47</v>
      </c>
      <c r="F735" t="s">
        <v>74</v>
      </c>
      <c r="G735">
        <v>2</v>
      </c>
      <c r="H735">
        <v>993.58</v>
      </c>
    </row>
    <row r="736" spans="1:8" s="40" customFormat="1" x14ac:dyDescent="0.3">
      <c r="A736" s="41" t="s">
        <v>976</v>
      </c>
      <c r="B736" s="40">
        <f>D735*E736+G735*H736+J735*K736</f>
        <v>18989.778239999996</v>
      </c>
      <c r="E736" s="40">
        <v>1214.4726679999999</v>
      </c>
      <c r="H736" s="40">
        <v>993.58044399999994</v>
      </c>
    </row>
    <row r="737" spans="1:8" x14ac:dyDescent="0.3">
      <c r="A737" t="s">
        <v>774</v>
      </c>
      <c r="B737">
        <v>18989.78</v>
      </c>
      <c r="C737" t="s">
        <v>31</v>
      </c>
      <c r="D737">
        <v>14</v>
      </c>
      <c r="E737">
        <v>1214.47</v>
      </c>
      <c r="F737" t="s">
        <v>74</v>
      </c>
      <c r="G737">
        <v>2</v>
      </c>
      <c r="H737">
        <v>993.58</v>
      </c>
    </row>
    <row r="738" spans="1:8" s="40" customFormat="1" x14ac:dyDescent="0.3">
      <c r="A738" s="41" t="s">
        <v>976</v>
      </c>
      <c r="B738" s="40">
        <f>D737*E738+G737*H738+J737*K738</f>
        <v>18989.778239999996</v>
      </c>
      <c r="E738" s="40">
        <v>1214.4726679999999</v>
      </c>
      <c r="H738" s="40">
        <v>993.58044399999994</v>
      </c>
    </row>
    <row r="739" spans="1:8" x14ac:dyDescent="0.3">
      <c r="A739" t="s">
        <v>773</v>
      </c>
      <c r="B739">
        <v>18989.78</v>
      </c>
      <c r="C739" t="s">
        <v>31</v>
      </c>
      <c r="D739">
        <v>14</v>
      </c>
      <c r="E739">
        <v>1214.47</v>
      </c>
      <c r="F739" t="s">
        <v>74</v>
      </c>
      <c r="G739">
        <v>2</v>
      </c>
      <c r="H739">
        <v>993.58</v>
      </c>
    </row>
    <row r="740" spans="1:8" s="40" customFormat="1" x14ac:dyDescent="0.3">
      <c r="A740" s="41" t="s">
        <v>976</v>
      </c>
      <c r="B740" s="40">
        <f>D739*E740+G739*H740+J739*K740</f>
        <v>18989.778239999996</v>
      </c>
      <c r="E740" s="40">
        <v>1214.4726679999999</v>
      </c>
      <c r="H740" s="40">
        <v>993.58044399999994</v>
      </c>
    </row>
    <row r="741" spans="1:8" x14ac:dyDescent="0.3">
      <c r="A741" t="s">
        <v>775</v>
      </c>
      <c r="B741">
        <v>18989.78</v>
      </c>
      <c r="C741" t="s">
        <v>31</v>
      </c>
      <c r="D741">
        <v>14</v>
      </c>
      <c r="E741">
        <v>1214.47</v>
      </c>
      <c r="F741" t="s">
        <v>74</v>
      </c>
      <c r="G741">
        <v>2</v>
      </c>
      <c r="H741">
        <v>993.58</v>
      </c>
    </row>
    <row r="742" spans="1:8" s="40" customFormat="1" x14ac:dyDescent="0.3">
      <c r="A742" s="41" t="s">
        <v>976</v>
      </c>
      <c r="B742" s="40">
        <f>D741*E742+G741*H742+J741*K742</f>
        <v>18989.778239999996</v>
      </c>
      <c r="E742" s="40">
        <v>1214.4726679999999</v>
      </c>
      <c r="H742" s="40">
        <v>993.58044399999994</v>
      </c>
    </row>
    <row r="743" spans="1:8" x14ac:dyDescent="0.3">
      <c r="A743" t="s">
        <v>778</v>
      </c>
      <c r="B743">
        <v>18989.78</v>
      </c>
      <c r="C743" t="s">
        <v>31</v>
      </c>
      <c r="D743">
        <v>14</v>
      </c>
      <c r="E743">
        <v>1214.47</v>
      </c>
      <c r="F743" t="s">
        <v>74</v>
      </c>
      <c r="G743">
        <v>2</v>
      </c>
      <c r="H743">
        <v>993.58</v>
      </c>
    </row>
    <row r="744" spans="1:8" s="40" customFormat="1" x14ac:dyDescent="0.3">
      <c r="A744" s="41" t="s">
        <v>976</v>
      </c>
      <c r="B744" s="40">
        <f>D743*E744+G743*H744+J743*K744</f>
        <v>18989.778239999996</v>
      </c>
      <c r="E744" s="40">
        <v>1214.4726679999999</v>
      </c>
      <c r="H744" s="40">
        <v>993.58044399999994</v>
      </c>
    </row>
    <row r="745" spans="1:8" x14ac:dyDescent="0.3">
      <c r="A745" t="s">
        <v>777</v>
      </c>
      <c r="B745">
        <v>18989.78</v>
      </c>
      <c r="C745" t="s">
        <v>31</v>
      </c>
      <c r="D745">
        <v>14</v>
      </c>
      <c r="E745">
        <v>1214.47</v>
      </c>
      <c r="F745" t="s">
        <v>74</v>
      </c>
      <c r="G745">
        <v>2</v>
      </c>
      <c r="H745">
        <v>993.58</v>
      </c>
    </row>
    <row r="746" spans="1:8" s="40" customFormat="1" x14ac:dyDescent="0.3">
      <c r="A746" s="41" t="s">
        <v>976</v>
      </c>
      <c r="B746" s="40">
        <f>D745*E746+G745*H746+J745*K746</f>
        <v>18989.778239999996</v>
      </c>
      <c r="E746" s="40">
        <v>1214.4726679999999</v>
      </c>
      <c r="H746" s="40">
        <v>993.58044399999994</v>
      </c>
    </row>
    <row r="747" spans="1:8" x14ac:dyDescent="0.3">
      <c r="A747" t="s">
        <v>779</v>
      </c>
      <c r="B747">
        <v>18989.78</v>
      </c>
      <c r="C747" t="s">
        <v>31</v>
      </c>
      <c r="D747">
        <v>14</v>
      </c>
      <c r="E747">
        <v>1214.47</v>
      </c>
      <c r="F747" t="s">
        <v>74</v>
      </c>
      <c r="G747">
        <v>2</v>
      </c>
      <c r="H747">
        <v>993.58</v>
      </c>
    </row>
    <row r="748" spans="1:8" s="40" customFormat="1" x14ac:dyDescent="0.3">
      <c r="A748" s="41" t="s">
        <v>976</v>
      </c>
      <c r="B748" s="40">
        <f>D747*E748+G747*H748+J747*K748</f>
        <v>18989.778239999996</v>
      </c>
      <c r="E748" s="40">
        <v>1214.4726679999999</v>
      </c>
      <c r="H748" s="40">
        <v>993.58044399999994</v>
      </c>
    </row>
    <row r="749" spans="1:8" x14ac:dyDescent="0.3">
      <c r="A749" t="s">
        <v>780</v>
      </c>
      <c r="B749">
        <v>12362.88</v>
      </c>
      <c r="C749" t="s">
        <v>27</v>
      </c>
      <c r="D749">
        <v>14</v>
      </c>
      <c r="E749">
        <v>772.68</v>
      </c>
      <c r="F749" t="s">
        <v>87</v>
      </c>
      <c r="G749">
        <v>2</v>
      </c>
      <c r="H749">
        <v>772.68</v>
      </c>
    </row>
    <row r="750" spans="1:8" s="40" customFormat="1" x14ac:dyDescent="0.3">
      <c r="A750" s="41" t="s">
        <v>976</v>
      </c>
      <c r="B750" s="40">
        <f>D749*E750+G749*H750+J749*K750</f>
        <v>12362.877807999999</v>
      </c>
      <c r="E750" s="40">
        <v>772.67986299999995</v>
      </c>
      <c r="H750" s="40">
        <v>772.67986299999995</v>
      </c>
    </row>
    <row r="751" spans="1:8" x14ac:dyDescent="0.3">
      <c r="A751" t="s">
        <v>781</v>
      </c>
      <c r="B751">
        <v>18547.98</v>
      </c>
      <c r="C751" t="s">
        <v>31</v>
      </c>
      <c r="D751">
        <v>14</v>
      </c>
      <c r="E751">
        <v>1214.47</v>
      </c>
      <c r="F751" t="s">
        <v>89</v>
      </c>
      <c r="G751">
        <v>2</v>
      </c>
      <c r="H751">
        <v>772.68</v>
      </c>
    </row>
    <row r="752" spans="1:8" s="40" customFormat="1" x14ac:dyDescent="0.3">
      <c r="A752" s="41" t="s">
        <v>976</v>
      </c>
      <c r="B752" s="40">
        <f>D751*E752+G751*H752+J751*K752</f>
        <v>18547.977077999996</v>
      </c>
      <c r="E752" s="40">
        <v>1214.4726679999999</v>
      </c>
      <c r="H752" s="40">
        <v>772.67986299999995</v>
      </c>
    </row>
    <row r="753" spans="1:8" x14ac:dyDescent="0.3">
      <c r="A753" t="s">
        <v>782</v>
      </c>
      <c r="B753">
        <v>12032</v>
      </c>
      <c r="C753" t="s">
        <v>27</v>
      </c>
      <c r="D753">
        <v>13</v>
      </c>
      <c r="E753">
        <v>772.68</v>
      </c>
      <c r="F753" t="s">
        <v>72</v>
      </c>
      <c r="G753">
        <v>2</v>
      </c>
      <c r="H753">
        <v>993.58</v>
      </c>
    </row>
    <row r="754" spans="1:8" s="40" customFormat="1" x14ac:dyDescent="0.3">
      <c r="A754" s="41" t="s">
        <v>976</v>
      </c>
      <c r="B754" s="40">
        <f>D753*E754+G753*H754+J753*K754</f>
        <v>12031.999107</v>
      </c>
      <c r="E754" s="40">
        <v>772.67986299999995</v>
      </c>
      <c r="H754" s="40">
        <v>993.58044399999994</v>
      </c>
    </row>
    <row r="755" spans="1:8" x14ac:dyDescent="0.3">
      <c r="A755" t="s">
        <v>783</v>
      </c>
      <c r="B755">
        <v>17333.5</v>
      </c>
      <c r="C755" t="s">
        <v>67</v>
      </c>
      <c r="D755">
        <v>13</v>
      </c>
      <c r="E755">
        <v>1214.47</v>
      </c>
      <c r="F755" t="s">
        <v>89</v>
      </c>
      <c r="G755">
        <v>2</v>
      </c>
      <c r="H755">
        <v>772.68</v>
      </c>
    </row>
    <row r="756" spans="1:8" s="40" customFormat="1" x14ac:dyDescent="0.3">
      <c r="A756" s="41" t="s">
        <v>976</v>
      </c>
      <c r="B756" s="40">
        <f>D755*E756+G755*H756+J755*K756</f>
        <v>17333.504409999998</v>
      </c>
      <c r="E756" s="40">
        <v>1214.4726679999999</v>
      </c>
      <c r="H756" s="40">
        <v>772.67986299999995</v>
      </c>
    </row>
    <row r="757" spans="1:8" x14ac:dyDescent="0.3">
      <c r="A757" t="s">
        <v>784</v>
      </c>
      <c r="B757">
        <v>10044.84</v>
      </c>
      <c r="C757" t="s">
        <v>27</v>
      </c>
      <c r="D757">
        <v>13</v>
      </c>
      <c r="E757">
        <v>772.68</v>
      </c>
    </row>
    <row r="758" spans="1:8" s="40" customFormat="1" x14ac:dyDescent="0.3">
      <c r="A758" s="41" t="s">
        <v>976</v>
      </c>
      <c r="B758" s="40">
        <f>D757*E758+G757*H758+J757*K758</f>
        <v>10044.838218999999</v>
      </c>
      <c r="E758" s="40">
        <v>772.67986299999995</v>
      </c>
    </row>
    <row r="759" spans="1:8" x14ac:dyDescent="0.3">
      <c r="A759" t="s">
        <v>785</v>
      </c>
      <c r="B759">
        <v>25830.28</v>
      </c>
      <c r="C759" t="s">
        <v>57</v>
      </c>
      <c r="D759">
        <v>12</v>
      </c>
      <c r="E759">
        <v>1986.93</v>
      </c>
      <c r="F759" t="s">
        <v>83</v>
      </c>
      <c r="G759">
        <v>2</v>
      </c>
      <c r="H759">
        <v>993.58</v>
      </c>
    </row>
    <row r="760" spans="1:8" s="40" customFormat="1" x14ac:dyDescent="0.3">
      <c r="A760" s="41" t="s">
        <v>976</v>
      </c>
      <c r="B760" s="40">
        <f>D759*E760+G759*H760+J759*K760</f>
        <v>25830.283592</v>
      </c>
      <c r="E760" s="40">
        <v>1986.926892</v>
      </c>
      <c r="H760" s="40">
        <v>993.58044399999994</v>
      </c>
    </row>
    <row r="761" spans="1:8" x14ac:dyDescent="0.3">
      <c r="A761" t="s">
        <v>787</v>
      </c>
      <c r="B761">
        <v>25830.28</v>
      </c>
      <c r="C761" t="s">
        <v>57</v>
      </c>
      <c r="D761">
        <v>12</v>
      </c>
      <c r="E761">
        <v>1986.93</v>
      </c>
      <c r="F761" t="s">
        <v>83</v>
      </c>
      <c r="G761">
        <v>2</v>
      </c>
      <c r="H761">
        <v>993.58</v>
      </c>
    </row>
    <row r="762" spans="1:8" s="40" customFormat="1" x14ac:dyDescent="0.3">
      <c r="A762" s="41" t="s">
        <v>976</v>
      </c>
      <c r="B762" s="40">
        <f>D761*E762+G761*H762+J761*K762</f>
        <v>25830.283592</v>
      </c>
      <c r="E762" s="40">
        <v>1986.926892</v>
      </c>
      <c r="H762" s="40">
        <v>993.58044399999994</v>
      </c>
    </row>
    <row r="763" spans="1:8" x14ac:dyDescent="0.3">
      <c r="A763" t="s">
        <v>786</v>
      </c>
      <c r="B763">
        <v>23181.18</v>
      </c>
      <c r="C763" t="s">
        <v>53</v>
      </c>
      <c r="D763">
        <v>12</v>
      </c>
      <c r="E763">
        <v>1766.17</v>
      </c>
      <c r="F763" t="s">
        <v>81</v>
      </c>
      <c r="G763">
        <v>2</v>
      </c>
      <c r="H763">
        <v>993.58</v>
      </c>
    </row>
    <row r="764" spans="1:8" s="40" customFormat="1" x14ac:dyDescent="0.3">
      <c r="A764" s="41" t="s">
        <v>976</v>
      </c>
      <c r="B764" s="40">
        <f>D763*E764+G763*H764+J763*K764</f>
        <v>23181.181447999996</v>
      </c>
      <c r="E764" s="40">
        <v>1766.1683799999998</v>
      </c>
      <c r="H764" s="40">
        <v>993.58044399999994</v>
      </c>
    </row>
    <row r="765" spans="1:8" x14ac:dyDescent="0.3">
      <c r="A765" t="s">
        <v>789</v>
      </c>
      <c r="B765">
        <v>25830.28</v>
      </c>
      <c r="C765" t="s">
        <v>57</v>
      </c>
      <c r="D765">
        <v>12</v>
      </c>
      <c r="E765">
        <v>1986.93</v>
      </c>
      <c r="F765" t="s">
        <v>83</v>
      </c>
      <c r="G765">
        <v>2</v>
      </c>
      <c r="H765">
        <v>993.58</v>
      </c>
    </row>
    <row r="766" spans="1:8" s="40" customFormat="1" x14ac:dyDescent="0.3">
      <c r="A766" s="41" t="s">
        <v>976</v>
      </c>
      <c r="B766" s="40">
        <f>D765*E766+G765*H766+J765*K766</f>
        <v>25830.283592</v>
      </c>
      <c r="E766" s="40">
        <v>1986.926892</v>
      </c>
      <c r="H766" s="40">
        <v>993.58044399999994</v>
      </c>
    </row>
    <row r="767" spans="1:8" x14ac:dyDescent="0.3">
      <c r="A767" t="s">
        <v>788</v>
      </c>
      <c r="B767">
        <v>25830.28</v>
      </c>
      <c r="C767" t="s">
        <v>57</v>
      </c>
      <c r="D767">
        <v>12</v>
      </c>
      <c r="E767">
        <v>1986.93</v>
      </c>
      <c r="F767" t="s">
        <v>83</v>
      </c>
      <c r="G767">
        <v>2</v>
      </c>
      <c r="H767">
        <v>993.58</v>
      </c>
    </row>
    <row r="768" spans="1:8" s="40" customFormat="1" x14ac:dyDescent="0.3">
      <c r="A768" s="41" t="s">
        <v>976</v>
      </c>
      <c r="B768" s="40">
        <f>D767*E768+G767*H768+J767*K768</f>
        <v>25830.283592</v>
      </c>
      <c r="E768" s="40">
        <v>1986.926892</v>
      </c>
      <c r="H768" s="40">
        <v>993.58044399999994</v>
      </c>
    </row>
    <row r="769" spans="1:8" x14ac:dyDescent="0.3">
      <c r="A769" t="s">
        <v>790</v>
      </c>
      <c r="B769">
        <v>30465.29</v>
      </c>
      <c r="C769" t="s">
        <v>59</v>
      </c>
      <c r="D769">
        <v>12</v>
      </c>
      <c r="E769">
        <v>2207.7399999999998</v>
      </c>
      <c r="F769" t="s">
        <v>85</v>
      </c>
      <c r="G769">
        <v>2</v>
      </c>
      <c r="H769">
        <v>1986.23</v>
      </c>
    </row>
    <row r="770" spans="1:8" s="40" customFormat="1" x14ac:dyDescent="0.3">
      <c r="A770" s="41" t="s">
        <v>976</v>
      </c>
      <c r="B770" s="40">
        <f>D769*E770+G769*H770+J769*K770</f>
        <v>30465.293073999997</v>
      </c>
      <c r="E770" s="40">
        <v>2207.7355459999999</v>
      </c>
      <c r="H770" s="40">
        <v>1986.2332609999996</v>
      </c>
    </row>
    <row r="771" spans="1:8" x14ac:dyDescent="0.3">
      <c r="A771" t="s">
        <v>791</v>
      </c>
      <c r="B771">
        <v>30465.29</v>
      </c>
      <c r="C771" t="s">
        <v>59</v>
      </c>
      <c r="D771">
        <v>12</v>
      </c>
      <c r="E771">
        <v>2207.7399999999998</v>
      </c>
      <c r="F771" t="s">
        <v>85</v>
      </c>
      <c r="G771">
        <v>2</v>
      </c>
      <c r="H771">
        <v>1986.23</v>
      </c>
    </row>
    <row r="772" spans="1:8" s="40" customFormat="1" x14ac:dyDescent="0.3">
      <c r="A772" s="41" t="s">
        <v>976</v>
      </c>
      <c r="B772" s="40">
        <f>D771*E772+G771*H772+J771*K772</f>
        <v>30465.293073999997</v>
      </c>
      <c r="E772" s="40">
        <v>2207.7355459999999</v>
      </c>
      <c r="H772" s="40">
        <v>1986.2332609999996</v>
      </c>
    </row>
    <row r="773" spans="1:8" x14ac:dyDescent="0.3">
      <c r="A773" t="s">
        <v>793</v>
      </c>
      <c r="B773">
        <v>8608.51</v>
      </c>
      <c r="C773" t="s">
        <v>24</v>
      </c>
      <c r="D773">
        <v>12</v>
      </c>
      <c r="E773">
        <v>551.78</v>
      </c>
      <c r="F773" t="s">
        <v>72</v>
      </c>
      <c r="G773">
        <v>2</v>
      </c>
      <c r="H773">
        <v>993.58</v>
      </c>
    </row>
    <row r="774" spans="1:8" s="40" customFormat="1" x14ac:dyDescent="0.3">
      <c r="A774" s="41" t="s">
        <v>976</v>
      </c>
      <c r="B774" s="40">
        <f>D773*E774+G773*H774+J773*K774</f>
        <v>8608.5122719999999</v>
      </c>
      <c r="E774" s="40">
        <v>551.77928199999997</v>
      </c>
      <c r="H774" s="40">
        <v>993.58044399999994</v>
      </c>
    </row>
    <row r="775" spans="1:8" x14ac:dyDescent="0.3">
      <c r="A775" t="s">
        <v>792</v>
      </c>
      <c r="B775">
        <v>8608.51</v>
      </c>
      <c r="C775" t="s">
        <v>24</v>
      </c>
      <c r="D775">
        <v>12</v>
      </c>
      <c r="E775">
        <v>551.78</v>
      </c>
      <c r="F775" t="s">
        <v>72</v>
      </c>
      <c r="G775">
        <v>2</v>
      </c>
      <c r="H775">
        <v>993.58</v>
      </c>
    </row>
    <row r="776" spans="1:8" s="40" customFormat="1" x14ac:dyDescent="0.3">
      <c r="A776" s="41" t="s">
        <v>976</v>
      </c>
      <c r="B776" s="40">
        <f>D775*E776+G775*H776+J775*K776</f>
        <v>8608.5122719999999</v>
      </c>
      <c r="E776" s="40">
        <v>551.77928199999997</v>
      </c>
      <c r="H776" s="40">
        <v>993.58044399999994</v>
      </c>
    </row>
    <row r="777" spans="1:8" x14ac:dyDescent="0.3">
      <c r="A777" t="s">
        <v>796</v>
      </c>
      <c r="B777">
        <v>11259.32</v>
      </c>
      <c r="C777" t="s">
        <v>27</v>
      </c>
      <c r="D777">
        <v>12</v>
      </c>
      <c r="E777">
        <v>772.68</v>
      </c>
      <c r="F777" t="s">
        <v>72</v>
      </c>
      <c r="G777">
        <v>2</v>
      </c>
      <c r="H777">
        <v>993.58</v>
      </c>
    </row>
    <row r="778" spans="1:8" s="40" customFormat="1" x14ac:dyDescent="0.3">
      <c r="A778" s="41" t="s">
        <v>976</v>
      </c>
      <c r="B778" s="40">
        <f>D777*E778+G777*H778+J777*K778</f>
        <v>11259.319244</v>
      </c>
      <c r="E778" s="40">
        <v>772.67986299999995</v>
      </c>
      <c r="H778" s="40">
        <v>993.58044399999994</v>
      </c>
    </row>
    <row r="779" spans="1:8" x14ac:dyDescent="0.3">
      <c r="A779" t="s">
        <v>794</v>
      </c>
      <c r="B779">
        <v>8608.51</v>
      </c>
      <c r="C779" t="s">
        <v>24</v>
      </c>
      <c r="D779">
        <v>12</v>
      </c>
      <c r="E779">
        <v>551.78</v>
      </c>
      <c r="F779" t="s">
        <v>72</v>
      </c>
      <c r="G779">
        <v>2</v>
      </c>
      <c r="H779">
        <v>993.58</v>
      </c>
    </row>
    <row r="780" spans="1:8" s="40" customFormat="1" x14ac:dyDescent="0.3">
      <c r="A780" s="41" t="s">
        <v>976</v>
      </c>
      <c r="B780" s="40">
        <f>D779*E780+G779*H780+J779*K780</f>
        <v>8608.5122719999999</v>
      </c>
      <c r="E780" s="40">
        <v>551.77928199999997</v>
      </c>
      <c r="H780" s="40">
        <v>993.58044399999994</v>
      </c>
    </row>
    <row r="781" spans="1:8" x14ac:dyDescent="0.3">
      <c r="A781" t="s">
        <v>797</v>
      </c>
      <c r="B781">
        <v>13910.13</v>
      </c>
      <c r="C781" t="s">
        <v>65</v>
      </c>
      <c r="D781">
        <v>12</v>
      </c>
      <c r="E781">
        <v>993.58</v>
      </c>
      <c r="F781" t="s">
        <v>72</v>
      </c>
      <c r="G781">
        <v>2</v>
      </c>
      <c r="H781">
        <v>993.58</v>
      </c>
    </row>
    <row r="782" spans="1:8" s="40" customFormat="1" x14ac:dyDescent="0.3">
      <c r="A782" s="41" t="s">
        <v>976</v>
      </c>
      <c r="B782" s="40">
        <f>D781*E782+G781*H782+J781*K782</f>
        <v>13910.126215999999</v>
      </c>
      <c r="E782" s="40">
        <v>993.58044399999994</v>
      </c>
      <c r="H782" s="40">
        <v>993.58044399999994</v>
      </c>
    </row>
    <row r="783" spans="1:8" x14ac:dyDescent="0.3">
      <c r="A783" t="s">
        <v>798</v>
      </c>
      <c r="B783">
        <v>11259.32</v>
      </c>
      <c r="C783" t="s">
        <v>27</v>
      </c>
      <c r="D783">
        <v>12</v>
      </c>
      <c r="E783">
        <v>772.68</v>
      </c>
      <c r="F783" t="s">
        <v>72</v>
      </c>
      <c r="G783">
        <v>2</v>
      </c>
      <c r="H783">
        <v>993.58</v>
      </c>
    </row>
    <row r="784" spans="1:8" s="40" customFormat="1" x14ac:dyDescent="0.3">
      <c r="A784" s="41" t="s">
        <v>976</v>
      </c>
      <c r="B784" s="40">
        <f>D783*E784+G783*H784+J783*K784</f>
        <v>11259.319244</v>
      </c>
      <c r="E784" s="40">
        <v>772.67986299999995</v>
      </c>
      <c r="H784" s="40">
        <v>993.58044399999994</v>
      </c>
    </row>
    <row r="785" spans="1:8" x14ac:dyDescent="0.3">
      <c r="A785" t="s">
        <v>799</v>
      </c>
      <c r="B785">
        <v>11259.32</v>
      </c>
      <c r="C785" t="s">
        <v>27</v>
      </c>
      <c r="D785">
        <v>12</v>
      </c>
      <c r="E785">
        <v>772.68</v>
      </c>
      <c r="F785" t="s">
        <v>72</v>
      </c>
      <c r="G785">
        <v>2</v>
      </c>
      <c r="H785">
        <v>993.58</v>
      </c>
    </row>
    <row r="786" spans="1:8" s="40" customFormat="1" x14ac:dyDescent="0.3">
      <c r="A786" s="41" t="s">
        <v>976</v>
      </c>
      <c r="B786" s="40">
        <f>D785*E786+G785*H786+J785*K786</f>
        <v>11259.319244</v>
      </c>
      <c r="E786" s="40">
        <v>772.67986299999995</v>
      </c>
      <c r="H786" s="40">
        <v>993.58044399999994</v>
      </c>
    </row>
    <row r="787" spans="1:8" x14ac:dyDescent="0.3">
      <c r="A787" t="s">
        <v>800</v>
      </c>
      <c r="B787">
        <v>13910.13</v>
      </c>
      <c r="C787" t="s">
        <v>65</v>
      </c>
      <c r="D787">
        <v>12</v>
      </c>
      <c r="E787">
        <v>993.58</v>
      </c>
      <c r="F787" t="s">
        <v>72</v>
      </c>
      <c r="G787">
        <v>2</v>
      </c>
      <c r="H787">
        <v>993.58</v>
      </c>
    </row>
    <row r="788" spans="1:8" s="40" customFormat="1" x14ac:dyDescent="0.3">
      <c r="A788" s="41" t="s">
        <v>976</v>
      </c>
      <c r="B788" s="40">
        <f>D787*E788+G787*H788+J787*K788</f>
        <v>13910.126215999999</v>
      </c>
      <c r="E788" s="40">
        <v>993.58044399999994</v>
      </c>
      <c r="H788" s="40">
        <v>993.58044399999994</v>
      </c>
    </row>
    <row r="789" spans="1:8" x14ac:dyDescent="0.3">
      <c r="A789" t="s">
        <v>802</v>
      </c>
      <c r="B789">
        <v>11259.32</v>
      </c>
      <c r="C789" t="s">
        <v>27</v>
      </c>
      <c r="D789">
        <v>12</v>
      </c>
      <c r="E789">
        <v>772.68</v>
      </c>
      <c r="F789" t="s">
        <v>72</v>
      </c>
      <c r="G789">
        <v>2</v>
      </c>
      <c r="H789">
        <v>993.58</v>
      </c>
    </row>
    <row r="790" spans="1:8" s="40" customFormat="1" x14ac:dyDescent="0.3">
      <c r="A790" s="41" t="s">
        <v>976</v>
      </c>
      <c r="B790" s="40">
        <f>D789*E790+G789*H790+J789*K790</f>
        <v>11259.319244</v>
      </c>
      <c r="E790" s="40">
        <v>772.67986299999995</v>
      </c>
      <c r="H790" s="40">
        <v>993.58044399999994</v>
      </c>
    </row>
    <row r="791" spans="1:8" x14ac:dyDescent="0.3">
      <c r="A791" t="s">
        <v>803</v>
      </c>
      <c r="B791">
        <v>11259.32</v>
      </c>
      <c r="C791" t="s">
        <v>27</v>
      </c>
      <c r="D791">
        <v>12</v>
      </c>
      <c r="E791">
        <v>772.68</v>
      </c>
      <c r="F791" t="s">
        <v>72</v>
      </c>
      <c r="G791">
        <v>2</v>
      </c>
      <c r="H791">
        <v>993.58</v>
      </c>
    </row>
    <row r="792" spans="1:8" s="40" customFormat="1" x14ac:dyDescent="0.3">
      <c r="A792" s="41" t="s">
        <v>976</v>
      </c>
      <c r="B792" s="40">
        <f>D791*E792+G791*H792+J791*K792</f>
        <v>11259.319244</v>
      </c>
      <c r="E792" s="40">
        <v>772.67986299999995</v>
      </c>
      <c r="H792" s="40">
        <v>993.58044399999994</v>
      </c>
    </row>
    <row r="793" spans="1:8" x14ac:dyDescent="0.3">
      <c r="A793" t="s">
        <v>801</v>
      </c>
      <c r="B793">
        <v>13910.13</v>
      </c>
      <c r="C793" t="s">
        <v>65</v>
      </c>
      <c r="D793">
        <v>12</v>
      </c>
      <c r="E793">
        <v>993.58</v>
      </c>
      <c r="F793" t="s">
        <v>72</v>
      </c>
      <c r="G793">
        <v>2</v>
      </c>
      <c r="H793">
        <v>993.58</v>
      </c>
    </row>
    <row r="794" spans="1:8" s="40" customFormat="1" x14ac:dyDescent="0.3">
      <c r="A794" s="41" t="s">
        <v>976</v>
      </c>
      <c r="B794" s="40">
        <f>D793*E794+G793*H794+J793*K794</f>
        <v>13910.126215999999</v>
      </c>
      <c r="E794" s="40">
        <v>993.58044399999994</v>
      </c>
      <c r="H794" s="40">
        <v>993.58044399999994</v>
      </c>
    </row>
    <row r="795" spans="1:8" x14ac:dyDescent="0.3">
      <c r="A795" t="s">
        <v>805</v>
      </c>
      <c r="B795">
        <v>11259.32</v>
      </c>
      <c r="C795" t="s">
        <v>27</v>
      </c>
      <c r="D795">
        <v>12</v>
      </c>
      <c r="E795">
        <v>772.68</v>
      </c>
      <c r="F795" t="s">
        <v>72</v>
      </c>
      <c r="G795">
        <v>2</v>
      </c>
      <c r="H795">
        <v>993.58</v>
      </c>
    </row>
    <row r="796" spans="1:8" s="40" customFormat="1" x14ac:dyDescent="0.3">
      <c r="A796" s="41" t="s">
        <v>976</v>
      </c>
      <c r="B796" s="40">
        <f>D795*E796+G795*H796+J795*K796</f>
        <v>11259.319244</v>
      </c>
      <c r="E796" s="40">
        <v>772.67986299999995</v>
      </c>
      <c r="H796" s="40">
        <v>993.58044399999994</v>
      </c>
    </row>
    <row r="797" spans="1:8" x14ac:dyDescent="0.3">
      <c r="A797" t="s">
        <v>804</v>
      </c>
      <c r="B797">
        <v>13910.13</v>
      </c>
      <c r="C797" t="s">
        <v>65</v>
      </c>
      <c r="D797">
        <v>12</v>
      </c>
      <c r="E797">
        <v>993.58</v>
      </c>
      <c r="F797" t="s">
        <v>72</v>
      </c>
      <c r="G797">
        <v>2</v>
      </c>
      <c r="H797">
        <v>993.58</v>
      </c>
    </row>
    <row r="798" spans="1:8" s="40" customFormat="1" x14ac:dyDescent="0.3">
      <c r="A798" s="41" t="s">
        <v>976</v>
      </c>
      <c r="B798" s="40">
        <f>D797*E798+G797*H798+J797*K798</f>
        <v>13910.126215999999</v>
      </c>
      <c r="E798" s="40">
        <v>993.58044399999994</v>
      </c>
      <c r="H798" s="40">
        <v>993.58044399999994</v>
      </c>
    </row>
    <row r="799" spans="1:8" x14ac:dyDescent="0.3">
      <c r="A799" t="s">
        <v>806</v>
      </c>
      <c r="B799">
        <v>11259.32</v>
      </c>
      <c r="C799" t="s">
        <v>27</v>
      </c>
      <c r="D799">
        <v>12</v>
      </c>
      <c r="E799">
        <v>772.68</v>
      </c>
      <c r="F799" t="s">
        <v>72</v>
      </c>
      <c r="G799">
        <v>2</v>
      </c>
      <c r="H799">
        <v>993.58</v>
      </c>
    </row>
    <row r="800" spans="1:8" s="40" customFormat="1" x14ac:dyDescent="0.3">
      <c r="A800" s="41" t="s">
        <v>976</v>
      </c>
      <c r="B800" s="40">
        <f>D799*E800+G799*H800+J799*K800</f>
        <v>11259.319244</v>
      </c>
      <c r="E800" s="40">
        <v>772.67986299999995</v>
      </c>
      <c r="H800" s="40">
        <v>993.58044399999994</v>
      </c>
    </row>
    <row r="801" spans="1:11" x14ac:dyDescent="0.3">
      <c r="A801" t="s">
        <v>808</v>
      </c>
      <c r="B801">
        <v>13910.13</v>
      </c>
      <c r="C801" t="s">
        <v>65</v>
      </c>
      <c r="D801">
        <v>12</v>
      </c>
      <c r="E801">
        <v>993.58</v>
      </c>
      <c r="F801" t="s">
        <v>72</v>
      </c>
      <c r="G801">
        <v>2</v>
      </c>
      <c r="H801">
        <v>993.58</v>
      </c>
    </row>
    <row r="802" spans="1:11" s="40" customFormat="1" x14ac:dyDescent="0.3">
      <c r="A802" s="41" t="s">
        <v>976</v>
      </c>
      <c r="B802" s="40">
        <f>D801*E802+G801*H802+J801*K802</f>
        <v>13910.126215999999</v>
      </c>
      <c r="E802" s="40">
        <v>993.58044399999994</v>
      </c>
      <c r="H802" s="40">
        <v>993.58044399999994</v>
      </c>
    </row>
    <row r="803" spans="1:11" x14ac:dyDescent="0.3">
      <c r="A803" t="s">
        <v>807</v>
      </c>
      <c r="B803">
        <v>11259.32</v>
      </c>
      <c r="C803" t="s">
        <v>27</v>
      </c>
      <c r="D803">
        <v>12</v>
      </c>
      <c r="E803">
        <v>772.68</v>
      </c>
      <c r="F803" t="s">
        <v>72</v>
      </c>
      <c r="G803">
        <v>2</v>
      </c>
      <c r="H803">
        <v>993.58</v>
      </c>
    </row>
    <row r="804" spans="1:11" s="40" customFormat="1" x14ac:dyDescent="0.3">
      <c r="A804" s="41" t="s">
        <v>976</v>
      </c>
      <c r="B804" s="40">
        <f>D803*E804+G803*H804+J803*K804</f>
        <v>11259.319244</v>
      </c>
      <c r="E804" s="40">
        <v>772.67986299999995</v>
      </c>
      <c r="H804" s="40">
        <v>993.58044399999994</v>
      </c>
    </row>
    <row r="805" spans="1:11" x14ac:dyDescent="0.3">
      <c r="A805" t="s">
        <v>809</v>
      </c>
      <c r="B805">
        <v>13910.13</v>
      </c>
      <c r="C805" t="s">
        <v>65</v>
      </c>
      <c r="D805">
        <v>12</v>
      </c>
      <c r="E805">
        <v>993.58</v>
      </c>
      <c r="F805" t="s">
        <v>72</v>
      </c>
      <c r="G805">
        <v>2</v>
      </c>
      <c r="H805">
        <v>993.58</v>
      </c>
    </row>
    <row r="806" spans="1:11" s="40" customFormat="1" x14ac:dyDescent="0.3">
      <c r="A806" s="41" t="s">
        <v>976</v>
      </c>
      <c r="B806" s="40">
        <f>D805*E806+G805*H806+J805*K806</f>
        <v>13910.126215999999</v>
      </c>
      <c r="E806" s="40">
        <v>993.58044399999994</v>
      </c>
      <c r="H806" s="40">
        <v>993.58044399999994</v>
      </c>
    </row>
    <row r="807" spans="1:11" x14ac:dyDescent="0.3">
      <c r="A807" t="s">
        <v>810</v>
      </c>
      <c r="B807">
        <v>11259.32</v>
      </c>
      <c r="C807" t="s">
        <v>27</v>
      </c>
      <c r="D807">
        <v>12</v>
      </c>
      <c r="E807">
        <v>772.68</v>
      </c>
      <c r="F807" t="s">
        <v>72</v>
      </c>
      <c r="G807">
        <v>2</v>
      </c>
      <c r="H807">
        <v>993.58</v>
      </c>
    </row>
    <row r="808" spans="1:11" s="40" customFormat="1" x14ac:dyDescent="0.3">
      <c r="A808" s="41" t="s">
        <v>976</v>
      </c>
      <c r="B808" s="40">
        <f>D807*E808+G807*H808+J807*K808</f>
        <v>11259.319244</v>
      </c>
      <c r="E808" s="40">
        <v>772.67986299999995</v>
      </c>
      <c r="H808" s="40">
        <v>993.58044399999994</v>
      </c>
    </row>
    <row r="809" spans="1:11" x14ac:dyDescent="0.3">
      <c r="A809" t="s">
        <v>813</v>
      </c>
      <c r="B809">
        <v>13910.13</v>
      </c>
      <c r="C809" t="s">
        <v>29</v>
      </c>
      <c r="D809">
        <v>12</v>
      </c>
      <c r="E809">
        <v>993.58</v>
      </c>
      <c r="F809" t="s">
        <v>74</v>
      </c>
      <c r="G809">
        <v>2</v>
      </c>
      <c r="H809">
        <v>993.58</v>
      </c>
    </row>
    <row r="810" spans="1:11" s="40" customFormat="1" x14ac:dyDescent="0.3">
      <c r="A810" s="41" t="s">
        <v>976</v>
      </c>
      <c r="B810" s="40">
        <f>D809*E810+G809*H810+J809*K810</f>
        <v>13910.126215999999</v>
      </c>
      <c r="E810" s="40">
        <v>993.58044399999994</v>
      </c>
      <c r="H810" s="40">
        <v>993.58044399999994</v>
      </c>
    </row>
    <row r="811" spans="1:11" x14ac:dyDescent="0.3">
      <c r="A811" t="s">
        <v>812</v>
      </c>
      <c r="B811">
        <v>15234.59</v>
      </c>
      <c r="C811" t="s">
        <v>29</v>
      </c>
      <c r="D811">
        <v>12</v>
      </c>
      <c r="E811">
        <v>993.58</v>
      </c>
      <c r="F811" t="s">
        <v>74</v>
      </c>
      <c r="G811">
        <v>2</v>
      </c>
      <c r="H811">
        <v>993.58</v>
      </c>
      <c r="I811" t="s">
        <v>164</v>
      </c>
      <c r="J811">
        <v>1</v>
      </c>
      <c r="K811">
        <v>1324.46</v>
      </c>
    </row>
    <row r="812" spans="1:11" s="40" customFormat="1" x14ac:dyDescent="0.3">
      <c r="A812" s="41" t="s">
        <v>976</v>
      </c>
      <c r="B812" s="40">
        <f>D811*E812+G811*H812+J811*K812</f>
        <v>15234.589547856998</v>
      </c>
      <c r="E812" s="40">
        <v>993.58044399999994</v>
      </c>
      <c r="H812" s="40">
        <v>993.58044399999994</v>
      </c>
      <c r="K812" s="40">
        <v>1324.4633318569997</v>
      </c>
    </row>
    <row r="813" spans="1:11" x14ac:dyDescent="0.3">
      <c r="A813" t="s">
        <v>811</v>
      </c>
      <c r="B813">
        <v>13910.13</v>
      </c>
      <c r="C813" t="s">
        <v>65</v>
      </c>
      <c r="D813">
        <v>12</v>
      </c>
      <c r="E813">
        <v>993.58</v>
      </c>
      <c r="F813" t="s">
        <v>72</v>
      </c>
      <c r="G813">
        <v>2</v>
      </c>
      <c r="H813">
        <v>993.58</v>
      </c>
    </row>
    <row r="814" spans="1:11" s="40" customFormat="1" x14ac:dyDescent="0.3">
      <c r="A814" s="41" t="s">
        <v>976</v>
      </c>
      <c r="B814" s="40">
        <f>D813*E814+G813*H814+J813*K814</f>
        <v>13910.126215999999</v>
      </c>
      <c r="E814" s="40">
        <v>993.58044399999994</v>
      </c>
      <c r="H814" s="40">
        <v>993.58044399999994</v>
      </c>
    </row>
    <row r="815" spans="1:11" x14ac:dyDescent="0.3">
      <c r="A815" t="s">
        <v>814</v>
      </c>
      <c r="B815">
        <v>16560.830000000002</v>
      </c>
      <c r="C815" t="s">
        <v>67</v>
      </c>
      <c r="D815">
        <v>12</v>
      </c>
      <c r="E815">
        <v>1214.47</v>
      </c>
      <c r="F815" t="s">
        <v>74</v>
      </c>
      <c r="G815">
        <v>2</v>
      </c>
      <c r="H815">
        <v>993.58</v>
      </c>
    </row>
    <row r="816" spans="1:11" s="40" customFormat="1" x14ac:dyDescent="0.3">
      <c r="A816" s="41" t="s">
        <v>976</v>
      </c>
      <c r="B816" s="40">
        <f>D815*E816+G815*H816+J815*K816</f>
        <v>16560.832903999999</v>
      </c>
      <c r="E816" s="40">
        <v>1214.4726679999999</v>
      </c>
      <c r="H816" s="40">
        <v>993.58044399999994</v>
      </c>
    </row>
    <row r="817" spans="1:8" x14ac:dyDescent="0.3">
      <c r="A817" t="s">
        <v>816</v>
      </c>
      <c r="B817">
        <v>13910.13</v>
      </c>
      <c r="C817" t="s">
        <v>29</v>
      </c>
      <c r="D817">
        <v>12</v>
      </c>
      <c r="E817">
        <v>993.58</v>
      </c>
      <c r="F817" t="s">
        <v>74</v>
      </c>
      <c r="G817">
        <v>2</v>
      </c>
      <c r="H817">
        <v>993.58</v>
      </c>
    </row>
    <row r="818" spans="1:8" s="40" customFormat="1" x14ac:dyDescent="0.3">
      <c r="A818" s="41" t="s">
        <v>976</v>
      </c>
      <c r="B818" s="40">
        <f>D817*E818+G817*H818+J817*K818</f>
        <v>13910.126215999999</v>
      </c>
      <c r="E818" s="40">
        <v>993.58044399999994</v>
      </c>
      <c r="H818" s="40">
        <v>993.58044399999994</v>
      </c>
    </row>
    <row r="819" spans="1:8" x14ac:dyDescent="0.3">
      <c r="A819" t="s">
        <v>817</v>
      </c>
      <c r="B819">
        <v>13910.13</v>
      </c>
      <c r="C819" t="s">
        <v>29</v>
      </c>
      <c r="D819">
        <v>12</v>
      </c>
      <c r="E819">
        <v>993.58</v>
      </c>
      <c r="F819" t="s">
        <v>74</v>
      </c>
      <c r="G819">
        <v>2</v>
      </c>
      <c r="H819">
        <v>993.58</v>
      </c>
    </row>
    <row r="820" spans="1:8" s="40" customFormat="1" x14ac:dyDescent="0.3">
      <c r="A820" s="41" t="s">
        <v>976</v>
      </c>
      <c r="B820" s="40">
        <f>D819*E820+G819*H820+J819*K820</f>
        <v>13910.126215999999</v>
      </c>
      <c r="E820" s="40">
        <v>993.58044399999994</v>
      </c>
      <c r="H820" s="40">
        <v>993.58044399999994</v>
      </c>
    </row>
    <row r="821" spans="1:8" x14ac:dyDescent="0.3">
      <c r="A821" t="s">
        <v>815</v>
      </c>
      <c r="B821">
        <v>13910.13</v>
      </c>
      <c r="C821" t="s">
        <v>29</v>
      </c>
      <c r="D821">
        <v>12</v>
      </c>
      <c r="E821">
        <v>993.58</v>
      </c>
      <c r="F821" t="s">
        <v>74</v>
      </c>
      <c r="G821">
        <v>2</v>
      </c>
      <c r="H821">
        <v>993.58</v>
      </c>
    </row>
    <row r="822" spans="1:8" s="40" customFormat="1" x14ac:dyDescent="0.3">
      <c r="A822" s="41" t="s">
        <v>976</v>
      </c>
      <c r="B822" s="40">
        <f>D821*E822+G821*H822+J821*K822</f>
        <v>13910.126215999999</v>
      </c>
      <c r="E822" s="40">
        <v>993.58044399999994</v>
      </c>
      <c r="H822" s="40">
        <v>993.58044399999994</v>
      </c>
    </row>
    <row r="823" spans="1:8" x14ac:dyDescent="0.3">
      <c r="A823" t="s">
        <v>818</v>
      </c>
      <c r="B823">
        <v>13910.13</v>
      </c>
      <c r="C823" t="s">
        <v>29</v>
      </c>
      <c r="D823">
        <v>12</v>
      </c>
      <c r="E823">
        <v>993.58</v>
      </c>
      <c r="F823" t="s">
        <v>74</v>
      </c>
      <c r="G823">
        <v>2</v>
      </c>
      <c r="H823">
        <v>993.58</v>
      </c>
    </row>
    <row r="824" spans="1:8" s="40" customFormat="1" x14ac:dyDescent="0.3">
      <c r="A824" s="41" t="s">
        <v>976</v>
      </c>
      <c r="B824" s="40">
        <f>D823*E824+G823*H824+J823*K824</f>
        <v>13910.126215999999</v>
      </c>
      <c r="E824" s="40">
        <v>993.58044399999994</v>
      </c>
      <c r="H824" s="40">
        <v>993.58044399999994</v>
      </c>
    </row>
    <row r="825" spans="1:8" x14ac:dyDescent="0.3">
      <c r="A825" t="s">
        <v>819</v>
      </c>
      <c r="B825">
        <v>13910.13</v>
      </c>
      <c r="C825" t="s">
        <v>29</v>
      </c>
      <c r="D825">
        <v>12</v>
      </c>
      <c r="E825">
        <v>993.58</v>
      </c>
      <c r="F825" t="s">
        <v>74</v>
      </c>
      <c r="G825">
        <v>2</v>
      </c>
      <c r="H825">
        <v>993.58</v>
      </c>
    </row>
    <row r="826" spans="1:8" s="40" customFormat="1" x14ac:dyDescent="0.3">
      <c r="A826" s="41" t="s">
        <v>976</v>
      </c>
      <c r="B826" s="40">
        <f>D825*E826+G825*H826+J825*K826</f>
        <v>13910.126215999999</v>
      </c>
      <c r="E826" s="40">
        <v>993.58044399999994</v>
      </c>
      <c r="H826" s="40">
        <v>993.58044399999994</v>
      </c>
    </row>
    <row r="827" spans="1:8" x14ac:dyDescent="0.3">
      <c r="A827" t="s">
        <v>820</v>
      </c>
      <c r="B827">
        <v>13910.13</v>
      </c>
      <c r="C827" t="s">
        <v>29</v>
      </c>
      <c r="D827">
        <v>12</v>
      </c>
      <c r="E827">
        <v>993.58</v>
      </c>
      <c r="F827" t="s">
        <v>74</v>
      </c>
      <c r="G827">
        <v>2</v>
      </c>
      <c r="H827">
        <v>993.58</v>
      </c>
    </row>
    <row r="828" spans="1:8" s="40" customFormat="1" x14ac:dyDescent="0.3">
      <c r="A828" s="41" t="s">
        <v>976</v>
      </c>
      <c r="B828" s="40">
        <f>D827*E828+G827*H828+J827*K828</f>
        <v>13910.126215999999</v>
      </c>
      <c r="E828" s="40">
        <v>993.58044399999994</v>
      </c>
      <c r="H828" s="40">
        <v>993.58044399999994</v>
      </c>
    </row>
    <row r="829" spans="1:8" x14ac:dyDescent="0.3">
      <c r="A829" t="s">
        <v>821</v>
      </c>
      <c r="B829">
        <v>16560.830000000002</v>
      </c>
      <c r="C829" t="s">
        <v>67</v>
      </c>
      <c r="D829">
        <v>12</v>
      </c>
      <c r="E829">
        <v>1214.47</v>
      </c>
      <c r="F829" t="s">
        <v>74</v>
      </c>
      <c r="G829">
        <v>2</v>
      </c>
      <c r="H829">
        <v>993.58</v>
      </c>
    </row>
    <row r="830" spans="1:8" s="40" customFormat="1" x14ac:dyDescent="0.3">
      <c r="A830" s="41" t="s">
        <v>976</v>
      </c>
      <c r="B830" s="40">
        <f>D829*E830+G829*H830+J829*K830</f>
        <v>16560.832903999999</v>
      </c>
      <c r="E830" s="40">
        <v>1214.4726679999999</v>
      </c>
      <c r="H830" s="40">
        <v>993.58044399999994</v>
      </c>
    </row>
    <row r="831" spans="1:8" x14ac:dyDescent="0.3">
      <c r="A831" t="s">
        <v>822</v>
      </c>
      <c r="B831">
        <v>13910.13</v>
      </c>
      <c r="C831" t="s">
        <v>29</v>
      </c>
      <c r="D831">
        <v>12</v>
      </c>
      <c r="E831">
        <v>993.58</v>
      </c>
      <c r="F831" t="s">
        <v>74</v>
      </c>
      <c r="G831">
        <v>2</v>
      </c>
      <c r="H831">
        <v>993.58</v>
      </c>
    </row>
    <row r="832" spans="1:8" s="40" customFormat="1" x14ac:dyDescent="0.3">
      <c r="A832" s="41" t="s">
        <v>976</v>
      </c>
      <c r="B832" s="40">
        <f>D831*E832+G831*H832+J831*K832</f>
        <v>13910.126215999999</v>
      </c>
      <c r="E832" s="40">
        <v>993.58044399999994</v>
      </c>
      <c r="H832" s="40">
        <v>993.58044399999994</v>
      </c>
    </row>
    <row r="833" spans="1:11" x14ac:dyDescent="0.3">
      <c r="A833" t="s">
        <v>823</v>
      </c>
      <c r="B833">
        <v>21858.69</v>
      </c>
      <c r="C833" t="s">
        <v>31</v>
      </c>
      <c r="D833">
        <v>12</v>
      </c>
      <c r="E833">
        <v>1214.47</v>
      </c>
      <c r="F833" t="s">
        <v>74</v>
      </c>
      <c r="G833">
        <v>2</v>
      </c>
      <c r="H833">
        <v>993.58</v>
      </c>
      <c r="I833" t="s">
        <v>150</v>
      </c>
      <c r="J833">
        <v>4</v>
      </c>
      <c r="K833">
        <v>1324.46</v>
      </c>
    </row>
    <row r="834" spans="1:11" s="40" customFormat="1" x14ac:dyDescent="0.3">
      <c r="A834" s="41" t="s">
        <v>976</v>
      </c>
      <c r="B834" s="40">
        <f>D833*E834+G833*H834+J833*K834</f>
        <v>21858.686231427997</v>
      </c>
      <c r="E834" s="40">
        <v>1214.4726679999999</v>
      </c>
      <c r="H834" s="40">
        <v>993.58044399999994</v>
      </c>
      <c r="K834" s="40">
        <v>1324.4633318569997</v>
      </c>
    </row>
    <row r="835" spans="1:11" x14ac:dyDescent="0.3">
      <c r="A835" t="s">
        <v>964</v>
      </c>
      <c r="B835">
        <v>32451.86</v>
      </c>
      <c r="C835" t="s">
        <v>69</v>
      </c>
      <c r="D835">
        <v>12</v>
      </c>
      <c r="E835">
        <v>1435.01</v>
      </c>
      <c r="F835" t="s">
        <v>74</v>
      </c>
      <c r="G835">
        <v>2</v>
      </c>
      <c r="H835">
        <v>993.58</v>
      </c>
      <c r="I835" t="s">
        <v>150</v>
      </c>
      <c r="J835">
        <v>10</v>
      </c>
      <c r="K835">
        <v>1324.46</v>
      </c>
    </row>
    <row r="836" spans="1:11" s="40" customFormat="1" x14ac:dyDescent="0.3">
      <c r="A836" s="41" t="s">
        <v>976</v>
      </c>
      <c r="B836" s="40">
        <f>D835*E836+G835*H836+J835*K836</f>
        <v>32451.860698569995</v>
      </c>
      <c r="E836" s="40">
        <v>1435.0055409999998</v>
      </c>
      <c r="H836" s="40">
        <v>993.58044399999994</v>
      </c>
      <c r="K836" s="40">
        <v>1324.4633318569997</v>
      </c>
    </row>
    <row r="837" spans="1:11" x14ac:dyDescent="0.3">
      <c r="A837" t="s">
        <v>824</v>
      </c>
      <c r="B837">
        <v>32451.86</v>
      </c>
      <c r="C837" t="s">
        <v>69</v>
      </c>
      <c r="D837">
        <v>12</v>
      </c>
      <c r="E837">
        <v>1435.01</v>
      </c>
      <c r="F837" t="s">
        <v>74</v>
      </c>
      <c r="G837">
        <v>2</v>
      </c>
      <c r="H837">
        <v>993.58</v>
      </c>
      <c r="I837" t="s">
        <v>160</v>
      </c>
      <c r="J837">
        <v>10</v>
      </c>
      <c r="K837">
        <v>1324.46</v>
      </c>
    </row>
    <row r="838" spans="1:11" s="40" customFormat="1" x14ac:dyDescent="0.3">
      <c r="A838" s="41" t="s">
        <v>976</v>
      </c>
      <c r="B838" s="40">
        <f>D837*E838+G837*H838+J837*K838</f>
        <v>32451.860698569995</v>
      </c>
      <c r="E838" s="40">
        <v>1435.0055409999998</v>
      </c>
      <c r="H838" s="40">
        <v>993.58044399999994</v>
      </c>
      <c r="K838" s="40">
        <v>1324.4633318569997</v>
      </c>
    </row>
    <row r="839" spans="1:11" x14ac:dyDescent="0.3">
      <c r="A839" t="s">
        <v>825</v>
      </c>
      <c r="B839">
        <v>16560.830000000002</v>
      </c>
      <c r="C839" t="s">
        <v>31</v>
      </c>
      <c r="D839">
        <v>12</v>
      </c>
      <c r="E839">
        <v>1214.47</v>
      </c>
      <c r="F839" t="s">
        <v>74</v>
      </c>
      <c r="G839">
        <v>2</v>
      </c>
      <c r="H839">
        <v>993.58</v>
      </c>
    </row>
    <row r="840" spans="1:11" s="40" customFormat="1" x14ac:dyDescent="0.3">
      <c r="A840" s="41" t="s">
        <v>976</v>
      </c>
      <c r="B840" s="40">
        <f>D839*E840+G839*H840+J839*K840</f>
        <v>16560.832903999999</v>
      </c>
      <c r="E840" s="40">
        <v>1214.4726679999999</v>
      </c>
      <c r="H840" s="40">
        <v>993.58044399999994</v>
      </c>
    </row>
    <row r="841" spans="1:11" x14ac:dyDescent="0.3">
      <c r="A841" t="s">
        <v>826</v>
      </c>
      <c r="B841">
        <v>19207.23</v>
      </c>
      <c r="C841" t="s">
        <v>69</v>
      </c>
      <c r="D841">
        <v>12</v>
      </c>
      <c r="E841">
        <v>1435.01</v>
      </c>
      <c r="F841" t="s">
        <v>74</v>
      </c>
      <c r="G841">
        <v>2</v>
      </c>
      <c r="H841">
        <v>993.58</v>
      </c>
    </row>
    <row r="842" spans="1:11" s="40" customFormat="1" x14ac:dyDescent="0.3">
      <c r="A842" s="41" t="s">
        <v>976</v>
      </c>
      <c r="B842" s="40">
        <f>D841*E842+G841*H842+J841*K842</f>
        <v>19207.227379999997</v>
      </c>
      <c r="E842" s="40">
        <v>1435.0055409999998</v>
      </c>
      <c r="H842" s="40">
        <v>993.58044399999994</v>
      </c>
    </row>
    <row r="843" spans="1:11" x14ac:dyDescent="0.3">
      <c r="A843" t="s">
        <v>827</v>
      </c>
      <c r="B843">
        <v>16560.830000000002</v>
      </c>
      <c r="C843" t="s">
        <v>31</v>
      </c>
      <c r="D843">
        <v>12</v>
      </c>
      <c r="E843">
        <v>1214.47</v>
      </c>
      <c r="F843" t="s">
        <v>74</v>
      </c>
      <c r="G843">
        <v>2</v>
      </c>
      <c r="H843">
        <v>993.58</v>
      </c>
    </row>
    <row r="844" spans="1:11" s="40" customFormat="1" x14ac:dyDescent="0.3">
      <c r="A844" s="41" t="s">
        <v>976</v>
      </c>
      <c r="B844" s="40">
        <f>D843*E844+G843*H844+J843*K844</f>
        <v>16560.832903999999</v>
      </c>
      <c r="E844" s="40">
        <v>1214.4726679999999</v>
      </c>
      <c r="H844" s="40">
        <v>993.58044399999994</v>
      </c>
    </row>
    <row r="845" spans="1:11" x14ac:dyDescent="0.3">
      <c r="A845" t="s">
        <v>828</v>
      </c>
      <c r="B845">
        <v>19207.23</v>
      </c>
      <c r="C845" t="s">
        <v>69</v>
      </c>
      <c r="D845">
        <v>12</v>
      </c>
      <c r="E845">
        <v>1435.01</v>
      </c>
      <c r="F845" t="s">
        <v>74</v>
      </c>
      <c r="G845">
        <v>2</v>
      </c>
      <c r="H845">
        <v>993.58</v>
      </c>
    </row>
    <row r="846" spans="1:11" s="40" customFormat="1" x14ac:dyDescent="0.3">
      <c r="A846" s="41" t="s">
        <v>976</v>
      </c>
      <c r="B846" s="40">
        <f>D845*E846+G845*H846+J845*K846</f>
        <v>19207.227379999997</v>
      </c>
      <c r="E846" s="40">
        <v>1435.0055409999998</v>
      </c>
      <c r="H846" s="40">
        <v>993.58044399999994</v>
      </c>
    </row>
    <row r="847" spans="1:11" x14ac:dyDescent="0.3">
      <c r="A847" t="s">
        <v>830</v>
      </c>
      <c r="B847">
        <v>16560.830000000002</v>
      </c>
      <c r="C847" t="s">
        <v>31</v>
      </c>
      <c r="D847">
        <v>12</v>
      </c>
      <c r="E847">
        <v>1214.47</v>
      </c>
      <c r="F847" t="s">
        <v>74</v>
      </c>
      <c r="G847">
        <v>2</v>
      </c>
      <c r="H847">
        <v>993.58</v>
      </c>
    </row>
    <row r="848" spans="1:11" s="40" customFormat="1" x14ac:dyDescent="0.3">
      <c r="A848" s="41" t="s">
        <v>976</v>
      </c>
      <c r="B848" s="40">
        <f>D847*E848+G847*H848+J847*K848</f>
        <v>16560.832903999999</v>
      </c>
      <c r="E848" s="40">
        <v>1214.4726679999999</v>
      </c>
      <c r="H848" s="40">
        <v>993.58044399999994</v>
      </c>
    </row>
    <row r="849" spans="1:8" x14ac:dyDescent="0.3">
      <c r="A849" t="s">
        <v>831</v>
      </c>
      <c r="B849">
        <v>16560.830000000002</v>
      </c>
      <c r="C849" t="s">
        <v>31</v>
      </c>
      <c r="D849">
        <v>12</v>
      </c>
      <c r="E849">
        <v>1214.47</v>
      </c>
      <c r="F849" t="s">
        <v>74</v>
      </c>
      <c r="G849">
        <v>2</v>
      </c>
      <c r="H849">
        <v>993.58</v>
      </c>
    </row>
    <row r="850" spans="1:8" s="40" customFormat="1" x14ac:dyDescent="0.3">
      <c r="A850" s="41" t="s">
        <v>976</v>
      </c>
      <c r="B850" s="40">
        <f>D849*E850+G849*H850+J849*K850</f>
        <v>16560.832903999999</v>
      </c>
      <c r="E850" s="40">
        <v>1214.4726679999999</v>
      </c>
      <c r="H850" s="40">
        <v>993.58044399999994</v>
      </c>
    </row>
    <row r="851" spans="1:8" x14ac:dyDescent="0.3">
      <c r="A851" t="s">
        <v>829</v>
      </c>
      <c r="B851">
        <v>16560.830000000002</v>
      </c>
      <c r="C851" t="s">
        <v>31</v>
      </c>
      <c r="D851">
        <v>12</v>
      </c>
      <c r="E851">
        <v>1214.47</v>
      </c>
      <c r="F851" t="s">
        <v>74</v>
      </c>
      <c r="G851">
        <v>2</v>
      </c>
      <c r="H851">
        <v>993.58</v>
      </c>
    </row>
    <row r="852" spans="1:8" s="40" customFormat="1" x14ac:dyDescent="0.3">
      <c r="A852" s="41" t="s">
        <v>976</v>
      </c>
      <c r="B852" s="40">
        <f>D851*E852+G851*H852+J851*K852</f>
        <v>16560.832903999999</v>
      </c>
      <c r="E852" s="40">
        <v>1214.4726679999999</v>
      </c>
      <c r="H852" s="40">
        <v>993.58044399999994</v>
      </c>
    </row>
    <row r="853" spans="1:8" x14ac:dyDescent="0.3">
      <c r="A853" t="s">
        <v>832</v>
      </c>
      <c r="B853">
        <v>19207.23</v>
      </c>
      <c r="C853" t="s">
        <v>69</v>
      </c>
      <c r="D853">
        <v>12</v>
      </c>
      <c r="E853">
        <v>1435.01</v>
      </c>
      <c r="F853" t="s">
        <v>74</v>
      </c>
      <c r="G853">
        <v>2</v>
      </c>
      <c r="H853">
        <v>993.58</v>
      </c>
    </row>
    <row r="854" spans="1:8" s="40" customFormat="1" x14ac:dyDescent="0.3">
      <c r="A854" s="41" t="s">
        <v>976</v>
      </c>
      <c r="B854" s="40">
        <f>D853*E854+G853*H854+J853*K854</f>
        <v>19207.227379999997</v>
      </c>
      <c r="E854" s="40">
        <v>1435.0055409999998</v>
      </c>
      <c r="H854" s="40">
        <v>993.58044399999994</v>
      </c>
    </row>
    <row r="855" spans="1:8" x14ac:dyDescent="0.3">
      <c r="A855" t="s">
        <v>834</v>
      </c>
      <c r="B855">
        <v>19207.23</v>
      </c>
      <c r="C855" t="s">
        <v>69</v>
      </c>
      <c r="D855">
        <v>12</v>
      </c>
      <c r="E855">
        <v>1435.01</v>
      </c>
      <c r="F855" t="s">
        <v>74</v>
      </c>
      <c r="G855">
        <v>2</v>
      </c>
      <c r="H855">
        <v>993.58</v>
      </c>
    </row>
    <row r="856" spans="1:8" s="40" customFormat="1" x14ac:dyDescent="0.3">
      <c r="A856" s="41" t="s">
        <v>976</v>
      </c>
      <c r="B856" s="40">
        <f>D855*E856+G855*H856+J855*K856</f>
        <v>19207.227379999997</v>
      </c>
      <c r="E856" s="40">
        <v>1435.0055409999998</v>
      </c>
      <c r="H856" s="40">
        <v>993.58044399999994</v>
      </c>
    </row>
    <row r="857" spans="1:8" x14ac:dyDescent="0.3">
      <c r="A857" t="s">
        <v>833</v>
      </c>
      <c r="B857">
        <v>16560.830000000002</v>
      </c>
      <c r="C857" t="s">
        <v>31</v>
      </c>
      <c r="D857">
        <v>12</v>
      </c>
      <c r="E857">
        <v>1214.47</v>
      </c>
      <c r="F857" t="s">
        <v>74</v>
      </c>
      <c r="G857">
        <v>2</v>
      </c>
      <c r="H857">
        <v>993.58</v>
      </c>
    </row>
    <row r="858" spans="1:8" s="40" customFormat="1" x14ac:dyDescent="0.3">
      <c r="A858" s="41" t="s">
        <v>976</v>
      </c>
      <c r="B858" s="40">
        <f>D857*E858+G857*H858+J857*K858</f>
        <v>16560.832903999999</v>
      </c>
      <c r="E858" s="40">
        <v>1214.4726679999999</v>
      </c>
      <c r="H858" s="40">
        <v>993.58044399999994</v>
      </c>
    </row>
    <row r="859" spans="1:8" x14ac:dyDescent="0.3">
      <c r="A859" t="s">
        <v>835</v>
      </c>
      <c r="B859">
        <v>16560.830000000002</v>
      </c>
      <c r="C859" t="s">
        <v>31</v>
      </c>
      <c r="D859">
        <v>12</v>
      </c>
      <c r="E859">
        <v>1214.47</v>
      </c>
      <c r="F859" t="s">
        <v>74</v>
      </c>
      <c r="G859">
        <v>2</v>
      </c>
      <c r="H859">
        <v>993.58</v>
      </c>
    </row>
    <row r="860" spans="1:8" s="40" customFormat="1" x14ac:dyDescent="0.3">
      <c r="A860" s="41" t="s">
        <v>976</v>
      </c>
      <c r="B860" s="40">
        <f>D859*E860+G859*H860+J859*K860</f>
        <v>16560.832903999999</v>
      </c>
      <c r="E860" s="40">
        <v>1214.4726679999999</v>
      </c>
      <c r="H860" s="40">
        <v>993.58044399999994</v>
      </c>
    </row>
    <row r="861" spans="1:8" x14ac:dyDescent="0.3">
      <c r="A861" t="s">
        <v>836</v>
      </c>
      <c r="B861">
        <v>16560.830000000002</v>
      </c>
      <c r="C861" t="s">
        <v>31</v>
      </c>
      <c r="D861">
        <v>12</v>
      </c>
      <c r="E861">
        <v>1214.47</v>
      </c>
      <c r="F861" t="s">
        <v>74</v>
      </c>
      <c r="G861">
        <v>2</v>
      </c>
      <c r="H861">
        <v>993.58</v>
      </c>
    </row>
    <row r="862" spans="1:8" s="40" customFormat="1" x14ac:dyDescent="0.3">
      <c r="A862" s="41" t="s">
        <v>976</v>
      </c>
      <c r="B862" s="40">
        <f>D861*E862+G861*H862+J861*K862</f>
        <v>16560.832903999999</v>
      </c>
      <c r="E862" s="40">
        <v>1214.4726679999999</v>
      </c>
      <c r="H862" s="40">
        <v>993.58044399999994</v>
      </c>
    </row>
    <row r="863" spans="1:8" x14ac:dyDescent="0.3">
      <c r="A863" t="s">
        <v>838</v>
      </c>
      <c r="B863">
        <v>16560.830000000002</v>
      </c>
      <c r="C863" t="s">
        <v>31</v>
      </c>
      <c r="D863">
        <v>12</v>
      </c>
      <c r="E863">
        <v>1214.47</v>
      </c>
      <c r="F863" t="s">
        <v>74</v>
      </c>
      <c r="G863">
        <v>2</v>
      </c>
      <c r="H863">
        <v>993.58</v>
      </c>
    </row>
    <row r="864" spans="1:8" s="40" customFormat="1" x14ac:dyDescent="0.3">
      <c r="A864" s="41" t="s">
        <v>976</v>
      </c>
      <c r="B864" s="40">
        <f>D863*E864+G863*H864+J863*K864</f>
        <v>16560.832903999999</v>
      </c>
      <c r="E864" s="40">
        <v>1214.4726679999999</v>
      </c>
      <c r="H864" s="40">
        <v>993.58044399999994</v>
      </c>
    </row>
    <row r="865" spans="1:8" x14ac:dyDescent="0.3">
      <c r="A865" t="s">
        <v>837</v>
      </c>
      <c r="B865">
        <v>16560.830000000002</v>
      </c>
      <c r="C865" t="s">
        <v>31</v>
      </c>
      <c r="D865">
        <v>12</v>
      </c>
      <c r="E865">
        <v>1214.47</v>
      </c>
      <c r="F865" t="s">
        <v>74</v>
      </c>
      <c r="G865">
        <v>2</v>
      </c>
      <c r="H865">
        <v>993.58</v>
      </c>
    </row>
    <row r="866" spans="1:8" s="40" customFormat="1" x14ac:dyDescent="0.3">
      <c r="A866" s="41" t="s">
        <v>976</v>
      </c>
      <c r="B866" s="40">
        <f>D865*E866+G865*H866+J865*K866</f>
        <v>16560.832903999999</v>
      </c>
      <c r="E866" s="40">
        <v>1214.4726679999999</v>
      </c>
      <c r="H866" s="40">
        <v>993.58044399999994</v>
      </c>
    </row>
    <row r="867" spans="1:8" x14ac:dyDescent="0.3">
      <c r="A867" t="s">
        <v>840</v>
      </c>
      <c r="B867">
        <v>19207.23</v>
      </c>
      <c r="C867" t="s">
        <v>69</v>
      </c>
      <c r="D867">
        <v>12</v>
      </c>
      <c r="E867">
        <v>1435.01</v>
      </c>
      <c r="F867" t="s">
        <v>74</v>
      </c>
      <c r="G867">
        <v>2</v>
      </c>
      <c r="H867">
        <v>993.58</v>
      </c>
    </row>
    <row r="868" spans="1:8" s="40" customFormat="1" x14ac:dyDescent="0.3">
      <c r="A868" s="41" t="s">
        <v>976</v>
      </c>
      <c r="B868" s="40">
        <f>D867*E868+G867*H868+J867*K868</f>
        <v>19207.227379999997</v>
      </c>
      <c r="E868" s="40">
        <v>1435.0055409999998</v>
      </c>
      <c r="H868" s="40">
        <v>993.58044399999994</v>
      </c>
    </row>
    <row r="869" spans="1:8" x14ac:dyDescent="0.3">
      <c r="A869" t="s">
        <v>839</v>
      </c>
      <c r="B869">
        <v>16560.830000000002</v>
      </c>
      <c r="C869" t="s">
        <v>31</v>
      </c>
      <c r="D869">
        <v>12</v>
      </c>
      <c r="E869">
        <v>1214.47</v>
      </c>
      <c r="F869" t="s">
        <v>74</v>
      </c>
      <c r="G869">
        <v>2</v>
      </c>
      <c r="H869">
        <v>993.58</v>
      </c>
    </row>
    <row r="870" spans="1:8" s="40" customFormat="1" x14ac:dyDescent="0.3">
      <c r="A870" s="41" t="s">
        <v>976</v>
      </c>
      <c r="B870" s="40">
        <f>D869*E870+G869*H870+J869*K870</f>
        <v>16560.832903999999</v>
      </c>
      <c r="E870" s="40">
        <v>1214.4726679999999</v>
      </c>
      <c r="H870" s="40">
        <v>993.58044399999994</v>
      </c>
    </row>
    <row r="871" spans="1:8" x14ac:dyDescent="0.3">
      <c r="A871" t="s">
        <v>841</v>
      </c>
      <c r="B871">
        <v>19207.23</v>
      </c>
      <c r="C871" t="s">
        <v>69</v>
      </c>
      <c r="D871">
        <v>12</v>
      </c>
      <c r="E871">
        <v>1435.01</v>
      </c>
      <c r="F871" t="s">
        <v>74</v>
      </c>
      <c r="G871">
        <v>2</v>
      </c>
      <c r="H871">
        <v>993.58</v>
      </c>
    </row>
    <row r="872" spans="1:8" s="40" customFormat="1" x14ac:dyDescent="0.3">
      <c r="A872" s="41" t="s">
        <v>976</v>
      </c>
      <c r="B872" s="40">
        <f>D871*E872+G871*H872+J871*K872</f>
        <v>19207.227379999997</v>
      </c>
      <c r="E872" s="40">
        <v>1435.0055409999998</v>
      </c>
      <c r="H872" s="40">
        <v>993.58044399999994</v>
      </c>
    </row>
    <row r="873" spans="1:8" x14ac:dyDescent="0.3">
      <c r="A873" t="s">
        <v>962</v>
      </c>
      <c r="B873">
        <v>16560.830000000002</v>
      </c>
      <c r="C873" t="s">
        <v>31</v>
      </c>
      <c r="D873">
        <v>12</v>
      </c>
      <c r="E873">
        <v>1214.47</v>
      </c>
      <c r="F873" t="s">
        <v>74</v>
      </c>
      <c r="G873">
        <v>2</v>
      </c>
      <c r="H873">
        <v>993.58</v>
      </c>
    </row>
    <row r="874" spans="1:8" s="40" customFormat="1" x14ac:dyDescent="0.3">
      <c r="A874" s="41" t="s">
        <v>976</v>
      </c>
      <c r="B874" s="40">
        <f>D873*E874+G873*H874+J873*K874</f>
        <v>16560.832903999999</v>
      </c>
      <c r="E874" s="40">
        <v>1214.4726679999999</v>
      </c>
      <c r="H874" s="40">
        <v>993.58044399999994</v>
      </c>
    </row>
    <row r="875" spans="1:8" x14ac:dyDescent="0.3">
      <c r="A875" t="s">
        <v>842</v>
      </c>
      <c r="B875">
        <v>16560.830000000002</v>
      </c>
      <c r="C875" t="s">
        <v>31</v>
      </c>
      <c r="D875">
        <v>12</v>
      </c>
      <c r="E875">
        <v>1214.47</v>
      </c>
      <c r="F875" t="s">
        <v>74</v>
      </c>
      <c r="G875">
        <v>2</v>
      </c>
      <c r="H875">
        <v>993.58</v>
      </c>
    </row>
    <row r="876" spans="1:8" s="40" customFormat="1" x14ac:dyDescent="0.3">
      <c r="A876" s="41" t="s">
        <v>976</v>
      </c>
      <c r="B876" s="40">
        <f>D875*E876+G875*H876+J875*K876</f>
        <v>16560.832903999999</v>
      </c>
      <c r="E876" s="40">
        <v>1214.4726679999999</v>
      </c>
      <c r="H876" s="40">
        <v>993.58044399999994</v>
      </c>
    </row>
    <row r="877" spans="1:8" x14ac:dyDescent="0.3">
      <c r="A877" t="s">
        <v>844</v>
      </c>
      <c r="B877">
        <v>16560.830000000002</v>
      </c>
      <c r="C877" t="s">
        <v>31</v>
      </c>
      <c r="D877">
        <v>12</v>
      </c>
      <c r="E877">
        <v>1214.47</v>
      </c>
      <c r="F877" t="s">
        <v>74</v>
      </c>
      <c r="G877">
        <v>2</v>
      </c>
      <c r="H877">
        <v>993.58</v>
      </c>
    </row>
    <row r="878" spans="1:8" s="40" customFormat="1" x14ac:dyDescent="0.3">
      <c r="A878" s="41" t="s">
        <v>976</v>
      </c>
      <c r="B878" s="40">
        <f>D877*E878+G877*H878+J877*K878</f>
        <v>16560.832903999999</v>
      </c>
      <c r="E878" s="40">
        <v>1214.4726679999999</v>
      </c>
      <c r="H878" s="40">
        <v>993.58044399999994</v>
      </c>
    </row>
    <row r="879" spans="1:8" x14ac:dyDescent="0.3">
      <c r="A879" t="s">
        <v>845</v>
      </c>
      <c r="B879">
        <v>16560.830000000002</v>
      </c>
      <c r="C879" t="s">
        <v>31</v>
      </c>
      <c r="D879">
        <v>12</v>
      </c>
      <c r="E879">
        <v>1214.47</v>
      </c>
      <c r="F879" t="s">
        <v>74</v>
      </c>
      <c r="G879">
        <v>2</v>
      </c>
      <c r="H879">
        <v>993.58</v>
      </c>
    </row>
    <row r="880" spans="1:8" s="40" customFormat="1" x14ac:dyDescent="0.3">
      <c r="A880" s="41" t="s">
        <v>976</v>
      </c>
      <c r="B880" s="40">
        <f>D879*E880+G879*H880+J879*K880</f>
        <v>16560.832903999999</v>
      </c>
      <c r="E880" s="40">
        <v>1214.4726679999999</v>
      </c>
      <c r="H880" s="40">
        <v>993.58044399999994</v>
      </c>
    </row>
    <row r="881" spans="1:8" x14ac:dyDescent="0.3">
      <c r="A881" t="s">
        <v>847</v>
      </c>
      <c r="B881">
        <v>19207.23</v>
      </c>
      <c r="C881" t="s">
        <v>69</v>
      </c>
      <c r="D881">
        <v>12</v>
      </c>
      <c r="E881">
        <v>1435.01</v>
      </c>
      <c r="F881" t="s">
        <v>74</v>
      </c>
      <c r="G881">
        <v>2</v>
      </c>
      <c r="H881">
        <v>993.58</v>
      </c>
    </row>
    <row r="882" spans="1:8" s="40" customFormat="1" x14ac:dyDescent="0.3">
      <c r="A882" s="41" t="s">
        <v>976</v>
      </c>
      <c r="B882" s="40">
        <f>D881*E882+G881*H882+J881*K882</f>
        <v>19207.227379999997</v>
      </c>
      <c r="E882" s="40">
        <v>1435.0055409999998</v>
      </c>
      <c r="H882" s="40">
        <v>993.58044399999994</v>
      </c>
    </row>
    <row r="883" spans="1:8" x14ac:dyDescent="0.3">
      <c r="A883" t="s">
        <v>846</v>
      </c>
      <c r="B883">
        <v>16560.830000000002</v>
      </c>
      <c r="C883" t="s">
        <v>31</v>
      </c>
      <c r="D883">
        <v>12</v>
      </c>
      <c r="E883">
        <v>1214.47</v>
      </c>
      <c r="F883" t="s">
        <v>74</v>
      </c>
      <c r="G883">
        <v>2</v>
      </c>
      <c r="H883">
        <v>993.58</v>
      </c>
    </row>
    <row r="884" spans="1:8" s="40" customFormat="1" x14ac:dyDescent="0.3">
      <c r="A884" s="41" t="s">
        <v>976</v>
      </c>
      <c r="B884" s="40">
        <f>D883*E884+G883*H884+J883*K884</f>
        <v>16560.832903999999</v>
      </c>
      <c r="E884" s="40">
        <v>1214.4726679999999</v>
      </c>
      <c r="H884" s="40">
        <v>993.58044399999994</v>
      </c>
    </row>
    <row r="885" spans="1:8" x14ac:dyDescent="0.3">
      <c r="A885" t="s">
        <v>848</v>
      </c>
      <c r="B885">
        <v>16560.830000000002</v>
      </c>
      <c r="C885" t="s">
        <v>31</v>
      </c>
      <c r="D885">
        <v>12</v>
      </c>
      <c r="E885">
        <v>1214.47</v>
      </c>
      <c r="F885" t="s">
        <v>74</v>
      </c>
      <c r="G885">
        <v>2</v>
      </c>
      <c r="H885">
        <v>993.58</v>
      </c>
    </row>
    <row r="886" spans="1:8" s="40" customFormat="1" x14ac:dyDescent="0.3">
      <c r="A886" s="41" t="s">
        <v>976</v>
      </c>
      <c r="B886" s="40">
        <f>D885*E886+G885*H886+J885*K886</f>
        <v>16560.832903999999</v>
      </c>
      <c r="E886" s="40">
        <v>1214.4726679999999</v>
      </c>
      <c r="H886" s="40">
        <v>993.58044399999994</v>
      </c>
    </row>
    <row r="887" spans="1:8" x14ac:dyDescent="0.3">
      <c r="A887" t="s">
        <v>849</v>
      </c>
      <c r="B887">
        <v>19207.23</v>
      </c>
      <c r="C887" t="s">
        <v>69</v>
      </c>
      <c r="D887">
        <v>12</v>
      </c>
      <c r="E887">
        <v>1435.01</v>
      </c>
      <c r="F887" t="s">
        <v>74</v>
      </c>
      <c r="G887">
        <v>2</v>
      </c>
      <c r="H887">
        <v>993.58</v>
      </c>
    </row>
    <row r="888" spans="1:8" s="40" customFormat="1" x14ac:dyDescent="0.3">
      <c r="A888" s="41" t="s">
        <v>976</v>
      </c>
      <c r="B888" s="40">
        <f>D887*E888+G887*H888+J887*K888</f>
        <v>19207.227379999997</v>
      </c>
      <c r="E888" s="40">
        <v>1435.0055409999998</v>
      </c>
      <c r="H888" s="40">
        <v>993.58044399999994</v>
      </c>
    </row>
    <row r="889" spans="1:8" x14ac:dyDescent="0.3">
      <c r="A889" t="s">
        <v>850</v>
      </c>
      <c r="B889">
        <v>16560.830000000002</v>
      </c>
      <c r="C889" t="s">
        <v>31</v>
      </c>
      <c r="D889">
        <v>12</v>
      </c>
      <c r="E889">
        <v>1214.47</v>
      </c>
      <c r="F889" t="s">
        <v>74</v>
      </c>
      <c r="G889">
        <v>2</v>
      </c>
      <c r="H889">
        <v>993.58</v>
      </c>
    </row>
    <row r="890" spans="1:8" s="40" customFormat="1" x14ac:dyDescent="0.3">
      <c r="A890" s="41" t="s">
        <v>976</v>
      </c>
      <c r="B890" s="40">
        <f>D889*E890+G889*H890+J889*K890</f>
        <v>16560.832903999999</v>
      </c>
      <c r="E890" s="40">
        <v>1214.4726679999999</v>
      </c>
      <c r="H890" s="40">
        <v>993.58044399999994</v>
      </c>
    </row>
    <row r="891" spans="1:8" x14ac:dyDescent="0.3">
      <c r="A891" t="s">
        <v>851</v>
      </c>
      <c r="B891">
        <v>19207.23</v>
      </c>
      <c r="C891" t="s">
        <v>69</v>
      </c>
      <c r="D891">
        <v>12</v>
      </c>
      <c r="E891">
        <v>1435.01</v>
      </c>
      <c r="F891" t="s">
        <v>74</v>
      </c>
      <c r="G891">
        <v>2</v>
      </c>
      <c r="H891">
        <v>993.58</v>
      </c>
    </row>
    <row r="892" spans="1:8" s="40" customFormat="1" x14ac:dyDescent="0.3">
      <c r="A892" s="41" t="s">
        <v>976</v>
      </c>
      <c r="B892" s="40">
        <f>D891*E892+G891*H892+J891*K892</f>
        <v>19207.227379999997</v>
      </c>
      <c r="E892" s="40">
        <v>1435.0055409999998</v>
      </c>
      <c r="H892" s="40">
        <v>993.58044399999994</v>
      </c>
    </row>
    <row r="893" spans="1:8" x14ac:dyDescent="0.3">
      <c r="A893" t="s">
        <v>852</v>
      </c>
      <c r="B893">
        <v>19207.23</v>
      </c>
      <c r="C893" t="s">
        <v>69</v>
      </c>
      <c r="D893">
        <v>12</v>
      </c>
      <c r="E893">
        <v>1435.01</v>
      </c>
      <c r="F893" t="s">
        <v>74</v>
      </c>
      <c r="G893">
        <v>2</v>
      </c>
      <c r="H893">
        <v>993.58</v>
      </c>
    </row>
    <row r="894" spans="1:8" s="40" customFormat="1" x14ac:dyDescent="0.3">
      <c r="A894" s="41" t="s">
        <v>976</v>
      </c>
      <c r="B894" s="40">
        <f>D893*E894+G893*H894+J893*K894</f>
        <v>19207.227379999997</v>
      </c>
      <c r="E894" s="40">
        <v>1435.0055409999998</v>
      </c>
      <c r="H894" s="40">
        <v>993.58044399999994</v>
      </c>
    </row>
    <row r="895" spans="1:8" x14ac:dyDescent="0.3">
      <c r="A895" t="s">
        <v>853</v>
      </c>
      <c r="B895">
        <v>16560.830000000002</v>
      </c>
      <c r="C895" t="s">
        <v>31</v>
      </c>
      <c r="D895">
        <v>12</v>
      </c>
      <c r="E895">
        <v>1214.47</v>
      </c>
      <c r="F895" t="s">
        <v>74</v>
      </c>
      <c r="G895">
        <v>2</v>
      </c>
      <c r="H895">
        <v>993.58</v>
      </c>
    </row>
    <row r="896" spans="1:8" s="40" customFormat="1" x14ac:dyDescent="0.3">
      <c r="A896" s="41" t="s">
        <v>976</v>
      </c>
      <c r="B896" s="40">
        <f>D895*E896+G895*H896+J895*K896</f>
        <v>16560.832903999999</v>
      </c>
      <c r="E896" s="40">
        <v>1214.4726679999999</v>
      </c>
      <c r="H896" s="40">
        <v>993.58044399999994</v>
      </c>
    </row>
    <row r="897" spans="1:8" x14ac:dyDescent="0.3">
      <c r="A897" t="s">
        <v>854</v>
      </c>
      <c r="B897">
        <v>19207.23</v>
      </c>
      <c r="C897" t="s">
        <v>69</v>
      </c>
      <c r="D897">
        <v>12</v>
      </c>
      <c r="E897">
        <v>1435.01</v>
      </c>
      <c r="F897" t="s">
        <v>74</v>
      </c>
      <c r="G897">
        <v>2</v>
      </c>
      <c r="H897">
        <v>993.58</v>
      </c>
    </row>
    <row r="898" spans="1:8" s="40" customFormat="1" x14ac:dyDescent="0.3">
      <c r="A898" s="41" t="s">
        <v>976</v>
      </c>
      <c r="B898" s="40">
        <f>D897*E898+G897*H898+J897*K898</f>
        <v>19207.227379999997</v>
      </c>
      <c r="E898" s="40">
        <v>1435.0055409999998</v>
      </c>
      <c r="H898" s="40">
        <v>993.58044399999994</v>
      </c>
    </row>
    <row r="899" spans="1:8" x14ac:dyDescent="0.3">
      <c r="A899" t="s">
        <v>855</v>
      </c>
      <c r="B899">
        <v>23842.240000000002</v>
      </c>
      <c r="C899" t="s">
        <v>33</v>
      </c>
      <c r="D899">
        <v>12</v>
      </c>
      <c r="E899">
        <v>1655.81</v>
      </c>
      <c r="F899" t="s">
        <v>79</v>
      </c>
      <c r="G899">
        <v>2</v>
      </c>
      <c r="H899">
        <v>1986.23</v>
      </c>
    </row>
    <row r="900" spans="1:8" s="40" customFormat="1" x14ac:dyDescent="0.3">
      <c r="A900" s="41" t="s">
        <v>976</v>
      </c>
      <c r="B900" s="40">
        <f>D899*E900+G899*H900+J899*K900</f>
        <v>23842.236861999998</v>
      </c>
      <c r="E900" s="40">
        <v>1655.8141949999999</v>
      </c>
      <c r="H900" s="40">
        <v>1986.2332609999996</v>
      </c>
    </row>
    <row r="901" spans="1:8" x14ac:dyDescent="0.3">
      <c r="A901" t="s">
        <v>856</v>
      </c>
      <c r="B901">
        <v>23842.240000000002</v>
      </c>
      <c r="C901" t="s">
        <v>33</v>
      </c>
      <c r="D901">
        <v>12</v>
      </c>
      <c r="E901">
        <v>1655.81</v>
      </c>
      <c r="F901" t="s">
        <v>79</v>
      </c>
      <c r="G901">
        <v>2</v>
      </c>
      <c r="H901">
        <v>1986.23</v>
      </c>
    </row>
    <row r="902" spans="1:8" s="40" customFormat="1" x14ac:dyDescent="0.3">
      <c r="A902" s="41" t="s">
        <v>976</v>
      </c>
      <c r="B902" s="40">
        <f>D901*E902+G901*H902+J901*K902</f>
        <v>23842.236861999998</v>
      </c>
      <c r="E902" s="40">
        <v>1655.8141949999999</v>
      </c>
      <c r="H902" s="40">
        <v>1986.2332609999996</v>
      </c>
    </row>
    <row r="903" spans="1:8" x14ac:dyDescent="0.3">
      <c r="A903" t="s">
        <v>857</v>
      </c>
      <c r="B903">
        <v>23842.240000000002</v>
      </c>
      <c r="C903" t="s">
        <v>33</v>
      </c>
      <c r="D903">
        <v>12</v>
      </c>
      <c r="E903">
        <v>1655.81</v>
      </c>
      <c r="F903" t="s">
        <v>79</v>
      </c>
      <c r="G903">
        <v>2</v>
      </c>
      <c r="H903">
        <v>1986.23</v>
      </c>
    </row>
    <row r="904" spans="1:8" s="40" customFormat="1" x14ac:dyDescent="0.3">
      <c r="A904" s="41" t="s">
        <v>976</v>
      </c>
      <c r="B904" s="40">
        <f>D903*E904+G903*H904+J903*K904</f>
        <v>23842.236861999998</v>
      </c>
      <c r="E904" s="40">
        <v>1655.8141949999999</v>
      </c>
      <c r="H904" s="40">
        <v>1986.2332609999996</v>
      </c>
    </row>
    <row r="905" spans="1:8" x14ac:dyDescent="0.3">
      <c r="A905" t="s">
        <v>858</v>
      </c>
      <c r="B905">
        <v>23842.240000000002</v>
      </c>
      <c r="C905" t="s">
        <v>33</v>
      </c>
      <c r="D905">
        <v>12</v>
      </c>
      <c r="E905">
        <v>1655.81</v>
      </c>
      <c r="F905" t="s">
        <v>79</v>
      </c>
      <c r="G905">
        <v>2</v>
      </c>
      <c r="H905">
        <v>1986.23</v>
      </c>
    </row>
    <row r="906" spans="1:8" s="40" customFormat="1" x14ac:dyDescent="0.3">
      <c r="A906" s="41" t="s">
        <v>976</v>
      </c>
      <c r="B906" s="40">
        <f>D905*E906+G905*H906+J905*K906</f>
        <v>23842.236861999998</v>
      </c>
      <c r="E906" s="40">
        <v>1655.8141949999999</v>
      </c>
      <c r="H906" s="40">
        <v>1986.2332609999996</v>
      </c>
    </row>
    <row r="907" spans="1:8" x14ac:dyDescent="0.3">
      <c r="A907" t="s">
        <v>859</v>
      </c>
      <c r="B907">
        <v>26491.34</v>
      </c>
      <c r="C907" t="s">
        <v>35</v>
      </c>
      <c r="D907">
        <v>12</v>
      </c>
      <c r="E907">
        <v>1876.57</v>
      </c>
      <c r="F907" t="s">
        <v>79</v>
      </c>
      <c r="G907">
        <v>2</v>
      </c>
      <c r="H907">
        <v>1986.23</v>
      </c>
    </row>
    <row r="908" spans="1:8" s="40" customFormat="1" x14ac:dyDescent="0.3">
      <c r="A908" s="41" t="s">
        <v>976</v>
      </c>
      <c r="B908" s="40">
        <f>D907*E908+G907*H908+J907*K908</f>
        <v>26491.339005999998</v>
      </c>
      <c r="E908" s="40">
        <v>1876.572707</v>
      </c>
      <c r="H908" s="40">
        <v>1986.2332609999996</v>
      </c>
    </row>
    <row r="909" spans="1:8" x14ac:dyDescent="0.3">
      <c r="A909" t="s">
        <v>860</v>
      </c>
      <c r="B909">
        <v>11921.8</v>
      </c>
      <c r="C909" t="s">
        <v>39</v>
      </c>
      <c r="D909">
        <v>12</v>
      </c>
      <c r="E909">
        <v>827.89</v>
      </c>
      <c r="F909" t="s">
        <v>72</v>
      </c>
      <c r="G909">
        <v>2</v>
      </c>
      <c r="H909">
        <v>993.58</v>
      </c>
    </row>
    <row r="910" spans="1:8" s="40" customFormat="1" x14ac:dyDescent="0.3">
      <c r="A910" s="41" t="s">
        <v>976</v>
      </c>
      <c r="B910" s="40">
        <f>D909*E910+G909*H910+J909*K910</f>
        <v>11921.795348</v>
      </c>
      <c r="E910" s="40">
        <v>827.8862049999999</v>
      </c>
      <c r="H910" s="40">
        <v>993.58044399999994</v>
      </c>
    </row>
    <row r="911" spans="1:8" x14ac:dyDescent="0.3">
      <c r="A911" t="s">
        <v>861</v>
      </c>
      <c r="B911">
        <v>17882.38</v>
      </c>
      <c r="C911" t="s">
        <v>43</v>
      </c>
      <c r="D911">
        <v>12</v>
      </c>
      <c r="E911">
        <v>1324.6</v>
      </c>
      <c r="F911" t="s">
        <v>74</v>
      </c>
      <c r="G911">
        <v>2</v>
      </c>
      <c r="H911">
        <v>993.58</v>
      </c>
    </row>
    <row r="912" spans="1:8" s="40" customFormat="1" x14ac:dyDescent="0.3">
      <c r="A912" s="41" t="s">
        <v>976</v>
      </c>
      <c r="B912" s="40">
        <f>D911*E912+G911*H912+J911*K912</f>
        <v>17882.375455999998</v>
      </c>
      <c r="E912" s="40">
        <v>1324.6012139999998</v>
      </c>
      <c r="H912" s="40">
        <v>993.58044399999994</v>
      </c>
    </row>
    <row r="913" spans="1:8" x14ac:dyDescent="0.3">
      <c r="A913" t="s">
        <v>863</v>
      </c>
      <c r="B913">
        <v>11921.8</v>
      </c>
      <c r="C913" t="s">
        <v>39</v>
      </c>
      <c r="D913">
        <v>12</v>
      </c>
      <c r="E913">
        <v>827.89</v>
      </c>
      <c r="F913" t="s">
        <v>72</v>
      </c>
      <c r="G913">
        <v>2</v>
      </c>
      <c r="H913">
        <v>993.58</v>
      </c>
    </row>
    <row r="914" spans="1:8" s="40" customFormat="1" x14ac:dyDescent="0.3">
      <c r="A914" s="41" t="s">
        <v>976</v>
      </c>
      <c r="B914" s="40">
        <f>D913*E914+G913*H914+J913*K914</f>
        <v>11921.795348</v>
      </c>
      <c r="E914" s="40">
        <v>827.8862049999999</v>
      </c>
      <c r="H914" s="40">
        <v>993.58044399999994</v>
      </c>
    </row>
    <row r="915" spans="1:8" x14ac:dyDescent="0.3">
      <c r="A915" t="s">
        <v>862</v>
      </c>
      <c r="B915">
        <v>17882.38</v>
      </c>
      <c r="C915" t="s">
        <v>43</v>
      </c>
      <c r="D915">
        <v>12</v>
      </c>
      <c r="E915">
        <v>1324.6</v>
      </c>
      <c r="F915" t="s">
        <v>74</v>
      </c>
      <c r="G915">
        <v>2</v>
      </c>
      <c r="H915">
        <v>993.58</v>
      </c>
    </row>
    <row r="916" spans="1:8" s="40" customFormat="1" x14ac:dyDescent="0.3">
      <c r="A916" s="41" t="s">
        <v>976</v>
      </c>
      <c r="B916" s="40">
        <f>D915*E916+G915*H916+J915*K916</f>
        <v>17882.375455999998</v>
      </c>
      <c r="E916" s="40">
        <v>1324.6012139999998</v>
      </c>
      <c r="H916" s="40">
        <v>993.58044399999994</v>
      </c>
    </row>
    <row r="917" spans="1:8" x14ac:dyDescent="0.3">
      <c r="A917" t="s">
        <v>864</v>
      </c>
      <c r="B917">
        <v>17882.38</v>
      </c>
      <c r="C917" t="s">
        <v>43</v>
      </c>
      <c r="D917">
        <v>12</v>
      </c>
      <c r="E917">
        <v>1324.6</v>
      </c>
      <c r="F917" t="s">
        <v>74</v>
      </c>
      <c r="G917">
        <v>2</v>
      </c>
      <c r="H917">
        <v>993.58</v>
      </c>
    </row>
    <row r="918" spans="1:8" s="40" customFormat="1" x14ac:dyDescent="0.3">
      <c r="A918" s="41" t="s">
        <v>976</v>
      </c>
      <c r="B918" s="40">
        <f>D917*E918+G917*H918+J917*K918</f>
        <v>17882.375455999998</v>
      </c>
      <c r="E918" s="40">
        <v>1324.6012139999998</v>
      </c>
      <c r="H918" s="40">
        <v>993.58044399999994</v>
      </c>
    </row>
    <row r="919" spans="1:8" x14ac:dyDescent="0.3">
      <c r="A919" t="s">
        <v>963</v>
      </c>
      <c r="B919">
        <v>17882.38</v>
      </c>
      <c r="C919" t="s">
        <v>43</v>
      </c>
      <c r="D919">
        <v>12</v>
      </c>
      <c r="E919">
        <v>1324.6</v>
      </c>
      <c r="F919" t="s">
        <v>74</v>
      </c>
      <c r="G919">
        <v>2</v>
      </c>
      <c r="H919">
        <v>993.58</v>
      </c>
    </row>
    <row r="920" spans="1:8" s="40" customFormat="1" x14ac:dyDescent="0.3">
      <c r="A920" s="41" t="s">
        <v>976</v>
      </c>
      <c r="B920" s="40">
        <f>D919*E920+G919*H920+J919*K920</f>
        <v>17882.375455999998</v>
      </c>
      <c r="E920" s="40">
        <v>1324.6012139999998</v>
      </c>
      <c r="H920" s="40">
        <v>993.58044399999994</v>
      </c>
    </row>
    <row r="921" spans="1:8" x14ac:dyDescent="0.3">
      <c r="A921" t="s">
        <v>865</v>
      </c>
      <c r="B921">
        <v>17882.38</v>
      </c>
      <c r="C921" t="s">
        <v>43</v>
      </c>
      <c r="D921">
        <v>12</v>
      </c>
      <c r="E921">
        <v>1324.6</v>
      </c>
      <c r="F921" t="s">
        <v>74</v>
      </c>
      <c r="G921">
        <v>2</v>
      </c>
      <c r="H921">
        <v>993.58</v>
      </c>
    </row>
    <row r="922" spans="1:8" s="40" customFormat="1" x14ac:dyDescent="0.3">
      <c r="A922" s="41" t="s">
        <v>976</v>
      </c>
      <c r="B922" s="40">
        <f>D921*E922+G921*H922+J921*K922</f>
        <v>17882.375455999998</v>
      </c>
      <c r="E922" s="40">
        <v>1324.6012139999998</v>
      </c>
      <c r="H922" s="40">
        <v>993.58044399999994</v>
      </c>
    </row>
    <row r="923" spans="1:8" x14ac:dyDescent="0.3">
      <c r="A923" t="s">
        <v>866</v>
      </c>
      <c r="B923">
        <v>17882.38</v>
      </c>
      <c r="C923" t="s">
        <v>43</v>
      </c>
      <c r="D923">
        <v>12</v>
      </c>
      <c r="E923">
        <v>1324.6</v>
      </c>
      <c r="F923" t="s">
        <v>74</v>
      </c>
      <c r="G923">
        <v>2</v>
      </c>
      <c r="H923">
        <v>993.58</v>
      </c>
    </row>
    <row r="924" spans="1:8" s="40" customFormat="1" x14ac:dyDescent="0.3">
      <c r="A924" s="41" t="s">
        <v>976</v>
      </c>
      <c r="B924" s="40">
        <f>D923*E924+G923*H924+J923*K924</f>
        <v>17882.375455999998</v>
      </c>
      <c r="E924" s="40">
        <v>1324.6012139999998</v>
      </c>
      <c r="H924" s="40">
        <v>993.58044399999994</v>
      </c>
    </row>
    <row r="925" spans="1:8" x14ac:dyDescent="0.3">
      <c r="A925" t="s">
        <v>867</v>
      </c>
      <c r="B925">
        <v>30465.29</v>
      </c>
      <c r="C925" t="s">
        <v>47</v>
      </c>
      <c r="D925">
        <v>12</v>
      </c>
      <c r="E925">
        <v>2207.7399999999998</v>
      </c>
      <c r="F925" t="s">
        <v>79</v>
      </c>
      <c r="G925">
        <v>2</v>
      </c>
      <c r="H925">
        <v>1986.23</v>
      </c>
    </row>
    <row r="926" spans="1:8" s="40" customFormat="1" x14ac:dyDescent="0.3">
      <c r="A926" s="41" t="s">
        <v>976</v>
      </c>
      <c r="B926" s="40">
        <f>D925*E926+G925*H926+J925*K926</f>
        <v>30465.293073999997</v>
      </c>
      <c r="E926" s="40">
        <v>2207.7355459999999</v>
      </c>
      <c r="H926" s="40">
        <v>1986.2332609999996</v>
      </c>
    </row>
    <row r="927" spans="1:8" x14ac:dyDescent="0.3">
      <c r="A927" t="s">
        <v>871</v>
      </c>
      <c r="B927">
        <v>16119.03</v>
      </c>
      <c r="C927" t="s">
        <v>31</v>
      </c>
      <c r="D927">
        <v>12</v>
      </c>
      <c r="E927">
        <v>1214.47</v>
      </c>
      <c r="F927" t="s">
        <v>89</v>
      </c>
      <c r="G927">
        <v>2</v>
      </c>
      <c r="H927">
        <v>772.68</v>
      </c>
    </row>
    <row r="928" spans="1:8" s="40" customFormat="1" x14ac:dyDescent="0.3">
      <c r="A928" s="41" t="s">
        <v>976</v>
      </c>
      <c r="B928" s="40">
        <f>D927*E928+G927*H928+J927*K928</f>
        <v>16119.031741999999</v>
      </c>
      <c r="E928" s="40">
        <v>1214.4726679999999</v>
      </c>
      <c r="H928" s="40">
        <v>772.67986299999995</v>
      </c>
    </row>
    <row r="929" spans="1:8" x14ac:dyDescent="0.3">
      <c r="A929" t="s">
        <v>869</v>
      </c>
      <c r="B929">
        <v>8166.71</v>
      </c>
      <c r="C929" t="s">
        <v>24</v>
      </c>
      <c r="D929">
        <v>12</v>
      </c>
      <c r="E929">
        <v>551.78</v>
      </c>
      <c r="F929" t="s">
        <v>87</v>
      </c>
      <c r="G929">
        <v>2</v>
      </c>
      <c r="H929">
        <v>772.68</v>
      </c>
    </row>
    <row r="930" spans="1:8" s="40" customFormat="1" x14ac:dyDescent="0.3">
      <c r="A930" s="41" t="s">
        <v>976</v>
      </c>
      <c r="B930" s="40">
        <f>D929*E930+G929*H930+J929*K930</f>
        <v>8166.7111099999993</v>
      </c>
      <c r="E930" s="40">
        <v>551.77928199999997</v>
      </c>
      <c r="H930" s="40">
        <v>772.67986299999995</v>
      </c>
    </row>
    <row r="931" spans="1:8" x14ac:dyDescent="0.3">
      <c r="A931" t="s">
        <v>868</v>
      </c>
      <c r="B931">
        <v>10817.52</v>
      </c>
      <c r="C931" t="s">
        <v>27</v>
      </c>
      <c r="D931">
        <v>12</v>
      </c>
      <c r="E931">
        <v>772.68</v>
      </c>
      <c r="F931" t="s">
        <v>87</v>
      </c>
      <c r="G931">
        <v>2</v>
      </c>
      <c r="H931">
        <v>772.68</v>
      </c>
    </row>
    <row r="932" spans="1:8" s="40" customFormat="1" x14ac:dyDescent="0.3">
      <c r="A932" s="41" t="s">
        <v>976</v>
      </c>
      <c r="B932" s="40">
        <f>D931*E932+G931*H932+J931*K932</f>
        <v>10817.518082000001</v>
      </c>
      <c r="E932" s="40">
        <v>772.67986299999995</v>
      </c>
      <c r="H932" s="40">
        <v>772.67986299999995</v>
      </c>
    </row>
    <row r="933" spans="1:8" x14ac:dyDescent="0.3">
      <c r="A933" t="s">
        <v>873</v>
      </c>
      <c r="B933">
        <v>18765.43</v>
      </c>
      <c r="C933" t="s">
        <v>69</v>
      </c>
      <c r="D933">
        <v>12</v>
      </c>
      <c r="E933">
        <v>1435.01</v>
      </c>
      <c r="F933" t="s">
        <v>89</v>
      </c>
      <c r="G933">
        <v>2</v>
      </c>
      <c r="H933">
        <v>772.68</v>
      </c>
    </row>
    <row r="934" spans="1:8" s="40" customFormat="1" x14ac:dyDescent="0.3">
      <c r="A934" s="41" t="s">
        <v>976</v>
      </c>
      <c r="B934" s="40">
        <f>D933*E934+G933*H934+J933*K934</f>
        <v>18765.426217999997</v>
      </c>
      <c r="E934" s="40">
        <v>1435.0055409999998</v>
      </c>
      <c r="H934" s="40">
        <v>772.67986299999995</v>
      </c>
    </row>
    <row r="935" spans="1:8" x14ac:dyDescent="0.3">
      <c r="A935" t="s">
        <v>872</v>
      </c>
      <c r="B935">
        <v>16119.03</v>
      </c>
      <c r="C935" t="s">
        <v>31</v>
      </c>
      <c r="D935">
        <v>12</v>
      </c>
      <c r="E935">
        <v>1214.47</v>
      </c>
      <c r="F935" t="s">
        <v>89</v>
      </c>
      <c r="G935">
        <v>2</v>
      </c>
      <c r="H935">
        <v>772.68</v>
      </c>
    </row>
    <row r="936" spans="1:8" s="40" customFormat="1" x14ac:dyDescent="0.3">
      <c r="A936" s="41" t="s">
        <v>976</v>
      </c>
      <c r="B936" s="40">
        <f>D935*E936+G935*H936+J935*K936</f>
        <v>16119.031741999999</v>
      </c>
      <c r="E936" s="40">
        <v>1214.4726679999999</v>
      </c>
      <c r="H936" s="40">
        <v>772.67986299999995</v>
      </c>
    </row>
    <row r="937" spans="1:8" x14ac:dyDescent="0.3">
      <c r="A937" t="s">
        <v>874</v>
      </c>
      <c r="B937">
        <v>9272.16</v>
      </c>
      <c r="C937" t="s">
        <v>27</v>
      </c>
      <c r="D937">
        <v>12</v>
      </c>
      <c r="E937">
        <v>772.68</v>
      </c>
    </row>
    <row r="938" spans="1:8" s="40" customFormat="1" x14ac:dyDescent="0.3">
      <c r="A938" s="41" t="s">
        <v>976</v>
      </c>
      <c r="B938" s="40">
        <f>D937*E938+G937*H938+J937*K938</f>
        <v>9272.1583559999999</v>
      </c>
      <c r="E938" s="40">
        <v>772.67986299999995</v>
      </c>
    </row>
    <row r="939" spans="1:8" x14ac:dyDescent="0.3">
      <c r="A939" t="s">
        <v>875</v>
      </c>
      <c r="B939">
        <v>11922.97</v>
      </c>
      <c r="C939" t="s">
        <v>65</v>
      </c>
      <c r="D939">
        <v>12</v>
      </c>
      <c r="E939">
        <v>993.58</v>
      </c>
    </row>
    <row r="940" spans="1:8" s="40" customFormat="1" x14ac:dyDescent="0.3">
      <c r="A940" s="41" t="s">
        <v>976</v>
      </c>
      <c r="B940" s="40">
        <f>D939*E940+G939*H940+J939*K940</f>
        <v>11922.965327999998</v>
      </c>
      <c r="E940" s="40">
        <v>993.58044399999994</v>
      </c>
    </row>
    <row r="941" spans="1:8" x14ac:dyDescent="0.3">
      <c r="A941" t="s">
        <v>876</v>
      </c>
      <c r="B941">
        <v>9272.16</v>
      </c>
      <c r="C941" t="s">
        <v>27</v>
      </c>
      <c r="D941">
        <v>12</v>
      </c>
      <c r="E941">
        <v>772.68</v>
      </c>
    </row>
    <row r="942" spans="1:8" s="40" customFormat="1" x14ac:dyDescent="0.3">
      <c r="A942" s="41" t="s">
        <v>976</v>
      </c>
      <c r="B942" s="40">
        <f>D941*E942+G941*H942+J941*K942</f>
        <v>9272.1583559999999</v>
      </c>
      <c r="E942" s="40">
        <v>772.67986299999995</v>
      </c>
    </row>
    <row r="943" spans="1:8" x14ac:dyDescent="0.3">
      <c r="A943" t="s">
        <v>965</v>
      </c>
      <c r="B943">
        <v>9272.16</v>
      </c>
      <c r="C943" t="s">
        <v>27</v>
      </c>
      <c r="D943">
        <v>12</v>
      </c>
      <c r="E943">
        <v>772.68</v>
      </c>
    </row>
    <row r="944" spans="1:8" s="40" customFormat="1" x14ac:dyDescent="0.3">
      <c r="A944" s="41" t="s">
        <v>976</v>
      </c>
      <c r="B944" s="40">
        <f>D943*E944+G943*H944+J943*K944</f>
        <v>9272.1583559999999</v>
      </c>
      <c r="E944" s="40">
        <v>772.67986299999995</v>
      </c>
    </row>
    <row r="945" spans="1:11" x14ac:dyDescent="0.3">
      <c r="A945" t="s">
        <v>878</v>
      </c>
      <c r="B945">
        <v>14573.67</v>
      </c>
      <c r="C945" t="s">
        <v>31</v>
      </c>
      <c r="D945">
        <v>12</v>
      </c>
      <c r="E945">
        <v>1214.47</v>
      </c>
    </row>
    <row r="946" spans="1:11" s="40" customFormat="1" x14ac:dyDescent="0.3">
      <c r="A946" s="41" t="s">
        <v>976</v>
      </c>
      <c r="B946" s="40">
        <f>D945*E946+G945*H946+J945*K946</f>
        <v>14573.672015999999</v>
      </c>
      <c r="E946" s="40">
        <v>1214.4726679999999</v>
      </c>
    </row>
    <row r="947" spans="1:11" x14ac:dyDescent="0.3">
      <c r="A947" t="s">
        <v>877</v>
      </c>
      <c r="B947">
        <v>11922.97</v>
      </c>
      <c r="C947" t="s">
        <v>29</v>
      </c>
      <c r="D947">
        <v>12</v>
      </c>
      <c r="E947">
        <v>993.58</v>
      </c>
    </row>
    <row r="948" spans="1:11" s="40" customFormat="1" x14ac:dyDescent="0.3">
      <c r="A948" s="41" t="s">
        <v>976</v>
      </c>
      <c r="B948" s="40">
        <f>D947*E948+G947*H948+J947*K948</f>
        <v>11922.965327999998</v>
      </c>
      <c r="E948" s="40">
        <v>993.58044399999994</v>
      </c>
    </row>
    <row r="949" spans="1:11" x14ac:dyDescent="0.3">
      <c r="A949" t="s">
        <v>879</v>
      </c>
      <c r="B949">
        <v>17220.07</v>
      </c>
      <c r="C949" t="s">
        <v>69</v>
      </c>
      <c r="D949">
        <v>12</v>
      </c>
      <c r="E949">
        <v>1435.01</v>
      </c>
    </row>
    <row r="950" spans="1:11" s="40" customFormat="1" x14ac:dyDescent="0.3">
      <c r="A950" s="41" t="s">
        <v>976</v>
      </c>
      <c r="B950" s="40">
        <f>D949*E950+G949*H950+J949*K950</f>
        <v>17220.066491999998</v>
      </c>
      <c r="E950" s="40">
        <v>1435.0055409999998</v>
      </c>
    </row>
    <row r="951" spans="1:11" x14ac:dyDescent="0.3">
      <c r="A951" t="s">
        <v>880</v>
      </c>
      <c r="B951">
        <v>10375.719999999999</v>
      </c>
      <c r="C951" t="s">
        <v>27</v>
      </c>
      <c r="D951">
        <v>12</v>
      </c>
      <c r="E951">
        <v>772.68</v>
      </c>
      <c r="F951" t="s">
        <v>99</v>
      </c>
      <c r="G951">
        <v>2</v>
      </c>
      <c r="H951">
        <v>551.78</v>
      </c>
    </row>
    <row r="952" spans="1:11" s="40" customFormat="1" x14ac:dyDescent="0.3">
      <c r="A952" s="41" t="s">
        <v>976</v>
      </c>
      <c r="B952" s="40">
        <f>D951*E952+G951*H952+J951*K952</f>
        <v>10375.723756026</v>
      </c>
      <c r="E952" s="40">
        <v>772.67986299999995</v>
      </c>
      <c r="H952" s="40">
        <v>551.78270001299984</v>
      </c>
    </row>
    <row r="953" spans="1:11" x14ac:dyDescent="0.3">
      <c r="A953" t="s">
        <v>881</v>
      </c>
      <c r="B953">
        <v>15677.24</v>
      </c>
      <c r="C953" t="s">
        <v>31</v>
      </c>
      <c r="D953">
        <v>12</v>
      </c>
      <c r="E953">
        <v>1214.47</v>
      </c>
      <c r="F953" t="s">
        <v>99</v>
      </c>
      <c r="G953">
        <v>2</v>
      </c>
      <c r="H953">
        <v>551.78</v>
      </c>
    </row>
    <row r="954" spans="1:11" s="40" customFormat="1" x14ac:dyDescent="0.3">
      <c r="A954" s="41" t="s">
        <v>976</v>
      </c>
      <c r="B954" s="40">
        <f>D953*E954+G953*H954+J953*K954</f>
        <v>15677.237416025999</v>
      </c>
      <c r="E954" s="40">
        <v>1214.4726679999999</v>
      </c>
      <c r="H954" s="40">
        <v>551.78270001299984</v>
      </c>
    </row>
    <row r="955" spans="1:11" x14ac:dyDescent="0.3">
      <c r="A955" t="s">
        <v>883</v>
      </c>
      <c r="B955">
        <v>21854.99</v>
      </c>
      <c r="C955" t="s">
        <v>31</v>
      </c>
      <c r="D955">
        <v>12</v>
      </c>
      <c r="E955">
        <v>1214.47</v>
      </c>
      <c r="F955" t="s">
        <v>110</v>
      </c>
      <c r="G955">
        <v>2</v>
      </c>
      <c r="H955">
        <v>1324.46</v>
      </c>
      <c r="I955" t="s">
        <v>137</v>
      </c>
      <c r="J955">
        <v>14</v>
      </c>
      <c r="K955">
        <v>330.88</v>
      </c>
    </row>
    <row r="956" spans="1:11" s="40" customFormat="1" x14ac:dyDescent="0.3">
      <c r="A956" s="41" t="s">
        <v>976</v>
      </c>
      <c r="B956" s="40">
        <f>D955*E956+G955*H956+J955*K956</f>
        <v>21854.985434261998</v>
      </c>
      <c r="E956" s="40">
        <v>1214.4726679999999</v>
      </c>
      <c r="H956" s="40">
        <v>1324.4633318569997</v>
      </c>
      <c r="K956" s="40">
        <v>330.88476818199996</v>
      </c>
    </row>
    <row r="957" spans="1:11" x14ac:dyDescent="0.3">
      <c r="A957" t="s">
        <v>882</v>
      </c>
      <c r="B957">
        <v>21854.99</v>
      </c>
      <c r="C957" t="s">
        <v>31</v>
      </c>
      <c r="D957">
        <v>12</v>
      </c>
      <c r="E957">
        <v>1214.47</v>
      </c>
      <c r="F957" t="s">
        <v>110</v>
      </c>
      <c r="G957">
        <v>2</v>
      </c>
      <c r="H957">
        <v>1324.46</v>
      </c>
      <c r="I957" t="s">
        <v>137</v>
      </c>
      <c r="J957">
        <v>14</v>
      </c>
      <c r="K957">
        <v>330.88</v>
      </c>
    </row>
    <row r="958" spans="1:11" s="40" customFormat="1" x14ac:dyDescent="0.3">
      <c r="A958" s="41" t="s">
        <v>976</v>
      </c>
      <c r="B958" s="40">
        <f>D957*E958+G957*H958+J957*K958</f>
        <v>21854.985434261998</v>
      </c>
      <c r="E958" s="40">
        <v>1214.4726679999999</v>
      </c>
      <c r="H958" s="40">
        <v>1324.4633318569997</v>
      </c>
      <c r="K958" s="40">
        <v>330.88476818199996</v>
      </c>
    </row>
    <row r="959" spans="1:11" x14ac:dyDescent="0.3">
      <c r="A959" t="s">
        <v>884</v>
      </c>
      <c r="B959">
        <v>19648.84</v>
      </c>
      <c r="C959" t="s">
        <v>53</v>
      </c>
      <c r="D959">
        <v>10</v>
      </c>
      <c r="E959">
        <v>1766.17</v>
      </c>
      <c r="F959" t="s">
        <v>81</v>
      </c>
      <c r="G959">
        <v>2</v>
      </c>
      <c r="H959">
        <v>993.58</v>
      </c>
    </row>
    <row r="960" spans="1:11" s="40" customFormat="1" x14ac:dyDescent="0.3">
      <c r="A960" s="41" t="s">
        <v>976</v>
      </c>
      <c r="B960" s="40">
        <f>D959*E960+G959*H960+J959*K960</f>
        <v>19648.844687999997</v>
      </c>
      <c r="E960" s="40">
        <v>1766.1683799999998</v>
      </c>
      <c r="H960" s="40">
        <v>993.58044399999994</v>
      </c>
    </row>
    <row r="961" spans="1:11" x14ac:dyDescent="0.3">
      <c r="A961" t="s">
        <v>967</v>
      </c>
      <c r="B961">
        <v>7504.95</v>
      </c>
      <c r="C961" t="s">
        <v>24</v>
      </c>
      <c r="D961">
        <v>10</v>
      </c>
      <c r="E961">
        <v>551.78</v>
      </c>
      <c r="F961" t="s">
        <v>72</v>
      </c>
      <c r="G961">
        <v>2</v>
      </c>
      <c r="H961">
        <v>993.58</v>
      </c>
    </row>
    <row r="962" spans="1:11" s="40" customFormat="1" x14ac:dyDescent="0.3">
      <c r="A962" s="41" t="s">
        <v>976</v>
      </c>
      <c r="B962" s="40">
        <f>D961*E962+G961*H962+J961*K962</f>
        <v>7504.9537079999991</v>
      </c>
      <c r="E962" s="40">
        <v>551.77928199999997</v>
      </c>
      <c r="H962" s="40">
        <v>993.58044399999994</v>
      </c>
    </row>
    <row r="963" spans="1:11" x14ac:dyDescent="0.3">
      <c r="A963" t="s">
        <v>885</v>
      </c>
      <c r="B963">
        <v>24501.38</v>
      </c>
      <c r="C963" t="s">
        <v>69</v>
      </c>
      <c r="D963">
        <v>12</v>
      </c>
      <c r="E963">
        <v>1435.01</v>
      </c>
      <c r="F963" t="s">
        <v>110</v>
      </c>
      <c r="G963">
        <v>2</v>
      </c>
      <c r="H963">
        <v>1324.46</v>
      </c>
      <c r="I963" t="s">
        <v>137</v>
      </c>
      <c r="J963">
        <v>14</v>
      </c>
      <c r="K963">
        <v>330.88</v>
      </c>
    </row>
    <row r="964" spans="1:11" s="40" customFormat="1" x14ac:dyDescent="0.3">
      <c r="A964" s="41" t="s">
        <v>976</v>
      </c>
      <c r="B964" s="40">
        <f>D963*E964+G963*H964+J963*K964</f>
        <v>24501.379910261996</v>
      </c>
      <c r="E964" s="40">
        <v>1435.0055409999998</v>
      </c>
      <c r="H964" s="40">
        <v>1324.4633318569997</v>
      </c>
      <c r="K964" s="40">
        <v>330.88476818199996</v>
      </c>
    </row>
    <row r="965" spans="1:11" x14ac:dyDescent="0.3">
      <c r="A965" t="s">
        <v>886</v>
      </c>
      <c r="B965">
        <v>9713.9599999999991</v>
      </c>
      <c r="C965" t="s">
        <v>27</v>
      </c>
      <c r="D965">
        <v>10</v>
      </c>
      <c r="E965">
        <v>772.68</v>
      </c>
      <c r="F965" t="s">
        <v>72</v>
      </c>
      <c r="G965">
        <v>2</v>
      </c>
      <c r="H965">
        <v>993.58</v>
      </c>
    </row>
    <row r="966" spans="1:11" s="40" customFormat="1" x14ac:dyDescent="0.3">
      <c r="A966" s="41" t="s">
        <v>976</v>
      </c>
      <c r="B966" s="40">
        <f>D965*E966+G965*H966+J965*K966</f>
        <v>9713.9595179999997</v>
      </c>
      <c r="E966" s="40">
        <v>772.67986299999995</v>
      </c>
      <c r="H966" s="40">
        <v>993.58044399999994</v>
      </c>
    </row>
    <row r="967" spans="1:11" x14ac:dyDescent="0.3">
      <c r="A967" t="s">
        <v>887</v>
      </c>
      <c r="B967">
        <v>9713.9599999999991</v>
      </c>
      <c r="C967" t="s">
        <v>27</v>
      </c>
      <c r="D967">
        <v>10</v>
      </c>
      <c r="E967">
        <v>772.68</v>
      </c>
      <c r="F967" t="s">
        <v>72</v>
      </c>
      <c r="G967">
        <v>2</v>
      </c>
      <c r="H967">
        <v>993.58</v>
      </c>
    </row>
    <row r="968" spans="1:11" s="40" customFormat="1" x14ac:dyDescent="0.3">
      <c r="A968" s="41" t="s">
        <v>976</v>
      </c>
      <c r="B968" s="40">
        <f>D967*E968+G967*H968+J967*K968</f>
        <v>9713.9595179999997</v>
      </c>
      <c r="E968" s="40">
        <v>772.67986299999995</v>
      </c>
      <c r="H968" s="40">
        <v>993.58044399999994</v>
      </c>
    </row>
    <row r="969" spans="1:11" x14ac:dyDescent="0.3">
      <c r="A969" t="s">
        <v>890</v>
      </c>
      <c r="B969">
        <v>9713.9599999999991</v>
      </c>
      <c r="C969" t="s">
        <v>27</v>
      </c>
      <c r="D969">
        <v>10</v>
      </c>
      <c r="E969">
        <v>772.68</v>
      </c>
      <c r="F969" t="s">
        <v>72</v>
      </c>
      <c r="G969">
        <v>2</v>
      </c>
      <c r="H969">
        <v>993.58</v>
      </c>
    </row>
    <row r="970" spans="1:11" s="40" customFormat="1" x14ac:dyDescent="0.3">
      <c r="A970" s="41" t="s">
        <v>976</v>
      </c>
      <c r="B970" s="40">
        <f>D969*E970+G969*H970+J969*K970</f>
        <v>9713.9595179999997</v>
      </c>
      <c r="E970" s="40">
        <v>772.67986299999995</v>
      </c>
      <c r="H970" s="40">
        <v>993.58044399999994</v>
      </c>
    </row>
    <row r="971" spans="1:11" x14ac:dyDescent="0.3">
      <c r="A971" t="s">
        <v>889</v>
      </c>
      <c r="B971">
        <v>9713.9599999999991</v>
      </c>
      <c r="C971" t="s">
        <v>27</v>
      </c>
      <c r="D971">
        <v>10</v>
      </c>
      <c r="E971">
        <v>772.68</v>
      </c>
      <c r="F971" t="s">
        <v>72</v>
      </c>
      <c r="G971">
        <v>2</v>
      </c>
      <c r="H971">
        <v>993.58</v>
      </c>
    </row>
    <row r="972" spans="1:11" s="40" customFormat="1" x14ac:dyDescent="0.3">
      <c r="A972" s="41" t="s">
        <v>976</v>
      </c>
      <c r="B972" s="40">
        <f>D971*E972+G971*H972+J971*K972</f>
        <v>9713.9595179999997</v>
      </c>
      <c r="E972" s="40">
        <v>772.67986299999995</v>
      </c>
      <c r="H972" s="40">
        <v>993.58044399999994</v>
      </c>
    </row>
    <row r="973" spans="1:11" x14ac:dyDescent="0.3">
      <c r="A973" t="s">
        <v>888</v>
      </c>
      <c r="B973">
        <v>9713.9599999999991</v>
      </c>
      <c r="C973" t="s">
        <v>27</v>
      </c>
      <c r="D973">
        <v>10</v>
      </c>
      <c r="E973">
        <v>772.68</v>
      </c>
      <c r="F973" t="s">
        <v>72</v>
      </c>
      <c r="G973">
        <v>2</v>
      </c>
      <c r="H973">
        <v>993.58</v>
      </c>
    </row>
    <row r="974" spans="1:11" s="40" customFormat="1" x14ac:dyDescent="0.3">
      <c r="A974" s="41" t="s">
        <v>976</v>
      </c>
      <c r="B974" s="40">
        <f>D973*E974+G973*H974+J973*K974</f>
        <v>9713.9595179999997</v>
      </c>
      <c r="E974" s="40">
        <v>772.67986299999995</v>
      </c>
      <c r="H974" s="40">
        <v>993.58044399999994</v>
      </c>
    </row>
    <row r="975" spans="1:11" x14ac:dyDescent="0.3">
      <c r="A975" t="s">
        <v>894</v>
      </c>
      <c r="B975">
        <v>9713.9599999999991</v>
      </c>
      <c r="C975" t="s">
        <v>27</v>
      </c>
      <c r="D975">
        <v>10</v>
      </c>
      <c r="E975">
        <v>772.68</v>
      </c>
      <c r="F975" t="s">
        <v>72</v>
      </c>
      <c r="G975">
        <v>2</v>
      </c>
      <c r="H975">
        <v>993.58</v>
      </c>
    </row>
    <row r="976" spans="1:11" s="40" customFormat="1" x14ac:dyDescent="0.3">
      <c r="A976" s="41" t="s">
        <v>976</v>
      </c>
      <c r="B976" s="40">
        <f>D975*E976+G975*H976+J975*K976</f>
        <v>9713.9595179999997</v>
      </c>
      <c r="E976" s="40">
        <v>772.67986299999995</v>
      </c>
      <c r="H976" s="40">
        <v>993.58044399999994</v>
      </c>
    </row>
    <row r="977" spans="1:8" x14ac:dyDescent="0.3">
      <c r="A977" t="s">
        <v>892</v>
      </c>
      <c r="B977">
        <v>9713.9599999999991</v>
      </c>
      <c r="C977" t="s">
        <v>27</v>
      </c>
      <c r="D977">
        <v>10</v>
      </c>
      <c r="E977">
        <v>772.68</v>
      </c>
      <c r="F977" t="s">
        <v>72</v>
      </c>
      <c r="G977">
        <v>2</v>
      </c>
      <c r="H977">
        <v>993.58</v>
      </c>
    </row>
    <row r="978" spans="1:8" s="40" customFormat="1" x14ac:dyDescent="0.3">
      <c r="A978" s="41" t="s">
        <v>976</v>
      </c>
      <c r="B978" s="40">
        <f>D977*E978+G977*H978+J977*K978</f>
        <v>9713.9595179999997</v>
      </c>
      <c r="E978" s="40">
        <v>772.67986299999995</v>
      </c>
      <c r="H978" s="40">
        <v>993.58044399999994</v>
      </c>
    </row>
    <row r="979" spans="1:8" x14ac:dyDescent="0.3">
      <c r="A979" t="s">
        <v>891</v>
      </c>
      <c r="B979">
        <v>9713.9599999999991</v>
      </c>
      <c r="C979" t="s">
        <v>27</v>
      </c>
      <c r="D979">
        <v>10</v>
      </c>
      <c r="E979">
        <v>772.68</v>
      </c>
      <c r="F979" t="s">
        <v>72</v>
      </c>
      <c r="G979">
        <v>2</v>
      </c>
      <c r="H979">
        <v>993.58</v>
      </c>
    </row>
    <row r="980" spans="1:8" s="40" customFormat="1" x14ac:dyDescent="0.3">
      <c r="A980" s="41" t="s">
        <v>976</v>
      </c>
      <c r="B980" s="40">
        <f>D979*E980+G979*H980+J979*K980</f>
        <v>9713.9595179999997</v>
      </c>
      <c r="E980" s="40">
        <v>772.67986299999995</v>
      </c>
      <c r="H980" s="40">
        <v>993.58044399999994</v>
      </c>
    </row>
    <row r="981" spans="1:8" x14ac:dyDescent="0.3">
      <c r="A981" t="s">
        <v>893</v>
      </c>
      <c r="B981">
        <v>9713.9599999999991</v>
      </c>
      <c r="C981" t="s">
        <v>27</v>
      </c>
      <c r="D981">
        <v>10</v>
      </c>
      <c r="E981">
        <v>772.68</v>
      </c>
      <c r="F981" t="s">
        <v>72</v>
      </c>
      <c r="G981">
        <v>2</v>
      </c>
      <c r="H981">
        <v>993.58</v>
      </c>
    </row>
    <row r="982" spans="1:8" s="40" customFormat="1" x14ac:dyDescent="0.3">
      <c r="A982" s="41" t="s">
        <v>976</v>
      </c>
      <c r="B982" s="40">
        <f>D981*E982+G981*H982+J981*K982</f>
        <v>9713.9595179999997</v>
      </c>
      <c r="E982" s="40">
        <v>772.67986299999995</v>
      </c>
      <c r="H982" s="40">
        <v>993.58044399999994</v>
      </c>
    </row>
    <row r="983" spans="1:8" x14ac:dyDescent="0.3">
      <c r="A983" t="s">
        <v>895</v>
      </c>
      <c r="B983">
        <v>9713.9599999999991</v>
      </c>
      <c r="C983" t="s">
        <v>27</v>
      </c>
      <c r="D983">
        <v>10</v>
      </c>
      <c r="E983">
        <v>772.68</v>
      </c>
      <c r="F983" t="s">
        <v>72</v>
      </c>
      <c r="G983">
        <v>2</v>
      </c>
      <c r="H983">
        <v>993.58</v>
      </c>
    </row>
    <row r="984" spans="1:8" s="40" customFormat="1" x14ac:dyDescent="0.3">
      <c r="A984" s="41" t="s">
        <v>976</v>
      </c>
      <c r="B984" s="40">
        <f>D983*E984+G983*H984+J983*K984</f>
        <v>9713.9595179999997</v>
      </c>
      <c r="E984" s="40">
        <v>772.67986299999995</v>
      </c>
      <c r="H984" s="40">
        <v>993.58044399999994</v>
      </c>
    </row>
    <row r="985" spans="1:8" x14ac:dyDescent="0.3">
      <c r="A985" t="s">
        <v>896</v>
      </c>
      <c r="B985">
        <v>14131.89</v>
      </c>
      <c r="C985" t="s">
        <v>31</v>
      </c>
      <c r="D985">
        <v>10</v>
      </c>
      <c r="E985">
        <v>1214.47</v>
      </c>
      <c r="F985" t="s">
        <v>74</v>
      </c>
      <c r="G985">
        <v>2</v>
      </c>
      <c r="H985">
        <v>993.58</v>
      </c>
    </row>
    <row r="986" spans="1:8" s="40" customFormat="1" x14ac:dyDescent="0.3">
      <c r="A986" s="41" t="s">
        <v>976</v>
      </c>
      <c r="B986" s="40">
        <f>D985*E986+G985*H986+J985*K986</f>
        <v>14131.887568</v>
      </c>
      <c r="E986" s="40">
        <v>1214.4726679999999</v>
      </c>
      <c r="H986" s="40">
        <v>993.58044399999994</v>
      </c>
    </row>
    <row r="987" spans="1:8" x14ac:dyDescent="0.3">
      <c r="A987" t="s">
        <v>898</v>
      </c>
      <c r="B987">
        <v>11922.97</v>
      </c>
      <c r="C987" t="s">
        <v>29</v>
      </c>
      <c r="D987">
        <v>10</v>
      </c>
      <c r="E987">
        <v>993.58</v>
      </c>
      <c r="F987" t="s">
        <v>74</v>
      </c>
      <c r="G987">
        <v>2</v>
      </c>
      <c r="H987">
        <v>993.58</v>
      </c>
    </row>
    <row r="988" spans="1:8" s="40" customFormat="1" x14ac:dyDescent="0.3">
      <c r="A988" s="41" t="s">
        <v>976</v>
      </c>
      <c r="B988" s="40">
        <f>D987*E988+G987*H988+J987*K988</f>
        <v>11922.965328</v>
      </c>
      <c r="E988" s="40">
        <v>993.58044399999994</v>
      </c>
      <c r="H988" s="40">
        <v>993.58044399999994</v>
      </c>
    </row>
    <row r="989" spans="1:8" x14ac:dyDescent="0.3">
      <c r="A989" t="s">
        <v>897</v>
      </c>
      <c r="B989">
        <v>16337.22</v>
      </c>
      <c r="C989" t="s">
        <v>69</v>
      </c>
      <c r="D989">
        <v>10</v>
      </c>
      <c r="E989">
        <v>1435.01</v>
      </c>
      <c r="F989" t="s">
        <v>74</v>
      </c>
      <c r="G989">
        <v>2</v>
      </c>
      <c r="H989">
        <v>993.58</v>
      </c>
    </row>
    <row r="990" spans="1:8" s="40" customFormat="1" x14ac:dyDescent="0.3">
      <c r="A990" s="41" t="s">
        <v>976</v>
      </c>
      <c r="B990" s="40">
        <f>D989*E990+G989*H990+J989*K990</f>
        <v>16337.216297999998</v>
      </c>
      <c r="E990" s="40">
        <v>1435.0055409999998</v>
      </c>
      <c r="H990" s="40">
        <v>993.58044399999994</v>
      </c>
    </row>
    <row r="991" spans="1:8" x14ac:dyDescent="0.3">
      <c r="A991" t="s">
        <v>899</v>
      </c>
      <c r="B991">
        <v>14131.89</v>
      </c>
      <c r="C991" t="s">
        <v>31</v>
      </c>
      <c r="D991">
        <v>10</v>
      </c>
      <c r="E991">
        <v>1214.47</v>
      </c>
      <c r="F991" t="s">
        <v>74</v>
      </c>
      <c r="G991">
        <v>2</v>
      </c>
      <c r="H991">
        <v>993.58</v>
      </c>
    </row>
    <row r="992" spans="1:8" s="40" customFormat="1" x14ac:dyDescent="0.3">
      <c r="A992" s="41" t="s">
        <v>976</v>
      </c>
      <c r="B992" s="40">
        <f>D991*E992+G991*H992+J991*K992</f>
        <v>14131.887568</v>
      </c>
      <c r="E992" s="40">
        <v>1214.4726679999999</v>
      </c>
      <c r="H992" s="40">
        <v>993.58044399999994</v>
      </c>
    </row>
    <row r="993" spans="1:8" x14ac:dyDescent="0.3">
      <c r="A993" t="s">
        <v>901</v>
      </c>
      <c r="B993">
        <v>14131.89</v>
      </c>
      <c r="C993" t="s">
        <v>31</v>
      </c>
      <c r="D993">
        <v>10</v>
      </c>
      <c r="E993">
        <v>1214.47</v>
      </c>
      <c r="F993" t="s">
        <v>74</v>
      </c>
      <c r="G993">
        <v>2</v>
      </c>
      <c r="H993">
        <v>993.58</v>
      </c>
    </row>
    <row r="994" spans="1:8" s="40" customFormat="1" x14ac:dyDescent="0.3">
      <c r="A994" s="41" t="s">
        <v>976</v>
      </c>
      <c r="B994" s="40">
        <f>D993*E994+G993*H994+J993*K994</f>
        <v>14131.887568</v>
      </c>
      <c r="E994" s="40">
        <v>1214.4726679999999</v>
      </c>
      <c r="H994" s="40">
        <v>993.58044399999994</v>
      </c>
    </row>
    <row r="995" spans="1:8" x14ac:dyDescent="0.3">
      <c r="A995" t="s">
        <v>900</v>
      </c>
      <c r="B995">
        <v>14131.89</v>
      </c>
      <c r="C995" t="s">
        <v>31</v>
      </c>
      <c r="D995">
        <v>10</v>
      </c>
      <c r="E995">
        <v>1214.47</v>
      </c>
      <c r="F995" t="s">
        <v>74</v>
      </c>
      <c r="G995">
        <v>2</v>
      </c>
      <c r="H995">
        <v>993.58</v>
      </c>
    </row>
    <row r="996" spans="1:8" s="40" customFormat="1" x14ac:dyDescent="0.3">
      <c r="A996" s="41" t="s">
        <v>976</v>
      </c>
      <c r="B996" s="40">
        <f>D995*E996+G995*H996+J995*K996</f>
        <v>14131.887568</v>
      </c>
      <c r="E996" s="40">
        <v>1214.4726679999999</v>
      </c>
      <c r="H996" s="40">
        <v>993.58044399999994</v>
      </c>
    </row>
    <row r="997" spans="1:8" x14ac:dyDescent="0.3">
      <c r="A997" t="s">
        <v>902</v>
      </c>
      <c r="B997">
        <v>14131.89</v>
      </c>
      <c r="C997" t="s">
        <v>31</v>
      </c>
      <c r="D997">
        <v>10</v>
      </c>
      <c r="E997">
        <v>1214.47</v>
      </c>
      <c r="F997" t="s">
        <v>74</v>
      </c>
      <c r="G997">
        <v>2</v>
      </c>
      <c r="H997">
        <v>993.58</v>
      </c>
    </row>
    <row r="998" spans="1:8" s="40" customFormat="1" x14ac:dyDescent="0.3">
      <c r="A998" s="41" t="s">
        <v>976</v>
      </c>
      <c r="B998" s="40">
        <f>D997*E998+G997*H998+J997*K998</f>
        <v>14131.887568</v>
      </c>
      <c r="E998" s="40">
        <v>1214.4726679999999</v>
      </c>
      <c r="H998" s="40">
        <v>993.58044399999994</v>
      </c>
    </row>
    <row r="999" spans="1:8" x14ac:dyDescent="0.3">
      <c r="A999" t="s">
        <v>903</v>
      </c>
      <c r="B999">
        <v>14131.89</v>
      </c>
      <c r="C999" t="s">
        <v>31</v>
      </c>
      <c r="D999">
        <v>10</v>
      </c>
      <c r="E999">
        <v>1214.47</v>
      </c>
      <c r="F999" t="s">
        <v>74</v>
      </c>
      <c r="G999">
        <v>2</v>
      </c>
      <c r="H999">
        <v>993.58</v>
      </c>
    </row>
    <row r="1000" spans="1:8" s="40" customFormat="1" x14ac:dyDescent="0.3">
      <c r="A1000" s="41" t="s">
        <v>976</v>
      </c>
      <c r="B1000" s="40">
        <f>D999*E1000+G999*H1000+J999*K1000</f>
        <v>14131.887568</v>
      </c>
      <c r="E1000" s="40">
        <v>1214.4726679999999</v>
      </c>
      <c r="H1000" s="40">
        <v>993.58044399999994</v>
      </c>
    </row>
    <row r="1001" spans="1:8" x14ac:dyDescent="0.3">
      <c r="A1001" t="s">
        <v>904</v>
      </c>
      <c r="B1001">
        <v>16337.22</v>
      </c>
      <c r="C1001" t="s">
        <v>69</v>
      </c>
      <c r="D1001">
        <v>10</v>
      </c>
      <c r="E1001">
        <v>1435.01</v>
      </c>
      <c r="F1001" t="s">
        <v>74</v>
      </c>
      <c r="G1001">
        <v>2</v>
      </c>
      <c r="H1001">
        <v>993.58</v>
      </c>
    </row>
    <row r="1002" spans="1:8" s="40" customFormat="1" x14ac:dyDescent="0.3">
      <c r="A1002" s="41" t="s">
        <v>976</v>
      </c>
      <c r="B1002" s="40">
        <f>D1001*E1002+G1001*H1002+J1001*K1002</f>
        <v>16337.216297999998</v>
      </c>
      <c r="E1002" s="40">
        <v>1435.0055409999998</v>
      </c>
      <c r="H1002" s="40">
        <v>993.58044399999994</v>
      </c>
    </row>
    <row r="1003" spans="1:8" x14ac:dyDescent="0.3">
      <c r="A1003" t="s">
        <v>905</v>
      </c>
      <c r="B1003">
        <v>14131.89</v>
      </c>
      <c r="C1003" t="s">
        <v>31</v>
      </c>
      <c r="D1003">
        <v>10</v>
      </c>
      <c r="E1003">
        <v>1214.47</v>
      </c>
      <c r="F1003" t="s">
        <v>74</v>
      </c>
      <c r="G1003">
        <v>2</v>
      </c>
      <c r="H1003">
        <v>993.58</v>
      </c>
    </row>
    <row r="1004" spans="1:8" s="40" customFormat="1" x14ac:dyDescent="0.3">
      <c r="A1004" s="41" t="s">
        <v>976</v>
      </c>
      <c r="B1004" s="40">
        <f>D1003*E1004+G1003*H1004+J1003*K1004</f>
        <v>14131.887568</v>
      </c>
      <c r="E1004" s="40">
        <v>1214.4726679999999</v>
      </c>
      <c r="H1004" s="40">
        <v>993.58044399999994</v>
      </c>
    </row>
    <row r="1005" spans="1:8" x14ac:dyDescent="0.3">
      <c r="A1005" t="s">
        <v>907</v>
      </c>
      <c r="B1005">
        <v>14131.89</v>
      </c>
      <c r="C1005" t="s">
        <v>31</v>
      </c>
      <c r="D1005">
        <v>10</v>
      </c>
      <c r="E1005">
        <v>1214.47</v>
      </c>
      <c r="F1005" t="s">
        <v>74</v>
      </c>
      <c r="G1005">
        <v>2</v>
      </c>
      <c r="H1005">
        <v>993.58</v>
      </c>
    </row>
    <row r="1006" spans="1:8" s="40" customFormat="1" x14ac:dyDescent="0.3">
      <c r="A1006" s="41" t="s">
        <v>976</v>
      </c>
      <c r="B1006" s="40">
        <f>D1005*E1006+G1005*H1006+J1005*K1006</f>
        <v>14131.887568</v>
      </c>
      <c r="E1006" s="40">
        <v>1214.4726679999999</v>
      </c>
      <c r="H1006" s="40">
        <v>993.58044399999994</v>
      </c>
    </row>
    <row r="1007" spans="1:8" x14ac:dyDescent="0.3">
      <c r="A1007" t="s">
        <v>906</v>
      </c>
      <c r="B1007">
        <v>16337.22</v>
      </c>
      <c r="C1007" t="s">
        <v>69</v>
      </c>
      <c r="D1007">
        <v>10</v>
      </c>
      <c r="E1007">
        <v>1435.01</v>
      </c>
      <c r="F1007" t="s">
        <v>74</v>
      </c>
      <c r="G1007">
        <v>2</v>
      </c>
      <c r="H1007">
        <v>993.58</v>
      </c>
    </row>
    <row r="1008" spans="1:8" s="40" customFormat="1" x14ac:dyDescent="0.3">
      <c r="A1008" s="41" t="s">
        <v>976</v>
      </c>
      <c r="B1008" s="40">
        <f>D1007*E1008+G1007*H1008+J1007*K1008</f>
        <v>16337.216297999998</v>
      </c>
      <c r="E1008" s="40">
        <v>1435.0055409999998</v>
      </c>
      <c r="H1008" s="40">
        <v>993.58044399999994</v>
      </c>
    </row>
    <row r="1009" spans="1:8" x14ac:dyDescent="0.3">
      <c r="A1009" t="s">
        <v>909</v>
      </c>
      <c r="B1009">
        <v>5517.79</v>
      </c>
      <c r="C1009" t="s">
        <v>24</v>
      </c>
      <c r="D1009">
        <v>10</v>
      </c>
      <c r="E1009">
        <v>551.78</v>
      </c>
    </row>
    <row r="1010" spans="1:8" s="40" customFormat="1" x14ac:dyDescent="0.3">
      <c r="A1010" s="41" t="s">
        <v>976</v>
      </c>
      <c r="B1010" s="40">
        <f>D1009*E1010+G1009*H1010+J1009*K1010</f>
        <v>5517.7928199999997</v>
      </c>
      <c r="E1010" s="40">
        <v>551.77928199999997</v>
      </c>
    </row>
    <row r="1011" spans="1:8" x14ac:dyDescent="0.3">
      <c r="A1011" t="s">
        <v>908</v>
      </c>
      <c r="B1011">
        <v>15233.17</v>
      </c>
      <c r="C1011" t="s">
        <v>43</v>
      </c>
      <c r="D1011">
        <v>10</v>
      </c>
      <c r="E1011">
        <v>1324.6</v>
      </c>
      <c r="F1011" t="s">
        <v>74</v>
      </c>
      <c r="G1011">
        <v>2</v>
      </c>
      <c r="H1011">
        <v>993.58</v>
      </c>
    </row>
    <row r="1012" spans="1:8" s="40" customFormat="1" x14ac:dyDescent="0.3">
      <c r="A1012" s="41" t="s">
        <v>976</v>
      </c>
      <c r="B1012" s="40">
        <f>D1011*E1012+G1011*H1012+J1011*K1012</f>
        <v>15233.173027999999</v>
      </c>
      <c r="E1012" s="40">
        <v>1324.6012139999998</v>
      </c>
      <c r="H1012" s="40">
        <v>993.58044399999994</v>
      </c>
    </row>
    <row r="1013" spans="1:8" x14ac:dyDescent="0.3">
      <c r="A1013" t="s">
        <v>910</v>
      </c>
      <c r="B1013">
        <v>9935.7999999999993</v>
      </c>
      <c r="C1013" t="s">
        <v>29</v>
      </c>
      <c r="D1013">
        <v>10</v>
      </c>
      <c r="E1013">
        <v>993.58</v>
      </c>
    </row>
    <row r="1014" spans="1:8" s="40" customFormat="1" x14ac:dyDescent="0.3">
      <c r="A1014" s="41" t="s">
        <v>976</v>
      </c>
      <c r="B1014" s="40">
        <f>D1013*E1014+G1013*H1014+J1013*K1014</f>
        <v>9935.8044399999999</v>
      </c>
      <c r="E1014" s="40">
        <v>993.58044399999994</v>
      </c>
    </row>
    <row r="1015" spans="1:8" x14ac:dyDescent="0.3">
      <c r="A1015" t="s">
        <v>912</v>
      </c>
      <c r="B1015">
        <v>10929.38</v>
      </c>
      <c r="C1015" t="s">
        <v>65</v>
      </c>
      <c r="D1015">
        <v>9</v>
      </c>
      <c r="E1015">
        <v>993.58</v>
      </c>
      <c r="F1015" t="s">
        <v>72</v>
      </c>
      <c r="G1015">
        <v>2</v>
      </c>
      <c r="H1015">
        <v>993.58</v>
      </c>
    </row>
    <row r="1016" spans="1:8" s="40" customFormat="1" x14ac:dyDescent="0.3">
      <c r="A1016" s="41" t="s">
        <v>976</v>
      </c>
      <c r="B1016" s="40">
        <f>D1015*E1016+G1015*H1016+J1015*K1016</f>
        <v>10929.384883999999</v>
      </c>
      <c r="E1016" s="40">
        <v>993.58044399999994</v>
      </c>
      <c r="H1016" s="40">
        <v>993.58044399999994</v>
      </c>
    </row>
    <row r="1017" spans="1:8" x14ac:dyDescent="0.3">
      <c r="A1017" t="s">
        <v>911</v>
      </c>
      <c r="B1017">
        <v>19868.810000000001</v>
      </c>
      <c r="C1017" t="s">
        <v>45</v>
      </c>
      <c r="D1017">
        <v>9</v>
      </c>
      <c r="E1017">
        <v>1766.26</v>
      </c>
      <c r="F1017" t="s">
        <v>79</v>
      </c>
      <c r="G1017">
        <v>2</v>
      </c>
      <c r="H1017">
        <v>1986.23</v>
      </c>
    </row>
    <row r="1018" spans="1:8" s="40" customFormat="1" x14ac:dyDescent="0.3">
      <c r="A1018" s="41" t="s">
        <v>976</v>
      </c>
      <c r="B1018" s="40">
        <f>D1017*E1018+G1017*H1018+J1017*K1018</f>
        <v>19868.809284999999</v>
      </c>
      <c r="E1018" s="40">
        <v>1766.260307</v>
      </c>
      <c r="H1018" s="40">
        <v>1986.2332609999996</v>
      </c>
    </row>
    <row r="1019" spans="1:8" x14ac:dyDescent="0.3">
      <c r="A1019" t="s">
        <v>914</v>
      </c>
      <c r="B1019">
        <v>10487.58</v>
      </c>
      <c r="C1019" t="s">
        <v>65</v>
      </c>
      <c r="D1019">
        <v>9</v>
      </c>
      <c r="E1019">
        <v>993.58</v>
      </c>
      <c r="F1019" t="s">
        <v>87</v>
      </c>
      <c r="G1019">
        <v>2</v>
      </c>
      <c r="H1019">
        <v>772.68</v>
      </c>
    </row>
    <row r="1020" spans="1:8" s="40" customFormat="1" x14ac:dyDescent="0.3">
      <c r="A1020" s="41" t="s">
        <v>976</v>
      </c>
      <c r="B1020" s="40">
        <f>D1019*E1020+G1019*H1020+J1019*K1020</f>
        <v>10487.583721999999</v>
      </c>
      <c r="E1020" s="40">
        <v>993.58044399999994</v>
      </c>
      <c r="H1020" s="40">
        <v>772.67986299999995</v>
      </c>
    </row>
    <row r="1021" spans="1:8" x14ac:dyDescent="0.3">
      <c r="A1021" t="s">
        <v>913</v>
      </c>
      <c r="B1021">
        <v>17882.580000000002</v>
      </c>
      <c r="C1021" t="s">
        <v>57</v>
      </c>
      <c r="D1021">
        <v>8</v>
      </c>
      <c r="E1021">
        <v>1986.93</v>
      </c>
      <c r="F1021" t="s">
        <v>83</v>
      </c>
      <c r="G1021">
        <v>2</v>
      </c>
      <c r="H1021">
        <v>993.58</v>
      </c>
    </row>
    <row r="1022" spans="1:8" s="40" customFormat="1" x14ac:dyDescent="0.3">
      <c r="A1022" s="41" t="s">
        <v>976</v>
      </c>
      <c r="B1022" s="40">
        <f>D1021*E1022+G1021*H1022+J1021*K1022</f>
        <v>17882.576023999998</v>
      </c>
      <c r="E1022" s="40">
        <v>1986.926892</v>
      </c>
      <c r="H1022" s="40">
        <v>993.58044399999994</v>
      </c>
    </row>
    <row r="1023" spans="1:8" x14ac:dyDescent="0.3">
      <c r="A1023" t="s">
        <v>916</v>
      </c>
      <c r="B1023">
        <v>8168.6</v>
      </c>
      <c r="C1023" t="s">
        <v>27</v>
      </c>
      <c r="D1023">
        <v>8</v>
      </c>
      <c r="E1023">
        <v>772.68</v>
      </c>
      <c r="F1023" t="s">
        <v>72</v>
      </c>
      <c r="G1023">
        <v>2</v>
      </c>
      <c r="H1023">
        <v>993.58</v>
      </c>
    </row>
    <row r="1024" spans="1:8" s="40" customFormat="1" x14ac:dyDescent="0.3">
      <c r="A1024" s="41" t="s">
        <v>976</v>
      </c>
      <c r="B1024" s="40">
        <f>D1023*E1024+G1023*H1024+J1023*K1024</f>
        <v>8168.5997919999991</v>
      </c>
      <c r="E1024" s="40">
        <v>772.67986299999995</v>
      </c>
      <c r="H1024" s="40">
        <v>993.58044399999994</v>
      </c>
    </row>
    <row r="1025" spans="1:11" x14ac:dyDescent="0.3">
      <c r="A1025" t="s">
        <v>917</v>
      </c>
      <c r="B1025">
        <v>8168.6</v>
      </c>
      <c r="C1025" t="s">
        <v>27</v>
      </c>
      <c r="D1025">
        <v>8</v>
      </c>
      <c r="E1025">
        <v>772.68</v>
      </c>
      <c r="F1025" t="s">
        <v>72</v>
      </c>
      <c r="G1025">
        <v>2</v>
      </c>
      <c r="H1025">
        <v>993.58</v>
      </c>
    </row>
    <row r="1026" spans="1:11" s="40" customFormat="1" x14ac:dyDescent="0.3">
      <c r="A1026" s="41" t="s">
        <v>976</v>
      </c>
      <c r="B1026" s="40">
        <f>D1025*E1026+G1025*H1026+J1025*K1026</f>
        <v>8168.5997919999991</v>
      </c>
      <c r="E1026" s="40">
        <v>772.67986299999995</v>
      </c>
      <c r="H1026" s="40">
        <v>993.58044399999994</v>
      </c>
    </row>
    <row r="1027" spans="1:11" x14ac:dyDescent="0.3">
      <c r="A1027" t="s">
        <v>918</v>
      </c>
      <c r="B1027">
        <v>8168.6</v>
      </c>
      <c r="C1027" t="s">
        <v>27</v>
      </c>
      <c r="D1027">
        <v>8</v>
      </c>
      <c r="E1027">
        <v>772.68</v>
      </c>
      <c r="F1027" t="s">
        <v>72</v>
      </c>
      <c r="G1027">
        <v>2</v>
      </c>
      <c r="H1027">
        <v>993.58</v>
      </c>
    </row>
    <row r="1028" spans="1:11" s="40" customFormat="1" x14ac:dyDescent="0.3">
      <c r="A1028" s="41" t="s">
        <v>976</v>
      </c>
      <c r="B1028" s="40">
        <f>D1027*E1028+G1027*H1028+J1027*K1028</f>
        <v>8168.5997919999991</v>
      </c>
      <c r="E1028" s="40">
        <v>772.67986299999995</v>
      </c>
      <c r="H1028" s="40">
        <v>993.58044399999994</v>
      </c>
    </row>
    <row r="1029" spans="1:11" x14ac:dyDescent="0.3">
      <c r="A1029" t="s">
        <v>919</v>
      </c>
      <c r="B1029">
        <v>9935.7999999999993</v>
      </c>
      <c r="C1029" t="s">
        <v>65</v>
      </c>
      <c r="D1029">
        <v>8</v>
      </c>
      <c r="E1029">
        <v>993.58</v>
      </c>
      <c r="F1029" t="s">
        <v>72</v>
      </c>
      <c r="G1029">
        <v>2</v>
      </c>
      <c r="H1029">
        <v>993.58</v>
      </c>
    </row>
    <row r="1030" spans="1:11" s="40" customFormat="1" x14ac:dyDescent="0.3">
      <c r="A1030" s="41" t="s">
        <v>976</v>
      </c>
      <c r="B1030" s="40">
        <f>D1029*E1030+G1029*H1030+J1029*K1030</f>
        <v>9935.8044399999999</v>
      </c>
      <c r="E1030" s="40">
        <v>993.58044399999994</v>
      </c>
      <c r="H1030" s="40">
        <v>993.58044399999994</v>
      </c>
    </row>
    <row r="1031" spans="1:11" x14ac:dyDescent="0.3">
      <c r="A1031" t="s">
        <v>920</v>
      </c>
      <c r="B1031">
        <v>8168.6</v>
      </c>
      <c r="C1031" t="s">
        <v>27</v>
      </c>
      <c r="D1031">
        <v>8</v>
      </c>
      <c r="E1031">
        <v>772.68</v>
      </c>
      <c r="F1031" t="s">
        <v>72</v>
      </c>
      <c r="G1031">
        <v>2</v>
      </c>
      <c r="H1031">
        <v>993.58</v>
      </c>
    </row>
    <row r="1032" spans="1:11" s="40" customFormat="1" x14ac:dyDescent="0.3">
      <c r="A1032" s="41" t="s">
        <v>976</v>
      </c>
      <c r="B1032" s="40">
        <f>D1031*E1032+G1031*H1032+J1031*K1032</f>
        <v>8168.5997919999991</v>
      </c>
      <c r="E1032" s="40">
        <v>772.67986299999995</v>
      </c>
      <c r="H1032" s="40">
        <v>993.58044399999994</v>
      </c>
    </row>
    <row r="1033" spans="1:11" x14ac:dyDescent="0.3">
      <c r="A1033" t="s">
        <v>968</v>
      </c>
      <c r="B1033">
        <v>23180.44</v>
      </c>
      <c r="C1033" t="s">
        <v>29</v>
      </c>
      <c r="D1033">
        <v>8</v>
      </c>
      <c r="E1033">
        <v>993.58</v>
      </c>
      <c r="F1033" t="s">
        <v>74</v>
      </c>
      <c r="G1033">
        <v>2</v>
      </c>
      <c r="H1033">
        <v>993.58</v>
      </c>
      <c r="I1033" t="s">
        <v>150</v>
      </c>
      <c r="J1033">
        <v>10</v>
      </c>
      <c r="K1033">
        <v>1324.46</v>
      </c>
    </row>
    <row r="1034" spans="1:11" s="40" customFormat="1" x14ac:dyDescent="0.3">
      <c r="A1034" s="41" t="s">
        <v>976</v>
      </c>
      <c r="B1034" s="40">
        <f>D1033*E1034+G1033*H1034+J1033*K1034</f>
        <v>23180.437758569999</v>
      </c>
      <c r="E1034" s="40">
        <v>993.58044399999994</v>
      </c>
      <c r="H1034" s="40">
        <v>993.58044399999994</v>
      </c>
      <c r="K1034" s="40">
        <v>1324.4633318569997</v>
      </c>
    </row>
    <row r="1035" spans="1:11" x14ac:dyDescent="0.3">
      <c r="A1035" t="s">
        <v>921</v>
      </c>
      <c r="B1035">
        <v>9935.7999999999993</v>
      </c>
      <c r="C1035" t="s">
        <v>29</v>
      </c>
      <c r="D1035">
        <v>8</v>
      </c>
      <c r="E1035">
        <v>993.58</v>
      </c>
      <c r="F1035" t="s">
        <v>74</v>
      </c>
      <c r="G1035">
        <v>2</v>
      </c>
      <c r="H1035">
        <v>993.58</v>
      </c>
    </row>
    <row r="1036" spans="1:11" s="40" customFormat="1" x14ac:dyDescent="0.3">
      <c r="A1036" s="41" t="s">
        <v>976</v>
      </c>
      <c r="B1036" s="40">
        <f>D1035*E1036+G1035*H1036+J1035*K1036</f>
        <v>9935.8044399999999</v>
      </c>
      <c r="E1036" s="40">
        <v>993.58044399999994</v>
      </c>
      <c r="H1036" s="40">
        <v>993.58044399999994</v>
      </c>
    </row>
    <row r="1037" spans="1:11" x14ac:dyDescent="0.3">
      <c r="A1037" t="s">
        <v>922</v>
      </c>
      <c r="B1037">
        <v>11702.94</v>
      </c>
      <c r="C1037" t="s">
        <v>31</v>
      </c>
      <c r="D1037">
        <v>8</v>
      </c>
      <c r="E1037">
        <v>1214.47</v>
      </c>
      <c r="F1037" t="s">
        <v>74</v>
      </c>
      <c r="G1037">
        <v>2</v>
      </c>
      <c r="H1037">
        <v>993.58</v>
      </c>
    </row>
    <row r="1038" spans="1:11" s="40" customFormat="1" x14ac:dyDescent="0.3">
      <c r="A1038" s="41" t="s">
        <v>976</v>
      </c>
      <c r="B1038" s="40">
        <f>D1037*E1038+G1037*H1038+J1037*K1038</f>
        <v>11702.942231999999</v>
      </c>
      <c r="E1038" s="40">
        <v>1214.4726679999999</v>
      </c>
      <c r="H1038" s="40">
        <v>993.58044399999994</v>
      </c>
    </row>
    <row r="1039" spans="1:11" x14ac:dyDescent="0.3">
      <c r="A1039" t="s">
        <v>923</v>
      </c>
      <c r="B1039">
        <v>9935.7999999999993</v>
      </c>
      <c r="C1039" t="s">
        <v>29</v>
      </c>
      <c r="D1039">
        <v>8</v>
      </c>
      <c r="E1039">
        <v>993.58</v>
      </c>
      <c r="F1039" t="s">
        <v>74</v>
      </c>
      <c r="G1039">
        <v>2</v>
      </c>
      <c r="H1039">
        <v>993.58</v>
      </c>
    </row>
    <row r="1040" spans="1:11" s="40" customFormat="1" x14ac:dyDescent="0.3">
      <c r="A1040" s="41" t="s">
        <v>976</v>
      </c>
      <c r="B1040" s="40">
        <f>D1039*E1040+G1039*H1040+J1039*K1040</f>
        <v>9935.8044399999999</v>
      </c>
      <c r="E1040" s="40">
        <v>993.58044399999994</v>
      </c>
      <c r="H1040" s="40">
        <v>993.58044399999994</v>
      </c>
    </row>
    <row r="1041" spans="1:8" x14ac:dyDescent="0.3">
      <c r="A1041" t="s">
        <v>924</v>
      </c>
      <c r="B1041">
        <v>11702.94</v>
      </c>
      <c r="C1041" t="s">
        <v>31</v>
      </c>
      <c r="D1041">
        <v>8</v>
      </c>
      <c r="E1041">
        <v>1214.47</v>
      </c>
      <c r="F1041" t="s">
        <v>74</v>
      </c>
      <c r="G1041">
        <v>2</v>
      </c>
      <c r="H1041">
        <v>993.58</v>
      </c>
    </row>
    <row r="1042" spans="1:8" s="40" customFormat="1" x14ac:dyDescent="0.3">
      <c r="A1042" s="41" t="s">
        <v>976</v>
      </c>
      <c r="B1042" s="40">
        <f>D1041*E1042+G1041*H1042+J1041*K1042</f>
        <v>11702.942231999999</v>
      </c>
      <c r="E1042" s="40">
        <v>1214.4726679999999</v>
      </c>
      <c r="H1042" s="40">
        <v>993.58044399999994</v>
      </c>
    </row>
    <row r="1043" spans="1:8" x14ac:dyDescent="0.3">
      <c r="A1043" t="s">
        <v>925</v>
      </c>
      <c r="B1043">
        <v>11702.94</v>
      </c>
      <c r="C1043" t="s">
        <v>31</v>
      </c>
      <c r="D1043">
        <v>8</v>
      </c>
      <c r="E1043">
        <v>1214.47</v>
      </c>
      <c r="F1043" t="s">
        <v>74</v>
      </c>
      <c r="G1043">
        <v>2</v>
      </c>
      <c r="H1043">
        <v>993.58</v>
      </c>
    </row>
    <row r="1044" spans="1:8" s="40" customFormat="1" x14ac:dyDescent="0.3">
      <c r="A1044" s="41" t="s">
        <v>976</v>
      </c>
      <c r="B1044" s="40">
        <f>D1043*E1044+G1043*H1044+J1043*K1044</f>
        <v>11702.942231999999</v>
      </c>
      <c r="E1044" s="40">
        <v>1214.4726679999999</v>
      </c>
      <c r="H1044" s="40">
        <v>993.58044399999994</v>
      </c>
    </row>
    <row r="1045" spans="1:8" x14ac:dyDescent="0.3">
      <c r="A1045" t="s">
        <v>926</v>
      </c>
      <c r="B1045">
        <v>17218.98</v>
      </c>
      <c r="C1045" t="s">
        <v>33</v>
      </c>
      <c r="D1045">
        <v>8</v>
      </c>
      <c r="E1045">
        <v>1655.81</v>
      </c>
      <c r="F1045" t="s">
        <v>79</v>
      </c>
      <c r="G1045">
        <v>2</v>
      </c>
      <c r="H1045">
        <v>1986.23</v>
      </c>
    </row>
    <row r="1046" spans="1:8" s="40" customFormat="1" x14ac:dyDescent="0.3">
      <c r="A1046" s="41" t="s">
        <v>976</v>
      </c>
      <c r="B1046" s="40">
        <f>D1045*E1046+G1045*H1046+J1045*K1046</f>
        <v>17218.980081999998</v>
      </c>
      <c r="E1046" s="40">
        <v>1655.8141949999999</v>
      </c>
      <c r="H1046" s="40">
        <v>1986.2332609999996</v>
      </c>
    </row>
    <row r="1047" spans="1:8" x14ac:dyDescent="0.3">
      <c r="A1047" t="s">
        <v>929</v>
      </c>
      <c r="B1047">
        <v>9715.7800000000007</v>
      </c>
      <c r="C1047" t="s">
        <v>67</v>
      </c>
      <c r="D1047">
        <v>8</v>
      </c>
      <c r="E1047">
        <v>1214.47</v>
      </c>
    </row>
    <row r="1048" spans="1:8" s="40" customFormat="1" x14ac:dyDescent="0.3">
      <c r="A1048" s="41" t="s">
        <v>976</v>
      </c>
      <c r="B1048" s="40">
        <f>D1047*E1048+G1047*H1048+J1047*K1048</f>
        <v>9715.7813439999991</v>
      </c>
      <c r="E1048" s="40">
        <v>1214.4726679999999</v>
      </c>
    </row>
    <row r="1049" spans="1:8" x14ac:dyDescent="0.3">
      <c r="A1049" t="s">
        <v>928</v>
      </c>
      <c r="B1049">
        <v>10596.74</v>
      </c>
      <c r="C1049" t="s">
        <v>41</v>
      </c>
      <c r="D1049">
        <v>8</v>
      </c>
      <c r="E1049">
        <v>1076.2</v>
      </c>
      <c r="F1049" t="s">
        <v>74</v>
      </c>
      <c r="G1049">
        <v>2</v>
      </c>
      <c r="H1049">
        <v>993.58</v>
      </c>
    </row>
    <row r="1050" spans="1:8" s="40" customFormat="1" x14ac:dyDescent="0.3">
      <c r="A1050" s="41" t="s">
        <v>976</v>
      </c>
      <c r="B1050" s="40">
        <f>D1049*E1050+G1049*H1050+J1049*K1050</f>
        <v>10596.742856000001</v>
      </c>
      <c r="E1050" s="40">
        <v>1076.1977460000001</v>
      </c>
      <c r="H1050" s="40">
        <v>993.58044399999994</v>
      </c>
    </row>
    <row r="1051" spans="1:8" x14ac:dyDescent="0.3">
      <c r="A1051" t="s">
        <v>927</v>
      </c>
      <c r="B1051">
        <v>9715.7800000000007</v>
      </c>
      <c r="C1051" t="s">
        <v>31</v>
      </c>
      <c r="D1051">
        <v>8</v>
      </c>
      <c r="E1051">
        <v>1214.47</v>
      </c>
    </row>
    <row r="1052" spans="1:8" s="40" customFormat="1" x14ac:dyDescent="0.3">
      <c r="A1052" s="41" t="s">
        <v>976</v>
      </c>
      <c r="B1052" s="40">
        <f>D1051*E1052+G1051*H1052+J1051*K1052</f>
        <v>9715.7813439999991</v>
      </c>
      <c r="E1052" s="40">
        <v>1214.4726679999999</v>
      </c>
    </row>
    <row r="1053" spans="1:8" x14ac:dyDescent="0.3">
      <c r="A1053" t="s">
        <v>932</v>
      </c>
      <c r="B1053">
        <v>6955.06</v>
      </c>
      <c r="C1053" t="s">
        <v>29</v>
      </c>
      <c r="D1053">
        <v>7</v>
      </c>
      <c r="E1053">
        <v>993.58</v>
      </c>
    </row>
    <row r="1054" spans="1:8" s="40" customFormat="1" x14ac:dyDescent="0.3">
      <c r="A1054" s="41" t="s">
        <v>976</v>
      </c>
      <c r="B1054" s="40">
        <f>D1053*E1054+G1053*H1054+J1053*K1054</f>
        <v>6955.0631079999994</v>
      </c>
      <c r="E1054" s="40">
        <v>993.58044399999994</v>
      </c>
    </row>
    <row r="1055" spans="1:8" x14ac:dyDescent="0.3">
      <c r="A1055" t="s">
        <v>931</v>
      </c>
      <c r="B1055">
        <v>12584.17</v>
      </c>
      <c r="C1055" t="s">
        <v>53</v>
      </c>
      <c r="D1055">
        <v>6</v>
      </c>
      <c r="E1055">
        <v>1766.17</v>
      </c>
      <c r="F1055" t="s">
        <v>81</v>
      </c>
      <c r="G1055">
        <v>2</v>
      </c>
      <c r="H1055">
        <v>993.58</v>
      </c>
    </row>
    <row r="1056" spans="1:8" s="40" customFormat="1" x14ac:dyDescent="0.3">
      <c r="A1056" s="41" t="s">
        <v>976</v>
      </c>
      <c r="B1056" s="40">
        <f>D1055*E1056+G1055*H1056+J1055*K1056</f>
        <v>12584.171167999999</v>
      </c>
      <c r="E1056" s="40">
        <v>1766.1683799999998</v>
      </c>
      <c r="H1056" s="40">
        <v>993.58044399999994</v>
      </c>
    </row>
    <row r="1057" spans="1:8" x14ac:dyDescent="0.3">
      <c r="A1057" t="s">
        <v>930</v>
      </c>
      <c r="B1057">
        <v>7395.92</v>
      </c>
      <c r="C1057" t="s">
        <v>27</v>
      </c>
      <c r="D1057">
        <v>7</v>
      </c>
      <c r="E1057">
        <v>772.68</v>
      </c>
      <c r="F1057" t="s">
        <v>72</v>
      </c>
      <c r="G1057">
        <v>2</v>
      </c>
      <c r="H1057">
        <v>993.58</v>
      </c>
    </row>
    <row r="1058" spans="1:8" s="40" customFormat="1" x14ac:dyDescent="0.3">
      <c r="A1058" s="41" t="s">
        <v>976</v>
      </c>
      <c r="B1058" s="40">
        <f>D1057*E1058+G1057*H1058+J1057*K1058</f>
        <v>7395.9199289999997</v>
      </c>
      <c r="E1058" s="40">
        <v>772.67986299999995</v>
      </c>
      <c r="H1058" s="40">
        <v>993.58044399999994</v>
      </c>
    </row>
    <row r="1059" spans="1:8" x14ac:dyDescent="0.3">
      <c r="A1059" t="s">
        <v>933</v>
      </c>
      <c r="B1059">
        <v>5297.84</v>
      </c>
      <c r="C1059" t="s">
        <v>24</v>
      </c>
      <c r="D1059">
        <v>6</v>
      </c>
      <c r="E1059">
        <v>551.78</v>
      </c>
      <c r="F1059" t="s">
        <v>72</v>
      </c>
      <c r="G1059">
        <v>2</v>
      </c>
      <c r="H1059">
        <v>993.58</v>
      </c>
    </row>
    <row r="1060" spans="1:8" s="40" customFormat="1" x14ac:dyDescent="0.3">
      <c r="A1060" s="41" t="s">
        <v>976</v>
      </c>
      <c r="B1060" s="40">
        <f>D1059*E1060+G1059*H1060+J1059*K1060</f>
        <v>5297.8365799999992</v>
      </c>
      <c r="E1060" s="40">
        <v>551.77928199999997</v>
      </c>
      <c r="H1060" s="40">
        <v>993.58044399999994</v>
      </c>
    </row>
    <row r="1061" spans="1:8" x14ac:dyDescent="0.3">
      <c r="A1061" t="s">
        <v>934</v>
      </c>
      <c r="B1061">
        <v>6623.24</v>
      </c>
      <c r="C1061" t="s">
        <v>63</v>
      </c>
      <c r="D1061">
        <v>6</v>
      </c>
      <c r="E1061">
        <v>772.68</v>
      </c>
      <c r="F1061" t="s">
        <v>72</v>
      </c>
      <c r="G1061">
        <v>2</v>
      </c>
      <c r="H1061">
        <v>993.58</v>
      </c>
    </row>
    <row r="1062" spans="1:8" s="40" customFormat="1" x14ac:dyDescent="0.3">
      <c r="A1062" s="41" t="s">
        <v>976</v>
      </c>
      <c r="B1062" s="40">
        <f>D1061*E1062+G1061*H1062+J1061*K1062</f>
        <v>6623.2400660000003</v>
      </c>
      <c r="E1062" s="40">
        <v>772.67986299999995</v>
      </c>
      <c r="H1062" s="40">
        <v>993.58044399999994</v>
      </c>
    </row>
    <row r="1063" spans="1:8" x14ac:dyDescent="0.3">
      <c r="A1063" t="s">
        <v>938</v>
      </c>
      <c r="B1063">
        <v>6623.24</v>
      </c>
      <c r="C1063" t="s">
        <v>27</v>
      </c>
      <c r="D1063">
        <v>6</v>
      </c>
      <c r="E1063">
        <v>772.68</v>
      </c>
      <c r="F1063" t="s">
        <v>72</v>
      </c>
      <c r="G1063">
        <v>2</v>
      </c>
      <c r="H1063">
        <v>993.58</v>
      </c>
    </row>
    <row r="1064" spans="1:8" s="40" customFormat="1" x14ac:dyDescent="0.3">
      <c r="A1064" s="41" t="s">
        <v>976</v>
      </c>
      <c r="B1064" s="40">
        <f>D1063*E1064+G1063*H1064+J1063*K1064</f>
        <v>6623.2400660000003</v>
      </c>
      <c r="E1064" s="40">
        <v>772.67986299999995</v>
      </c>
      <c r="H1064" s="40">
        <v>993.58044399999994</v>
      </c>
    </row>
    <row r="1065" spans="1:8" x14ac:dyDescent="0.3">
      <c r="A1065" t="s">
        <v>936</v>
      </c>
      <c r="B1065">
        <v>5297.84</v>
      </c>
      <c r="C1065" t="s">
        <v>24</v>
      </c>
      <c r="D1065">
        <v>6</v>
      </c>
      <c r="E1065">
        <v>551.78</v>
      </c>
      <c r="F1065" t="s">
        <v>72</v>
      </c>
      <c r="G1065">
        <v>2</v>
      </c>
      <c r="H1065">
        <v>993.58</v>
      </c>
    </row>
    <row r="1066" spans="1:8" s="40" customFormat="1" x14ac:dyDescent="0.3">
      <c r="A1066" s="41" t="s">
        <v>976</v>
      </c>
      <c r="B1066" s="40">
        <f>D1065*E1066+G1065*H1066+J1065*K1066</f>
        <v>5297.8365799999992</v>
      </c>
      <c r="E1066" s="40">
        <v>551.77928199999997</v>
      </c>
      <c r="H1066" s="40">
        <v>993.58044399999994</v>
      </c>
    </row>
    <row r="1067" spans="1:8" x14ac:dyDescent="0.3">
      <c r="A1067" t="s">
        <v>935</v>
      </c>
      <c r="B1067">
        <v>6623.24</v>
      </c>
      <c r="C1067" t="s">
        <v>27</v>
      </c>
      <c r="D1067">
        <v>6</v>
      </c>
      <c r="E1067">
        <v>772.68</v>
      </c>
      <c r="F1067" t="s">
        <v>72</v>
      </c>
      <c r="G1067">
        <v>2</v>
      </c>
      <c r="H1067">
        <v>993.58</v>
      </c>
    </row>
    <row r="1068" spans="1:8" s="40" customFormat="1" x14ac:dyDescent="0.3">
      <c r="A1068" s="41" t="s">
        <v>976</v>
      </c>
      <c r="B1068" s="40">
        <f>D1067*E1068+G1067*H1068+J1067*K1068</f>
        <v>6623.2400660000003</v>
      </c>
      <c r="E1068" s="40">
        <v>772.67986299999995</v>
      </c>
      <c r="H1068" s="40">
        <v>993.58044399999994</v>
      </c>
    </row>
    <row r="1069" spans="1:8" x14ac:dyDescent="0.3">
      <c r="A1069" t="s">
        <v>937</v>
      </c>
      <c r="B1069">
        <v>6623.24</v>
      </c>
      <c r="C1069" t="s">
        <v>27</v>
      </c>
      <c r="D1069">
        <v>6</v>
      </c>
      <c r="E1069">
        <v>772.68</v>
      </c>
      <c r="F1069" t="s">
        <v>72</v>
      </c>
      <c r="G1069">
        <v>2</v>
      </c>
      <c r="H1069">
        <v>993.58</v>
      </c>
    </row>
    <row r="1070" spans="1:8" s="40" customFormat="1" x14ac:dyDescent="0.3">
      <c r="A1070" s="41" t="s">
        <v>976</v>
      </c>
      <c r="B1070" s="40">
        <f>D1069*E1070+G1069*H1070+J1069*K1070</f>
        <v>6623.2400660000003</v>
      </c>
      <c r="E1070" s="40">
        <v>772.67986299999995</v>
      </c>
      <c r="H1070" s="40">
        <v>993.58044399999994</v>
      </c>
    </row>
    <row r="1071" spans="1:8" x14ac:dyDescent="0.3">
      <c r="A1071" t="s">
        <v>939</v>
      </c>
      <c r="B1071">
        <v>6623.24</v>
      </c>
      <c r="C1071" t="s">
        <v>27</v>
      </c>
      <c r="D1071">
        <v>6</v>
      </c>
      <c r="E1071">
        <v>772.68</v>
      </c>
      <c r="F1071" t="s">
        <v>72</v>
      </c>
      <c r="G1071">
        <v>2</v>
      </c>
      <c r="H1071">
        <v>993.58</v>
      </c>
    </row>
    <row r="1072" spans="1:8" s="40" customFormat="1" x14ac:dyDescent="0.3">
      <c r="A1072" s="41" t="s">
        <v>976</v>
      </c>
      <c r="B1072" s="40">
        <f>D1071*E1072+G1071*H1072+J1071*K1072</f>
        <v>6623.2400660000003</v>
      </c>
      <c r="E1072" s="40">
        <v>772.67986299999995</v>
      </c>
      <c r="H1072" s="40">
        <v>993.58044399999994</v>
      </c>
    </row>
    <row r="1073" spans="1:8" x14ac:dyDescent="0.3">
      <c r="A1073" t="s">
        <v>940</v>
      </c>
      <c r="B1073">
        <v>7948.64</v>
      </c>
      <c r="C1073" t="s">
        <v>65</v>
      </c>
      <c r="D1073">
        <v>6</v>
      </c>
      <c r="E1073">
        <v>993.58</v>
      </c>
      <c r="F1073" t="s">
        <v>72</v>
      </c>
      <c r="G1073">
        <v>2</v>
      </c>
      <c r="H1073">
        <v>993.58</v>
      </c>
    </row>
    <row r="1074" spans="1:8" s="40" customFormat="1" x14ac:dyDescent="0.3">
      <c r="A1074" s="41" t="s">
        <v>976</v>
      </c>
      <c r="B1074" s="40">
        <f>D1073*E1074+G1073*H1074+J1073*K1074</f>
        <v>7948.6435519999995</v>
      </c>
      <c r="E1074" s="40">
        <v>993.58044399999994</v>
      </c>
      <c r="H1074" s="40">
        <v>993.58044399999994</v>
      </c>
    </row>
    <row r="1075" spans="1:8" x14ac:dyDescent="0.3">
      <c r="A1075" t="s">
        <v>941</v>
      </c>
      <c r="B1075">
        <v>6623.24</v>
      </c>
      <c r="C1075" t="s">
        <v>27</v>
      </c>
      <c r="D1075">
        <v>6</v>
      </c>
      <c r="E1075">
        <v>772.68</v>
      </c>
      <c r="F1075" t="s">
        <v>72</v>
      </c>
      <c r="G1075">
        <v>2</v>
      </c>
      <c r="H1075">
        <v>993.58</v>
      </c>
    </row>
    <row r="1076" spans="1:8" s="40" customFormat="1" x14ac:dyDescent="0.3">
      <c r="A1076" s="41" t="s">
        <v>976</v>
      </c>
      <c r="B1076" s="40">
        <f>D1075*E1076+G1075*H1076+J1075*K1076</f>
        <v>6623.2400660000003</v>
      </c>
      <c r="E1076" s="40">
        <v>772.67986299999995</v>
      </c>
      <c r="H1076" s="40">
        <v>993.58044399999994</v>
      </c>
    </row>
    <row r="1077" spans="1:8" x14ac:dyDescent="0.3">
      <c r="A1077" t="s">
        <v>942</v>
      </c>
      <c r="B1077">
        <v>6623.24</v>
      </c>
      <c r="C1077" t="s">
        <v>27</v>
      </c>
      <c r="D1077">
        <v>6</v>
      </c>
      <c r="E1077">
        <v>772.68</v>
      </c>
      <c r="F1077" t="s">
        <v>72</v>
      </c>
      <c r="G1077">
        <v>2</v>
      </c>
      <c r="H1077">
        <v>993.58</v>
      </c>
    </row>
    <row r="1078" spans="1:8" s="40" customFormat="1" x14ac:dyDescent="0.3">
      <c r="A1078" s="41" t="s">
        <v>976</v>
      </c>
      <c r="B1078" s="40">
        <f>D1077*E1078+G1077*H1078+J1077*K1078</f>
        <v>6623.2400660000003</v>
      </c>
      <c r="E1078" s="40">
        <v>772.67986299999995</v>
      </c>
      <c r="H1078" s="40">
        <v>993.58044399999994</v>
      </c>
    </row>
    <row r="1079" spans="1:8" x14ac:dyDescent="0.3">
      <c r="A1079" t="s">
        <v>944</v>
      </c>
      <c r="B1079">
        <v>6623.24</v>
      </c>
      <c r="C1079" t="s">
        <v>27</v>
      </c>
      <c r="D1079">
        <v>6</v>
      </c>
      <c r="E1079">
        <v>772.68</v>
      </c>
      <c r="F1079" t="s">
        <v>72</v>
      </c>
      <c r="G1079">
        <v>2</v>
      </c>
      <c r="H1079">
        <v>993.58</v>
      </c>
    </row>
    <row r="1080" spans="1:8" s="40" customFormat="1" x14ac:dyDescent="0.3">
      <c r="A1080" s="41" t="s">
        <v>976</v>
      </c>
      <c r="B1080" s="40">
        <f>D1079*E1080+G1079*H1080+J1079*K1080</f>
        <v>6623.2400660000003</v>
      </c>
      <c r="E1080" s="40">
        <v>772.67986299999995</v>
      </c>
      <c r="H1080" s="40">
        <v>993.58044399999994</v>
      </c>
    </row>
    <row r="1081" spans="1:8" x14ac:dyDescent="0.3">
      <c r="A1081" t="s">
        <v>943</v>
      </c>
      <c r="B1081">
        <v>7948.64</v>
      </c>
      <c r="C1081" t="s">
        <v>65</v>
      </c>
      <c r="D1081">
        <v>6</v>
      </c>
      <c r="E1081">
        <v>993.58</v>
      </c>
      <c r="F1081" t="s">
        <v>72</v>
      </c>
      <c r="G1081">
        <v>2</v>
      </c>
      <c r="H1081">
        <v>993.58</v>
      </c>
    </row>
    <row r="1082" spans="1:8" s="40" customFormat="1" x14ac:dyDescent="0.3">
      <c r="A1082" s="41" t="s">
        <v>976</v>
      </c>
      <c r="B1082" s="40">
        <f>D1081*E1082+G1081*H1082+J1081*K1082</f>
        <v>7948.6435519999995</v>
      </c>
      <c r="E1082" s="40">
        <v>993.58044399999994</v>
      </c>
      <c r="H1082" s="40">
        <v>993.58044399999994</v>
      </c>
    </row>
    <row r="1083" spans="1:8" x14ac:dyDescent="0.3">
      <c r="A1083" t="s">
        <v>945</v>
      </c>
      <c r="B1083">
        <v>6623.24</v>
      </c>
      <c r="C1083" t="s">
        <v>27</v>
      </c>
      <c r="D1083">
        <v>6</v>
      </c>
      <c r="E1083">
        <v>772.68</v>
      </c>
      <c r="F1083" t="s">
        <v>72</v>
      </c>
      <c r="G1083">
        <v>2</v>
      </c>
      <c r="H1083">
        <v>993.58</v>
      </c>
    </row>
    <row r="1084" spans="1:8" s="40" customFormat="1" x14ac:dyDescent="0.3">
      <c r="A1084" s="41" t="s">
        <v>976</v>
      </c>
      <c r="B1084" s="40">
        <f>D1083*E1084+G1083*H1084+J1083*K1084</f>
        <v>6623.2400660000003</v>
      </c>
      <c r="E1084" s="40">
        <v>772.67986299999995</v>
      </c>
      <c r="H1084" s="40">
        <v>993.58044399999994</v>
      </c>
    </row>
    <row r="1085" spans="1:8" x14ac:dyDescent="0.3">
      <c r="A1085" t="s">
        <v>946</v>
      </c>
      <c r="B1085">
        <v>7948.64</v>
      </c>
      <c r="C1085" t="s">
        <v>29</v>
      </c>
      <c r="D1085">
        <v>6</v>
      </c>
      <c r="E1085">
        <v>993.58</v>
      </c>
      <c r="F1085" t="s">
        <v>74</v>
      </c>
      <c r="G1085">
        <v>2</v>
      </c>
      <c r="H1085">
        <v>993.58</v>
      </c>
    </row>
    <row r="1086" spans="1:8" s="40" customFormat="1" x14ac:dyDescent="0.3">
      <c r="A1086" s="41" t="s">
        <v>976</v>
      </c>
      <c r="B1086" s="40">
        <f>D1085*E1086+G1085*H1086+J1085*K1086</f>
        <v>7948.6435519999995</v>
      </c>
      <c r="E1086" s="40">
        <v>993.58044399999994</v>
      </c>
      <c r="H1086" s="40">
        <v>993.58044399999994</v>
      </c>
    </row>
    <row r="1087" spans="1:8" x14ac:dyDescent="0.3">
      <c r="A1087" t="s">
        <v>947</v>
      </c>
      <c r="B1087">
        <v>7948.64</v>
      </c>
      <c r="C1087" t="s">
        <v>29</v>
      </c>
      <c r="D1087">
        <v>6</v>
      </c>
      <c r="E1087">
        <v>993.58</v>
      </c>
      <c r="F1087" t="s">
        <v>74</v>
      </c>
      <c r="G1087">
        <v>2</v>
      </c>
      <c r="H1087">
        <v>993.58</v>
      </c>
    </row>
    <row r="1088" spans="1:8" s="40" customFormat="1" x14ac:dyDescent="0.3">
      <c r="A1088" s="41" t="s">
        <v>976</v>
      </c>
      <c r="B1088" s="40">
        <f>D1087*E1088+G1087*H1088+J1087*K1088</f>
        <v>7948.6435519999995</v>
      </c>
      <c r="E1088" s="40">
        <v>993.58044399999994</v>
      </c>
      <c r="H1088" s="40">
        <v>993.58044399999994</v>
      </c>
    </row>
    <row r="1089" spans="1:8" x14ac:dyDescent="0.3">
      <c r="A1089" t="s">
        <v>949</v>
      </c>
      <c r="B1089">
        <v>9274</v>
      </c>
      <c r="C1089" t="s">
        <v>31</v>
      </c>
      <c r="D1089">
        <v>6</v>
      </c>
      <c r="E1089">
        <v>1214.47</v>
      </c>
      <c r="F1089" t="s">
        <v>74</v>
      </c>
      <c r="G1089">
        <v>2</v>
      </c>
      <c r="H1089">
        <v>993.58</v>
      </c>
    </row>
    <row r="1090" spans="1:8" s="40" customFormat="1" x14ac:dyDescent="0.3">
      <c r="A1090" s="41" t="s">
        <v>976</v>
      </c>
      <c r="B1090" s="40">
        <f>D1089*E1090+G1089*H1090+J1089*K1090</f>
        <v>9273.9968959999987</v>
      </c>
      <c r="E1090" s="40">
        <v>1214.4726679999999</v>
      </c>
      <c r="H1090" s="40">
        <v>993.58044399999994</v>
      </c>
    </row>
    <row r="1091" spans="1:8" x14ac:dyDescent="0.3">
      <c r="A1091" t="s">
        <v>950</v>
      </c>
      <c r="B1091">
        <v>10597.19</v>
      </c>
      <c r="C1091" t="s">
        <v>69</v>
      </c>
      <c r="D1091">
        <v>6</v>
      </c>
      <c r="E1091">
        <v>1435.01</v>
      </c>
      <c r="F1091" t="s">
        <v>74</v>
      </c>
      <c r="G1091">
        <v>2</v>
      </c>
      <c r="H1091">
        <v>993.58</v>
      </c>
    </row>
    <row r="1092" spans="1:8" s="40" customFormat="1" x14ac:dyDescent="0.3">
      <c r="A1092" s="41" t="s">
        <v>976</v>
      </c>
      <c r="B1092" s="40">
        <f>D1091*E1092+G1091*H1092+J1091*K1092</f>
        <v>10597.194133999999</v>
      </c>
      <c r="E1092" s="40">
        <v>1435.0055409999998</v>
      </c>
      <c r="H1092" s="40">
        <v>993.58044399999994</v>
      </c>
    </row>
    <row r="1093" spans="1:8" x14ac:dyDescent="0.3">
      <c r="A1093" t="s">
        <v>952</v>
      </c>
      <c r="B1093">
        <v>9274</v>
      </c>
      <c r="C1093" t="s">
        <v>31</v>
      </c>
      <c r="D1093">
        <v>6</v>
      </c>
      <c r="E1093">
        <v>1214.47</v>
      </c>
      <c r="F1093" t="s">
        <v>74</v>
      </c>
      <c r="G1093">
        <v>2</v>
      </c>
      <c r="H1093">
        <v>993.58</v>
      </c>
    </row>
    <row r="1094" spans="1:8" s="40" customFormat="1" x14ac:dyDescent="0.3">
      <c r="A1094" s="41" t="s">
        <v>976</v>
      </c>
      <c r="B1094" s="40">
        <f>D1093*E1094+G1093*H1094+J1093*K1094</f>
        <v>9273.9968959999987</v>
      </c>
      <c r="E1094" s="40">
        <v>1214.4726679999999</v>
      </c>
      <c r="H1094" s="40">
        <v>993.58044399999994</v>
      </c>
    </row>
    <row r="1095" spans="1:8" x14ac:dyDescent="0.3">
      <c r="A1095" t="s">
        <v>953</v>
      </c>
      <c r="B1095">
        <v>9274</v>
      </c>
      <c r="C1095" t="s">
        <v>31</v>
      </c>
      <c r="D1095">
        <v>6</v>
      </c>
      <c r="E1095">
        <v>1214.47</v>
      </c>
      <c r="F1095" t="s">
        <v>74</v>
      </c>
      <c r="G1095">
        <v>2</v>
      </c>
      <c r="H1095">
        <v>993.58</v>
      </c>
    </row>
    <row r="1096" spans="1:8" s="40" customFormat="1" x14ac:dyDescent="0.3">
      <c r="A1096" s="41" t="s">
        <v>976</v>
      </c>
      <c r="B1096" s="40">
        <f>D1095*E1096+G1095*H1096+J1095*K1096</f>
        <v>9273.9968959999987</v>
      </c>
      <c r="E1096" s="40">
        <v>1214.4726679999999</v>
      </c>
      <c r="H1096" s="40">
        <v>993.58044399999994</v>
      </c>
    </row>
    <row r="1097" spans="1:8" x14ac:dyDescent="0.3">
      <c r="A1097" t="s">
        <v>951</v>
      </c>
      <c r="B1097">
        <v>4856.04</v>
      </c>
      <c r="C1097" t="s">
        <v>24</v>
      </c>
      <c r="D1097">
        <v>6</v>
      </c>
      <c r="E1097">
        <v>551.78</v>
      </c>
      <c r="F1097" t="s">
        <v>87</v>
      </c>
      <c r="G1097">
        <v>2</v>
      </c>
      <c r="H1097">
        <v>772.68</v>
      </c>
    </row>
    <row r="1098" spans="1:8" s="40" customFormat="1" x14ac:dyDescent="0.3">
      <c r="A1098" s="41" t="s">
        <v>976</v>
      </c>
      <c r="B1098" s="40">
        <f>D1097*E1098+G1097*H1098+J1097*K1098</f>
        <v>4856.0354179999995</v>
      </c>
      <c r="E1098" s="40">
        <v>551.77928199999997</v>
      </c>
      <c r="H1098" s="40">
        <v>772.67986299999995</v>
      </c>
    </row>
    <row r="1099" spans="1:8" x14ac:dyDescent="0.3">
      <c r="A1099" t="s">
        <v>956</v>
      </c>
      <c r="B1099">
        <v>7506.84</v>
      </c>
      <c r="C1099" t="s">
        <v>65</v>
      </c>
      <c r="D1099">
        <v>6</v>
      </c>
      <c r="E1099">
        <v>993.58</v>
      </c>
      <c r="F1099" t="s">
        <v>87</v>
      </c>
      <c r="G1099">
        <v>2</v>
      </c>
      <c r="H1099">
        <v>772.68</v>
      </c>
    </row>
    <row r="1100" spans="1:8" s="40" customFormat="1" x14ac:dyDescent="0.3">
      <c r="A1100" s="41" t="s">
        <v>976</v>
      </c>
      <c r="B1100" s="40">
        <f>D1099*E1100+G1099*H1100+J1099*K1100</f>
        <v>7506.8423899999989</v>
      </c>
      <c r="E1100" s="40">
        <v>993.58044399999994</v>
      </c>
      <c r="H1100" s="40">
        <v>772.67986299999995</v>
      </c>
    </row>
    <row r="1101" spans="1:8" x14ac:dyDescent="0.3">
      <c r="A1101" t="s">
        <v>969</v>
      </c>
      <c r="B1101">
        <v>6181.44</v>
      </c>
      <c r="C1101" t="s">
        <v>27</v>
      </c>
      <c r="D1101">
        <v>6</v>
      </c>
      <c r="E1101">
        <v>772.68</v>
      </c>
      <c r="F1101" t="s">
        <v>87</v>
      </c>
      <c r="G1101">
        <v>2</v>
      </c>
      <c r="H1101">
        <v>772.68</v>
      </c>
    </row>
    <row r="1102" spans="1:8" s="40" customFormat="1" x14ac:dyDescent="0.3">
      <c r="A1102" s="41" t="s">
        <v>976</v>
      </c>
      <c r="B1102" s="40">
        <f>D1101*E1102+G1101*H1102+J1101*K1102</f>
        <v>6181.4389039999996</v>
      </c>
      <c r="E1102" s="40">
        <v>772.67986299999995</v>
      </c>
      <c r="H1102" s="40">
        <v>772.67986299999995</v>
      </c>
    </row>
    <row r="1103" spans="1:8" x14ac:dyDescent="0.3">
      <c r="A1103" t="s">
        <v>955</v>
      </c>
      <c r="B1103">
        <v>3310.68</v>
      </c>
      <c r="C1103" t="s">
        <v>24</v>
      </c>
      <c r="D1103">
        <v>6</v>
      </c>
      <c r="E1103">
        <v>551.78</v>
      </c>
    </row>
    <row r="1104" spans="1:8" s="40" customFormat="1" x14ac:dyDescent="0.3">
      <c r="A1104" s="41" t="s">
        <v>976</v>
      </c>
      <c r="B1104" s="40">
        <f>D1103*E1104+G1103*H1104+J1103*K1104</f>
        <v>3310.6756919999998</v>
      </c>
      <c r="E1104" s="40">
        <v>551.77928199999997</v>
      </c>
    </row>
    <row r="1105" spans="1:11" x14ac:dyDescent="0.3">
      <c r="A1105" t="s">
        <v>954</v>
      </c>
      <c r="B1105">
        <v>12582.84</v>
      </c>
      <c r="C1105" t="s">
        <v>31</v>
      </c>
      <c r="D1105">
        <v>6</v>
      </c>
      <c r="E1105">
        <v>1214.47</v>
      </c>
      <c r="F1105" t="s">
        <v>110</v>
      </c>
      <c r="G1105">
        <v>2</v>
      </c>
      <c r="H1105">
        <v>1324.46</v>
      </c>
      <c r="I1105" t="s">
        <v>137</v>
      </c>
      <c r="J1105">
        <v>8</v>
      </c>
      <c r="K1105">
        <v>330.88</v>
      </c>
    </row>
    <row r="1106" spans="1:11" s="40" customFormat="1" x14ac:dyDescent="0.3">
      <c r="A1106" s="41" t="s">
        <v>976</v>
      </c>
      <c r="B1106" s="40">
        <f>D1105*E1106+G1105*H1106+J1105*K1106</f>
        <v>12582.840817169999</v>
      </c>
      <c r="E1106" s="40">
        <v>1214.4726679999999</v>
      </c>
      <c r="H1106" s="40">
        <v>1324.4633318569997</v>
      </c>
      <c r="K1106" s="40">
        <v>330.88476818199996</v>
      </c>
    </row>
    <row r="1107" spans="1:11" x14ac:dyDescent="0.3">
      <c r="A1107" t="s">
        <v>970</v>
      </c>
      <c r="B1107">
        <v>4636.08</v>
      </c>
      <c r="C1107" t="s">
        <v>27</v>
      </c>
      <c r="D1107">
        <v>6</v>
      </c>
      <c r="E1107">
        <v>772.68</v>
      </c>
    </row>
    <row r="1108" spans="1:11" s="40" customFormat="1" x14ac:dyDescent="0.3">
      <c r="A1108" s="41" t="s">
        <v>976</v>
      </c>
      <c r="B1108" s="40">
        <f>D1107*E1108+G1107*H1108+J1107*K1108</f>
        <v>4636.079178</v>
      </c>
      <c r="E1108" s="40">
        <v>772.67986299999995</v>
      </c>
    </row>
    <row r="1109" spans="1:11" x14ac:dyDescent="0.3">
      <c r="A1109" t="s">
        <v>971</v>
      </c>
      <c r="B1109">
        <v>13906.04</v>
      </c>
      <c r="C1109" t="s">
        <v>69</v>
      </c>
      <c r="D1109">
        <v>6</v>
      </c>
      <c r="E1109">
        <v>1435.01</v>
      </c>
      <c r="F1109" t="s">
        <v>110</v>
      </c>
      <c r="G1109">
        <v>2</v>
      </c>
      <c r="H1109">
        <v>1324.46</v>
      </c>
      <c r="I1109" t="s">
        <v>137</v>
      </c>
      <c r="J1109">
        <v>8</v>
      </c>
      <c r="K1109">
        <v>330.88</v>
      </c>
    </row>
    <row r="1110" spans="1:11" s="40" customFormat="1" x14ac:dyDescent="0.3">
      <c r="A1110" s="41" t="s">
        <v>976</v>
      </c>
      <c r="B1110" s="40">
        <f>D1109*E1110+G1109*H1110+J1109*K1110</f>
        <v>13906.038055169998</v>
      </c>
      <c r="E1110" s="40">
        <v>1435.0055409999998</v>
      </c>
      <c r="H1110" s="40">
        <v>1324.4633318569997</v>
      </c>
      <c r="K1110" s="40">
        <v>330.88476818199996</v>
      </c>
    </row>
    <row r="1111" spans="1:11" x14ac:dyDescent="0.3">
      <c r="A1111" t="s">
        <v>957</v>
      </c>
      <c r="B1111">
        <v>31134.5</v>
      </c>
      <c r="C1111" t="s">
        <v>31</v>
      </c>
      <c r="D1111">
        <v>24</v>
      </c>
      <c r="E1111">
        <v>1214.47</v>
      </c>
      <c r="F1111" t="s">
        <v>74</v>
      </c>
      <c r="G1111">
        <v>2</v>
      </c>
      <c r="H1111">
        <v>993.58</v>
      </c>
    </row>
    <row r="1112" spans="1:11" s="40" customFormat="1" x14ac:dyDescent="0.3">
      <c r="A1112" s="41" t="s">
        <v>976</v>
      </c>
      <c r="B1112" s="40">
        <f>D1111*E1112+G1111*H1112+J1111*K1112</f>
        <v>31134.504919999996</v>
      </c>
      <c r="E1112" s="40">
        <v>1214.4726679999999</v>
      </c>
      <c r="H1112" s="40">
        <v>993.58044399999994</v>
      </c>
    </row>
    <row r="1113" spans="1:11" x14ac:dyDescent="0.3">
      <c r="A1113" t="s">
        <v>958</v>
      </c>
      <c r="B1113">
        <v>31134.5</v>
      </c>
      <c r="C1113" t="s">
        <v>31</v>
      </c>
      <c r="D1113">
        <v>24</v>
      </c>
      <c r="E1113">
        <v>1214.47</v>
      </c>
      <c r="F1113" t="s">
        <v>74</v>
      </c>
      <c r="G1113">
        <v>2</v>
      </c>
      <c r="H1113">
        <v>993.58</v>
      </c>
    </row>
    <row r="1114" spans="1:11" s="40" customFormat="1" x14ac:dyDescent="0.3">
      <c r="A1114" s="41" t="s">
        <v>976</v>
      </c>
      <c r="B1114" s="40">
        <f>D1113*E1114+G1113*H1114+J1113*K1114</f>
        <v>31134.504919999996</v>
      </c>
      <c r="E1114" s="40">
        <v>1214.4726679999999</v>
      </c>
      <c r="H1114" s="40">
        <v>993.58044399999994</v>
      </c>
    </row>
    <row r="1115" spans="1:11" x14ac:dyDescent="0.3">
      <c r="A1115" t="s">
        <v>972</v>
      </c>
      <c r="B1115">
        <v>16560.830000000002</v>
      </c>
      <c r="C1115" t="s">
        <v>31</v>
      </c>
      <c r="D1115">
        <v>12</v>
      </c>
      <c r="E1115">
        <v>1214.47</v>
      </c>
      <c r="F1115" t="s">
        <v>74</v>
      </c>
      <c r="G1115">
        <v>2</v>
      </c>
      <c r="H1115">
        <v>993.58</v>
      </c>
    </row>
    <row r="1116" spans="1:11" s="40" customFormat="1" x14ac:dyDescent="0.3">
      <c r="A1116" s="41" t="s">
        <v>976</v>
      </c>
      <c r="B1116" s="40">
        <f>D1115*E1116+G1115*H1116+J1115*K1116</f>
        <v>16560.832903999999</v>
      </c>
      <c r="E1116" s="40">
        <v>1214.4726679999999</v>
      </c>
      <c r="H1116" s="40">
        <v>993.58044399999994</v>
      </c>
    </row>
    <row r="1117" spans="1:11" x14ac:dyDescent="0.3">
      <c r="A1117" t="s">
        <v>974</v>
      </c>
      <c r="B1117">
        <v>16560.830000000002</v>
      </c>
      <c r="C1117" t="s">
        <v>31</v>
      </c>
      <c r="D1117">
        <v>12</v>
      </c>
      <c r="E1117">
        <v>1214.47</v>
      </c>
      <c r="F1117" t="s">
        <v>74</v>
      </c>
      <c r="G1117">
        <v>2</v>
      </c>
      <c r="H1117">
        <v>993.58</v>
      </c>
    </row>
    <row r="1118" spans="1:11" s="40" customFormat="1" x14ac:dyDescent="0.3">
      <c r="A1118" s="41" t="s">
        <v>976</v>
      </c>
      <c r="B1118" s="40">
        <f>D1117*E1118+G1117*H1118+J1117*K1118</f>
        <v>16560.832903999999</v>
      </c>
      <c r="E1118" s="40">
        <v>1214.4726679999999</v>
      </c>
      <c r="H1118" s="40">
        <v>993.58044399999994</v>
      </c>
    </row>
    <row r="1119" spans="1:11" x14ac:dyDescent="0.3">
      <c r="A1119" t="s">
        <v>959</v>
      </c>
      <c r="B1119">
        <v>33777.120000000003</v>
      </c>
      <c r="C1119" t="s">
        <v>33</v>
      </c>
      <c r="D1119">
        <v>18</v>
      </c>
      <c r="E1119">
        <v>1655.81</v>
      </c>
      <c r="F1119" t="s">
        <v>79</v>
      </c>
      <c r="G1119">
        <v>2</v>
      </c>
      <c r="H1119">
        <v>1986.23</v>
      </c>
    </row>
    <row r="1120" spans="1:11" s="40" customFormat="1" x14ac:dyDescent="0.3">
      <c r="A1120" s="41" t="s">
        <v>976</v>
      </c>
      <c r="B1120" s="40">
        <f>D1119*E1120+G1119*H1120+J1119*K1120</f>
        <v>33777.122031999999</v>
      </c>
      <c r="E1120" s="40">
        <v>1655.8141949999999</v>
      </c>
      <c r="H1120" s="40">
        <v>1986.2332609999996</v>
      </c>
    </row>
    <row r="1121" spans="1:8" x14ac:dyDescent="0.3">
      <c r="A1121" t="s">
        <v>973</v>
      </c>
      <c r="B1121">
        <v>53646.89</v>
      </c>
      <c r="C1121" t="s">
        <v>33</v>
      </c>
      <c r="D1121">
        <v>30</v>
      </c>
      <c r="E1121">
        <v>1655.81</v>
      </c>
      <c r="F1121" t="s">
        <v>79</v>
      </c>
      <c r="G1121">
        <v>2</v>
      </c>
      <c r="H1121">
        <v>1986.23</v>
      </c>
    </row>
    <row r="1122" spans="1:8" s="40" customFormat="1" x14ac:dyDescent="0.3">
      <c r="A1122" s="41" t="s">
        <v>976</v>
      </c>
      <c r="B1122" s="40">
        <f>D1121*E1122+G1121*H1122+J1121*K1122</f>
        <v>53646.892372000002</v>
      </c>
      <c r="E1122" s="40">
        <v>1655.8141949999999</v>
      </c>
      <c r="H1122" s="40">
        <v>1986.2332609999996</v>
      </c>
    </row>
    <row r="1123" spans="1:8" x14ac:dyDescent="0.3">
      <c r="A1123" t="s">
        <v>975</v>
      </c>
      <c r="B1123">
        <v>43712.01</v>
      </c>
      <c r="C1123" t="s">
        <v>33</v>
      </c>
      <c r="D1123">
        <v>24</v>
      </c>
      <c r="E1123">
        <v>1655.81</v>
      </c>
      <c r="F1123" t="s">
        <v>79</v>
      </c>
      <c r="G1123">
        <v>2</v>
      </c>
      <c r="H1123">
        <v>1986.23</v>
      </c>
    </row>
    <row r="1124" spans="1:8" s="40" customFormat="1" x14ac:dyDescent="0.3">
      <c r="A1124" s="41" t="s">
        <v>976</v>
      </c>
      <c r="B1124" s="40">
        <f>D1123*E1124+G1123*H1124+J1123*K1124</f>
        <v>43712.007202000001</v>
      </c>
      <c r="E1124" s="40">
        <v>1655.8141949999999</v>
      </c>
      <c r="H1124" s="40">
        <v>1986.2332609999996</v>
      </c>
    </row>
    <row r="1125" spans="1:8" x14ac:dyDescent="0.3">
      <c r="A1125" t="s">
        <v>960</v>
      </c>
      <c r="B1125">
        <v>23842.240000000002</v>
      </c>
      <c r="C1125" t="s">
        <v>33</v>
      </c>
      <c r="D1125">
        <v>12</v>
      </c>
      <c r="E1125">
        <v>1655.81</v>
      </c>
      <c r="F1125" t="s">
        <v>79</v>
      </c>
      <c r="G1125">
        <v>2</v>
      </c>
      <c r="H1125">
        <v>1986.23</v>
      </c>
    </row>
    <row r="1126" spans="1:8" s="40" customFormat="1" x14ac:dyDescent="0.3">
      <c r="A1126" s="41" t="s">
        <v>976</v>
      </c>
      <c r="B1126" s="40">
        <f>D1125*E1126+G1125*H1126+J1125*K1126</f>
        <v>23842.236861999998</v>
      </c>
      <c r="E1126" s="40">
        <v>1655.8141949999999</v>
      </c>
      <c r="H1126" s="40">
        <v>1986.2332609999996</v>
      </c>
    </row>
    <row r="1127" spans="1:8" x14ac:dyDescent="0.3">
      <c r="A1127" t="s">
        <v>961</v>
      </c>
      <c r="B1127">
        <v>23842.240000000002</v>
      </c>
      <c r="C1127" t="s">
        <v>33</v>
      </c>
      <c r="D1127">
        <v>12</v>
      </c>
      <c r="E1127">
        <v>1655.81</v>
      </c>
      <c r="F1127" t="s">
        <v>79</v>
      </c>
      <c r="G1127">
        <v>2</v>
      </c>
      <c r="H1127">
        <v>1986.23</v>
      </c>
    </row>
    <row r="1128" spans="1:8" s="40" customFormat="1" x14ac:dyDescent="0.3">
      <c r="A1128" s="41" t="s">
        <v>976</v>
      </c>
      <c r="B1128" s="40">
        <f>D1127*E1128+G1127*H1128+J1127*K1128</f>
        <v>23842.236861999998</v>
      </c>
      <c r="E1128" s="40">
        <v>1655.8141949999999</v>
      </c>
      <c r="H1128" s="40">
        <v>1986.2332609999996</v>
      </c>
    </row>
    <row r="1129" spans="1:8" x14ac:dyDescent="0.3">
      <c r="A1129" t="s">
        <v>596</v>
      </c>
      <c r="B1129">
        <v>31134.5</v>
      </c>
      <c r="C1129" t="s">
        <v>31</v>
      </c>
      <c r="D1129">
        <v>24</v>
      </c>
      <c r="E1129">
        <v>1214.47</v>
      </c>
      <c r="F1129" t="s">
        <v>74</v>
      </c>
      <c r="G1129">
        <v>2</v>
      </c>
      <c r="H1129">
        <v>993.58</v>
      </c>
    </row>
    <row r="1130" spans="1:8" s="40" customFormat="1" x14ac:dyDescent="0.3">
      <c r="A1130" s="41" t="s">
        <v>976</v>
      </c>
      <c r="B1130" s="40">
        <f>D1129*E1130+G1129*H1130+J1129*K1130</f>
        <v>31134.504919999996</v>
      </c>
      <c r="E1130" s="40">
        <v>1214.4726679999999</v>
      </c>
      <c r="H1130" s="40">
        <v>993.58044399999994</v>
      </c>
    </row>
    <row r="1131" spans="1:8" x14ac:dyDescent="0.3">
      <c r="A1131" t="s">
        <v>542</v>
      </c>
      <c r="B1131">
        <v>38421.339999999997</v>
      </c>
      <c r="C1131" t="s">
        <v>31</v>
      </c>
      <c r="D1131">
        <v>30</v>
      </c>
      <c r="E1131">
        <v>1214.47</v>
      </c>
      <c r="F1131" t="s">
        <v>74</v>
      </c>
      <c r="G1131">
        <v>2</v>
      </c>
      <c r="H1131">
        <v>993.58</v>
      </c>
    </row>
    <row r="1132" spans="1:8" s="40" customFormat="1" x14ac:dyDescent="0.3">
      <c r="A1132" s="41" t="s">
        <v>976</v>
      </c>
      <c r="B1132" s="40">
        <f>D1131*E1132+G1131*H1132+J1131*K1132</f>
        <v>38421.340927999998</v>
      </c>
      <c r="E1132" s="40">
        <v>1214.4726679999999</v>
      </c>
      <c r="H1132" s="40">
        <v>993.58044399999994</v>
      </c>
    </row>
    <row r="1133" spans="1:8" x14ac:dyDescent="0.3">
      <c r="A1133" t="s">
        <v>570</v>
      </c>
      <c r="B1133">
        <v>56958.12</v>
      </c>
      <c r="C1133" t="s">
        <v>59</v>
      </c>
      <c r="D1133">
        <v>24</v>
      </c>
      <c r="E1133">
        <v>2207.7399999999998</v>
      </c>
      <c r="F1133" t="s">
        <v>85</v>
      </c>
      <c r="G1133">
        <v>2</v>
      </c>
      <c r="H1133">
        <v>1986.23</v>
      </c>
    </row>
    <row r="1134" spans="1:8" s="40" customFormat="1" x14ac:dyDescent="0.3">
      <c r="A1134" s="41" t="s">
        <v>976</v>
      </c>
      <c r="B1134" s="40">
        <f>D1133*E1134+G1133*H1134+J1133*K1134</f>
        <v>56958.119626</v>
      </c>
      <c r="E1134" s="40">
        <v>2207.7355459999999</v>
      </c>
      <c r="H1134" s="40">
        <v>1986.2332609999996</v>
      </c>
    </row>
    <row r="1135" spans="1:8" x14ac:dyDescent="0.3">
      <c r="A1135" t="s">
        <v>698</v>
      </c>
      <c r="B1135">
        <v>23847.67</v>
      </c>
      <c r="C1135" t="s">
        <v>31</v>
      </c>
      <c r="D1135">
        <v>18</v>
      </c>
      <c r="E1135">
        <v>1214.47</v>
      </c>
      <c r="F1135" t="s">
        <v>74</v>
      </c>
      <c r="G1135">
        <v>2</v>
      </c>
      <c r="H1135">
        <v>993.58</v>
      </c>
    </row>
    <row r="1136" spans="1:8" s="40" customFormat="1" x14ac:dyDescent="0.3">
      <c r="A1136" s="41" t="s">
        <v>976</v>
      </c>
      <c r="B1136" s="40">
        <f>D1135*E1136+G1135*H1136+J1135*K1136</f>
        <v>23847.668911999997</v>
      </c>
      <c r="E1136" s="40">
        <v>1214.4726679999999</v>
      </c>
      <c r="H1136" s="40">
        <v>993.58044399999994</v>
      </c>
    </row>
    <row r="1137" spans="1:8" x14ac:dyDescent="0.3">
      <c r="A1137" t="s">
        <v>613</v>
      </c>
      <c r="B1137">
        <v>36427.29</v>
      </c>
      <c r="C1137" t="s">
        <v>69</v>
      </c>
      <c r="D1137">
        <v>24</v>
      </c>
      <c r="E1137">
        <v>1435.01</v>
      </c>
      <c r="F1137" t="s">
        <v>74</v>
      </c>
      <c r="G1137">
        <v>2</v>
      </c>
      <c r="H1137">
        <v>993.58</v>
      </c>
    </row>
    <row r="1138" spans="1:8" s="40" customFormat="1" x14ac:dyDescent="0.3">
      <c r="A1138" s="41" t="s">
        <v>976</v>
      </c>
      <c r="B1138" s="40">
        <f>D1137*E1138+G1137*H1138+J1137*K1138</f>
        <v>36427.293871999995</v>
      </c>
      <c r="E1138" s="40">
        <v>1435.0055409999998</v>
      </c>
      <c r="H1138" s="40">
        <v>993.58044399999994</v>
      </c>
    </row>
    <row r="1139" spans="1:8" x14ac:dyDescent="0.3">
      <c r="A1139" t="s">
        <v>621</v>
      </c>
      <c r="B1139">
        <v>36427.29</v>
      </c>
      <c r="C1139" t="s">
        <v>69</v>
      </c>
      <c r="D1139">
        <v>24</v>
      </c>
      <c r="E1139">
        <v>1435.01</v>
      </c>
      <c r="F1139" t="s">
        <v>74</v>
      </c>
      <c r="G1139">
        <v>2</v>
      </c>
      <c r="H1139">
        <v>993.58</v>
      </c>
    </row>
    <row r="1140" spans="1:8" s="40" customFormat="1" x14ac:dyDescent="0.3">
      <c r="A1140" s="41" t="s">
        <v>976</v>
      </c>
      <c r="B1140" s="40">
        <f>D1139*E1140+G1139*H1140+J1139*K1140</f>
        <v>36427.293871999995</v>
      </c>
      <c r="E1140" s="40">
        <v>1435.0055409999998</v>
      </c>
      <c r="H1140" s="40">
        <v>993.58044399999994</v>
      </c>
    </row>
    <row r="1141" spans="1:8" x14ac:dyDescent="0.3">
      <c r="A1141" t="s">
        <v>677</v>
      </c>
      <c r="B1141">
        <v>26276.61</v>
      </c>
      <c r="C1141" t="s">
        <v>31</v>
      </c>
      <c r="D1141">
        <v>20</v>
      </c>
      <c r="E1141">
        <v>1214.47</v>
      </c>
      <c r="F1141" t="s">
        <v>74</v>
      </c>
      <c r="G1141">
        <v>2</v>
      </c>
      <c r="H1141">
        <v>993.58</v>
      </c>
    </row>
    <row r="1142" spans="1:8" s="40" customFormat="1" x14ac:dyDescent="0.3">
      <c r="A1142" s="41" t="s">
        <v>976</v>
      </c>
      <c r="B1142" s="40">
        <f>D1141*E1142+G1141*H1142+J1141*K1142</f>
        <v>26276.614247999998</v>
      </c>
      <c r="E1142" s="40">
        <v>1214.4726679999999</v>
      </c>
      <c r="H1142" s="40">
        <v>993.58044399999994</v>
      </c>
    </row>
    <row r="1143" spans="1:8" x14ac:dyDescent="0.3">
      <c r="A1143" t="s">
        <v>746</v>
      </c>
      <c r="B1143">
        <v>22960.09</v>
      </c>
      <c r="C1143" t="s">
        <v>69</v>
      </c>
      <c r="D1143">
        <v>16</v>
      </c>
      <c r="E1143">
        <v>1435.01</v>
      </c>
    </row>
    <row r="1144" spans="1:8" s="40" customFormat="1" x14ac:dyDescent="0.3">
      <c r="A1144" s="41" t="s">
        <v>976</v>
      </c>
      <c r="B1144" s="40">
        <f>D1143*E1144+G1143*H1144+J1143*K1144</f>
        <v>22960.088655999996</v>
      </c>
      <c r="E1144" s="40">
        <v>1435.0055409999998</v>
      </c>
    </row>
    <row r="1145" spans="1:8" x14ac:dyDescent="0.3">
      <c r="A1145" t="s">
        <v>776</v>
      </c>
      <c r="B1145">
        <v>18989.78</v>
      </c>
      <c r="C1145" t="s">
        <v>31</v>
      </c>
      <c r="D1145">
        <v>14</v>
      </c>
      <c r="E1145">
        <v>1214.47</v>
      </c>
      <c r="F1145" t="s">
        <v>74</v>
      </c>
      <c r="G1145">
        <v>2</v>
      </c>
      <c r="H1145">
        <v>993.58</v>
      </c>
    </row>
    <row r="1146" spans="1:8" s="40" customFormat="1" x14ac:dyDescent="0.3">
      <c r="A1146" s="41" t="s">
        <v>976</v>
      </c>
      <c r="B1146" s="40">
        <f>D1145*E1146+G1145*H1146+J1145*K1146</f>
        <v>18989.778239999996</v>
      </c>
      <c r="E1146" s="40">
        <v>1214.4726679999999</v>
      </c>
      <c r="H1146" s="40">
        <v>993.58044399999994</v>
      </c>
    </row>
    <row r="1147" spans="1:8" x14ac:dyDescent="0.3">
      <c r="A1147" t="s">
        <v>714</v>
      </c>
      <c r="B1147">
        <v>19429.810000000001</v>
      </c>
      <c r="C1147" t="s">
        <v>29</v>
      </c>
      <c r="D1147">
        <v>18</v>
      </c>
      <c r="E1147">
        <v>993.58</v>
      </c>
      <c r="F1147" t="s">
        <v>89</v>
      </c>
      <c r="G1147">
        <v>2</v>
      </c>
      <c r="H1147">
        <v>772.68</v>
      </c>
    </row>
    <row r="1148" spans="1:8" s="40" customFormat="1" x14ac:dyDescent="0.3">
      <c r="A1148" s="41" t="s">
        <v>976</v>
      </c>
      <c r="B1148" s="40">
        <f>D1147*E1148+G1147*H1148+J1147*K1148</f>
        <v>19429.807717999996</v>
      </c>
      <c r="E1148" s="40">
        <v>993.58044399999994</v>
      </c>
      <c r="H1148" s="40">
        <v>772.67986299999995</v>
      </c>
    </row>
    <row r="1149" spans="1:8" x14ac:dyDescent="0.3">
      <c r="A1149" t="s">
        <v>843</v>
      </c>
      <c r="B1149">
        <v>16560.830000000002</v>
      </c>
      <c r="C1149" t="s">
        <v>31</v>
      </c>
      <c r="D1149">
        <v>12</v>
      </c>
      <c r="E1149">
        <v>1214.47</v>
      </c>
      <c r="F1149" t="s">
        <v>74</v>
      </c>
      <c r="G1149">
        <v>2</v>
      </c>
      <c r="H1149">
        <v>993.58</v>
      </c>
    </row>
    <row r="1150" spans="1:8" s="40" customFormat="1" x14ac:dyDescent="0.3">
      <c r="A1150" s="41" t="s">
        <v>976</v>
      </c>
      <c r="B1150" s="40">
        <f>D1149*E1150+G1149*H1150+J1149*K1150</f>
        <v>16560.832903999999</v>
      </c>
      <c r="E1150" s="40">
        <v>1214.4726679999999</v>
      </c>
      <c r="H1150" s="40">
        <v>993.58044399999994</v>
      </c>
    </row>
    <row r="1151" spans="1:8" x14ac:dyDescent="0.3">
      <c r="A1151" t="s">
        <v>870</v>
      </c>
      <c r="B1151">
        <v>13468.33</v>
      </c>
      <c r="C1151" t="s">
        <v>29</v>
      </c>
      <c r="D1151">
        <v>12</v>
      </c>
      <c r="E1151">
        <v>993.58</v>
      </c>
      <c r="F1151" t="s">
        <v>89</v>
      </c>
      <c r="G1151">
        <v>2</v>
      </c>
      <c r="H1151">
        <v>772.68</v>
      </c>
    </row>
    <row r="1152" spans="1:8" s="40" customFormat="1" x14ac:dyDescent="0.3">
      <c r="A1152" s="41" t="s">
        <v>976</v>
      </c>
      <c r="B1152" s="40">
        <f>D1151*E1152+G1151*H1152+J1151*K1152</f>
        <v>13468.325053999999</v>
      </c>
      <c r="E1152" s="40">
        <v>993.58044399999994</v>
      </c>
      <c r="H1152" s="40">
        <v>772.67986299999995</v>
      </c>
    </row>
    <row r="1153" spans="1:11" x14ac:dyDescent="0.3">
      <c r="A1153" t="s">
        <v>795</v>
      </c>
      <c r="B1153">
        <v>21855.03</v>
      </c>
      <c r="C1153" t="s">
        <v>27</v>
      </c>
      <c r="D1153">
        <v>12</v>
      </c>
      <c r="E1153">
        <v>772.68</v>
      </c>
      <c r="F1153" t="s">
        <v>72</v>
      </c>
      <c r="G1153">
        <v>2</v>
      </c>
      <c r="H1153">
        <v>993.58</v>
      </c>
      <c r="I1153" t="s">
        <v>160</v>
      </c>
      <c r="J1153">
        <v>8</v>
      </c>
      <c r="K1153">
        <v>1324.46</v>
      </c>
    </row>
    <row r="1154" spans="1:11" s="40" customFormat="1" x14ac:dyDescent="0.3">
      <c r="A1154" s="41" t="s">
        <v>976</v>
      </c>
      <c r="B1154" s="40">
        <f>D1153*E1154+G1153*H1154+J1153*K1154</f>
        <v>21855.025898855998</v>
      </c>
      <c r="E1154" s="40">
        <v>772.67986299999995</v>
      </c>
      <c r="H1154" s="40">
        <v>993.58044399999994</v>
      </c>
      <c r="K1154" s="40">
        <v>1324.4633318569997</v>
      </c>
    </row>
    <row r="1155" spans="1:11" x14ac:dyDescent="0.3">
      <c r="A1155" t="s">
        <v>966</v>
      </c>
      <c r="B1155">
        <v>26271.16</v>
      </c>
      <c r="C1155" t="s">
        <v>29</v>
      </c>
      <c r="D1155">
        <v>12</v>
      </c>
      <c r="E1155">
        <v>993.58</v>
      </c>
      <c r="F1155" t="s">
        <v>99</v>
      </c>
      <c r="G1155">
        <v>2</v>
      </c>
      <c r="H1155">
        <v>551.78</v>
      </c>
      <c r="I1155" t="s">
        <v>164</v>
      </c>
      <c r="J1155">
        <v>10</v>
      </c>
      <c r="K1155">
        <v>1324.46</v>
      </c>
    </row>
    <row r="1156" spans="1:11" s="40" customFormat="1" x14ac:dyDescent="0.3">
      <c r="A1156" s="41" t="s">
        <v>976</v>
      </c>
      <c r="B1156" s="40">
        <f>D1155*E1156+G1155*H1156+J1155*K1156</f>
        <v>26271.164046595994</v>
      </c>
      <c r="E1156" s="40">
        <v>993.58044399999994</v>
      </c>
      <c r="H1156" s="40">
        <v>551.78270001299984</v>
      </c>
      <c r="K1156" s="40">
        <v>1324.4633318569997</v>
      </c>
    </row>
    <row r="1157" spans="1:11" x14ac:dyDescent="0.3">
      <c r="A1157" t="s">
        <v>915</v>
      </c>
      <c r="B1157">
        <v>8168.6</v>
      </c>
      <c r="C1157" t="s">
        <v>27</v>
      </c>
      <c r="D1157">
        <v>8</v>
      </c>
      <c r="E1157">
        <v>772.68</v>
      </c>
      <c r="F1157" t="s">
        <v>72</v>
      </c>
      <c r="G1157">
        <v>2</v>
      </c>
      <c r="H1157">
        <v>993.58</v>
      </c>
    </row>
    <row r="1158" spans="1:11" s="40" customFormat="1" x14ac:dyDescent="0.3">
      <c r="A1158" s="41" t="s">
        <v>976</v>
      </c>
      <c r="B1158" s="40">
        <f>D1157*E1158+G1157*H1158+J1157*K1158</f>
        <v>8168.5997919999991</v>
      </c>
      <c r="E1158" s="40">
        <v>772.67986299999995</v>
      </c>
      <c r="H1158" s="40">
        <v>993.58044399999994</v>
      </c>
    </row>
    <row r="1159" spans="1:11" x14ac:dyDescent="0.3">
      <c r="A1159" t="s">
        <v>948</v>
      </c>
      <c r="B1159">
        <v>13247.39</v>
      </c>
      <c r="C1159" t="s">
        <v>31</v>
      </c>
      <c r="D1159">
        <v>6</v>
      </c>
      <c r="E1159">
        <v>1214.47</v>
      </c>
      <c r="F1159" t="s">
        <v>74</v>
      </c>
      <c r="G1159">
        <v>2</v>
      </c>
      <c r="H1159">
        <v>993.58</v>
      </c>
      <c r="I1159" t="s">
        <v>164</v>
      </c>
      <c r="J1159">
        <v>3</v>
      </c>
      <c r="K1159">
        <v>1324.46</v>
      </c>
    </row>
    <row r="1160" spans="1:11" s="40" customFormat="1" x14ac:dyDescent="0.3">
      <c r="A1160" s="41" t="s">
        <v>976</v>
      </c>
      <c r="B1160" s="40">
        <f>D1159*E1160+G1159*H1160+J1159*K1160</f>
        <v>13247.386891570997</v>
      </c>
      <c r="E1160" s="40">
        <v>1214.4726679999999</v>
      </c>
      <c r="H1160" s="40">
        <v>993.58044399999994</v>
      </c>
      <c r="K1160" s="40">
        <v>1324.4633318569997</v>
      </c>
    </row>
    <row r="1161" spans="1:11" x14ac:dyDescent="0.3">
      <c r="A1161" t="s">
        <v>453</v>
      </c>
      <c r="B1161">
        <v>61275.43</v>
      </c>
      <c r="C1161" t="s">
        <v>31</v>
      </c>
      <c r="D1161">
        <v>48</v>
      </c>
      <c r="E1161">
        <v>1214.47</v>
      </c>
      <c r="F1161" t="s">
        <v>74</v>
      </c>
      <c r="G1161">
        <v>3</v>
      </c>
      <c r="H1161">
        <v>993.58</v>
      </c>
    </row>
    <row r="1162" spans="1:11" s="40" customFormat="1" x14ac:dyDescent="0.3">
      <c r="A1162" s="41" t="s">
        <v>976</v>
      </c>
      <c r="B1162" s="40">
        <f>D1161*E1162+G1161*H1162+J1161*K1162</f>
        <v>61275.429395999992</v>
      </c>
      <c r="E1162" s="40">
        <v>1214.4726679999999</v>
      </c>
      <c r="H1162" s="40">
        <v>993.58044399999994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9A771-3E61-4512-87BA-2801EF8A903E}">
  <sheetPr codeName="Sheet7"/>
  <dimension ref="A1:K581"/>
  <sheetViews>
    <sheetView workbookViewId="0"/>
  </sheetViews>
  <sheetFormatPr defaultRowHeight="14.4" x14ac:dyDescent="0.3"/>
  <cols>
    <col min="1" max="1" width="17.44140625" bestFit="1" customWidth="1"/>
    <col min="2" max="2" width="10" bestFit="1" customWidth="1"/>
    <col min="3" max="3" width="8.77734375" bestFit="1" customWidth="1"/>
    <col min="4" max="4" width="4" bestFit="1" customWidth="1"/>
    <col min="5" max="5" width="8" bestFit="1" customWidth="1"/>
    <col min="6" max="6" width="14.109375" bestFit="1" customWidth="1"/>
    <col min="7" max="7" width="2" bestFit="1" customWidth="1"/>
    <col min="8" max="8" width="8" bestFit="1" customWidth="1"/>
    <col min="9" max="9" width="9.33203125" bestFit="1" customWidth="1"/>
    <col min="10" max="10" width="3" bestFit="1" customWidth="1"/>
    <col min="11" max="11" width="8" bestFit="1" customWidth="1"/>
  </cols>
  <sheetData>
    <row r="1" spans="1:8" x14ac:dyDescent="0.3">
      <c r="A1" t="s">
        <v>404</v>
      </c>
      <c r="B1" s="39">
        <v>208628.87</v>
      </c>
      <c r="C1" t="s">
        <v>33</v>
      </c>
      <c r="D1">
        <v>120</v>
      </c>
      <c r="E1" s="39">
        <v>1655.81</v>
      </c>
      <c r="F1" t="s">
        <v>79</v>
      </c>
      <c r="G1">
        <v>5</v>
      </c>
      <c r="H1" s="39">
        <v>1986.23</v>
      </c>
    </row>
    <row r="2" spans="1:8" x14ac:dyDescent="0.3">
      <c r="A2" t="s">
        <v>399</v>
      </c>
      <c r="B2" s="39">
        <v>150704.62</v>
      </c>
      <c r="C2" t="s">
        <v>67</v>
      </c>
      <c r="D2">
        <v>120</v>
      </c>
      <c r="E2" s="39">
        <v>1214.47</v>
      </c>
      <c r="F2" t="s">
        <v>74</v>
      </c>
      <c r="G2">
        <v>5</v>
      </c>
      <c r="H2">
        <v>993.58</v>
      </c>
    </row>
    <row r="3" spans="1:8" x14ac:dyDescent="0.3">
      <c r="A3" t="s">
        <v>400</v>
      </c>
      <c r="B3" s="39">
        <v>177168.57</v>
      </c>
      <c r="C3" t="s">
        <v>69</v>
      </c>
      <c r="D3">
        <v>120</v>
      </c>
      <c r="E3" s="39">
        <v>1435.01</v>
      </c>
      <c r="F3" t="s">
        <v>74</v>
      </c>
      <c r="G3">
        <v>5</v>
      </c>
      <c r="H3">
        <v>993.58</v>
      </c>
    </row>
    <row r="4" spans="1:8" x14ac:dyDescent="0.3">
      <c r="A4" t="s">
        <v>398</v>
      </c>
      <c r="B4" s="39">
        <v>97689.49</v>
      </c>
      <c r="C4" t="s">
        <v>27</v>
      </c>
      <c r="D4">
        <v>120</v>
      </c>
      <c r="E4">
        <v>772.68</v>
      </c>
      <c r="F4" t="s">
        <v>72</v>
      </c>
      <c r="G4">
        <v>5</v>
      </c>
      <c r="H4">
        <v>993.58</v>
      </c>
    </row>
    <row r="5" spans="1:8" x14ac:dyDescent="0.3">
      <c r="A5" t="s">
        <v>395</v>
      </c>
      <c r="B5" s="39">
        <v>117227.38</v>
      </c>
      <c r="C5" t="s">
        <v>27</v>
      </c>
      <c r="D5">
        <v>144</v>
      </c>
      <c r="E5">
        <v>772.68</v>
      </c>
      <c r="F5" t="s">
        <v>72</v>
      </c>
      <c r="G5">
        <v>6</v>
      </c>
      <c r="H5">
        <v>993.58</v>
      </c>
    </row>
    <row r="6" spans="1:8" x14ac:dyDescent="0.3">
      <c r="A6" t="s">
        <v>401</v>
      </c>
      <c r="B6" s="39">
        <v>150704.62</v>
      </c>
      <c r="C6" t="s">
        <v>31</v>
      </c>
      <c r="D6">
        <v>120</v>
      </c>
      <c r="E6" s="39">
        <v>1214.47</v>
      </c>
      <c r="F6" t="s">
        <v>74</v>
      </c>
      <c r="G6">
        <v>5</v>
      </c>
      <c r="H6" s="39">
        <v>993.58</v>
      </c>
    </row>
    <row r="7" spans="1:8" x14ac:dyDescent="0.3">
      <c r="A7" t="s">
        <v>396</v>
      </c>
      <c r="B7" s="39">
        <v>180845.55</v>
      </c>
      <c r="C7" t="s">
        <v>31</v>
      </c>
      <c r="D7">
        <v>144</v>
      </c>
      <c r="E7" s="39">
        <v>1214.47</v>
      </c>
      <c r="F7" t="s">
        <v>74</v>
      </c>
      <c r="G7">
        <v>6</v>
      </c>
      <c r="H7">
        <v>993.58</v>
      </c>
    </row>
    <row r="8" spans="1:8" x14ac:dyDescent="0.3">
      <c r="A8" t="s">
        <v>397</v>
      </c>
      <c r="B8" s="39">
        <v>97689.49</v>
      </c>
      <c r="C8" t="s">
        <v>27</v>
      </c>
      <c r="D8">
        <v>120</v>
      </c>
      <c r="E8">
        <v>772.68</v>
      </c>
      <c r="F8" t="s">
        <v>72</v>
      </c>
      <c r="G8">
        <v>5</v>
      </c>
      <c r="H8">
        <v>993.58</v>
      </c>
    </row>
    <row r="9" spans="1:8" x14ac:dyDescent="0.3">
      <c r="A9" t="s">
        <v>402</v>
      </c>
      <c r="B9" s="39">
        <v>163920.04999999999</v>
      </c>
      <c r="C9" t="s">
        <v>43</v>
      </c>
      <c r="D9">
        <v>120</v>
      </c>
      <c r="E9" s="39">
        <v>1324.6</v>
      </c>
      <c r="F9" t="s">
        <v>74</v>
      </c>
      <c r="G9">
        <v>5</v>
      </c>
      <c r="H9">
        <v>993.58</v>
      </c>
    </row>
    <row r="10" spans="1:8" x14ac:dyDescent="0.3">
      <c r="A10" t="s">
        <v>407</v>
      </c>
      <c r="B10" s="39">
        <v>78151.59</v>
      </c>
      <c r="C10" t="s">
        <v>27</v>
      </c>
      <c r="D10">
        <v>96</v>
      </c>
      <c r="E10" s="39">
        <v>772.68</v>
      </c>
      <c r="F10" t="s">
        <v>72</v>
      </c>
      <c r="G10">
        <v>4</v>
      </c>
      <c r="H10">
        <v>993.58</v>
      </c>
    </row>
    <row r="11" spans="1:8" x14ac:dyDescent="0.3">
      <c r="A11" t="s">
        <v>403</v>
      </c>
      <c r="B11" s="39">
        <v>78151.59</v>
      </c>
      <c r="C11" t="s">
        <v>27</v>
      </c>
      <c r="D11">
        <v>96</v>
      </c>
      <c r="E11">
        <v>772.68</v>
      </c>
      <c r="F11" t="s">
        <v>72</v>
      </c>
      <c r="G11">
        <v>4</v>
      </c>
      <c r="H11">
        <v>993.58</v>
      </c>
    </row>
    <row r="12" spans="1:8" x14ac:dyDescent="0.3">
      <c r="A12" t="s">
        <v>405</v>
      </c>
      <c r="B12" s="39">
        <v>163920.04999999999</v>
      </c>
      <c r="C12" t="s">
        <v>43</v>
      </c>
      <c r="D12">
        <v>120</v>
      </c>
      <c r="E12" s="39">
        <v>1324.6</v>
      </c>
      <c r="F12" t="s">
        <v>74</v>
      </c>
      <c r="G12">
        <v>5</v>
      </c>
      <c r="H12">
        <v>993.58</v>
      </c>
    </row>
    <row r="13" spans="1:8" x14ac:dyDescent="0.3">
      <c r="A13" t="s">
        <v>409</v>
      </c>
      <c r="B13" s="39">
        <v>78151.59</v>
      </c>
      <c r="C13" t="s">
        <v>27</v>
      </c>
      <c r="D13">
        <v>96</v>
      </c>
      <c r="E13">
        <v>772.68</v>
      </c>
      <c r="F13" t="s">
        <v>72</v>
      </c>
      <c r="G13">
        <v>4</v>
      </c>
      <c r="H13">
        <v>993.58</v>
      </c>
    </row>
    <row r="14" spans="1:8" x14ac:dyDescent="0.3">
      <c r="A14" t="s">
        <v>408</v>
      </c>
      <c r="B14" s="39">
        <v>99358.04</v>
      </c>
      <c r="C14" t="s">
        <v>29</v>
      </c>
      <c r="D14">
        <v>96</v>
      </c>
      <c r="E14">
        <v>993.58</v>
      </c>
      <c r="F14" t="s">
        <v>74</v>
      </c>
      <c r="G14">
        <v>4</v>
      </c>
      <c r="H14">
        <v>993.58</v>
      </c>
    </row>
    <row r="15" spans="1:8" x14ac:dyDescent="0.3">
      <c r="A15" t="s">
        <v>406</v>
      </c>
      <c r="B15" s="39">
        <v>99358.04</v>
      </c>
      <c r="C15" t="s">
        <v>29</v>
      </c>
      <c r="D15">
        <v>96</v>
      </c>
      <c r="E15">
        <v>993.58</v>
      </c>
      <c r="F15" t="s">
        <v>74</v>
      </c>
      <c r="G15">
        <v>4</v>
      </c>
      <c r="H15">
        <v>993.58</v>
      </c>
    </row>
    <row r="16" spans="1:8" x14ac:dyDescent="0.3">
      <c r="A16" t="s">
        <v>411</v>
      </c>
      <c r="B16" s="39">
        <v>120563.7</v>
      </c>
      <c r="C16" t="s">
        <v>31</v>
      </c>
      <c r="D16">
        <v>96</v>
      </c>
      <c r="E16" s="39">
        <v>1214.47</v>
      </c>
      <c r="F16" t="s">
        <v>74</v>
      </c>
      <c r="G16">
        <v>4</v>
      </c>
      <c r="H16">
        <v>993.58</v>
      </c>
    </row>
    <row r="17" spans="1:8" x14ac:dyDescent="0.3">
      <c r="A17" t="s">
        <v>412</v>
      </c>
      <c r="B17" s="39">
        <v>120563.7</v>
      </c>
      <c r="C17" t="s">
        <v>31</v>
      </c>
      <c r="D17">
        <v>96</v>
      </c>
      <c r="E17" s="39">
        <v>1214.47</v>
      </c>
      <c r="F17" t="s">
        <v>74</v>
      </c>
      <c r="G17">
        <v>4</v>
      </c>
      <c r="H17">
        <v>993.58</v>
      </c>
    </row>
    <row r="18" spans="1:8" x14ac:dyDescent="0.3">
      <c r="A18" t="s">
        <v>413</v>
      </c>
      <c r="B18" s="39">
        <v>120563.7</v>
      </c>
      <c r="C18" t="s">
        <v>31</v>
      </c>
      <c r="D18">
        <v>96</v>
      </c>
      <c r="E18" s="39">
        <v>1214.47</v>
      </c>
      <c r="F18" t="s">
        <v>74</v>
      </c>
      <c r="G18">
        <v>4</v>
      </c>
      <c r="H18">
        <v>993.58</v>
      </c>
    </row>
    <row r="19" spans="1:8" x14ac:dyDescent="0.3">
      <c r="A19" t="s">
        <v>410</v>
      </c>
      <c r="B19" s="39">
        <v>74177.27</v>
      </c>
      <c r="C19" t="s">
        <v>27</v>
      </c>
      <c r="D19">
        <v>96</v>
      </c>
      <c r="E19">
        <v>772.68</v>
      </c>
    </row>
    <row r="20" spans="1:8" x14ac:dyDescent="0.3">
      <c r="A20" t="s">
        <v>416</v>
      </c>
      <c r="B20" s="39">
        <v>101132.14</v>
      </c>
      <c r="C20" t="s">
        <v>31</v>
      </c>
      <c r="D20">
        <v>80</v>
      </c>
      <c r="E20" s="39">
        <v>1214.47</v>
      </c>
      <c r="F20" t="s">
        <v>74</v>
      </c>
      <c r="G20">
        <v>4</v>
      </c>
      <c r="H20">
        <v>993.58</v>
      </c>
    </row>
    <row r="21" spans="1:8" x14ac:dyDescent="0.3">
      <c r="A21" t="s">
        <v>414</v>
      </c>
      <c r="B21" s="39">
        <v>105990.03</v>
      </c>
      <c r="C21" t="s">
        <v>67</v>
      </c>
      <c r="D21">
        <v>84</v>
      </c>
      <c r="E21" s="39">
        <v>1214.47</v>
      </c>
      <c r="F21" t="s">
        <v>74</v>
      </c>
      <c r="G21">
        <v>4</v>
      </c>
      <c r="H21">
        <v>993.58</v>
      </c>
    </row>
    <row r="22" spans="1:8" x14ac:dyDescent="0.3">
      <c r="A22" t="s">
        <v>415</v>
      </c>
      <c r="B22" s="39">
        <v>67112.240000000005</v>
      </c>
      <c r="C22" t="s">
        <v>27</v>
      </c>
      <c r="D22">
        <v>84</v>
      </c>
      <c r="E22">
        <v>772.68</v>
      </c>
      <c r="F22" t="s">
        <v>99</v>
      </c>
      <c r="G22">
        <v>4</v>
      </c>
      <c r="H22">
        <v>551.78</v>
      </c>
    </row>
    <row r="23" spans="1:8" x14ac:dyDescent="0.3">
      <c r="A23" t="s">
        <v>420</v>
      </c>
      <c r="B23" s="39">
        <v>58613.69</v>
      </c>
      <c r="C23" t="s">
        <v>27</v>
      </c>
      <c r="D23">
        <v>72</v>
      </c>
      <c r="E23">
        <v>772.68</v>
      </c>
      <c r="F23" t="s">
        <v>72</v>
      </c>
      <c r="G23">
        <v>3</v>
      </c>
      <c r="H23">
        <v>993.58</v>
      </c>
    </row>
    <row r="24" spans="1:8" x14ac:dyDescent="0.3">
      <c r="A24" t="s">
        <v>417</v>
      </c>
      <c r="B24" s="39">
        <v>42708.85</v>
      </c>
      <c r="C24" t="s">
        <v>24</v>
      </c>
      <c r="D24">
        <v>72</v>
      </c>
      <c r="E24">
        <v>551.78</v>
      </c>
      <c r="F24" t="s">
        <v>72</v>
      </c>
      <c r="G24">
        <v>3</v>
      </c>
      <c r="H24">
        <v>993.58</v>
      </c>
    </row>
    <row r="25" spans="1:8" x14ac:dyDescent="0.3">
      <c r="A25" t="s">
        <v>419</v>
      </c>
      <c r="B25" s="39">
        <v>74518.53</v>
      </c>
      <c r="C25" t="s">
        <v>29</v>
      </c>
      <c r="D25">
        <v>72</v>
      </c>
      <c r="E25">
        <v>993.58</v>
      </c>
      <c r="F25" t="s">
        <v>74</v>
      </c>
      <c r="G25">
        <v>3</v>
      </c>
      <c r="H25">
        <v>993.58</v>
      </c>
    </row>
    <row r="26" spans="1:8" x14ac:dyDescent="0.3">
      <c r="A26" t="s">
        <v>418</v>
      </c>
      <c r="B26" s="39">
        <v>90422.77</v>
      </c>
      <c r="C26" t="s">
        <v>31</v>
      </c>
      <c r="D26">
        <v>72</v>
      </c>
      <c r="E26" s="39">
        <v>1214.47</v>
      </c>
      <c r="F26" t="s">
        <v>74</v>
      </c>
      <c r="G26">
        <v>3</v>
      </c>
      <c r="H26">
        <v>993.58</v>
      </c>
    </row>
    <row r="27" spans="1:8" x14ac:dyDescent="0.3">
      <c r="A27" t="s">
        <v>423</v>
      </c>
      <c r="B27" s="39">
        <v>90422.77</v>
      </c>
      <c r="C27" t="s">
        <v>31</v>
      </c>
      <c r="D27">
        <v>72</v>
      </c>
      <c r="E27" s="39">
        <v>1214.47</v>
      </c>
      <c r="F27" t="s">
        <v>74</v>
      </c>
      <c r="G27">
        <v>3</v>
      </c>
      <c r="H27">
        <v>993.58</v>
      </c>
    </row>
    <row r="28" spans="1:8" x14ac:dyDescent="0.3">
      <c r="A28" t="s">
        <v>421</v>
      </c>
      <c r="B28" s="39">
        <v>90422.77</v>
      </c>
      <c r="C28" t="s">
        <v>31</v>
      </c>
      <c r="D28">
        <v>72</v>
      </c>
      <c r="E28" s="39">
        <v>1214.47</v>
      </c>
      <c r="F28" t="s">
        <v>74</v>
      </c>
      <c r="G28">
        <v>3</v>
      </c>
      <c r="H28">
        <v>993.58</v>
      </c>
    </row>
    <row r="29" spans="1:8" x14ac:dyDescent="0.3">
      <c r="A29" t="s">
        <v>422</v>
      </c>
      <c r="B29" s="39">
        <v>57068.33</v>
      </c>
      <c r="C29" t="s">
        <v>27</v>
      </c>
      <c r="D29">
        <v>70</v>
      </c>
      <c r="E29">
        <v>772.68</v>
      </c>
      <c r="F29" t="s">
        <v>72</v>
      </c>
      <c r="G29">
        <v>3</v>
      </c>
      <c r="H29">
        <v>993.58</v>
      </c>
    </row>
    <row r="30" spans="1:8" x14ac:dyDescent="0.3">
      <c r="A30" t="s">
        <v>425</v>
      </c>
      <c r="B30" s="39">
        <v>49341.53</v>
      </c>
      <c r="C30" t="s">
        <v>27</v>
      </c>
      <c r="D30">
        <v>60</v>
      </c>
      <c r="E30" s="39">
        <v>772.68</v>
      </c>
      <c r="F30" t="s">
        <v>72</v>
      </c>
      <c r="G30">
        <v>3</v>
      </c>
      <c r="H30">
        <v>993.58</v>
      </c>
    </row>
    <row r="31" spans="1:8" x14ac:dyDescent="0.3">
      <c r="A31" t="s">
        <v>424</v>
      </c>
      <c r="B31" s="39">
        <v>122196.35</v>
      </c>
      <c r="C31" t="s">
        <v>57</v>
      </c>
      <c r="D31">
        <v>60</v>
      </c>
      <c r="E31" s="39">
        <v>1986.93</v>
      </c>
      <c r="F31" t="s">
        <v>83</v>
      </c>
      <c r="G31">
        <v>3</v>
      </c>
      <c r="H31">
        <v>993.58</v>
      </c>
    </row>
    <row r="32" spans="1:8" x14ac:dyDescent="0.3">
      <c r="A32" t="s">
        <v>427</v>
      </c>
      <c r="B32" s="39">
        <v>49341.53</v>
      </c>
      <c r="C32" t="s">
        <v>27</v>
      </c>
      <c r="D32">
        <v>60</v>
      </c>
      <c r="E32">
        <v>772.68</v>
      </c>
      <c r="F32" t="s">
        <v>72</v>
      </c>
      <c r="G32">
        <v>3</v>
      </c>
      <c r="H32">
        <v>993.58</v>
      </c>
    </row>
    <row r="33" spans="1:8" x14ac:dyDescent="0.3">
      <c r="A33" t="s">
        <v>426</v>
      </c>
      <c r="B33" s="39">
        <v>49341.53</v>
      </c>
      <c r="C33" t="s">
        <v>27</v>
      </c>
      <c r="D33">
        <v>60</v>
      </c>
      <c r="E33">
        <v>772.68</v>
      </c>
      <c r="F33" t="s">
        <v>72</v>
      </c>
      <c r="G33">
        <v>3</v>
      </c>
      <c r="H33">
        <v>993.58</v>
      </c>
    </row>
    <row r="34" spans="1:8" x14ac:dyDescent="0.3">
      <c r="A34" t="s">
        <v>428</v>
      </c>
      <c r="B34" s="39">
        <v>75849.100000000006</v>
      </c>
      <c r="C34" t="s">
        <v>67</v>
      </c>
      <c r="D34">
        <v>60</v>
      </c>
      <c r="E34" s="39">
        <v>1214.47</v>
      </c>
      <c r="F34" t="s">
        <v>74</v>
      </c>
      <c r="G34">
        <v>3</v>
      </c>
      <c r="H34">
        <v>993.58</v>
      </c>
    </row>
    <row r="35" spans="1:8" x14ac:dyDescent="0.3">
      <c r="A35" t="s">
        <v>429</v>
      </c>
      <c r="B35" s="39">
        <v>75849.100000000006</v>
      </c>
      <c r="C35" t="s">
        <v>31</v>
      </c>
      <c r="D35">
        <v>60</v>
      </c>
      <c r="E35" s="39">
        <v>1214.47</v>
      </c>
      <c r="F35" t="s">
        <v>74</v>
      </c>
      <c r="G35">
        <v>3</v>
      </c>
      <c r="H35">
        <v>993.58</v>
      </c>
    </row>
    <row r="36" spans="1:8" x14ac:dyDescent="0.3">
      <c r="A36" t="s">
        <v>430</v>
      </c>
      <c r="B36" s="39">
        <v>89081.07</v>
      </c>
      <c r="C36" t="s">
        <v>69</v>
      </c>
      <c r="D36">
        <v>60</v>
      </c>
      <c r="E36" s="39">
        <v>1435.01</v>
      </c>
      <c r="F36" t="s">
        <v>74</v>
      </c>
      <c r="G36">
        <v>3</v>
      </c>
      <c r="H36">
        <v>993.58</v>
      </c>
    </row>
    <row r="37" spans="1:8" x14ac:dyDescent="0.3">
      <c r="A37" t="s">
        <v>432</v>
      </c>
      <c r="B37" s="39">
        <v>105307.55</v>
      </c>
      <c r="C37" t="s">
        <v>33</v>
      </c>
      <c r="D37">
        <v>60</v>
      </c>
      <c r="E37" s="39">
        <v>1655.81</v>
      </c>
      <c r="F37" t="s">
        <v>79</v>
      </c>
      <c r="G37">
        <v>3</v>
      </c>
      <c r="H37" s="39">
        <v>1986.23</v>
      </c>
    </row>
    <row r="38" spans="1:8" x14ac:dyDescent="0.3">
      <c r="A38" t="s">
        <v>433</v>
      </c>
      <c r="B38" s="39">
        <v>82456.81</v>
      </c>
      <c r="C38" t="s">
        <v>43</v>
      </c>
      <c r="D38">
        <v>60</v>
      </c>
      <c r="E38" s="39">
        <v>1324.6</v>
      </c>
      <c r="F38" t="s">
        <v>74</v>
      </c>
      <c r="G38">
        <v>3</v>
      </c>
      <c r="H38">
        <v>993.58</v>
      </c>
    </row>
    <row r="39" spans="1:8" x14ac:dyDescent="0.3">
      <c r="A39" t="s">
        <v>431</v>
      </c>
      <c r="B39" s="39">
        <v>75849.100000000006</v>
      </c>
      <c r="C39" t="s">
        <v>31</v>
      </c>
      <c r="D39">
        <v>60</v>
      </c>
      <c r="E39" s="39">
        <v>1214.47</v>
      </c>
      <c r="F39" t="s">
        <v>74</v>
      </c>
      <c r="G39">
        <v>3</v>
      </c>
      <c r="H39">
        <v>993.58</v>
      </c>
    </row>
    <row r="40" spans="1:8" x14ac:dyDescent="0.3">
      <c r="A40" t="s">
        <v>434</v>
      </c>
      <c r="B40" s="39">
        <v>82456.81</v>
      </c>
      <c r="C40" t="s">
        <v>43</v>
      </c>
      <c r="D40">
        <v>60</v>
      </c>
      <c r="E40" s="39">
        <v>1324.6</v>
      </c>
      <c r="F40" t="s">
        <v>74</v>
      </c>
      <c r="G40">
        <v>3</v>
      </c>
      <c r="H40">
        <v>993.58</v>
      </c>
    </row>
    <row r="41" spans="1:8" x14ac:dyDescent="0.3">
      <c r="A41" t="s">
        <v>435</v>
      </c>
      <c r="B41" s="39">
        <v>46250.81</v>
      </c>
      <c r="C41" t="s">
        <v>27</v>
      </c>
      <c r="D41">
        <v>56</v>
      </c>
      <c r="E41">
        <v>772.68</v>
      </c>
      <c r="F41" t="s">
        <v>72</v>
      </c>
      <c r="G41">
        <v>3</v>
      </c>
      <c r="H41">
        <v>993.58</v>
      </c>
    </row>
    <row r="42" spans="1:8" x14ac:dyDescent="0.3">
      <c r="A42" t="s">
        <v>437</v>
      </c>
      <c r="B42" s="39">
        <v>56634.09</v>
      </c>
      <c r="C42" t="s">
        <v>29</v>
      </c>
      <c r="D42">
        <v>54</v>
      </c>
      <c r="E42" s="39">
        <v>993.58</v>
      </c>
      <c r="F42" t="s">
        <v>74</v>
      </c>
      <c r="G42">
        <v>3</v>
      </c>
      <c r="H42">
        <v>993.58</v>
      </c>
    </row>
    <row r="43" spans="1:8" x14ac:dyDescent="0.3">
      <c r="A43" t="s">
        <v>439</v>
      </c>
      <c r="B43" s="39">
        <v>63704.37</v>
      </c>
      <c r="C43" t="s">
        <v>31</v>
      </c>
      <c r="D43">
        <v>50</v>
      </c>
      <c r="E43" s="39">
        <v>1214.47</v>
      </c>
      <c r="F43" t="s">
        <v>74</v>
      </c>
      <c r="G43">
        <v>3</v>
      </c>
      <c r="H43">
        <v>993.58</v>
      </c>
    </row>
    <row r="44" spans="1:8" x14ac:dyDescent="0.3">
      <c r="A44" t="s">
        <v>436</v>
      </c>
      <c r="B44" s="39">
        <v>41614.730000000003</v>
      </c>
      <c r="C44" t="s">
        <v>27</v>
      </c>
      <c r="D44">
        <v>50</v>
      </c>
      <c r="E44">
        <v>772.68</v>
      </c>
      <c r="F44" t="s">
        <v>72</v>
      </c>
      <c r="G44">
        <v>3</v>
      </c>
      <c r="H44">
        <v>993.58</v>
      </c>
    </row>
    <row r="45" spans="1:8" x14ac:dyDescent="0.3">
      <c r="A45" t="s">
        <v>438</v>
      </c>
      <c r="B45" s="39">
        <v>98353.23</v>
      </c>
      <c r="C45" t="s">
        <v>57</v>
      </c>
      <c r="D45">
        <v>48</v>
      </c>
      <c r="E45" s="39">
        <v>1986.93</v>
      </c>
      <c r="F45" t="s">
        <v>83</v>
      </c>
      <c r="G45">
        <v>3</v>
      </c>
      <c r="H45">
        <v>993.58</v>
      </c>
    </row>
    <row r="46" spans="1:8" x14ac:dyDescent="0.3">
      <c r="A46" t="s">
        <v>440</v>
      </c>
      <c r="B46" s="39">
        <v>40069.370000000003</v>
      </c>
      <c r="C46" t="s">
        <v>27</v>
      </c>
      <c r="D46">
        <v>48</v>
      </c>
      <c r="E46">
        <v>772.68</v>
      </c>
      <c r="F46" t="s">
        <v>72</v>
      </c>
      <c r="G46">
        <v>3</v>
      </c>
      <c r="H46">
        <v>993.58</v>
      </c>
    </row>
    <row r="47" spans="1:8" x14ac:dyDescent="0.3">
      <c r="A47" t="s">
        <v>441</v>
      </c>
      <c r="B47" s="39">
        <v>29466.15</v>
      </c>
      <c r="C47" t="s">
        <v>24</v>
      </c>
      <c r="D47">
        <v>48</v>
      </c>
      <c r="E47">
        <v>551.78</v>
      </c>
      <c r="F47" t="s">
        <v>72</v>
      </c>
      <c r="G47">
        <v>3</v>
      </c>
      <c r="H47">
        <v>993.58</v>
      </c>
    </row>
    <row r="48" spans="1:8" x14ac:dyDescent="0.3">
      <c r="A48" t="s">
        <v>443</v>
      </c>
      <c r="B48" s="39">
        <v>40069.370000000003</v>
      </c>
      <c r="C48" t="s">
        <v>27</v>
      </c>
      <c r="D48">
        <v>48</v>
      </c>
      <c r="E48">
        <v>772.68</v>
      </c>
      <c r="F48" t="s">
        <v>72</v>
      </c>
      <c r="G48">
        <v>3</v>
      </c>
      <c r="H48">
        <v>993.58</v>
      </c>
    </row>
    <row r="49" spans="1:8" x14ac:dyDescent="0.3">
      <c r="A49" t="s">
        <v>442</v>
      </c>
      <c r="B49" s="39">
        <v>40069.370000000003</v>
      </c>
      <c r="C49" t="s">
        <v>27</v>
      </c>
      <c r="D49">
        <v>48</v>
      </c>
      <c r="E49">
        <v>772.68</v>
      </c>
      <c r="F49" t="s">
        <v>72</v>
      </c>
      <c r="G49">
        <v>3</v>
      </c>
      <c r="H49">
        <v>993.58</v>
      </c>
    </row>
    <row r="50" spans="1:8" x14ac:dyDescent="0.3">
      <c r="A50" t="s">
        <v>445</v>
      </c>
      <c r="B50" s="39">
        <v>50672.6</v>
      </c>
      <c r="C50" t="s">
        <v>29</v>
      </c>
      <c r="D50">
        <v>48</v>
      </c>
      <c r="E50">
        <v>993.58</v>
      </c>
      <c r="F50" t="s">
        <v>74</v>
      </c>
      <c r="G50">
        <v>3</v>
      </c>
      <c r="H50">
        <v>993.58</v>
      </c>
    </row>
    <row r="51" spans="1:8" x14ac:dyDescent="0.3">
      <c r="A51" t="s">
        <v>444</v>
      </c>
      <c r="B51" s="39">
        <v>40069.370000000003</v>
      </c>
      <c r="C51" t="s">
        <v>27</v>
      </c>
      <c r="D51">
        <v>48</v>
      </c>
      <c r="E51">
        <v>772.68</v>
      </c>
      <c r="F51" t="s">
        <v>72</v>
      </c>
      <c r="G51">
        <v>3</v>
      </c>
      <c r="H51">
        <v>993.58</v>
      </c>
    </row>
    <row r="52" spans="1:8" x14ac:dyDescent="0.3">
      <c r="A52" t="s">
        <v>446</v>
      </c>
      <c r="B52" s="39">
        <v>50672.6</v>
      </c>
      <c r="C52" t="s">
        <v>29</v>
      </c>
      <c r="D52">
        <v>48</v>
      </c>
      <c r="E52">
        <v>993.58</v>
      </c>
      <c r="F52" t="s">
        <v>74</v>
      </c>
      <c r="G52">
        <v>3</v>
      </c>
      <c r="H52">
        <v>993.58</v>
      </c>
    </row>
    <row r="53" spans="1:8" x14ac:dyDescent="0.3">
      <c r="A53" t="s">
        <v>447</v>
      </c>
      <c r="B53" s="39">
        <v>61275.43</v>
      </c>
      <c r="C53" t="s">
        <v>67</v>
      </c>
      <c r="D53">
        <v>48</v>
      </c>
      <c r="E53" s="39">
        <v>1214.47</v>
      </c>
      <c r="F53" t="s">
        <v>74</v>
      </c>
      <c r="G53">
        <v>3</v>
      </c>
      <c r="H53">
        <v>993.58</v>
      </c>
    </row>
    <row r="54" spans="1:8" x14ac:dyDescent="0.3">
      <c r="A54" t="s">
        <v>448</v>
      </c>
      <c r="B54" s="39">
        <v>61275.43</v>
      </c>
      <c r="C54" t="s">
        <v>31</v>
      </c>
      <c r="D54">
        <v>48</v>
      </c>
      <c r="E54" s="39">
        <v>1214.47</v>
      </c>
      <c r="F54" t="s">
        <v>74</v>
      </c>
      <c r="G54">
        <v>3</v>
      </c>
      <c r="H54">
        <v>993.58</v>
      </c>
    </row>
    <row r="55" spans="1:8" x14ac:dyDescent="0.3">
      <c r="A55" t="s">
        <v>449</v>
      </c>
      <c r="B55" s="39">
        <v>61275.43</v>
      </c>
      <c r="C55" t="s">
        <v>31</v>
      </c>
      <c r="D55">
        <v>48</v>
      </c>
      <c r="E55" s="39">
        <v>1214.47</v>
      </c>
      <c r="F55" t="s">
        <v>74</v>
      </c>
      <c r="G55">
        <v>3</v>
      </c>
      <c r="H55">
        <v>993.58</v>
      </c>
    </row>
    <row r="56" spans="1:8" x14ac:dyDescent="0.3">
      <c r="A56" t="s">
        <v>450</v>
      </c>
      <c r="B56" s="39">
        <v>61275.43</v>
      </c>
      <c r="C56" t="s">
        <v>31</v>
      </c>
      <c r="D56">
        <v>48</v>
      </c>
      <c r="E56" s="39">
        <v>1214.47</v>
      </c>
      <c r="F56" t="s">
        <v>74</v>
      </c>
      <c r="G56">
        <v>3</v>
      </c>
      <c r="H56">
        <v>993.58</v>
      </c>
    </row>
    <row r="57" spans="1:8" x14ac:dyDescent="0.3">
      <c r="A57" t="s">
        <v>569</v>
      </c>
      <c r="B57" s="39">
        <v>61275.43</v>
      </c>
      <c r="C57" t="s">
        <v>31</v>
      </c>
      <c r="D57">
        <v>48</v>
      </c>
      <c r="E57" s="39">
        <v>1214.47</v>
      </c>
      <c r="F57" t="s">
        <v>74</v>
      </c>
      <c r="G57">
        <v>3</v>
      </c>
      <c r="H57">
        <v>993.58</v>
      </c>
    </row>
    <row r="58" spans="1:8" x14ac:dyDescent="0.3">
      <c r="A58" t="s">
        <v>451</v>
      </c>
      <c r="B58" s="39">
        <v>71861.009999999995</v>
      </c>
      <c r="C58" t="s">
        <v>69</v>
      </c>
      <c r="D58">
        <v>48</v>
      </c>
      <c r="E58" s="39">
        <v>1435.01</v>
      </c>
      <c r="F58" t="s">
        <v>74</v>
      </c>
      <c r="G58">
        <v>3</v>
      </c>
      <c r="H58">
        <v>993.58</v>
      </c>
    </row>
    <row r="59" spans="1:8" x14ac:dyDescent="0.3">
      <c r="A59" t="s">
        <v>452</v>
      </c>
      <c r="B59" s="39">
        <v>61275.43</v>
      </c>
      <c r="C59" t="s">
        <v>31</v>
      </c>
      <c r="D59">
        <v>48</v>
      </c>
      <c r="E59" s="39">
        <v>1214.47</v>
      </c>
      <c r="F59" t="s">
        <v>74</v>
      </c>
      <c r="G59">
        <v>3</v>
      </c>
      <c r="H59">
        <v>993.58</v>
      </c>
    </row>
    <row r="60" spans="1:8" x14ac:dyDescent="0.3">
      <c r="A60" t="s">
        <v>454</v>
      </c>
      <c r="B60" s="39">
        <v>61275.43</v>
      </c>
      <c r="C60" t="s">
        <v>31</v>
      </c>
      <c r="D60">
        <v>48</v>
      </c>
      <c r="E60" s="39">
        <v>1214.47</v>
      </c>
      <c r="F60" t="s">
        <v>74</v>
      </c>
      <c r="G60">
        <v>3</v>
      </c>
      <c r="H60" s="39">
        <v>993.58</v>
      </c>
    </row>
    <row r="61" spans="1:8" x14ac:dyDescent="0.3">
      <c r="A61" t="s">
        <v>456</v>
      </c>
      <c r="B61" s="39">
        <v>71861.009999999995</v>
      </c>
      <c r="C61" t="s">
        <v>69</v>
      </c>
      <c r="D61">
        <v>48</v>
      </c>
      <c r="E61" s="39">
        <v>1435.01</v>
      </c>
      <c r="F61" t="s">
        <v>74</v>
      </c>
      <c r="G61">
        <v>3</v>
      </c>
      <c r="H61">
        <v>993.58</v>
      </c>
    </row>
    <row r="62" spans="1:8" x14ac:dyDescent="0.3">
      <c r="A62" t="s">
        <v>455</v>
      </c>
      <c r="B62" s="39">
        <v>61275.43</v>
      </c>
      <c r="C62" t="s">
        <v>31</v>
      </c>
      <c r="D62">
        <v>48</v>
      </c>
      <c r="E62" s="39">
        <v>1214.47</v>
      </c>
      <c r="F62" t="s">
        <v>74</v>
      </c>
      <c r="G62">
        <v>3</v>
      </c>
      <c r="H62">
        <v>993.58</v>
      </c>
    </row>
    <row r="63" spans="1:8" x14ac:dyDescent="0.3">
      <c r="A63" t="s">
        <v>458</v>
      </c>
      <c r="B63" s="39">
        <v>61275.43</v>
      </c>
      <c r="C63" t="s">
        <v>31</v>
      </c>
      <c r="D63">
        <v>48</v>
      </c>
      <c r="E63" s="39">
        <v>1214.47</v>
      </c>
      <c r="F63" t="s">
        <v>74</v>
      </c>
      <c r="G63">
        <v>3</v>
      </c>
      <c r="H63" s="39">
        <v>993.58</v>
      </c>
    </row>
    <row r="64" spans="1:8" x14ac:dyDescent="0.3">
      <c r="A64" t="s">
        <v>457</v>
      </c>
      <c r="B64" s="39">
        <v>85437.78</v>
      </c>
      <c r="C64" t="s">
        <v>33</v>
      </c>
      <c r="D64">
        <v>48</v>
      </c>
      <c r="E64" s="39">
        <v>1655.81</v>
      </c>
      <c r="F64" t="s">
        <v>79</v>
      </c>
      <c r="G64">
        <v>3</v>
      </c>
      <c r="H64" s="39">
        <v>1986.23</v>
      </c>
    </row>
    <row r="65" spans="1:11" x14ac:dyDescent="0.3">
      <c r="A65" t="s">
        <v>460</v>
      </c>
      <c r="B65" s="39">
        <v>85437.78</v>
      </c>
      <c r="C65" t="s">
        <v>33</v>
      </c>
      <c r="D65">
        <v>48</v>
      </c>
      <c r="E65" s="39">
        <v>1655.81</v>
      </c>
      <c r="F65" t="s">
        <v>79</v>
      </c>
      <c r="G65">
        <v>3</v>
      </c>
      <c r="H65" s="39">
        <v>1986.23</v>
      </c>
    </row>
    <row r="66" spans="1:11" x14ac:dyDescent="0.3">
      <c r="A66" t="s">
        <v>462</v>
      </c>
      <c r="B66" s="39">
        <v>42719.28</v>
      </c>
      <c r="C66" t="s">
        <v>39</v>
      </c>
      <c r="D66">
        <v>48</v>
      </c>
      <c r="E66">
        <v>827.89</v>
      </c>
      <c r="F66" t="s">
        <v>72</v>
      </c>
      <c r="G66">
        <v>3</v>
      </c>
      <c r="H66">
        <v>993.58</v>
      </c>
    </row>
    <row r="67" spans="1:11" x14ac:dyDescent="0.3">
      <c r="A67" t="s">
        <v>461</v>
      </c>
      <c r="B67" s="39">
        <v>66561.600000000006</v>
      </c>
      <c r="C67" t="s">
        <v>43</v>
      </c>
      <c r="D67">
        <v>48</v>
      </c>
      <c r="E67" s="39">
        <v>1324.6</v>
      </c>
      <c r="F67" t="s">
        <v>74</v>
      </c>
      <c r="G67">
        <v>3</v>
      </c>
      <c r="H67">
        <v>993.58</v>
      </c>
    </row>
    <row r="68" spans="1:11" x14ac:dyDescent="0.3">
      <c r="A68" t="s">
        <v>459</v>
      </c>
      <c r="B68" s="39">
        <v>85437.78</v>
      </c>
      <c r="C68" t="s">
        <v>33</v>
      </c>
      <c r="D68">
        <v>48</v>
      </c>
      <c r="E68" s="39">
        <v>1655.81</v>
      </c>
      <c r="F68" t="s">
        <v>79</v>
      </c>
      <c r="G68">
        <v>3</v>
      </c>
      <c r="H68" s="39">
        <v>1986.23</v>
      </c>
    </row>
    <row r="69" spans="1:11" x14ac:dyDescent="0.3">
      <c r="A69" t="s">
        <v>463</v>
      </c>
      <c r="B69" s="39">
        <v>66561.600000000006</v>
      </c>
      <c r="C69" t="s">
        <v>43</v>
      </c>
      <c r="D69">
        <v>48</v>
      </c>
      <c r="E69" s="39">
        <v>1324.6</v>
      </c>
      <c r="F69" t="s">
        <v>74</v>
      </c>
      <c r="G69">
        <v>3</v>
      </c>
      <c r="H69">
        <v>993.58</v>
      </c>
    </row>
    <row r="70" spans="1:11" x14ac:dyDescent="0.3">
      <c r="A70" t="s">
        <v>465</v>
      </c>
      <c r="B70" s="39">
        <v>66561.600000000006</v>
      </c>
      <c r="C70" t="s">
        <v>43</v>
      </c>
      <c r="D70">
        <v>48</v>
      </c>
      <c r="E70" s="39">
        <v>1324.6</v>
      </c>
      <c r="F70" t="s">
        <v>74</v>
      </c>
      <c r="G70">
        <v>3</v>
      </c>
      <c r="H70">
        <v>993.58</v>
      </c>
    </row>
    <row r="71" spans="1:11" x14ac:dyDescent="0.3">
      <c r="A71" t="s">
        <v>464</v>
      </c>
      <c r="B71" s="39">
        <v>66561.600000000006</v>
      </c>
      <c r="C71" t="s">
        <v>43</v>
      </c>
      <c r="D71">
        <v>48</v>
      </c>
      <c r="E71" s="39">
        <v>1324.6</v>
      </c>
      <c r="F71" t="s">
        <v>74</v>
      </c>
      <c r="G71">
        <v>3</v>
      </c>
      <c r="H71">
        <v>993.58</v>
      </c>
    </row>
    <row r="72" spans="1:11" x14ac:dyDescent="0.3">
      <c r="A72" t="s">
        <v>466</v>
      </c>
      <c r="B72" s="39">
        <v>66561.600000000006</v>
      </c>
      <c r="C72" t="s">
        <v>43</v>
      </c>
      <c r="D72">
        <v>48</v>
      </c>
      <c r="E72" s="39">
        <v>1324.6</v>
      </c>
      <c r="F72" t="s">
        <v>74</v>
      </c>
      <c r="G72">
        <v>3</v>
      </c>
      <c r="H72">
        <v>993.58</v>
      </c>
    </row>
    <row r="73" spans="1:11" x14ac:dyDescent="0.3">
      <c r="A73" t="s">
        <v>468</v>
      </c>
      <c r="B73" s="39">
        <v>58294.69</v>
      </c>
      <c r="C73" t="s">
        <v>31</v>
      </c>
      <c r="D73">
        <v>48</v>
      </c>
      <c r="E73" s="39">
        <v>1214.47</v>
      </c>
    </row>
    <row r="74" spans="1:11" x14ac:dyDescent="0.3">
      <c r="A74" t="s">
        <v>470</v>
      </c>
      <c r="B74" s="39">
        <v>37088.629999999997</v>
      </c>
      <c r="C74" t="s">
        <v>27</v>
      </c>
      <c r="D74">
        <v>48</v>
      </c>
      <c r="E74" s="39">
        <v>772.68</v>
      </c>
    </row>
    <row r="75" spans="1:11" x14ac:dyDescent="0.3">
      <c r="A75" t="s">
        <v>467</v>
      </c>
      <c r="B75" s="39">
        <v>66561.600000000006</v>
      </c>
      <c r="C75" t="s">
        <v>43</v>
      </c>
      <c r="D75">
        <v>48</v>
      </c>
      <c r="E75" s="39">
        <v>1324.6</v>
      </c>
      <c r="F75" t="s">
        <v>74</v>
      </c>
      <c r="G75">
        <v>3</v>
      </c>
      <c r="H75">
        <v>993.58</v>
      </c>
    </row>
    <row r="76" spans="1:11" x14ac:dyDescent="0.3">
      <c r="A76" t="s">
        <v>469</v>
      </c>
      <c r="B76" s="39">
        <v>115890.12</v>
      </c>
      <c r="C76" t="s">
        <v>57</v>
      </c>
      <c r="D76">
        <v>48</v>
      </c>
      <c r="E76" s="39">
        <v>1986.93</v>
      </c>
      <c r="F76" t="s">
        <v>119</v>
      </c>
      <c r="G76">
        <v>3</v>
      </c>
      <c r="H76" s="39">
        <v>1324.46</v>
      </c>
      <c r="I76" t="s">
        <v>137</v>
      </c>
      <c r="J76">
        <v>50</v>
      </c>
      <c r="K76">
        <v>330.88</v>
      </c>
    </row>
    <row r="77" spans="1:11" x14ac:dyDescent="0.3">
      <c r="A77" t="s">
        <v>472</v>
      </c>
      <c r="B77" s="39">
        <v>115890.12</v>
      </c>
      <c r="C77" t="s">
        <v>57</v>
      </c>
      <c r="D77">
        <v>48</v>
      </c>
      <c r="E77" s="39">
        <v>1986.93</v>
      </c>
      <c r="F77" t="s">
        <v>119</v>
      </c>
      <c r="G77">
        <v>3</v>
      </c>
      <c r="H77" s="39">
        <v>1324.46</v>
      </c>
      <c r="I77" t="s">
        <v>137</v>
      </c>
      <c r="J77">
        <v>50</v>
      </c>
      <c r="K77">
        <v>330.88</v>
      </c>
    </row>
    <row r="78" spans="1:11" x14ac:dyDescent="0.3">
      <c r="A78" t="s">
        <v>471</v>
      </c>
      <c r="B78" s="39">
        <v>78812.320000000007</v>
      </c>
      <c r="C78" t="s">
        <v>31</v>
      </c>
      <c r="D78">
        <v>48</v>
      </c>
      <c r="E78" s="39">
        <v>1214.47</v>
      </c>
      <c r="F78" t="s">
        <v>110</v>
      </c>
      <c r="G78">
        <v>3</v>
      </c>
      <c r="H78" s="39">
        <v>1324.46</v>
      </c>
      <c r="I78" t="s">
        <v>137</v>
      </c>
      <c r="J78">
        <v>50</v>
      </c>
      <c r="K78">
        <v>330.88</v>
      </c>
    </row>
    <row r="79" spans="1:11" x14ac:dyDescent="0.3">
      <c r="A79" t="s">
        <v>474</v>
      </c>
      <c r="B79" s="39">
        <v>89397.89</v>
      </c>
      <c r="C79" t="s">
        <v>69</v>
      </c>
      <c r="D79">
        <v>48</v>
      </c>
      <c r="E79" s="39">
        <v>1435.01</v>
      </c>
      <c r="F79" t="s">
        <v>110</v>
      </c>
      <c r="G79">
        <v>3</v>
      </c>
      <c r="H79" s="39">
        <v>1324.46</v>
      </c>
      <c r="I79" t="s">
        <v>137</v>
      </c>
      <c r="J79">
        <v>50</v>
      </c>
      <c r="K79">
        <v>330.88</v>
      </c>
    </row>
    <row r="80" spans="1:11" x14ac:dyDescent="0.3">
      <c r="A80" t="s">
        <v>473</v>
      </c>
      <c r="B80" s="39">
        <v>121864.29</v>
      </c>
      <c r="C80" t="s">
        <v>61</v>
      </c>
      <c r="D80">
        <v>42</v>
      </c>
      <c r="E80" s="39">
        <v>2759.66</v>
      </c>
      <c r="F80" t="s">
        <v>85</v>
      </c>
      <c r="G80">
        <v>3</v>
      </c>
      <c r="H80" s="39">
        <v>1986.23</v>
      </c>
    </row>
    <row r="81" spans="1:11" x14ac:dyDescent="0.3">
      <c r="A81" t="s">
        <v>475</v>
      </c>
      <c r="B81" s="39">
        <v>53988.59</v>
      </c>
      <c r="C81" t="s">
        <v>31</v>
      </c>
      <c r="D81">
        <v>42</v>
      </c>
      <c r="E81" s="39">
        <v>1214.47</v>
      </c>
      <c r="F81" t="s">
        <v>74</v>
      </c>
      <c r="G81">
        <v>3</v>
      </c>
      <c r="H81">
        <v>993.58</v>
      </c>
    </row>
    <row r="82" spans="1:11" x14ac:dyDescent="0.3">
      <c r="A82" t="s">
        <v>476</v>
      </c>
      <c r="B82" s="39">
        <v>53988.59</v>
      </c>
      <c r="C82" t="s">
        <v>31</v>
      </c>
      <c r="D82">
        <v>42</v>
      </c>
      <c r="E82" s="39">
        <v>1214.47</v>
      </c>
      <c r="F82" t="s">
        <v>74</v>
      </c>
      <c r="G82">
        <v>3</v>
      </c>
      <c r="H82">
        <v>993.58</v>
      </c>
    </row>
    <row r="83" spans="1:11" x14ac:dyDescent="0.3">
      <c r="A83" t="s">
        <v>477</v>
      </c>
      <c r="B83" s="39">
        <v>98683.59</v>
      </c>
      <c r="C83" t="s">
        <v>47</v>
      </c>
      <c r="D83">
        <v>42</v>
      </c>
      <c r="E83" s="39">
        <v>2207.7399999999998</v>
      </c>
      <c r="F83" t="s">
        <v>79</v>
      </c>
      <c r="G83">
        <v>3</v>
      </c>
      <c r="H83" s="39">
        <v>1986.23</v>
      </c>
    </row>
    <row r="84" spans="1:11" x14ac:dyDescent="0.3">
      <c r="A84" t="s">
        <v>478</v>
      </c>
      <c r="B84" s="39">
        <v>42723.96</v>
      </c>
      <c r="C84" t="s">
        <v>65</v>
      </c>
      <c r="D84">
        <v>40</v>
      </c>
      <c r="E84" s="39">
        <v>993.58</v>
      </c>
      <c r="F84" t="s">
        <v>72</v>
      </c>
      <c r="G84">
        <v>3</v>
      </c>
      <c r="H84" s="39">
        <v>993.58</v>
      </c>
    </row>
    <row r="85" spans="1:11" x14ac:dyDescent="0.3">
      <c r="A85" t="s">
        <v>479</v>
      </c>
      <c r="B85" s="39">
        <v>51559.65</v>
      </c>
      <c r="C85" t="s">
        <v>31</v>
      </c>
      <c r="D85">
        <v>40</v>
      </c>
      <c r="E85" s="39">
        <v>1214.47</v>
      </c>
      <c r="F85" t="s">
        <v>74</v>
      </c>
      <c r="G85">
        <v>3</v>
      </c>
      <c r="H85">
        <v>993.58</v>
      </c>
    </row>
    <row r="86" spans="1:11" x14ac:dyDescent="0.3">
      <c r="A86" t="s">
        <v>480</v>
      </c>
      <c r="B86" s="39">
        <v>33225.230000000003</v>
      </c>
      <c r="C86" t="s">
        <v>27</v>
      </c>
      <c r="D86">
        <v>40</v>
      </c>
      <c r="E86">
        <v>772.68</v>
      </c>
      <c r="F86" t="s">
        <v>87</v>
      </c>
      <c r="G86">
        <v>3</v>
      </c>
      <c r="H86">
        <v>772.68</v>
      </c>
    </row>
    <row r="87" spans="1:11" x14ac:dyDescent="0.3">
      <c r="A87" t="s">
        <v>481</v>
      </c>
      <c r="B87" s="39">
        <v>66449.460000000006</v>
      </c>
      <c r="C87" t="s">
        <v>31</v>
      </c>
      <c r="D87">
        <v>40</v>
      </c>
      <c r="E87" s="39">
        <v>1214.47</v>
      </c>
      <c r="F87" t="s">
        <v>110</v>
      </c>
      <c r="G87">
        <v>3</v>
      </c>
      <c r="H87" s="39">
        <v>1324.46</v>
      </c>
      <c r="I87" t="s">
        <v>137</v>
      </c>
      <c r="J87">
        <v>42</v>
      </c>
      <c r="K87">
        <v>330.88</v>
      </c>
    </row>
    <row r="88" spans="1:11" x14ac:dyDescent="0.3">
      <c r="A88" t="s">
        <v>482</v>
      </c>
      <c r="B88" s="39">
        <v>73516.53</v>
      </c>
      <c r="C88" t="s">
        <v>57</v>
      </c>
      <c r="D88">
        <v>36</v>
      </c>
      <c r="E88" s="39">
        <v>1986.93</v>
      </c>
      <c r="F88" t="s">
        <v>83</v>
      </c>
      <c r="G88">
        <v>2</v>
      </c>
      <c r="H88">
        <v>993.58</v>
      </c>
    </row>
    <row r="89" spans="1:11" x14ac:dyDescent="0.3">
      <c r="A89" t="s">
        <v>483</v>
      </c>
      <c r="B89" s="39">
        <v>83450.95</v>
      </c>
      <c r="C89" t="s">
        <v>59</v>
      </c>
      <c r="D89">
        <v>36</v>
      </c>
      <c r="E89" s="39">
        <v>2207.7399999999998</v>
      </c>
      <c r="F89" t="s">
        <v>85</v>
      </c>
      <c r="G89">
        <v>2</v>
      </c>
      <c r="H89" s="39">
        <v>1986.23</v>
      </c>
    </row>
    <row r="90" spans="1:11" x14ac:dyDescent="0.3">
      <c r="A90" t="s">
        <v>484</v>
      </c>
      <c r="B90" s="39">
        <v>83450.95</v>
      </c>
      <c r="C90" t="s">
        <v>59</v>
      </c>
      <c r="D90">
        <v>36</v>
      </c>
      <c r="E90" s="39">
        <v>2207.7399999999998</v>
      </c>
      <c r="F90" t="s">
        <v>85</v>
      </c>
      <c r="G90">
        <v>2</v>
      </c>
      <c r="H90" s="39">
        <v>1986.23</v>
      </c>
    </row>
    <row r="91" spans="1:11" x14ac:dyDescent="0.3">
      <c r="A91" t="s">
        <v>485</v>
      </c>
      <c r="B91" s="39">
        <v>29803.64</v>
      </c>
      <c r="C91" t="s">
        <v>27</v>
      </c>
      <c r="D91">
        <v>36</v>
      </c>
      <c r="E91">
        <v>772.68</v>
      </c>
      <c r="F91" t="s">
        <v>72</v>
      </c>
      <c r="G91">
        <v>2</v>
      </c>
      <c r="H91">
        <v>993.58</v>
      </c>
    </row>
    <row r="92" spans="1:11" x14ac:dyDescent="0.3">
      <c r="A92" t="s">
        <v>486</v>
      </c>
      <c r="B92" s="39">
        <v>29803.64</v>
      </c>
      <c r="C92" t="s">
        <v>27</v>
      </c>
      <c r="D92">
        <v>36</v>
      </c>
      <c r="E92">
        <v>772.68</v>
      </c>
      <c r="F92" t="s">
        <v>72</v>
      </c>
      <c r="G92">
        <v>2</v>
      </c>
      <c r="H92">
        <v>993.58</v>
      </c>
    </row>
    <row r="93" spans="1:11" x14ac:dyDescent="0.3">
      <c r="A93" t="s">
        <v>487</v>
      </c>
      <c r="B93" s="39">
        <v>29803.64</v>
      </c>
      <c r="C93" t="s">
        <v>27</v>
      </c>
      <c r="D93">
        <v>36</v>
      </c>
      <c r="E93">
        <v>772.68</v>
      </c>
      <c r="F93" t="s">
        <v>72</v>
      </c>
      <c r="G93">
        <v>2</v>
      </c>
      <c r="H93">
        <v>993.58</v>
      </c>
    </row>
    <row r="94" spans="1:11" x14ac:dyDescent="0.3">
      <c r="A94" t="s">
        <v>489</v>
      </c>
      <c r="B94" s="39">
        <v>29803.64</v>
      </c>
      <c r="C94" t="s">
        <v>27</v>
      </c>
      <c r="D94">
        <v>36</v>
      </c>
      <c r="E94">
        <v>772.68</v>
      </c>
      <c r="F94" t="s">
        <v>72</v>
      </c>
      <c r="G94">
        <v>2</v>
      </c>
      <c r="H94">
        <v>993.58</v>
      </c>
    </row>
    <row r="95" spans="1:11" x14ac:dyDescent="0.3">
      <c r="A95" t="s">
        <v>488</v>
      </c>
      <c r="B95" s="39">
        <v>29803.64</v>
      </c>
      <c r="C95" t="s">
        <v>27</v>
      </c>
      <c r="D95">
        <v>36</v>
      </c>
      <c r="E95">
        <v>772.68</v>
      </c>
      <c r="F95" t="s">
        <v>72</v>
      </c>
      <c r="G95">
        <v>2</v>
      </c>
      <c r="H95">
        <v>993.58</v>
      </c>
    </row>
    <row r="96" spans="1:11" x14ac:dyDescent="0.3">
      <c r="A96" t="s">
        <v>491</v>
      </c>
      <c r="B96" s="39">
        <v>37756.06</v>
      </c>
      <c r="C96" t="s">
        <v>65</v>
      </c>
      <c r="D96">
        <v>36</v>
      </c>
      <c r="E96">
        <v>993.58</v>
      </c>
      <c r="F96" t="s">
        <v>72</v>
      </c>
      <c r="G96">
        <v>2</v>
      </c>
      <c r="H96">
        <v>993.58</v>
      </c>
    </row>
    <row r="97" spans="1:8" x14ac:dyDescent="0.3">
      <c r="A97" t="s">
        <v>490</v>
      </c>
      <c r="B97" s="39">
        <v>29803.64</v>
      </c>
      <c r="C97" t="s">
        <v>27</v>
      </c>
      <c r="D97">
        <v>36</v>
      </c>
      <c r="E97" s="39">
        <v>772.68</v>
      </c>
      <c r="F97" t="s">
        <v>72</v>
      </c>
      <c r="G97">
        <v>2</v>
      </c>
      <c r="H97">
        <v>993.58</v>
      </c>
    </row>
    <row r="98" spans="1:8" x14ac:dyDescent="0.3">
      <c r="A98" t="s">
        <v>493</v>
      </c>
      <c r="B98" s="39">
        <v>37756.06</v>
      </c>
      <c r="C98" t="s">
        <v>29</v>
      </c>
      <c r="D98">
        <v>36</v>
      </c>
      <c r="E98">
        <v>993.58</v>
      </c>
      <c r="F98" t="s">
        <v>74</v>
      </c>
      <c r="G98">
        <v>2</v>
      </c>
      <c r="H98">
        <v>993.58</v>
      </c>
    </row>
    <row r="99" spans="1:8" x14ac:dyDescent="0.3">
      <c r="A99" t="s">
        <v>494</v>
      </c>
      <c r="B99" s="39">
        <v>37756.06</v>
      </c>
      <c r="C99" t="s">
        <v>29</v>
      </c>
      <c r="D99">
        <v>36</v>
      </c>
      <c r="E99">
        <v>993.58</v>
      </c>
      <c r="F99" t="s">
        <v>74</v>
      </c>
      <c r="G99">
        <v>2</v>
      </c>
      <c r="H99">
        <v>993.58</v>
      </c>
    </row>
    <row r="100" spans="1:8" x14ac:dyDescent="0.3">
      <c r="A100" t="s">
        <v>492</v>
      </c>
      <c r="B100" s="39">
        <v>45708.18</v>
      </c>
      <c r="C100" t="s">
        <v>67</v>
      </c>
      <c r="D100">
        <v>36</v>
      </c>
      <c r="E100" s="39">
        <v>1214.47</v>
      </c>
      <c r="F100" t="s">
        <v>74</v>
      </c>
      <c r="G100">
        <v>2</v>
      </c>
      <c r="H100">
        <v>993.58</v>
      </c>
    </row>
    <row r="101" spans="1:8" x14ac:dyDescent="0.3">
      <c r="A101" t="s">
        <v>495</v>
      </c>
      <c r="B101" s="39">
        <v>45708.18</v>
      </c>
      <c r="C101" t="s">
        <v>67</v>
      </c>
      <c r="D101">
        <v>36</v>
      </c>
      <c r="E101" s="39">
        <v>1214.47</v>
      </c>
      <c r="F101" t="s">
        <v>74</v>
      </c>
      <c r="G101">
        <v>2</v>
      </c>
      <c r="H101">
        <v>993.58</v>
      </c>
    </row>
    <row r="102" spans="1:8" x14ac:dyDescent="0.3">
      <c r="A102" t="s">
        <v>497</v>
      </c>
      <c r="B102" s="39">
        <v>37756.06</v>
      </c>
      <c r="C102" t="s">
        <v>29</v>
      </c>
      <c r="D102">
        <v>36</v>
      </c>
      <c r="E102">
        <v>993.58</v>
      </c>
      <c r="F102" t="s">
        <v>74</v>
      </c>
      <c r="G102">
        <v>2</v>
      </c>
      <c r="H102">
        <v>993.58</v>
      </c>
    </row>
    <row r="103" spans="1:8" x14ac:dyDescent="0.3">
      <c r="A103" t="s">
        <v>496</v>
      </c>
      <c r="B103" s="39">
        <v>45708.18</v>
      </c>
      <c r="C103" t="s">
        <v>31</v>
      </c>
      <c r="D103">
        <v>36</v>
      </c>
      <c r="E103" s="39">
        <v>1214.47</v>
      </c>
      <c r="F103" t="s">
        <v>74</v>
      </c>
      <c r="G103">
        <v>2</v>
      </c>
      <c r="H103">
        <v>993.58</v>
      </c>
    </row>
    <row r="104" spans="1:8" x14ac:dyDescent="0.3">
      <c r="A104" t="s">
        <v>498</v>
      </c>
      <c r="B104" s="39">
        <v>53647.360000000001</v>
      </c>
      <c r="C104" t="s">
        <v>69</v>
      </c>
      <c r="D104">
        <v>36</v>
      </c>
      <c r="E104" s="39">
        <v>1435.01</v>
      </c>
      <c r="F104" t="s">
        <v>74</v>
      </c>
      <c r="G104">
        <v>2</v>
      </c>
      <c r="H104">
        <v>993.58</v>
      </c>
    </row>
    <row r="105" spans="1:8" x14ac:dyDescent="0.3">
      <c r="A105" t="s">
        <v>499</v>
      </c>
      <c r="B105" s="39">
        <v>45708.18</v>
      </c>
      <c r="C105" t="s">
        <v>31</v>
      </c>
      <c r="D105">
        <v>36</v>
      </c>
      <c r="E105" s="39">
        <v>1214.47</v>
      </c>
      <c r="F105" t="s">
        <v>74</v>
      </c>
      <c r="G105">
        <v>2</v>
      </c>
      <c r="H105">
        <v>993.58</v>
      </c>
    </row>
    <row r="106" spans="1:8" x14ac:dyDescent="0.3">
      <c r="A106" t="s">
        <v>567</v>
      </c>
      <c r="B106" s="39">
        <v>45708.18</v>
      </c>
      <c r="C106" t="s">
        <v>31</v>
      </c>
      <c r="D106">
        <v>36</v>
      </c>
      <c r="E106" s="39">
        <v>1214.47</v>
      </c>
      <c r="F106" t="s">
        <v>74</v>
      </c>
      <c r="G106">
        <v>2</v>
      </c>
      <c r="H106">
        <v>993.58</v>
      </c>
    </row>
    <row r="107" spans="1:8" x14ac:dyDescent="0.3">
      <c r="A107" t="s">
        <v>500</v>
      </c>
      <c r="B107" s="39">
        <v>45708.18</v>
      </c>
      <c r="C107" t="s">
        <v>31</v>
      </c>
      <c r="D107">
        <v>36</v>
      </c>
      <c r="E107" s="39">
        <v>1214.47</v>
      </c>
      <c r="F107" t="s">
        <v>74</v>
      </c>
      <c r="G107">
        <v>2</v>
      </c>
      <c r="H107">
        <v>993.58</v>
      </c>
    </row>
    <row r="108" spans="1:8" x14ac:dyDescent="0.3">
      <c r="A108" t="s">
        <v>501</v>
      </c>
      <c r="B108" s="39">
        <v>53647.360000000001</v>
      </c>
      <c r="C108" t="s">
        <v>69</v>
      </c>
      <c r="D108">
        <v>36</v>
      </c>
      <c r="E108" s="39">
        <v>1435.01</v>
      </c>
      <c r="F108" t="s">
        <v>74</v>
      </c>
      <c r="G108">
        <v>2</v>
      </c>
      <c r="H108">
        <v>993.58</v>
      </c>
    </row>
    <row r="109" spans="1:8" x14ac:dyDescent="0.3">
      <c r="A109" t="s">
        <v>503</v>
      </c>
      <c r="B109" s="39">
        <v>45708.18</v>
      </c>
      <c r="C109" t="s">
        <v>31</v>
      </c>
      <c r="D109">
        <v>36</v>
      </c>
      <c r="E109" s="39">
        <v>1214.47</v>
      </c>
      <c r="F109" t="s">
        <v>74</v>
      </c>
      <c r="G109">
        <v>2</v>
      </c>
      <c r="H109">
        <v>993.58</v>
      </c>
    </row>
    <row r="110" spans="1:8" x14ac:dyDescent="0.3">
      <c r="A110" t="s">
        <v>502</v>
      </c>
      <c r="B110" s="39">
        <v>45708.18</v>
      </c>
      <c r="C110" t="s">
        <v>31</v>
      </c>
      <c r="D110">
        <v>36</v>
      </c>
      <c r="E110" s="39">
        <v>1214.47</v>
      </c>
      <c r="F110" t="s">
        <v>74</v>
      </c>
      <c r="G110">
        <v>2</v>
      </c>
      <c r="H110">
        <v>993.58</v>
      </c>
    </row>
    <row r="111" spans="1:8" x14ac:dyDescent="0.3">
      <c r="A111" t="s">
        <v>504</v>
      </c>
      <c r="B111" s="39">
        <v>45708.18</v>
      </c>
      <c r="C111" t="s">
        <v>31</v>
      </c>
      <c r="D111">
        <v>36</v>
      </c>
      <c r="E111" s="39">
        <v>1214.47</v>
      </c>
      <c r="F111" t="s">
        <v>74</v>
      </c>
      <c r="G111">
        <v>2</v>
      </c>
      <c r="H111">
        <v>993.58</v>
      </c>
    </row>
    <row r="112" spans="1:8" x14ac:dyDescent="0.3">
      <c r="A112" t="s">
        <v>505</v>
      </c>
      <c r="B112" s="39">
        <v>45708.18</v>
      </c>
      <c r="C112" t="s">
        <v>31</v>
      </c>
      <c r="D112">
        <v>36</v>
      </c>
      <c r="E112" s="39">
        <v>1214.47</v>
      </c>
      <c r="F112" t="s">
        <v>74</v>
      </c>
      <c r="G112">
        <v>2</v>
      </c>
      <c r="H112">
        <v>993.58</v>
      </c>
    </row>
    <row r="113" spans="1:8" x14ac:dyDescent="0.3">
      <c r="A113" t="s">
        <v>508</v>
      </c>
      <c r="B113" s="39">
        <v>45708.18</v>
      </c>
      <c r="C113" t="s">
        <v>31</v>
      </c>
      <c r="D113">
        <v>36</v>
      </c>
      <c r="E113" s="39">
        <v>1214.47</v>
      </c>
      <c r="F113" t="s">
        <v>74</v>
      </c>
      <c r="G113">
        <v>2</v>
      </c>
      <c r="H113" s="39">
        <v>993.58</v>
      </c>
    </row>
    <row r="114" spans="1:8" x14ac:dyDescent="0.3">
      <c r="A114" t="s">
        <v>506</v>
      </c>
      <c r="B114" s="39">
        <v>45708.18</v>
      </c>
      <c r="C114" t="s">
        <v>31</v>
      </c>
      <c r="D114">
        <v>36</v>
      </c>
      <c r="E114" s="39">
        <v>1214.47</v>
      </c>
      <c r="F114" t="s">
        <v>74</v>
      </c>
      <c r="G114">
        <v>2</v>
      </c>
      <c r="H114" s="39">
        <v>993.58</v>
      </c>
    </row>
    <row r="115" spans="1:8" x14ac:dyDescent="0.3">
      <c r="A115" t="s">
        <v>507</v>
      </c>
      <c r="B115" s="39">
        <v>53647.360000000001</v>
      </c>
      <c r="C115" t="s">
        <v>69</v>
      </c>
      <c r="D115">
        <v>36</v>
      </c>
      <c r="E115" s="39">
        <v>1435.01</v>
      </c>
      <c r="F115" t="s">
        <v>74</v>
      </c>
      <c r="G115">
        <v>2</v>
      </c>
      <c r="H115" s="39">
        <v>993.58</v>
      </c>
    </row>
    <row r="116" spans="1:8" x14ac:dyDescent="0.3">
      <c r="A116" t="s">
        <v>509</v>
      </c>
      <c r="B116" s="39">
        <v>45708.18</v>
      </c>
      <c r="C116" t="s">
        <v>31</v>
      </c>
      <c r="D116">
        <v>36</v>
      </c>
      <c r="E116" s="39">
        <v>1214.47</v>
      </c>
      <c r="F116" t="s">
        <v>74</v>
      </c>
      <c r="G116">
        <v>2</v>
      </c>
      <c r="H116" s="39">
        <v>993.58</v>
      </c>
    </row>
    <row r="117" spans="1:8" x14ac:dyDescent="0.3">
      <c r="A117" t="s">
        <v>511</v>
      </c>
      <c r="B117" s="39">
        <v>45708.18</v>
      </c>
      <c r="C117" t="s">
        <v>31</v>
      </c>
      <c r="D117">
        <v>36</v>
      </c>
      <c r="E117" s="39">
        <v>1214.47</v>
      </c>
      <c r="F117" t="s">
        <v>74</v>
      </c>
      <c r="G117">
        <v>2</v>
      </c>
      <c r="H117" s="39">
        <v>993.58</v>
      </c>
    </row>
    <row r="118" spans="1:8" x14ac:dyDescent="0.3">
      <c r="A118" t="s">
        <v>510</v>
      </c>
      <c r="B118" s="39">
        <v>53647.360000000001</v>
      </c>
      <c r="C118" t="s">
        <v>69</v>
      </c>
      <c r="D118">
        <v>36</v>
      </c>
      <c r="E118" s="39">
        <v>1435.01</v>
      </c>
      <c r="F118" t="s">
        <v>74</v>
      </c>
      <c r="G118">
        <v>2</v>
      </c>
      <c r="H118" s="39">
        <v>993.58</v>
      </c>
    </row>
    <row r="119" spans="1:8" x14ac:dyDescent="0.3">
      <c r="A119" t="s">
        <v>512</v>
      </c>
      <c r="B119" s="39">
        <v>45708.18</v>
      </c>
      <c r="C119" t="s">
        <v>31</v>
      </c>
      <c r="D119">
        <v>36</v>
      </c>
      <c r="E119" s="39">
        <v>1214.47</v>
      </c>
      <c r="F119" t="s">
        <v>74</v>
      </c>
      <c r="G119">
        <v>2</v>
      </c>
      <c r="H119" s="39">
        <v>993.58</v>
      </c>
    </row>
    <row r="120" spans="1:8" x14ac:dyDescent="0.3">
      <c r="A120" t="s">
        <v>513</v>
      </c>
      <c r="B120" s="39">
        <v>63581.78</v>
      </c>
      <c r="C120" t="s">
        <v>33</v>
      </c>
      <c r="D120">
        <v>36</v>
      </c>
      <c r="E120" s="39">
        <v>1655.81</v>
      </c>
      <c r="F120" t="s">
        <v>79</v>
      </c>
      <c r="G120">
        <v>2</v>
      </c>
      <c r="H120" s="39">
        <v>1986.23</v>
      </c>
    </row>
    <row r="121" spans="1:8" x14ac:dyDescent="0.3">
      <c r="A121" t="s">
        <v>514</v>
      </c>
      <c r="B121" s="39">
        <v>63581.78</v>
      </c>
      <c r="C121" t="s">
        <v>33</v>
      </c>
      <c r="D121">
        <v>36</v>
      </c>
      <c r="E121" s="39">
        <v>1655.81</v>
      </c>
      <c r="F121" t="s">
        <v>79</v>
      </c>
      <c r="G121">
        <v>2</v>
      </c>
      <c r="H121" s="39">
        <v>1986.23</v>
      </c>
    </row>
    <row r="122" spans="1:8" x14ac:dyDescent="0.3">
      <c r="A122" t="s">
        <v>515</v>
      </c>
      <c r="B122" s="39">
        <v>63581.78</v>
      </c>
      <c r="C122" t="s">
        <v>33</v>
      </c>
      <c r="D122">
        <v>36</v>
      </c>
      <c r="E122" s="39">
        <v>1655.81</v>
      </c>
      <c r="F122" t="s">
        <v>79</v>
      </c>
      <c r="G122">
        <v>2</v>
      </c>
      <c r="H122" s="39">
        <v>1986.23</v>
      </c>
    </row>
    <row r="123" spans="1:8" x14ac:dyDescent="0.3">
      <c r="A123" t="s">
        <v>516</v>
      </c>
      <c r="B123" s="39">
        <v>63581.78</v>
      </c>
      <c r="C123" t="s">
        <v>33</v>
      </c>
      <c r="D123">
        <v>36</v>
      </c>
      <c r="E123" s="39">
        <v>1655.81</v>
      </c>
      <c r="F123" t="s">
        <v>79</v>
      </c>
      <c r="G123">
        <v>2</v>
      </c>
      <c r="H123" s="39">
        <v>1986.23</v>
      </c>
    </row>
    <row r="124" spans="1:8" x14ac:dyDescent="0.3">
      <c r="A124" t="s">
        <v>517</v>
      </c>
      <c r="B124" s="39">
        <v>63581.78</v>
      </c>
      <c r="C124" t="s">
        <v>33</v>
      </c>
      <c r="D124">
        <v>36</v>
      </c>
      <c r="E124" s="39">
        <v>1655.81</v>
      </c>
      <c r="F124" t="s">
        <v>79</v>
      </c>
      <c r="G124">
        <v>2</v>
      </c>
      <c r="H124" s="39">
        <v>1986.23</v>
      </c>
    </row>
    <row r="125" spans="1:8" x14ac:dyDescent="0.3">
      <c r="A125" t="s">
        <v>518</v>
      </c>
      <c r="B125" s="39">
        <v>63581.78</v>
      </c>
      <c r="C125" t="s">
        <v>33</v>
      </c>
      <c r="D125">
        <v>36</v>
      </c>
      <c r="E125" s="39">
        <v>1655.81</v>
      </c>
      <c r="F125" t="s">
        <v>79</v>
      </c>
      <c r="G125">
        <v>2</v>
      </c>
      <c r="H125" s="39">
        <v>1986.23</v>
      </c>
    </row>
    <row r="126" spans="1:8" x14ac:dyDescent="0.3">
      <c r="A126" t="s">
        <v>519</v>
      </c>
      <c r="B126" s="39">
        <v>71529.08</v>
      </c>
      <c r="C126" t="s">
        <v>35</v>
      </c>
      <c r="D126">
        <v>36</v>
      </c>
      <c r="E126" s="39">
        <v>1876.57</v>
      </c>
      <c r="F126" t="s">
        <v>79</v>
      </c>
      <c r="G126">
        <v>2</v>
      </c>
      <c r="H126" s="39">
        <v>1986.23</v>
      </c>
    </row>
    <row r="127" spans="1:8" x14ac:dyDescent="0.3">
      <c r="A127" t="s">
        <v>520</v>
      </c>
      <c r="B127" s="39">
        <v>71529.08</v>
      </c>
      <c r="C127" t="s">
        <v>35</v>
      </c>
      <c r="D127">
        <v>36</v>
      </c>
      <c r="E127" s="39">
        <v>1876.57</v>
      </c>
      <c r="F127" t="s">
        <v>79</v>
      </c>
      <c r="G127">
        <v>2</v>
      </c>
      <c r="H127" s="39">
        <v>1986.23</v>
      </c>
    </row>
    <row r="128" spans="1:8" x14ac:dyDescent="0.3">
      <c r="A128" t="s">
        <v>521</v>
      </c>
      <c r="B128" s="39">
        <v>71529.08</v>
      </c>
      <c r="C128" t="s">
        <v>35</v>
      </c>
      <c r="D128">
        <v>36</v>
      </c>
      <c r="E128" s="39">
        <v>1876.57</v>
      </c>
      <c r="F128" t="s">
        <v>79</v>
      </c>
      <c r="G128">
        <v>2</v>
      </c>
      <c r="H128" s="39">
        <v>1986.23</v>
      </c>
    </row>
    <row r="129" spans="1:11" x14ac:dyDescent="0.3">
      <c r="A129" t="s">
        <v>522</v>
      </c>
      <c r="B129" s="39">
        <v>31791.06</v>
      </c>
      <c r="C129" t="s">
        <v>39</v>
      </c>
      <c r="D129">
        <v>36</v>
      </c>
      <c r="E129" s="39">
        <v>827.89</v>
      </c>
      <c r="F129" t="s">
        <v>72</v>
      </c>
      <c r="G129">
        <v>2</v>
      </c>
      <c r="H129">
        <v>993.58</v>
      </c>
    </row>
    <row r="130" spans="1:11" x14ac:dyDescent="0.3">
      <c r="A130" t="s">
        <v>523</v>
      </c>
      <c r="B130" s="39">
        <v>49672.800000000003</v>
      </c>
      <c r="C130" t="s">
        <v>43</v>
      </c>
      <c r="D130">
        <v>36</v>
      </c>
      <c r="E130" s="39">
        <v>1324.6</v>
      </c>
      <c r="F130" t="s">
        <v>74</v>
      </c>
      <c r="G130">
        <v>2</v>
      </c>
      <c r="H130">
        <v>993.58</v>
      </c>
    </row>
    <row r="131" spans="1:11" x14ac:dyDescent="0.3">
      <c r="A131" t="s">
        <v>524</v>
      </c>
      <c r="B131" s="39">
        <v>83450.95</v>
      </c>
      <c r="C131" t="s">
        <v>47</v>
      </c>
      <c r="D131">
        <v>36</v>
      </c>
      <c r="E131" s="39">
        <v>2207.7399999999998</v>
      </c>
      <c r="F131" t="s">
        <v>79</v>
      </c>
      <c r="G131">
        <v>2</v>
      </c>
      <c r="H131" s="39">
        <v>1986.23</v>
      </c>
    </row>
    <row r="132" spans="1:11" x14ac:dyDescent="0.3">
      <c r="A132" t="s">
        <v>527</v>
      </c>
      <c r="B132" s="39">
        <v>50117.09</v>
      </c>
      <c r="C132" t="s">
        <v>29</v>
      </c>
      <c r="D132">
        <v>36</v>
      </c>
      <c r="E132" s="39">
        <v>993.58</v>
      </c>
      <c r="F132" t="s">
        <v>99</v>
      </c>
      <c r="G132">
        <v>2</v>
      </c>
      <c r="H132">
        <v>551.78</v>
      </c>
      <c r="I132" t="s">
        <v>164</v>
      </c>
      <c r="J132">
        <v>10</v>
      </c>
      <c r="K132" s="39">
        <v>1324.46</v>
      </c>
    </row>
    <row r="133" spans="1:11" x14ac:dyDescent="0.3">
      <c r="A133" t="s">
        <v>525</v>
      </c>
      <c r="B133" s="39">
        <v>27816.48</v>
      </c>
      <c r="C133" t="s">
        <v>27</v>
      </c>
      <c r="D133">
        <v>36</v>
      </c>
      <c r="E133" s="39">
        <v>772.68</v>
      </c>
    </row>
    <row r="134" spans="1:11" x14ac:dyDescent="0.3">
      <c r="A134" t="s">
        <v>526</v>
      </c>
      <c r="B134" s="39">
        <v>86751.92</v>
      </c>
      <c r="C134" t="s">
        <v>57</v>
      </c>
      <c r="D134">
        <v>36</v>
      </c>
      <c r="E134" s="39">
        <v>1986.93</v>
      </c>
      <c r="F134" t="s">
        <v>119</v>
      </c>
      <c r="G134">
        <v>2</v>
      </c>
      <c r="H134" s="39">
        <v>1324.46</v>
      </c>
      <c r="I134" t="s">
        <v>137</v>
      </c>
      <c r="J134">
        <v>38</v>
      </c>
      <c r="K134">
        <v>330.88</v>
      </c>
    </row>
    <row r="135" spans="1:11" x14ac:dyDescent="0.3">
      <c r="A135" t="s">
        <v>528</v>
      </c>
      <c r="B135" s="39">
        <v>86751.92</v>
      </c>
      <c r="C135" t="s">
        <v>57</v>
      </c>
      <c r="D135">
        <v>36</v>
      </c>
      <c r="E135" s="39">
        <v>1986.93</v>
      </c>
      <c r="F135" t="s">
        <v>119</v>
      </c>
      <c r="G135">
        <v>2</v>
      </c>
      <c r="H135" s="39">
        <v>1324.46</v>
      </c>
      <c r="I135" t="s">
        <v>137</v>
      </c>
      <c r="J135">
        <v>38</v>
      </c>
      <c r="K135">
        <v>330.88</v>
      </c>
    </row>
    <row r="136" spans="1:11" x14ac:dyDescent="0.3">
      <c r="A136" t="s">
        <v>529</v>
      </c>
      <c r="B136" s="39">
        <v>58943.56</v>
      </c>
      <c r="C136" t="s">
        <v>31</v>
      </c>
      <c r="D136">
        <v>36</v>
      </c>
      <c r="E136" s="39">
        <v>1214.47</v>
      </c>
      <c r="F136" t="s">
        <v>110</v>
      </c>
      <c r="G136">
        <v>2</v>
      </c>
      <c r="H136" s="39">
        <v>1324.46</v>
      </c>
      <c r="I136" t="s">
        <v>137</v>
      </c>
      <c r="J136">
        <v>38</v>
      </c>
      <c r="K136">
        <v>330.88</v>
      </c>
    </row>
    <row r="137" spans="1:11" x14ac:dyDescent="0.3">
      <c r="A137" t="s">
        <v>530</v>
      </c>
      <c r="B137" s="39">
        <v>43279.23</v>
      </c>
      <c r="C137" t="s">
        <v>31</v>
      </c>
      <c r="D137">
        <v>34</v>
      </c>
      <c r="E137" s="39">
        <v>1214.47</v>
      </c>
      <c r="F137" t="s">
        <v>74</v>
      </c>
      <c r="G137">
        <v>2</v>
      </c>
      <c r="H137">
        <v>993.58</v>
      </c>
    </row>
    <row r="138" spans="1:11" x14ac:dyDescent="0.3">
      <c r="A138" t="s">
        <v>531</v>
      </c>
      <c r="B138" s="39">
        <v>43279.23</v>
      </c>
      <c r="C138" t="s">
        <v>31</v>
      </c>
      <c r="D138">
        <v>34</v>
      </c>
      <c r="E138" s="39">
        <v>1214.47</v>
      </c>
      <c r="F138" t="s">
        <v>74</v>
      </c>
      <c r="G138">
        <v>2</v>
      </c>
      <c r="H138">
        <v>993.58</v>
      </c>
    </row>
    <row r="139" spans="1:11" x14ac:dyDescent="0.3">
      <c r="A139" t="s">
        <v>532</v>
      </c>
      <c r="B139" s="39">
        <v>49342.34</v>
      </c>
      <c r="C139" t="s">
        <v>69</v>
      </c>
      <c r="D139">
        <v>33</v>
      </c>
      <c r="E139" s="39">
        <v>1435.01</v>
      </c>
      <c r="F139" t="s">
        <v>74</v>
      </c>
      <c r="G139">
        <v>2</v>
      </c>
      <c r="H139">
        <v>993.58</v>
      </c>
    </row>
    <row r="140" spans="1:11" x14ac:dyDescent="0.3">
      <c r="A140" t="s">
        <v>535</v>
      </c>
      <c r="B140" s="39">
        <v>40850.29</v>
      </c>
      <c r="C140" t="s">
        <v>31</v>
      </c>
      <c r="D140">
        <v>32</v>
      </c>
      <c r="E140" s="39">
        <v>1214.47</v>
      </c>
      <c r="F140" t="s">
        <v>74</v>
      </c>
      <c r="G140">
        <v>2</v>
      </c>
      <c r="H140">
        <v>993.58</v>
      </c>
    </row>
    <row r="141" spans="1:11" x14ac:dyDescent="0.3">
      <c r="A141" t="s">
        <v>533</v>
      </c>
      <c r="B141" s="39">
        <v>48900.54</v>
      </c>
      <c r="C141" t="s">
        <v>69</v>
      </c>
      <c r="D141">
        <v>33</v>
      </c>
      <c r="E141" s="39">
        <v>1435.01</v>
      </c>
      <c r="F141" t="s">
        <v>89</v>
      </c>
      <c r="G141">
        <v>2</v>
      </c>
      <c r="H141">
        <v>772.68</v>
      </c>
    </row>
    <row r="142" spans="1:11" x14ac:dyDescent="0.3">
      <c r="A142" t="s">
        <v>534</v>
      </c>
      <c r="B142" s="39">
        <v>40850.29</v>
      </c>
      <c r="C142" t="s">
        <v>31</v>
      </c>
      <c r="D142">
        <v>32</v>
      </c>
      <c r="E142" s="39">
        <v>1214.47</v>
      </c>
      <c r="F142" t="s">
        <v>74</v>
      </c>
      <c r="G142">
        <v>2</v>
      </c>
      <c r="H142">
        <v>993.58</v>
      </c>
    </row>
    <row r="143" spans="1:11" x14ac:dyDescent="0.3">
      <c r="A143" t="s">
        <v>536</v>
      </c>
      <c r="B143" s="39">
        <v>40850.29</v>
      </c>
      <c r="C143" t="s">
        <v>31</v>
      </c>
      <c r="D143">
        <v>32</v>
      </c>
      <c r="E143" s="39">
        <v>1214.47</v>
      </c>
      <c r="F143" t="s">
        <v>74</v>
      </c>
      <c r="G143">
        <v>2</v>
      </c>
      <c r="H143">
        <v>993.58</v>
      </c>
    </row>
    <row r="144" spans="1:11" x14ac:dyDescent="0.3">
      <c r="A144" t="s">
        <v>537</v>
      </c>
      <c r="B144" s="39">
        <v>25167.56</v>
      </c>
      <c r="C144" t="s">
        <v>27</v>
      </c>
      <c r="D144">
        <v>30</v>
      </c>
      <c r="E144" s="39">
        <v>772.68</v>
      </c>
      <c r="F144" t="s">
        <v>72</v>
      </c>
      <c r="G144">
        <v>2</v>
      </c>
      <c r="H144">
        <v>993.58</v>
      </c>
    </row>
    <row r="145" spans="1:8" x14ac:dyDescent="0.3">
      <c r="A145" t="s">
        <v>539</v>
      </c>
      <c r="B145" s="39">
        <v>31794.57</v>
      </c>
      <c r="C145" t="s">
        <v>65</v>
      </c>
      <c r="D145">
        <v>30</v>
      </c>
      <c r="E145">
        <v>993.58</v>
      </c>
      <c r="F145" t="s">
        <v>72</v>
      </c>
      <c r="G145">
        <v>2</v>
      </c>
      <c r="H145">
        <v>993.58</v>
      </c>
    </row>
    <row r="146" spans="1:8" x14ac:dyDescent="0.3">
      <c r="A146" t="s">
        <v>538</v>
      </c>
      <c r="B146" s="39">
        <v>25167.56</v>
      </c>
      <c r="C146" t="s">
        <v>27</v>
      </c>
      <c r="D146">
        <v>30</v>
      </c>
      <c r="E146">
        <v>772.68</v>
      </c>
      <c r="F146" t="s">
        <v>72</v>
      </c>
      <c r="G146">
        <v>2</v>
      </c>
      <c r="H146">
        <v>993.58</v>
      </c>
    </row>
    <row r="147" spans="1:8" x14ac:dyDescent="0.3">
      <c r="A147" t="s">
        <v>540</v>
      </c>
      <c r="B147" s="39">
        <v>25167.56</v>
      </c>
      <c r="C147" t="s">
        <v>27</v>
      </c>
      <c r="D147">
        <v>30</v>
      </c>
      <c r="E147" s="39">
        <v>772.68</v>
      </c>
      <c r="F147" t="s">
        <v>72</v>
      </c>
      <c r="G147">
        <v>2</v>
      </c>
      <c r="H147" s="39">
        <v>993.58</v>
      </c>
    </row>
    <row r="148" spans="1:8" x14ac:dyDescent="0.3">
      <c r="A148" t="s">
        <v>541</v>
      </c>
      <c r="B148" s="39">
        <v>31794.57</v>
      </c>
      <c r="C148" t="s">
        <v>29</v>
      </c>
      <c r="D148">
        <v>30</v>
      </c>
      <c r="E148" s="39">
        <v>993.58</v>
      </c>
      <c r="F148" t="s">
        <v>74</v>
      </c>
      <c r="G148">
        <v>2</v>
      </c>
      <c r="H148" s="39">
        <v>993.58</v>
      </c>
    </row>
    <row r="149" spans="1:8" x14ac:dyDescent="0.3">
      <c r="A149" t="s">
        <v>543</v>
      </c>
      <c r="B149" s="39">
        <v>38421.339999999997</v>
      </c>
      <c r="C149" t="s">
        <v>31</v>
      </c>
      <c r="D149">
        <v>30</v>
      </c>
      <c r="E149" s="39">
        <v>1214.47</v>
      </c>
      <c r="F149" t="s">
        <v>74</v>
      </c>
      <c r="G149">
        <v>2</v>
      </c>
      <c r="H149" s="39">
        <v>993.58</v>
      </c>
    </row>
    <row r="150" spans="1:8" x14ac:dyDescent="0.3">
      <c r="A150" t="s">
        <v>544</v>
      </c>
      <c r="B150" s="39">
        <v>45037.33</v>
      </c>
      <c r="C150" t="s">
        <v>69</v>
      </c>
      <c r="D150">
        <v>30</v>
      </c>
      <c r="E150" s="39">
        <v>1435.01</v>
      </c>
      <c r="F150" t="s">
        <v>74</v>
      </c>
      <c r="G150">
        <v>2</v>
      </c>
      <c r="H150">
        <v>993.58</v>
      </c>
    </row>
    <row r="151" spans="1:8" x14ac:dyDescent="0.3">
      <c r="A151" t="s">
        <v>545</v>
      </c>
      <c r="B151" s="39">
        <v>38421.339999999997</v>
      </c>
      <c r="C151" t="s">
        <v>31</v>
      </c>
      <c r="D151">
        <v>30</v>
      </c>
      <c r="E151" s="39">
        <v>1214.47</v>
      </c>
      <c r="F151" t="s">
        <v>74</v>
      </c>
      <c r="G151">
        <v>2</v>
      </c>
      <c r="H151" s="39">
        <v>993.58</v>
      </c>
    </row>
    <row r="152" spans="1:8" x14ac:dyDescent="0.3">
      <c r="A152" t="s">
        <v>548</v>
      </c>
      <c r="B152" s="39">
        <v>53646.89</v>
      </c>
      <c r="C152" t="s">
        <v>33</v>
      </c>
      <c r="D152">
        <v>30</v>
      </c>
      <c r="E152" s="39">
        <v>1655.81</v>
      </c>
      <c r="F152" t="s">
        <v>79</v>
      </c>
      <c r="G152">
        <v>2</v>
      </c>
      <c r="H152" s="39">
        <v>1986.23</v>
      </c>
    </row>
    <row r="153" spans="1:8" x14ac:dyDescent="0.3">
      <c r="A153" t="s">
        <v>546</v>
      </c>
      <c r="B153" s="39">
        <v>38421.339999999997</v>
      </c>
      <c r="C153" t="s">
        <v>31</v>
      </c>
      <c r="D153">
        <v>30</v>
      </c>
      <c r="E153" s="39">
        <v>1214.47</v>
      </c>
      <c r="F153" t="s">
        <v>74</v>
      </c>
      <c r="G153">
        <v>2</v>
      </c>
      <c r="H153">
        <v>993.58</v>
      </c>
    </row>
    <row r="154" spans="1:8" x14ac:dyDescent="0.3">
      <c r="A154" t="s">
        <v>550</v>
      </c>
      <c r="B154" s="39">
        <v>41725.199999999997</v>
      </c>
      <c r="C154" t="s">
        <v>43</v>
      </c>
      <c r="D154">
        <v>30</v>
      </c>
      <c r="E154" s="39">
        <v>1324.6</v>
      </c>
      <c r="F154" t="s">
        <v>74</v>
      </c>
      <c r="G154">
        <v>2</v>
      </c>
      <c r="H154">
        <v>993.58</v>
      </c>
    </row>
    <row r="155" spans="1:8" x14ac:dyDescent="0.3">
      <c r="A155" t="s">
        <v>549</v>
      </c>
      <c r="B155" s="39">
        <v>60269.65</v>
      </c>
      <c r="C155" t="s">
        <v>35</v>
      </c>
      <c r="D155">
        <v>30</v>
      </c>
      <c r="E155" s="39">
        <v>1876.57</v>
      </c>
      <c r="F155" t="s">
        <v>79</v>
      </c>
      <c r="G155">
        <v>2</v>
      </c>
      <c r="H155" s="39">
        <v>1986.23</v>
      </c>
    </row>
    <row r="156" spans="1:8" x14ac:dyDescent="0.3">
      <c r="A156" t="s">
        <v>547</v>
      </c>
      <c r="B156" s="39">
        <v>53646.89</v>
      </c>
      <c r="C156" t="s">
        <v>33</v>
      </c>
      <c r="D156">
        <v>30</v>
      </c>
      <c r="E156" s="39">
        <v>1655.81</v>
      </c>
      <c r="F156" t="s">
        <v>79</v>
      </c>
      <c r="G156">
        <v>2</v>
      </c>
      <c r="H156" s="39">
        <v>1986.23</v>
      </c>
    </row>
    <row r="157" spans="1:8" x14ac:dyDescent="0.3">
      <c r="A157" t="s">
        <v>551</v>
      </c>
      <c r="B157" s="39">
        <v>41725.199999999997</v>
      </c>
      <c r="C157" t="s">
        <v>43</v>
      </c>
      <c r="D157">
        <v>30</v>
      </c>
      <c r="E157" s="39">
        <v>1324.6</v>
      </c>
      <c r="F157" t="s">
        <v>74</v>
      </c>
      <c r="G157">
        <v>2</v>
      </c>
      <c r="H157">
        <v>993.58</v>
      </c>
    </row>
    <row r="158" spans="1:8" x14ac:dyDescent="0.3">
      <c r="A158" t="s">
        <v>552</v>
      </c>
      <c r="B158" s="39">
        <v>70204.53</v>
      </c>
      <c r="C158" t="s">
        <v>47</v>
      </c>
      <c r="D158">
        <v>30</v>
      </c>
      <c r="E158" s="39">
        <v>2207.7399999999998</v>
      </c>
      <c r="F158" t="s">
        <v>79</v>
      </c>
      <c r="G158">
        <v>2</v>
      </c>
      <c r="H158" s="39">
        <v>1986.23</v>
      </c>
    </row>
    <row r="159" spans="1:8" x14ac:dyDescent="0.3">
      <c r="A159" t="s">
        <v>553</v>
      </c>
      <c r="B159" s="39">
        <v>31352.77</v>
      </c>
      <c r="C159" t="s">
        <v>65</v>
      </c>
      <c r="D159">
        <v>30</v>
      </c>
      <c r="E159" s="39">
        <v>993.58</v>
      </c>
      <c r="F159" t="s">
        <v>87</v>
      </c>
      <c r="G159">
        <v>2</v>
      </c>
      <c r="H159">
        <v>772.68</v>
      </c>
    </row>
    <row r="160" spans="1:8" x14ac:dyDescent="0.3">
      <c r="A160" t="s">
        <v>555</v>
      </c>
      <c r="B160" s="39">
        <v>31352.77</v>
      </c>
      <c r="C160" t="s">
        <v>29</v>
      </c>
      <c r="D160">
        <v>30</v>
      </c>
      <c r="E160" s="39">
        <v>993.58</v>
      </c>
      <c r="F160" t="s">
        <v>89</v>
      </c>
      <c r="G160">
        <v>2</v>
      </c>
      <c r="H160">
        <v>772.68</v>
      </c>
    </row>
    <row r="161" spans="1:11" x14ac:dyDescent="0.3">
      <c r="A161" t="s">
        <v>554</v>
      </c>
      <c r="B161" s="39">
        <v>52985.05</v>
      </c>
      <c r="C161" t="s">
        <v>53</v>
      </c>
      <c r="D161">
        <v>30</v>
      </c>
      <c r="E161" s="39">
        <v>1766.17</v>
      </c>
    </row>
    <row r="162" spans="1:11" x14ac:dyDescent="0.3">
      <c r="A162" t="s">
        <v>557</v>
      </c>
      <c r="B162" s="39">
        <v>35992.400000000001</v>
      </c>
      <c r="C162" t="s">
        <v>31</v>
      </c>
      <c r="D162">
        <v>28</v>
      </c>
      <c r="E162" s="39">
        <v>1214.47</v>
      </c>
      <c r="F162" t="s">
        <v>74</v>
      </c>
      <c r="G162">
        <v>2</v>
      </c>
      <c r="H162">
        <v>993.58</v>
      </c>
    </row>
    <row r="163" spans="1:11" x14ac:dyDescent="0.3">
      <c r="A163" t="s">
        <v>556</v>
      </c>
      <c r="B163" s="39">
        <v>42167.32</v>
      </c>
      <c r="C163" t="s">
        <v>69</v>
      </c>
      <c r="D163">
        <v>28</v>
      </c>
      <c r="E163" s="39">
        <v>1435.01</v>
      </c>
      <c r="F163" t="s">
        <v>74</v>
      </c>
      <c r="G163">
        <v>2</v>
      </c>
      <c r="H163" s="39">
        <v>993.58</v>
      </c>
    </row>
    <row r="164" spans="1:11" x14ac:dyDescent="0.3">
      <c r="A164" t="s">
        <v>559</v>
      </c>
      <c r="B164" s="39">
        <v>35992.400000000001</v>
      </c>
      <c r="C164" t="s">
        <v>31</v>
      </c>
      <c r="D164">
        <v>28</v>
      </c>
      <c r="E164" s="39">
        <v>1214.47</v>
      </c>
      <c r="F164" t="s">
        <v>74</v>
      </c>
      <c r="G164">
        <v>2</v>
      </c>
      <c r="H164">
        <v>993.58</v>
      </c>
    </row>
    <row r="165" spans="1:11" x14ac:dyDescent="0.3">
      <c r="A165" t="s">
        <v>558</v>
      </c>
      <c r="B165" s="39">
        <v>34005.230000000003</v>
      </c>
      <c r="C165" t="s">
        <v>31</v>
      </c>
      <c r="D165">
        <v>28</v>
      </c>
      <c r="E165" s="39">
        <v>1214.47</v>
      </c>
      <c r="H165" s="39"/>
    </row>
    <row r="166" spans="1:11" x14ac:dyDescent="0.3">
      <c r="A166" t="s">
        <v>560</v>
      </c>
      <c r="B166" s="39">
        <v>63573.8</v>
      </c>
      <c r="C166" t="s">
        <v>57</v>
      </c>
      <c r="D166">
        <v>26</v>
      </c>
      <c r="E166" s="39">
        <v>1986.93</v>
      </c>
      <c r="F166" t="s">
        <v>119</v>
      </c>
      <c r="G166">
        <v>2</v>
      </c>
      <c r="H166" s="39">
        <v>1324.46</v>
      </c>
      <c r="I166" t="s">
        <v>137</v>
      </c>
      <c r="J166">
        <v>28</v>
      </c>
      <c r="K166">
        <v>330.88</v>
      </c>
    </row>
    <row r="167" spans="1:11" x14ac:dyDescent="0.3">
      <c r="A167" t="s">
        <v>561</v>
      </c>
      <c r="B167" s="39">
        <v>44375.199999999997</v>
      </c>
      <c r="C167" t="s">
        <v>53</v>
      </c>
      <c r="D167">
        <v>24</v>
      </c>
      <c r="E167" s="39">
        <v>1766.17</v>
      </c>
      <c r="F167" t="s">
        <v>81</v>
      </c>
      <c r="G167">
        <v>2</v>
      </c>
      <c r="H167" s="39">
        <v>993.58</v>
      </c>
    </row>
    <row r="168" spans="1:11" x14ac:dyDescent="0.3">
      <c r="A168" t="s">
        <v>563</v>
      </c>
      <c r="B168" s="39">
        <v>44375.199999999997</v>
      </c>
      <c r="C168" t="s">
        <v>53</v>
      </c>
      <c r="D168">
        <v>24</v>
      </c>
      <c r="E168" s="39">
        <v>1766.17</v>
      </c>
      <c r="F168" t="s">
        <v>81</v>
      </c>
      <c r="G168">
        <v>2</v>
      </c>
      <c r="H168">
        <v>993.58</v>
      </c>
    </row>
    <row r="169" spans="1:11" x14ac:dyDescent="0.3">
      <c r="A169" t="s">
        <v>562</v>
      </c>
      <c r="B169" s="39">
        <v>49673.41</v>
      </c>
      <c r="C169" t="s">
        <v>57</v>
      </c>
      <c r="D169">
        <v>24</v>
      </c>
      <c r="E169" s="39">
        <v>1986.93</v>
      </c>
      <c r="F169" t="s">
        <v>83</v>
      </c>
      <c r="G169">
        <v>2</v>
      </c>
      <c r="H169">
        <v>993.58</v>
      </c>
    </row>
    <row r="170" spans="1:11" x14ac:dyDescent="0.3">
      <c r="A170" t="s">
        <v>565</v>
      </c>
      <c r="B170" s="39">
        <v>56958.12</v>
      </c>
      <c r="C170" t="s">
        <v>59</v>
      </c>
      <c r="D170">
        <v>24</v>
      </c>
      <c r="E170" s="39">
        <v>2207.7399999999998</v>
      </c>
      <c r="F170" t="s">
        <v>85</v>
      </c>
      <c r="G170">
        <v>2</v>
      </c>
      <c r="H170" s="39">
        <v>1986.23</v>
      </c>
    </row>
    <row r="171" spans="1:11" x14ac:dyDescent="0.3">
      <c r="A171" t="s">
        <v>564</v>
      </c>
      <c r="B171" s="39">
        <v>49673.41</v>
      </c>
      <c r="C171" t="s">
        <v>57</v>
      </c>
      <c r="D171">
        <v>24</v>
      </c>
      <c r="E171" s="39">
        <v>1986.93</v>
      </c>
      <c r="F171" t="s">
        <v>83</v>
      </c>
      <c r="G171">
        <v>2</v>
      </c>
      <c r="H171">
        <v>993.58</v>
      </c>
    </row>
    <row r="172" spans="1:11" x14ac:dyDescent="0.3">
      <c r="A172" t="s">
        <v>566</v>
      </c>
      <c r="B172" s="39">
        <v>56958.12</v>
      </c>
      <c r="C172" t="s">
        <v>59</v>
      </c>
      <c r="D172">
        <v>24</v>
      </c>
      <c r="E172" s="39">
        <v>2207.7399999999998</v>
      </c>
      <c r="F172" t="s">
        <v>85</v>
      </c>
      <c r="G172">
        <v>2</v>
      </c>
      <c r="H172" s="39">
        <v>1986.23</v>
      </c>
    </row>
    <row r="173" spans="1:11" x14ac:dyDescent="0.3">
      <c r="A173" t="s">
        <v>568</v>
      </c>
      <c r="B173" s="39">
        <v>70204.23</v>
      </c>
      <c r="C173" t="s">
        <v>61</v>
      </c>
      <c r="D173">
        <v>24</v>
      </c>
      <c r="E173" s="39">
        <v>2759.66</v>
      </c>
      <c r="F173" t="s">
        <v>85</v>
      </c>
      <c r="G173">
        <v>2</v>
      </c>
      <c r="H173" s="39">
        <v>1986.23</v>
      </c>
    </row>
    <row r="174" spans="1:11" x14ac:dyDescent="0.3">
      <c r="A174" t="s">
        <v>571</v>
      </c>
      <c r="B174" s="39">
        <v>15229.86</v>
      </c>
      <c r="C174" t="s">
        <v>24</v>
      </c>
      <c r="D174">
        <v>24</v>
      </c>
      <c r="E174">
        <v>551.78</v>
      </c>
      <c r="F174" t="s">
        <v>72</v>
      </c>
      <c r="G174">
        <v>2</v>
      </c>
      <c r="H174">
        <v>993.58</v>
      </c>
    </row>
    <row r="175" spans="1:11" x14ac:dyDescent="0.3">
      <c r="A175" t="s">
        <v>573</v>
      </c>
      <c r="B175" s="39">
        <v>20531.48</v>
      </c>
      <c r="C175" t="s">
        <v>27</v>
      </c>
      <c r="D175">
        <v>24</v>
      </c>
      <c r="E175">
        <v>772.68</v>
      </c>
      <c r="F175" t="s">
        <v>72</v>
      </c>
      <c r="G175">
        <v>2</v>
      </c>
      <c r="H175">
        <v>993.58</v>
      </c>
    </row>
    <row r="176" spans="1:11" x14ac:dyDescent="0.3">
      <c r="A176" t="s">
        <v>574</v>
      </c>
      <c r="B176" s="39">
        <v>25833.09</v>
      </c>
      <c r="C176" t="s">
        <v>65</v>
      </c>
      <c r="D176">
        <v>24</v>
      </c>
      <c r="E176">
        <v>993.58</v>
      </c>
      <c r="F176" t="s">
        <v>72</v>
      </c>
      <c r="G176">
        <v>2</v>
      </c>
      <c r="H176">
        <v>993.58</v>
      </c>
    </row>
    <row r="177" spans="1:8" x14ac:dyDescent="0.3">
      <c r="A177" t="s">
        <v>576</v>
      </c>
      <c r="B177" s="39">
        <v>20531.48</v>
      </c>
      <c r="C177" t="s">
        <v>27</v>
      </c>
      <c r="D177">
        <v>24</v>
      </c>
      <c r="E177">
        <v>772.68</v>
      </c>
      <c r="F177" t="s">
        <v>72</v>
      </c>
      <c r="G177">
        <v>2</v>
      </c>
      <c r="H177">
        <v>993.58</v>
      </c>
    </row>
    <row r="178" spans="1:8" x14ac:dyDescent="0.3">
      <c r="A178" t="s">
        <v>575</v>
      </c>
      <c r="B178" s="39">
        <v>20531.48</v>
      </c>
      <c r="C178" t="s">
        <v>27</v>
      </c>
      <c r="D178">
        <v>24</v>
      </c>
      <c r="E178">
        <v>772.68</v>
      </c>
      <c r="F178" t="s">
        <v>72</v>
      </c>
      <c r="G178">
        <v>2</v>
      </c>
      <c r="H178">
        <v>993.58</v>
      </c>
    </row>
    <row r="179" spans="1:8" x14ac:dyDescent="0.3">
      <c r="A179" t="s">
        <v>572</v>
      </c>
      <c r="B179" s="39">
        <v>20531.48</v>
      </c>
      <c r="C179" t="s">
        <v>27</v>
      </c>
      <c r="D179">
        <v>24</v>
      </c>
      <c r="E179">
        <v>772.68</v>
      </c>
      <c r="F179" t="s">
        <v>72</v>
      </c>
      <c r="G179">
        <v>2</v>
      </c>
      <c r="H179">
        <v>993.58</v>
      </c>
    </row>
    <row r="180" spans="1:8" x14ac:dyDescent="0.3">
      <c r="A180" t="s">
        <v>577</v>
      </c>
      <c r="B180" s="39">
        <v>25833.09</v>
      </c>
      <c r="C180" t="s">
        <v>65</v>
      </c>
      <c r="D180">
        <v>24</v>
      </c>
      <c r="E180">
        <v>993.58</v>
      </c>
      <c r="F180" t="s">
        <v>72</v>
      </c>
      <c r="G180">
        <v>2</v>
      </c>
      <c r="H180">
        <v>993.58</v>
      </c>
    </row>
    <row r="181" spans="1:8" x14ac:dyDescent="0.3">
      <c r="A181" t="s">
        <v>578</v>
      </c>
      <c r="B181" s="39">
        <v>20531.48</v>
      </c>
      <c r="C181" t="s">
        <v>27</v>
      </c>
      <c r="D181">
        <v>24</v>
      </c>
      <c r="E181">
        <v>772.68</v>
      </c>
      <c r="F181" t="s">
        <v>72</v>
      </c>
      <c r="G181">
        <v>2</v>
      </c>
      <c r="H181">
        <v>993.58</v>
      </c>
    </row>
    <row r="182" spans="1:8" x14ac:dyDescent="0.3">
      <c r="A182" t="s">
        <v>579</v>
      </c>
      <c r="B182" s="39">
        <v>20531.48</v>
      </c>
      <c r="C182" t="s">
        <v>27</v>
      </c>
      <c r="D182">
        <v>24</v>
      </c>
      <c r="E182">
        <v>772.68</v>
      </c>
      <c r="F182" t="s">
        <v>72</v>
      </c>
      <c r="G182">
        <v>2</v>
      </c>
      <c r="H182">
        <v>993.58</v>
      </c>
    </row>
    <row r="183" spans="1:8" x14ac:dyDescent="0.3">
      <c r="A183" t="s">
        <v>601</v>
      </c>
      <c r="B183" s="39">
        <v>25833.09</v>
      </c>
      <c r="C183" t="s">
        <v>29</v>
      </c>
      <c r="D183">
        <v>24</v>
      </c>
      <c r="E183">
        <v>993.58</v>
      </c>
      <c r="F183" t="s">
        <v>74</v>
      </c>
      <c r="G183">
        <v>2</v>
      </c>
      <c r="H183">
        <v>993.58</v>
      </c>
    </row>
    <row r="184" spans="1:8" x14ac:dyDescent="0.3">
      <c r="A184" t="s">
        <v>580</v>
      </c>
      <c r="B184" s="39">
        <v>20531.48</v>
      </c>
      <c r="C184" t="s">
        <v>27</v>
      </c>
      <c r="D184">
        <v>24</v>
      </c>
      <c r="E184">
        <v>772.68</v>
      </c>
      <c r="F184" t="s">
        <v>72</v>
      </c>
      <c r="G184">
        <v>2</v>
      </c>
      <c r="H184">
        <v>993.58</v>
      </c>
    </row>
    <row r="185" spans="1:8" x14ac:dyDescent="0.3">
      <c r="A185" t="s">
        <v>581</v>
      </c>
      <c r="B185" s="39">
        <v>25833.09</v>
      </c>
      <c r="C185" t="s">
        <v>65</v>
      </c>
      <c r="D185">
        <v>24</v>
      </c>
      <c r="E185">
        <v>993.58</v>
      </c>
      <c r="F185" t="s">
        <v>72</v>
      </c>
      <c r="G185">
        <v>2</v>
      </c>
      <c r="H185">
        <v>993.58</v>
      </c>
    </row>
    <row r="186" spans="1:8" x14ac:dyDescent="0.3">
      <c r="A186" t="s">
        <v>582</v>
      </c>
      <c r="B186" s="39">
        <v>20531.48</v>
      </c>
      <c r="C186" t="s">
        <v>27</v>
      </c>
      <c r="D186">
        <v>24</v>
      </c>
      <c r="E186">
        <v>772.68</v>
      </c>
      <c r="F186" t="s">
        <v>72</v>
      </c>
      <c r="G186">
        <v>2</v>
      </c>
      <c r="H186">
        <v>993.58</v>
      </c>
    </row>
    <row r="187" spans="1:8" x14ac:dyDescent="0.3">
      <c r="A187" t="s">
        <v>583</v>
      </c>
      <c r="B187" s="39">
        <v>20531.48</v>
      </c>
      <c r="C187" t="s">
        <v>27</v>
      </c>
      <c r="D187">
        <v>24</v>
      </c>
      <c r="E187">
        <v>772.68</v>
      </c>
      <c r="F187" t="s">
        <v>72</v>
      </c>
      <c r="G187">
        <v>2</v>
      </c>
      <c r="H187">
        <v>993.58</v>
      </c>
    </row>
    <row r="188" spans="1:8" x14ac:dyDescent="0.3">
      <c r="A188" t="s">
        <v>584</v>
      </c>
      <c r="B188" s="39">
        <v>25833.09</v>
      </c>
      <c r="C188" t="s">
        <v>29</v>
      </c>
      <c r="D188">
        <v>24</v>
      </c>
      <c r="E188">
        <v>993.58</v>
      </c>
      <c r="F188" t="s">
        <v>74</v>
      </c>
      <c r="G188">
        <v>2</v>
      </c>
      <c r="H188">
        <v>993.58</v>
      </c>
    </row>
    <row r="189" spans="1:8" x14ac:dyDescent="0.3">
      <c r="A189" t="s">
        <v>586</v>
      </c>
      <c r="B189" s="39">
        <v>31134.5</v>
      </c>
      <c r="C189" t="s">
        <v>67</v>
      </c>
      <c r="D189">
        <v>24</v>
      </c>
      <c r="E189" s="39">
        <v>1214.47</v>
      </c>
      <c r="F189" t="s">
        <v>74</v>
      </c>
      <c r="G189">
        <v>2</v>
      </c>
      <c r="H189">
        <v>993.58</v>
      </c>
    </row>
    <row r="190" spans="1:8" x14ac:dyDescent="0.3">
      <c r="A190" t="s">
        <v>587</v>
      </c>
      <c r="B190" s="39">
        <v>25833.09</v>
      </c>
      <c r="C190" t="s">
        <v>29</v>
      </c>
      <c r="D190">
        <v>24</v>
      </c>
      <c r="E190">
        <v>993.58</v>
      </c>
      <c r="F190" t="s">
        <v>74</v>
      </c>
      <c r="G190">
        <v>2</v>
      </c>
      <c r="H190">
        <v>993.58</v>
      </c>
    </row>
    <row r="191" spans="1:8" x14ac:dyDescent="0.3">
      <c r="A191" t="s">
        <v>585</v>
      </c>
      <c r="B191" s="39">
        <v>25833.09</v>
      </c>
      <c r="C191" t="s">
        <v>29</v>
      </c>
      <c r="D191">
        <v>24</v>
      </c>
      <c r="E191">
        <v>993.58</v>
      </c>
      <c r="F191" t="s">
        <v>74</v>
      </c>
      <c r="G191">
        <v>2</v>
      </c>
      <c r="H191">
        <v>993.58</v>
      </c>
    </row>
    <row r="192" spans="1:8" x14ac:dyDescent="0.3">
      <c r="A192" t="s">
        <v>602</v>
      </c>
      <c r="B192" s="39">
        <v>31134.5</v>
      </c>
      <c r="C192" t="s">
        <v>67</v>
      </c>
      <c r="D192">
        <v>24</v>
      </c>
      <c r="E192" s="39">
        <v>1214.47</v>
      </c>
      <c r="F192" t="s">
        <v>74</v>
      </c>
      <c r="G192">
        <v>2</v>
      </c>
      <c r="H192">
        <v>993.58</v>
      </c>
    </row>
    <row r="193" spans="1:8" x14ac:dyDescent="0.3">
      <c r="A193" t="s">
        <v>588</v>
      </c>
      <c r="B193" s="39">
        <v>31134.5</v>
      </c>
      <c r="C193" t="s">
        <v>67</v>
      </c>
      <c r="D193">
        <v>24</v>
      </c>
      <c r="E193" s="39">
        <v>1214.47</v>
      </c>
      <c r="F193" t="s">
        <v>74</v>
      </c>
      <c r="G193">
        <v>2</v>
      </c>
      <c r="H193">
        <v>993.58</v>
      </c>
    </row>
    <row r="194" spans="1:8" x14ac:dyDescent="0.3">
      <c r="A194" t="s">
        <v>590</v>
      </c>
      <c r="B194" s="39">
        <v>25833.09</v>
      </c>
      <c r="C194" t="s">
        <v>29</v>
      </c>
      <c r="D194">
        <v>24</v>
      </c>
      <c r="E194" s="39">
        <v>993.58</v>
      </c>
      <c r="F194" t="s">
        <v>74</v>
      </c>
      <c r="G194">
        <v>2</v>
      </c>
      <c r="H194">
        <v>993.58</v>
      </c>
    </row>
    <row r="195" spans="1:8" x14ac:dyDescent="0.3">
      <c r="A195" t="s">
        <v>589</v>
      </c>
      <c r="B195" s="39">
        <v>25833.09</v>
      </c>
      <c r="C195" t="s">
        <v>29</v>
      </c>
      <c r="D195">
        <v>24</v>
      </c>
      <c r="E195">
        <v>993.58</v>
      </c>
      <c r="F195" t="s">
        <v>74</v>
      </c>
      <c r="G195">
        <v>2</v>
      </c>
      <c r="H195">
        <v>993.58</v>
      </c>
    </row>
    <row r="196" spans="1:8" x14ac:dyDescent="0.3">
      <c r="A196" t="s">
        <v>591</v>
      </c>
      <c r="B196" s="39">
        <v>25833.09</v>
      </c>
      <c r="C196" t="s">
        <v>29</v>
      </c>
      <c r="D196">
        <v>24</v>
      </c>
      <c r="E196" s="39">
        <v>993.58</v>
      </c>
      <c r="F196" t="s">
        <v>74</v>
      </c>
      <c r="G196">
        <v>2</v>
      </c>
      <c r="H196">
        <v>993.58</v>
      </c>
    </row>
    <row r="197" spans="1:8" x14ac:dyDescent="0.3">
      <c r="A197" t="s">
        <v>592</v>
      </c>
      <c r="B197" s="39">
        <v>31134.5</v>
      </c>
      <c r="C197" t="s">
        <v>67</v>
      </c>
      <c r="D197">
        <v>24</v>
      </c>
      <c r="E197" s="39">
        <v>1214.47</v>
      </c>
      <c r="F197" t="s">
        <v>74</v>
      </c>
      <c r="G197">
        <v>2</v>
      </c>
      <c r="H197">
        <v>993.58</v>
      </c>
    </row>
    <row r="198" spans="1:8" x14ac:dyDescent="0.3">
      <c r="A198" t="s">
        <v>595</v>
      </c>
      <c r="B198" s="39">
        <v>31134.5</v>
      </c>
      <c r="C198" t="s">
        <v>31</v>
      </c>
      <c r="D198">
        <v>24</v>
      </c>
      <c r="E198" s="39">
        <v>1214.47</v>
      </c>
      <c r="F198" t="s">
        <v>74</v>
      </c>
      <c r="G198">
        <v>2</v>
      </c>
      <c r="H198">
        <v>993.58</v>
      </c>
    </row>
    <row r="199" spans="1:8" x14ac:dyDescent="0.3">
      <c r="A199" t="s">
        <v>594</v>
      </c>
      <c r="B199" s="39">
        <v>36427.29</v>
      </c>
      <c r="C199" t="s">
        <v>69</v>
      </c>
      <c r="D199">
        <v>24</v>
      </c>
      <c r="E199" s="39">
        <v>1435.01</v>
      </c>
      <c r="F199" t="s">
        <v>74</v>
      </c>
      <c r="G199">
        <v>2</v>
      </c>
      <c r="H199">
        <v>993.58</v>
      </c>
    </row>
    <row r="200" spans="1:8" x14ac:dyDescent="0.3">
      <c r="A200" t="s">
        <v>593</v>
      </c>
      <c r="B200" s="39">
        <v>25833.09</v>
      </c>
      <c r="C200" t="s">
        <v>29</v>
      </c>
      <c r="D200">
        <v>24</v>
      </c>
      <c r="E200" s="39">
        <v>993.58</v>
      </c>
      <c r="F200" t="s">
        <v>74</v>
      </c>
      <c r="G200">
        <v>2</v>
      </c>
      <c r="H200">
        <v>993.58</v>
      </c>
    </row>
    <row r="201" spans="1:8" x14ac:dyDescent="0.3">
      <c r="A201" t="s">
        <v>598</v>
      </c>
      <c r="B201" s="39">
        <v>36427.29</v>
      </c>
      <c r="C201" t="s">
        <v>69</v>
      </c>
      <c r="D201">
        <v>24</v>
      </c>
      <c r="E201" s="39">
        <v>1435.01</v>
      </c>
      <c r="F201" t="s">
        <v>74</v>
      </c>
      <c r="G201">
        <v>2</v>
      </c>
      <c r="H201">
        <v>993.58</v>
      </c>
    </row>
    <row r="202" spans="1:8" x14ac:dyDescent="0.3">
      <c r="A202" t="s">
        <v>597</v>
      </c>
      <c r="B202" s="39">
        <v>31134.5</v>
      </c>
      <c r="C202" t="s">
        <v>31</v>
      </c>
      <c r="D202">
        <v>24</v>
      </c>
      <c r="E202" s="39">
        <v>1214.47</v>
      </c>
      <c r="F202" t="s">
        <v>74</v>
      </c>
      <c r="G202">
        <v>2</v>
      </c>
      <c r="H202">
        <v>993.58</v>
      </c>
    </row>
    <row r="203" spans="1:8" x14ac:dyDescent="0.3">
      <c r="A203" t="s">
        <v>599</v>
      </c>
      <c r="B203" s="39">
        <v>31134.5</v>
      </c>
      <c r="C203" t="s">
        <v>31</v>
      </c>
      <c r="D203">
        <v>24</v>
      </c>
      <c r="E203" s="39">
        <v>1214.47</v>
      </c>
      <c r="F203" t="s">
        <v>74</v>
      </c>
      <c r="G203">
        <v>2</v>
      </c>
      <c r="H203">
        <v>993.58</v>
      </c>
    </row>
    <row r="204" spans="1:8" x14ac:dyDescent="0.3">
      <c r="A204" t="s">
        <v>605</v>
      </c>
      <c r="B204" s="39">
        <v>36427.29</v>
      </c>
      <c r="C204" t="s">
        <v>69</v>
      </c>
      <c r="D204">
        <v>24</v>
      </c>
      <c r="E204" s="39">
        <v>1435.01</v>
      </c>
      <c r="F204" t="s">
        <v>74</v>
      </c>
      <c r="G204">
        <v>2</v>
      </c>
      <c r="H204">
        <v>993.58</v>
      </c>
    </row>
    <row r="205" spans="1:8" x14ac:dyDescent="0.3">
      <c r="A205" t="s">
        <v>604</v>
      </c>
      <c r="B205" s="39">
        <v>31134.5</v>
      </c>
      <c r="C205" t="s">
        <v>31</v>
      </c>
      <c r="D205">
        <v>24</v>
      </c>
      <c r="E205" s="39">
        <v>1214.47</v>
      </c>
      <c r="F205" t="s">
        <v>74</v>
      </c>
      <c r="G205">
        <v>2</v>
      </c>
      <c r="H205">
        <v>993.58</v>
      </c>
    </row>
    <row r="206" spans="1:8" x14ac:dyDescent="0.3">
      <c r="A206" t="s">
        <v>607</v>
      </c>
      <c r="B206" s="39">
        <v>31134.5</v>
      </c>
      <c r="C206" t="s">
        <v>31</v>
      </c>
      <c r="D206">
        <v>24</v>
      </c>
      <c r="E206" s="39">
        <v>1214.47</v>
      </c>
      <c r="F206" t="s">
        <v>74</v>
      </c>
      <c r="G206">
        <v>2</v>
      </c>
      <c r="H206">
        <v>993.58</v>
      </c>
    </row>
    <row r="207" spans="1:8" x14ac:dyDescent="0.3">
      <c r="A207" t="s">
        <v>600</v>
      </c>
      <c r="B207" s="39">
        <v>31134.5</v>
      </c>
      <c r="C207" t="s">
        <v>31</v>
      </c>
      <c r="D207">
        <v>24</v>
      </c>
      <c r="E207" s="39">
        <v>1214.47</v>
      </c>
      <c r="F207" t="s">
        <v>74</v>
      </c>
      <c r="G207">
        <v>2</v>
      </c>
      <c r="H207">
        <v>993.58</v>
      </c>
    </row>
    <row r="208" spans="1:8" x14ac:dyDescent="0.3">
      <c r="A208" t="s">
        <v>615</v>
      </c>
      <c r="B208" s="39">
        <v>36427.29</v>
      </c>
      <c r="C208" t="s">
        <v>69</v>
      </c>
      <c r="D208">
        <v>24</v>
      </c>
      <c r="E208" s="39">
        <v>1435.01</v>
      </c>
      <c r="F208" t="s">
        <v>74</v>
      </c>
      <c r="G208">
        <v>2</v>
      </c>
      <c r="H208">
        <v>993.58</v>
      </c>
    </row>
    <row r="209" spans="1:8" x14ac:dyDescent="0.3">
      <c r="A209" t="s">
        <v>606</v>
      </c>
      <c r="B209" s="39">
        <v>36427.29</v>
      </c>
      <c r="C209" t="s">
        <v>69</v>
      </c>
      <c r="D209">
        <v>24</v>
      </c>
      <c r="E209" s="39">
        <v>1435.01</v>
      </c>
      <c r="F209" t="s">
        <v>74</v>
      </c>
      <c r="G209">
        <v>2</v>
      </c>
      <c r="H209">
        <v>993.58</v>
      </c>
    </row>
    <row r="210" spans="1:8" x14ac:dyDescent="0.3">
      <c r="A210" t="s">
        <v>603</v>
      </c>
      <c r="B210" s="39">
        <v>36427.29</v>
      </c>
      <c r="C210" t="s">
        <v>69</v>
      </c>
      <c r="D210">
        <v>24</v>
      </c>
      <c r="E210" s="39">
        <v>1435.01</v>
      </c>
      <c r="F210" t="s">
        <v>74</v>
      </c>
      <c r="G210">
        <v>2</v>
      </c>
      <c r="H210">
        <v>993.58</v>
      </c>
    </row>
    <row r="211" spans="1:8" x14ac:dyDescent="0.3">
      <c r="A211" t="s">
        <v>610</v>
      </c>
      <c r="B211" s="39">
        <v>31134.5</v>
      </c>
      <c r="C211" t="s">
        <v>31</v>
      </c>
      <c r="D211">
        <v>24</v>
      </c>
      <c r="E211" s="39">
        <v>1214.47</v>
      </c>
      <c r="F211" t="s">
        <v>74</v>
      </c>
      <c r="G211">
        <v>2</v>
      </c>
      <c r="H211">
        <v>993.58</v>
      </c>
    </row>
    <row r="212" spans="1:8" x14ac:dyDescent="0.3">
      <c r="A212" t="s">
        <v>608</v>
      </c>
      <c r="B212" s="39">
        <v>31134.5</v>
      </c>
      <c r="C212" t="s">
        <v>31</v>
      </c>
      <c r="D212">
        <v>24</v>
      </c>
      <c r="E212" s="39">
        <v>1214.47</v>
      </c>
      <c r="F212" t="s">
        <v>74</v>
      </c>
      <c r="G212">
        <v>2</v>
      </c>
      <c r="H212">
        <v>993.58</v>
      </c>
    </row>
    <row r="213" spans="1:8" x14ac:dyDescent="0.3">
      <c r="A213" t="s">
        <v>609</v>
      </c>
      <c r="B213" s="39">
        <v>31134.5</v>
      </c>
      <c r="C213" t="s">
        <v>31</v>
      </c>
      <c r="D213">
        <v>24</v>
      </c>
      <c r="E213" s="39">
        <v>1214.47</v>
      </c>
      <c r="F213" t="s">
        <v>74</v>
      </c>
      <c r="G213">
        <v>2</v>
      </c>
      <c r="H213">
        <v>993.58</v>
      </c>
    </row>
    <row r="214" spans="1:8" x14ac:dyDescent="0.3">
      <c r="A214" t="s">
        <v>612</v>
      </c>
      <c r="B214" s="39">
        <v>36427.29</v>
      </c>
      <c r="C214" t="s">
        <v>69</v>
      </c>
      <c r="D214">
        <v>24</v>
      </c>
      <c r="E214" s="39">
        <v>1435.01</v>
      </c>
      <c r="F214" t="s">
        <v>74</v>
      </c>
      <c r="G214">
        <v>2</v>
      </c>
      <c r="H214">
        <v>993.58</v>
      </c>
    </row>
    <row r="215" spans="1:8" x14ac:dyDescent="0.3">
      <c r="A215" t="s">
        <v>614</v>
      </c>
      <c r="B215" s="39">
        <v>31134.5</v>
      </c>
      <c r="C215" t="s">
        <v>31</v>
      </c>
      <c r="D215">
        <v>24</v>
      </c>
      <c r="E215" s="39">
        <v>1214.47</v>
      </c>
      <c r="F215" t="s">
        <v>74</v>
      </c>
      <c r="G215">
        <v>2</v>
      </c>
      <c r="H215">
        <v>993.58</v>
      </c>
    </row>
    <row r="216" spans="1:8" x14ac:dyDescent="0.3">
      <c r="A216" t="s">
        <v>611</v>
      </c>
      <c r="B216" s="39">
        <v>36427.29</v>
      </c>
      <c r="C216" t="s">
        <v>69</v>
      </c>
      <c r="D216">
        <v>24</v>
      </c>
      <c r="E216" s="39">
        <v>1435.01</v>
      </c>
      <c r="F216" t="s">
        <v>74</v>
      </c>
      <c r="G216">
        <v>2</v>
      </c>
      <c r="H216">
        <v>993.58</v>
      </c>
    </row>
    <row r="217" spans="1:8" x14ac:dyDescent="0.3">
      <c r="A217" t="s">
        <v>616</v>
      </c>
      <c r="B217" s="39">
        <v>31134.5</v>
      </c>
      <c r="C217" t="s">
        <v>31</v>
      </c>
      <c r="D217">
        <v>24</v>
      </c>
      <c r="E217" s="39">
        <v>1214.47</v>
      </c>
      <c r="F217" t="s">
        <v>74</v>
      </c>
      <c r="G217">
        <v>2</v>
      </c>
      <c r="H217">
        <v>993.58</v>
      </c>
    </row>
    <row r="218" spans="1:8" x14ac:dyDescent="0.3">
      <c r="A218" t="s">
        <v>622</v>
      </c>
      <c r="B218" s="39">
        <v>36427.29</v>
      </c>
      <c r="C218" t="s">
        <v>69</v>
      </c>
      <c r="D218">
        <v>24</v>
      </c>
      <c r="E218" s="39">
        <v>1435.01</v>
      </c>
      <c r="F218" t="s">
        <v>74</v>
      </c>
      <c r="G218">
        <v>2</v>
      </c>
      <c r="H218">
        <v>993.58</v>
      </c>
    </row>
    <row r="219" spans="1:8" x14ac:dyDescent="0.3">
      <c r="A219" t="s">
        <v>618</v>
      </c>
      <c r="B219" s="39">
        <v>31134.5</v>
      </c>
      <c r="C219" t="s">
        <v>31</v>
      </c>
      <c r="D219">
        <v>24</v>
      </c>
      <c r="E219" s="39">
        <v>1214.47</v>
      </c>
      <c r="F219" t="s">
        <v>74</v>
      </c>
      <c r="G219">
        <v>2</v>
      </c>
      <c r="H219" s="39">
        <v>993.58</v>
      </c>
    </row>
    <row r="220" spans="1:8" x14ac:dyDescent="0.3">
      <c r="A220" t="s">
        <v>617</v>
      </c>
      <c r="B220" s="39">
        <v>31134.5</v>
      </c>
      <c r="C220" t="s">
        <v>31</v>
      </c>
      <c r="D220">
        <v>24</v>
      </c>
      <c r="E220" s="39">
        <v>1214.47</v>
      </c>
      <c r="F220" t="s">
        <v>74</v>
      </c>
      <c r="G220">
        <v>2</v>
      </c>
      <c r="H220" s="39">
        <v>993.58</v>
      </c>
    </row>
    <row r="221" spans="1:8" x14ac:dyDescent="0.3">
      <c r="A221" t="s">
        <v>623</v>
      </c>
      <c r="B221" s="39">
        <v>36427.29</v>
      </c>
      <c r="C221" t="s">
        <v>69</v>
      </c>
      <c r="D221">
        <v>24</v>
      </c>
      <c r="E221" s="39">
        <v>1435.01</v>
      </c>
      <c r="F221" t="s">
        <v>74</v>
      </c>
      <c r="G221">
        <v>2</v>
      </c>
      <c r="H221" s="39">
        <v>993.58</v>
      </c>
    </row>
    <row r="222" spans="1:8" x14ac:dyDescent="0.3">
      <c r="A222" t="s">
        <v>620</v>
      </c>
      <c r="B222" s="39">
        <v>31134.5</v>
      </c>
      <c r="C222" t="s">
        <v>31</v>
      </c>
      <c r="D222">
        <v>24</v>
      </c>
      <c r="E222" s="39">
        <v>1214.47</v>
      </c>
      <c r="F222" t="s">
        <v>74</v>
      </c>
      <c r="G222">
        <v>2</v>
      </c>
      <c r="H222" s="39">
        <v>993.58</v>
      </c>
    </row>
    <row r="223" spans="1:8" x14ac:dyDescent="0.3">
      <c r="A223" t="s">
        <v>619</v>
      </c>
      <c r="B223" s="39">
        <v>36427.29</v>
      </c>
      <c r="C223" t="s">
        <v>69</v>
      </c>
      <c r="D223">
        <v>24</v>
      </c>
      <c r="E223" s="39">
        <v>1435.01</v>
      </c>
      <c r="F223" t="s">
        <v>74</v>
      </c>
      <c r="G223">
        <v>2</v>
      </c>
      <c r="H223">
        <v>993.58</v>
      </c>
    </row>
    <row r="224" spans="1:8" x14ac:dyDescent="0.3">
      <c r="A224" t="s">
        <v>624</v>
      </c>
      <c r="B224" s="39">
        <v>49010.21</v>
      </c>
      <c r="C224" t="s">
        <v>35</v>
      </c>
      <c r="D224">
        <v>24</v>
      </c>
      <c r="E224" s="39">
        <v>1876.57</v>
      </c>
      <c r="F224" t="s">
        <v>79</v>
      </c>
      <c r="G224">
        <v>2</v>
      </c>
      <c r="H224" s="39">
        <v>1986.23</v>
      </c>
    </row>
    <row r="225" spans="1:8" x14ac:dyDescent="0.3">
      <c r="A225" t="s">
        <v>625</v>
      </c>
      <c r="B225" s="39">
        <v>49010.21</v>
      </c>
      <c r="C225" t="s">
        <v>35</v>
      </c>
      <c r="D225">
        <v>24</v>
      </c>
      <c r="E225" s="39">
        <v>1876.57</v>
      </c>
      <c r="F225" t="s">
        <v>79</v>
      </c>
      <c r="G225">
        <v>2</v>
      </c>
      <c r="H225" s="39">
        <v>1986.23</v>
      </c>
    </row>
    <row r="226" spans="1:8" x14ac:dyDescent="0.3">
      <c r="A226" t="s">
        <v>626</v>
      </c>
      <c r="B226" s="39">
        <v>49010.21</v>
      </c>
      <c r="C226" t="s">
        <v>35</v>
      </c>
      <c r="D226">
        <v>24</v>
      </c>
      <c r="E226" s="39">
        <v>1876.57</v>
      </c>
      <c r="F226" t="s">
        <v>79</v>
      </c>
      <c r="G226">
        <v>2</v>
      </c>
      <c r="H226" s="39">
        <v>1986.23</v>
      </c>
    </row>
    <row r="227" spans="1:8" x14ac:dyDescent="0.3">
      <c r="A227" t="s">
        <v>629</v>
      </c>
      <c r="B227" s="39">
        <v>49010.21</v>
      </c>
      <c r="C227" t="s">
        <v>35</v>
      </c>
      <c r="D227">
        <v>24</v>
      </c>
      <c r="E227" s="39">
        <v>1876.57</v>
      </c>
      <c r="F227" t="s">
        <v>79</v>
      </c>
      <c r="G227">
        <v>2</v>
      </c>
      <c r="H227" s="39">
        <v>1986.23</v>
      </c>
    </row>
    <row r="228" spans="1:8" x14ac:dyDescent="0.3">
      <c r="A228" t="s">
        <v>627</v>
      </c>
      <c r="B228" s="39">
        <v>33777.589999999997</v>
      </c>
      <c r="C228" t="s">
        <v>43</v>
      </c>
      <c r="D228">
        <v>24</v>
      </c>
      <c r="E228" s="39">
        <v>1324.6</v>
      </c>
      <c r="F228" t="s">
        <v>74</v>
      </c>
      <c r="G228">
        <v>2</v>
      </c>
      <c r="H228">
        <v>993.58</v>
      </c>
    </row>
    <row r="229" spans="1:8" x14ac:dyDescent="0.3">
      <c r="A229" t="s">
        <v>631</v>
      </c>
      <c r="B229" s="39">
        <v>33777.589999999997</v>
      </c>
      <c r="C229" t="s">
        <v>43</v>
      </c>
      <c r="D229">
        <v>24</v>
      </c>
      <c r="E229" s="39">
        <v>1324.6</v>
      </c>
      <c r="F229" t="s">
        <v>74</v>
      </c>
      <c r="G229">
        <v>2</v>
      </c>
      <c r="H229">
        <v>993.58</v>
      </c>
    </row>
    <row r="230" spans="1:8" x14ac:dyDescent="0.3">
      <c r="A230" t="s">
        <v>628</v>
      </c>
      <c r="B230" s="39">
        <v>56958.12</v>
      </c>
      <c r="C230" t="s">
        <v>47</v>
      </c>
      <c r="D230">
        <v>24</v>
      </c>
      <c r="E230" s="39">
        <v>2207.7399999999998</v>
      </c>
      <c r="F230" t="s">
        <v>79</v>
      </c>
      <c r="G230">
        <v>2</v>
      </c>
      <c r="H230" s="39">
        <v>1986.23</v>
      </c>
    </row>
    <row r="231" spans="1:8" x14ac:dyDescent="0.3">
      <c r="A231" t="s">
        <v>632</v>
      </c>
      <c r="B231" s="39">
        <v>56958.12</v>
      </c>
      <c r="C231" t="s">
        <v>47</v>
      </c>
      <c r="D231">
        <v>24</v>
      </c>
      <c r="E231" s="39">
        <v>2207.7399999999998</v>
      </c>
      <c r="F231" t="s">
        <v>79</v>
      </c>
      <c r="G231">
        <v>2</v>
      </c>
      <c r="H231" s="39">
        <v>1986.23</v>
      </c>
    </row>
    <row r="232" spans="1:8" x14ac:dyDescent="0.3">
      <c r="A232" t="s">
        <v>630</v>
      </c>
      <c r="B232" s="39">
        <v>33777.589999999997</v>
      </c>
      <c r="C232" t="s">
        <v>43</v>
      </c>
      <c r="D232">
        <v>24</v>
      </c>
      <c r="E232" s="39">
        <v>1324.6</v>
      </c>
      <c r="F232" t="s">
        <v>74</v>
      </c>
      <c r="G232">
        <v>2</v>
      </c>
      <c r="H232">
        <v>993.58</v>
      </c>
    </row>
    <row r="233" spans="1:8" x14ac:dyDescent="0.3">
      <c r="A233" t="s">
        <v>634</v>
      </c>
      <c r="B233" s="39">
        <v>25391.29</v>
      </c>
      <c r="C233" t="s">
        <v>29</v>
      </c>
      <c r="D233">
        <v>24</v>
      </c>
      <c r="E233">
        <v>993.58</v>
      </c>
      <c r="F233" t="s">
        <v>89</v>
      </c>
      <c r="G233">
        <v>2</v>
      </c>
      <c r="H233">
        <v>772.68</v>
      </c>
    </row>
    <row r="234" spans="1:8" x14ac:dyDescent="0.3">
      <c r="A234" t="s">
        <v>633</v>
      </c>
      <c r="B234" s="39">
        <v>30692.7</v>
      </c>
      <c r="C234" t="s">
        <v>31</v>
      </c>
      <c r="D234">
        <v>24</v>
      </c>
      <c r="E234" s="39">
        <v>1214.47</v>
      </c>
      <c r="F234" t="s">
        <v>89</v>
      </c>
      <c r="G234">
        <v>2</v>
      </c>
      <c r="H234">
        <v>772.68</v>
      </c>
    </row>
    <row r="235" spans="1:8" x14ac:dyDescent="0.3">
      <c r="A235" t="s">
        <v>635</v>
      </c>
      <c r="B235" s="39">
        <v>30692.7</v>
      </c>
      <c r="C235" t="s">
        <v>31</v>
      </c>
      <c r="D235">
        <v>24</v>
      </c>
      <c r="E235" s="39">
        <v>1214.47</v>
      </c>
      <c r="F235" t="s">
        <v>89</v>
      </c>
      <c r="G235">
        <v>2</v>
      </c>
      <c r="H235">
        <v>772.68</v>
      </c>
    </row>
    <row r="236" spans="1:8" x14ac:dyDescent="0.3">
      <c r="A236" t="s">
        <v>636</v>
      </c>
      <c r="B236" s="39">
        <v>30692.7</v>
      </c>
      <c r="C236" t="s">
        <v>31</v>
      </c>
      <c r="D236">
        <v>24</v>
      </c>
      <c r="E236" s="39">
        <v>1214.47</v>
      </c>
      <c r="F236" t="s">
        <v>89</v>
      </c>
      <c r="G236">
        <v>2</v>
      </c>
      <c r="H236">
        <v>772.68</v>
      </c>
    </row>
    <row r="237" spans="1:8" x14ac:dyDescent="0.3">
      <c r="A237" t="s">
        <v>640</v>
      </c>
      <c r="B237" s="39">
        <v>29147.34</v>
      </c>
      <c r="C237" t="s">
        <v>31</v>
      </c>
      <c r="D237">
        <v>24</v>
      </c>
      <c r="E237" s="39">
        <v>1214.47</v>
      </c>
    </row>
    <row r="238" spans="1:8" x14ac:dyDescent="0.3">
      <c r="A238" t="s">
        <v>637</v>
      </c>
      <c r="B238" s="39">
        <v>27374.11</v>
      </c>
      <c r="C238" t="s">
        <v>41</v>
      </c>
      <c r="D238">
        <v>24</v>
      </c>
      <c r="E238" s="39">
        <v>1076.2</v>
      </c>
      <c r="F238" t="s">
        <v>89</v>
      </c>
      <c r="G238">
        <v>2</v>
      </c>
      <c r="H238">
        <v>772.68</v>
      </c>
    </row>
    <row r="239" spans="1:8" x14ac:dyDescent="0.3">
      <c r="A239" t="s">
        <v>638</v>
      </c>
      <c r="B239" s="39">
        <v>13242.7</v>
      </c>
      <c r="C239" t="s">
        <v>24</v>
      </c>
      <c r="D239">
        <v>24</v>
      </c>
      <c r="E239" s="39">
        <v>551.78</v>
      </c>
    </row>
    <row r="240" spans="1:8" x14ac:dyDescent="0.3">
      <c r="A240" t="s">
        <v>639</v>
      </c>
      <c r="B240" s="39">
        <v>18544.32</v>
      </c>
      <c r="C240" t="s">
        <v>27</v>
      </c>
      <c r="D240">
        <v>24</v>
      </c>
      <c r="E240">
        <v>772.68</v>
      </c>
    </row>
    <row r="241" spans="1:11" x14ac:dyDescent="0.3">
      <c r="A241" t="s">
        <v>642</v>
      </c>
      <c r="B241" s="39">
        <v>19647.88</v>
      </c>
      <c r="C241" t="s">
        <v>27</v>
      </c>
      <c r="D241">
        <v>24</v>
      </c>
      <c r="E241">
        <v>772.68</v>
      </c>
      <c r="F241" t="s">
        <v>99</v>
      </c>
      <c r="G241">
        <v>2</v>
      </c>
      <c r="H241">
        <v>551.78</v>
      </c>
    </row>
    <row r="242" spans="1:11" x14ac:dyDescent="0.3">
      <c r="A242" t="s">
        <v>641</v>
      </c>
      <c r="B242" s="39">
        <v>58938.18</v>
      </c>
      <c r="C242" t="s">
        <v>57</v>
      </c>
      <c r="D242">
        <v>24</v>
      </c>
      <c r="E242" s="39">
        <v>1986.93</v>
      </c>
      <c r="F242" t="s">
        <v>119</v>
      </c>
      <c r="G242">
        <v>2</v>
      </c>
      <c r="H242" s="39">
        <v>1324.46</v>
      </c>
      <c r="I242" t="s">
        <v>137</v>
      </c>
      <c r="J242">
        <v>26</v>
      </c>
      <c r="K242">
        <v>330.88</v>
      </c>
    </row>
    <row r="243" spans="1:11" x14ac:dyDescent="0.3">
      <c r="A243" t="s">
        <v>643</v>
      </c>
      <c r="B243" s="39">
        <v>58938.18</v>
      </c>
      <c r="C243" t="s">
        <v>57</v>
      </c>
      <c r="D243">
        <v>24</v>
      </c>
      <c r="E243" s="39">
        <v>1986.93</v>
      </c>
      <c r="F243" t="s">
        <v>119</v>
      </c>
      <c r="G243">
        <v>2</v>
      </c>
      <c r="H243" s="39">
        <v>1324.46</v>
      </c>
      <c r="I243" t="s">
        <v>137</v>
      </c>
      <c r="J243">
        <v>26</v>
      </c>
      <c r="K243">
        <v>330.88</v>
      </c>
    </row>
    <row r="244" spans="1:11" x14ac:dyDescent="0.3">
      <c r="A244" t="s">
        <v>644</v>
      </c>
      <c r="B244" s="39">
        <v>40399.269999999997</v>
      </c>
      <c r="C244" t="s">
        <v>31</v>
      </c>
      <c r="D244">
        <v>24</v>
      </c>
      <c r="E244" s="39">
        <v>1214.47</v>
      </c>
      <c r="F244" t="s">
        <v>110</v>
      </c>
      <c r="G244">
        <v>2</v>
      </c>
      <c r="H244" s="39">
        <v>1324.46</v>
      </c>
      <c r="I244" t="s">
        <v>137</v>
      </c>
      <c r="J244">
        <v>26</v>
      </c>
      <c r="K244">
        <v>330.88</v>
      </c>
    </row>
    <row r="245" spans="1:11" x14ac:dyDescent="0.3">
      <c r="A245" t="s">
        <v>649</v>
      </c>
      <c r="B245" s="39">
        <v>23845.93</v>
      </c>
      <c r="C245" t="s">
        <v>65</v>
      </c>
      <c r="D245">
        <v>22</v>
      </c>
      <c r="E245">
        <v>993.58</v>
      </c>
      <c r="F245" t="s">
        <v>72</v>
      </c>
      <c r="G245">
        <v>2</v>
      </c>
      <c r="H245">
        <v>993.58</v>
      </c>
    </row>
    <row r="246" spans="1:11" x14ac:dyDescent="0.3">
      <c r="A246" t="s">
        <v>647</v>
      </c>
      <c r="B246" s="39">
        <v>40399.269999999997</v>
      </c>
      <c r="C246" t="s">
        <v>31</v>
      </c>
      <c r="D246">
        <v>24</v>
      </c>
      <c r="E246" s="39">
        <v>1214.47</v>
      </c>
      <c r="F246" t="s">
        <v>110</v>
      </c>
      <c r="G246">
        <v>2</v>
      </c>
      <c r="H246" s="39">
        <v>1324.46</v>
      </c>
      <c r="I246" t="s">
        <v>137</v>
      </c>
      <c r="J246">
        <v>26</v>
      </c>
      <c r="K246">
        <v>330.88</v>
      </c>
    </row>
    <row r="247" spans="1:11" x14ac:dyDescent="0.3">
      <c r="A247" t="s">
        <v>648</v>
      </c>
      <c r="B247" s="39">
        <v>28705.56</v>
      </c>
      <c r="C247" t="s">
        <v>31</v>
      </c>
      <c r="D247">
        <v>22</v>
      </c>
      <c r="E247" s="39">
        <v>1214.47</v>
      </c>
      <c r="F247" t="s">
        <v>74</v>
      </c>
      <c r="G247">
        <v>2</v>
      </c>
      <c r="H247">
        <v>993.58</v>
      </c>
    </row>
    <row r="248" spans="1:11" x14ac:dyDescent="0.3">
      <c r="A248" t="s">
        <v>646</v>
      </c>
      <c r="B248" s="39">
        <v>40399.269999999997</v>
      </c>
      <c r="C248" t="s">
        <v>31</v>
      </c>
      <c r="D248">
        <v>24</v>
      </c>
      <c r="E248" s="39">
        <v>1214.47</v>
      </c>
      <c r="F248" t="s">
        <v>110</v>
      </c>
      <c r="G248">
        <v>2</v>
      </c>
      <c r="H248" s="39">
        <v>1324.46</v>
      </c>
      <c r="I248" t="s">
        <v>137</v>
      </c>
      <c r="J248">
        <v>26</v>
      </c>
      <c r="K248">
        <v>330.88</v>
      </c>
    </row>
    <row r="249" spans="1:11" x14ac:dyDescent="0.3">
      <c r="A249" t="s">
        <v>645</v>
      </c>
      <c r="B249" s="39">
        <v>40399.269999999997</v>
      </c>
      <c r="C249" t="s">
        <v>31</v>
      </c>
      <c r="D249">
        <v>24</v>
      </c>
      <c r="E249" s="39">
        <v>1214.47</v>
      </c>
      <c r="F249" t="s">
        <v>110</v>
      </c>
      <c r="G249">
        <v>2</v>
      </c>
      <c r="H249" s="39">
        <v>1324.46</v>
      </c>
      <c r="I249" t="s">
        <v>137</v>
      </c>
      <c r="J249">
        <v>26</v>
      </c>
      <c r="K249">
        <v>330.88</v>
      </c>
    </row>
    <row r="250" spans="1:11" x14ac:dyDescent="0.3">
      <c r="A250" t="s">
        <v>650</v>
      </c>
      <c r="B250" s="39">
        <v>27491.09</v>
      </c>
      <c r="C250" t="s">
        <v>31</v>
      </c>
      <c r="D250">
        <v>21</v>
      </c>
      <c r="E250" s="39">
        <v>1214.47</v>
      </c>
      <c r="F250" t="s">
        <v>74</v>
      </c>
      <c r="G250">
        <v>2</v>
      </c>
      <c r="H250">
        <v>993.58</v>
      </c>
    </row>
    <row r="251" spans="1:11" x14ac:dyDescent="0.3">
      <c r="A251" t="s">
        <v>651</v>
      </c>
      <c r="B251" s="39">
        <v>41725.699999999997</v>
      </c>
      <c r="C251" t="s">
        <v>57</v>
      </c>
      <c r="D251">
        <v>20</v>
      </c>
      <c r="E251" s="39">
        <v>1986.93</v>
      </c>
      <c r="F251" t="s">
        <v>83</v>
      </c>
      <c r="G251">
        <v>2</v>
      </c>
      <c r="H251">
        <v>993.58</v>
      </c>
    </row>
    <row r="252" spans="1:11" x14ac:dyDescent="0.3">
      <c r="A252" t="s">
        <v>652</v>
      </c>
      <c r="B252" s="39">
        <v>17440.759999999998</v>
      </c>
      <c r="C252" t="s">
        <v>27</v>
      </c>
      <c r="D252">
        <v>20</v>
      </c>
      <c r="E252">
        <v>772.68</v>
      </c>
      <c r="F252" t="s">
        <v>72</v>
      </c>
      <c r="G252">
        <v>2</v>
      </c>
      <c r="H252">
        <v>993.58</v>
      </c>
    </row>
    <row r="253" spans="1:11" x14ac:dyDescent="0.3">
      <c r="A253" t="s">
        <v>655</v>
      </c>
      <c r="B253" s="39">
        <v>17440.759999999998</v>
      </c>
      <c r="C253" t="s">
        <v>27</v>
      </c>
      <c r="D253">
        <v>20</v>
      </c>
      <c r="E253">
        <v>772.68</v>
      </c>
      <c r="F253" t="s">
        <v>72</v>
      </c>
      <c r="G253">
        <v>2</v>
      </c>
      <c r="H253">
        <v>993.58</v>
      </c>
    </row>
    <row r="254" spans="1:11" x14ac:dyDescent="0.3">
      <c r="A254" t="s">
        <v>654</v>
      </c>
      <c r="B254" s="39">
        <v>17440.759999999998</v>
      </c>
      <c r="C254" t="s">
        <v>27</v>
      </c>
      <c r="D254">
        <v>20</v>
      </c>
      <c r="E254">
        <v>772.68</v>
      </c>
      <c r="F254" t="s">
        <v>72</v>
      </c>
      <c r="G254">
        <v>2</v>
      </c>
      <c r="H254">
        <v>993.58</v>
      </c>
    </row>
    <row r="255" spans="1:11" x14ac:dyDescent="0.3">
      <c r="A255" t="s">
        <v>656</v>
      </c>
      <c r="B255" s="39">
        <v>17440.759999999998</v>
      </c>
      <c r="C255" t="s">
        <v>27</v>
      </c>
      <c r="D255">
        <v>20</v>
      </c>
      <c r="E255">
        <v>772.68</v>
      </c>
      <c r="F255" t="s">
        <v>72</v>
      </c>
      <c r="G255">
        <v>2</v>
      </c>
      <c r="H255">
        <v>993.58</v>
      </c>
    </row>
    <row r="256" spans="1:11" x14ac:dyDescent="0.3">
      <c r="A256" t="s">
        <v>653</v>
      </c>
      <c r="B256" s="39">
        <v>21858.77</v>
      </c>
      <c r="C256" t="s">
        <v>65</v>
      </c>
      <c r="D256">
        <v>20</v>
      </c>
      <c r="E256">
        <v>993.58</v>
      </c>
      <c r="F256" t="s">
        <v>72</v>
      </c>
      <c r="G256">
        <v>2</v>
      </c>
      <c r="H256">
        <v>993.58</v>
      </c>
    </row>
    <row r="257" spans="1:11" x14ac:dyDescent="0.3">
      <c r="A257" t="s">
        <v>657</v>
      </c>
      <c r="B257" s="39">
        <v>17440.759999999998</v>
      </c>
      <c r="C257" t="s">
        <v>27</v>
      </c>
      <c r="D257">
        <v>20</v>
      </c>
      <c r="E257" s="39">
        <v>772.68</v>
      </c>
      <c r="F257" t="s">
        <v>72</v>
      </c>
      <c r="G257">
        <v>2</v>
      </c>
      <c r="H257">
        <v>993.58</v>
      </c>
    </row>
    <row r="258" spans="1:11" x14ac:dyDescent="0.3">
      <c r="A258" t="s">
        <v>658</v>
      </c>
      <c r="B258" s="39">
        <v>17440.759999999998</v>
      </c>
      <c r="C258" t="s">
        <v>27</v>
      </c>
      <c r="D258">
        <v>20</v>
      </c>
      <c r="E258">
        <v>772.68</v>
      </c>
      <c r="F258" t="s">
        <v>72</v>
      </c>
      <c r="G258">
        <v>2</v>
      </c>
      <c r="H258">
        <v>993.58</v>
      </c>
    </row>
    <row r="259" spans="1:11" x14ac:dyDescent="0.3">
      <c r="A259" t="s">
        <v>659</v>
      </c>
      <c r="B259" s="39">
        <v>21858.77</v>
      </c>
      <c r="C259" t="s">
        <v>29</v>
      </c>
      <c r="D259">
        <v>20</v>
      </c>
      <c r="E259">
        <v>993.58</v>
      </c>
      <c r="F259" t="s">
        <v>74</v>
      </c>
      <c r="G259">
        <v>2</v>
      </c>
      <c r="H259">
        <v>993.58</v>
      </c>
    </row>
    <row r="260" spans="1:11" x14ac:dyDescent="0.3">
      <c r="A260" t="s">
        <v>660</v>
      </c>
      <c r="B260" s="39">
        <v>21858.77</v>
      </c>
      <c r="C260" t="s">
        <v>29</v>
      </c>
      <c r="D260">
        <v>20</v>
      </c>
      <c r="E260" s="39">
        <v>993.58</v>
      </c>
      <c r="F260" t="s">
        <v>74</v>
      </c>
      <c r="G260">
        <v>2</v>
      </c>
      <c r="H260">
        <v>993.58</v>
      </c>
    </row>
    <row r="261" spans="1:11" x14ac:dyDescent="0.3">
      <c r="A261" t="s">
        <v>662</v>
      </c>
      <c r="B261" s="39">
        <v>26276.61</v>
      </c>
      <c r="C261" t="s">
        <v>31</v>
      </c>
      <c r="D261">
        <v>20</v>
      </c>
      <c r="E261" s="39">
        <v>1214.47</v>
      </c>
      <c r="F261" t="s">
        <v>74</v>
      </c>
      <c r="G261">
        <v>2</v>
      </c>
      <c r="H261">
        <v>993.58</v>
      </c>
    </row>
    <row r="262" spans="1:11" x14ac:dyDescent="0.3">
      <c r="A262" t="s">
        <v>661</v>
      </c>
      <c r="B262" s="39">
        <v>32898.93</v>
      </c>
      <c r="C262" t="s">
        <v>31</v>
      </c>
      <c r="D262">
        <v>20</v>
      </c>
      <c r="E262" s="39">
        <v>1214.47</v>
      </c>
      <c r="F262" t="s">
        <v>74</v>
      </c>
      <c r="G262">
        <v>2</v>
      </c>
      <c r="H262">
        <v>993.58</v>
      </c>
      <c r="I262" t="s">
        <v>150</v>
      </c>
      <c r="J262">
        <v>5</v>
      </c>
      <c r="K262" s="39">
        <v>1324.46</v>
      </c>
    </row>
    <row r="263" spans="1:11" x14ac:dyDescent="0.3">
      <c r="A263" t="s">
        <v>663</v>
      </c>
      <c r="B263" s="39">
        <v>65123.32</v>
      </c>
      <c r="C263" t="s">
        <v>69</v>
      </c>
      <c r="D263">
        <v>20</v>
      </c>
      <c r="E263" s="39">
        <v>1435.01</v>
      </c>
      <c r="F263" t="s">
        <v>74</v>
      </c>
      <c r="G263">
        <v>2</v>
      </c>
      <c r="H263">
        <v>993.58</v>
      </c>
      <c r="I263" t="s">
        <v>160</v>
      </c>
      <c r="J263">
        <v>26</v>
      </c>
      <c r="K263" s="39">
        <v>1324.46</v>
      </c>
    </row>
    <row r="264" spans="1:11" x14ac:dyDescent="0.3">
      <c r="A264" t="s">
        <v>664</v>
      </c>
      <c r="B264" s="39">
        <v>26276.61</v>
      </c>
      <c r="C264" t="s">
        <v>31</v>
      </c>
      <c r="D264">
        <v>20</v>
      </c>
      <c r="E264" s="39">
        <v>1214.47</v>
      </c>
      <c r="F264" t="s">
        <v>74</v>
      </c>
      <c r="G264">
        <v>2</v>
      </c>
      <c r="H264">
        <v>993.58</v>
      </c>
    </row>
    <row r="265" spans="1:11" x14ac:dyDescent="0.3">
      <c r="A265" t="s">
        <v>666</v>
      </c>
      <c r="B265" s="39">
        <v>26276.61</v>
      </c>
      <c r="C265" t="s">
        <v>31</v>
      </c>
      <c r="D265">
        <v>20</v>
      </c>
      <c r="E265" s="39">
        <v>1214.47</v>
      </c>
      <c r="F265" t="s">
        <v>74</v>
      </c>
      <c r="G265">
        <v>2</v>
      </c>
      <c r="H265">
        <v>993.58</v>
      </c>
    </row>
    <row r="266" spans="1:11" x14ac:dyDescent="0.3">
      <c r="A266" t="s">
        <v>665</v>
      </c>
      <c r="B266" s="39">
        <v>30687.27</v>
      </c>
      <c r="C266" t="s">
        <v>69</v>
      </c>
      <c r="D266">
        <v>20</v>
      </c>
      <c r="E266" s="39">
        <v>1435.01</v>
      </c>
      <c r="F266" t="s">
        <v>74</v>
      </c>
      <c r="G266">
        <v>2</v>
      </c>
      <c r="H266">
        <v>993.58</v>
      </c>
    </row>
    <row r="267" spans="1:11" x14ac:dyDescent="0.3">
      <c r="A267" t="s">
        <v>668</v>
      </c>
      <c r="B267" s="39">
        <v>30687.27</v>
      </c>
      <c r="C267" t="s">
        <v>69</v>
      </c>
      <c r="D267">
        <v>20</v>
      </c>
      <c r="E267" s="39">
        <v>1435.01</v>
      </c>
      <c r="F267" t="s">
        <v>74</v>
      </c>
      <c r="G267">
        <v>2</v>
      </c>
      <c r="H267">
        <v>993.58</v>
      </c>
    </row>
    <row r="268" spans="1:11" x14ac:dyDescent="0.3">
      <c r="A268" t="s">
        <v>667</v>
      </c>
      <c r="B268" s="39">
        <v>26276.61</v>
      </c>
      <c r="C268" t="s">
        <v>31</v>
      </c>
      <c r="D268">
        <v>20</v>
      </c>
      <c r="E268" s="39">
        <v>1214.47</v>
      </c>
      <c r="F268" t="s">
        <v>74</v>
      </c>
      <c r="G268">
        <v>2</v>
      </c>
      <c r="H268">
        <v>993.58</v>
      </c>
    </row>
    <row r="269" spans="1:11" x14ac:dyDescent="0.3">
      <c r="A269" t="s">
        <v>670</v>
      </c>
      <c r="B269" s="39">
        <v>26276.61</v>
      </c>
      <c r="C269" t="s">
        <v>31</v>
      </c>
      <c r="D269">
        <v>20</v>
      </c>
      <c r="E269" s="39">
        <v>1214.47</v>
      </c>
      <c r="F269" t="s">
        <v>74</v>
      </c>
      <c r="G269">
        <v>2</v>
      </c>
      <c r="H269">
        <v>993.58</v>
      </c>
    </row>
    <row r="270" spans="1:11" x14ac:dyDescent="0.3">
      <c r="A270" t="s">
        <v>669</v>
      </c>
      <c r="B270" s="39">
        <v>26276.61</v>
      </c>
      <c r="C270" t="s">
        <v>31</v>
      </c>
      <c r="D270">
        <v>20</v>
      </c>
      <c r="E270" s="39">
        <v>1214.47</v>
      </c>
      <c r="F270" t="s">
        <v>74</v>
      </c>
      <c r="G270">
        <v>2</v>
      </c>
      <c r="H270">
        <v>993.58</v>
      </c>
    </row>
    <row r="271" spans="1:11" x14ac:dyDescent="0.3">
      <c r="A271" t="s">
        <v>671</v>
      </c>
      <c r="B271" s="39">
        <v>26276.61</v>
      </c>
      <c r="C271" t="s">
        <v>31</v>
      </c>
      <c r="D271">
        <v>20</v>
      </c>
      <c r="E271" s="39">
        <v>1214.47</v>
      </c>
      <c r="F271" t="s">
        <v>74</v>
      </c>
      <c r="G271">
        <v>2</v>
      </c>
      <c r="H271">
        <v>993.58</v>
      </c>
    </row>
    <row r="272" spans="1:11" x14ac:dyDescent="0.3">
      <c r="A272" t="s">
        <v>672</v>
      </c>
      <c r="B272" s="39">
        <v>30687.27</v>
      </c>
      <c r="C272" t="s">
        <v>69</v>
      </c>
      <c r="D272">
        <v>20</v>
      </c>
      <c r="E272" s="39">
        <v>1435.01</v>
      </c>
      <c r="F272" t="s">
        <v>74</v>
      </c>
      <c r="G272">
        <v>2</v>
      </c>
      <c r="H272">
        <v>993.58</v>
      </c>
    </row>
    <row r="273" spans="1:11" x14ac:dyDescent="0.3">
      <c r="A273" t="s">
        <v>674</v>
      </c>
      <c r="B273" s="39">
        <v>26276.61</v>
      </c>
      <c r="C273" t="s">
        <v>31</v>
      </c>
      <c r="D273">
        <v>20</v>
      </c>
      <c r="E273" s="39">
        <v>1214.47</v>
      </c>
      <c r="F273" t="s">
        <v>74</v>
      </c>
      <c r="G273">
        <v>2</v>
      </c>
      <c r="H273">
        <v>993.58</v>
      </c>
    </row>
    <row r="274" spans="1:11" x14ac:dyDescent="0.3">
      <c r="A274" t="s">
        <v>673</v>
      </c>
      <c r="B274" s="39">
        <v>26276.61</v>
      </c>
      <c r="C274" t="s">
        <v>31</v>
      </c>
      <c r="D274">
        <v>20</v>
      </c>
      <c r="E274" s="39">
        <v>1214.47</v>
      </c>
      <c r="F274" t="s">
        <v>74</v>
      </c>
      <c r="G274">
        <v>2</v>
      </c>
      <c r="H274">
        <v>993.58</v>
      </c>
    </row>
    <row r="275" spans="1:11" x14ac:dyDescent="0.3">
      <c r="A275" t="s">
        <v>676</v>
      </c>
      <c r="B275" s="39">
        <v>26276.61</v>
      </c>
      <c r="C275" t="s">
        <v>31</v>
      </c>
      <c r="D275">
        <v>20</v>
      </c>
      <c r="E275" s="39">
        <v>1214.47</v>
      </c>
      <c r="F275" t="s">
        <v>74</v>
      </c>
      <c r="G275">
        <v>2</v>
      </c>
      <c r="H275">
        <v>993.58</v>
      </c>
    </row>
    <row r="276" spans="1:11" x14ac:dyDescent="0.3">
      <c r="A276" t="s">
        <v>675</v>
      </c>
      <c r="B276" s="39">
        <v>30687.27</v>
      </c>
      <c r="C276" t="s">
        <v>69</v>
      </c>
      <c r="D276">
        <v>20</v>
      </c>
      <c r="E276" s="39">
        <v>1435.01</v>
      </c>
      <c r="F276" t="s">
        <v>74</v>
      </c>
      <c r="G276">
        <v>2</v>
      </c>
      <c r="H276">
        <v>993.58</v>
      </c>
    </row>
    <row r="277" spans="1:11" x14ac:dyDescent="0.3">
      <c r="A277" t="s">
        <v>678</v>
      </c>
      <c r="B277" s="39">
        <v>28479.19</v>
      </c>
      <c r="C277" t="s">
        <v>43</v>
      </c>
      <c r="D277">
        <v>20</v>
      </c>
      <c r="E277" s="39">
        <v>1324.6</v>
      </c>
      <c r="F277" t="s">
        <v>74</v>
      </c>
      <c r="G277">
        <v>2</v>
      </c>
      <c r="H277">
        <v>993.58</v>
      </c>
    </row>
    <row r="278" spans="1:11" x14ac:dyDescent="0.3">
      <c r="A278" t="s">
        <v>679</v>
      </c>
      <c r="B278" s="39">
        <v>23511.119999999999</v>
      </c>
      <c r="C278" t="s">
        <v>41</v>
      </c>
      <c r="D278">
        <v>20</v>
      </c>
      <c r="E278" s="39">
        <v>1076.2</v>
      </c>
      <c r="F278" t="s">
        <v>74</v>
      </c>
      <c r="G278">
        <v>2</v>
      </c>
      <c r="H278">
        <v>993.58</v>
      </c>
    </row>
    <row r="279" spans="1:11" x14ac:dyDescent="0.3">
      <c r="A279" t="s">
        <v>680</v>
      </c>
      <c r="B279" s="39">
        <v>25834.81</v>
      </c>
      <c r="C279" t="s">
        <v>31</v>
      </c>
      <c r="D279">
        <v>20</v>
      </c>
      <c r="E279" s="39">
        <v>1214.47</v>
      </c>
      <c r="F279" t="s">
        <v>89</v>
      </c>
      <c r="G279">
        <v>2</v>
      </c>
      <c r="H279">
        <v>772.68</v>
      </c>
    </row>
    <row r="280" spans="1:11" x14ac:dyDescent="0.3">
      <c r="A280" t="s">
        <v>681</v>
      </c>
      <c r="B280" s="39">
        <v>34217.839999999997</v>
      </c>
      <c r="C280" t="s">
        <v>31</v>
      </c>
      <c r="D280">
        <v>20</v>
      </c>
      <c r="E280" s="39">
        <v>1214.47</v>
      </c>
      <c r="F280" t="s">
        <v>110</v>
      </c>
      <c r="G280">
        <v>2</v>
      </c>
      <c r="H280" s="39">
        <v>1324.46</v>
      </c>
      <c r="I280" t="s">
        <v>137</v>
      </c>
      <c r="J280">
        <v>22</v>
      </c>
      <c r="K280">
        <v>330.88</v>
      </c>
    </row>
    <row r="281" spans="1:11" x14ac:dyDescent="0.3">
      <c r="A281" t="s">
        <v>684</v>
      </c>
      <c r="B281" s="39">
        <v>34217.839999999997</v>
      </c>
      <c r="C281" t="s">
        <v>31</v>
      </c>
      <c r="D281">
        <v>20</v>
      </c>
      <c r="E281" s="39">
        <v>1214.47</v>
      </c>
      <c r="F281" t="s">
        <v>110</v>
      </c>
      <c r="G281">
        <v>2</v>
      </c>
      <c r="H281" s="39">
        <v>1324.46</v>
      </c>
      <c r="I281" t="s">
        <v>137</v>
      </c>
      <c r="J281">
        <v>22</v>
      </c>
      <c r="K281">
        <v>330.88</v>
      </c>
    </row>
    <row r="282" spans="1:11" x14ac:dyDescent="0.3">
      <c r="A282" t="s">
        <v>682</v>
      </c>
      <c r="B282" s="39">
        <v>38628.5</v>
      </c>
      <c r="C282" t="s">
        <v>69</v>
      </c>
      <c r="D282">
        <v>20</v>
      </c>
      <c r="E282" s="39">
        <v>1435.01</v>
      </c>
      <c r="F282" t="s">
        <v>110</v>
      </c>
      <c r="G282">
        <v>2</v>
      </c>
      <c r="H282" s="39">
        <v>1324.46</v>
      </c>
      <c r="I282" t="s">
        <v>137</v>
      </c>
      <c r="J282">
        <v>22</v>
      </c>
      <c r="K282">
        <v>330.88</v>
      </c>
    </row>
    <row r="283" spans="1:11" x14ac:dyDescent="0.3">
      <c r="A283" t="s">
        <v>683</v>
      </c>
      <c r="B283" s="39">
        <v>37751.839999999997</v>
      </c>
      <c r="C283" t="s">
        <v>57</v>
      </c>
      <c r="D283">
        <v>18</v>
      </c>
      <c r="E283" s="39">
        <v>1986.93</v>
      </c>
      <c r="F283" t="s">
        <v>83</v>
      </c>
      <c r="G283">
        <v>2</v>
      </c>
      <c r="H283">
        <v>993.58</v>
      </c>
    </row>
    <row r="284" spans="1:11" x14ac:dyDescent="0.3">
      <c r="A284" t="s">
        <v>685</v>
      </c>
      <c r="B284" s="39">
        <v>37751.839999999997</v>
      </c>
      <c r="C284" t="s">
        <v>57</v>
      </c>
      <c r="D284">
        <v>18</v>
      </c>
      <c r="E284" s="39">
        <v>1986.93</v>
      </c>
      <c r="F284" t="s">
        <v>83</v>
      </c>
      <c r="G284">
        <v>2</v>
      </c>
      <c r="H284">
        <v>993.58</v>
      </c>
    </row>
    <row r="285" spans="1:11" x14ac:dyDescent="0.3">
      <c r="A285" t="s">
        <v>686</v>
      </c>
      <c r="B285" s="39">
        <v>37751.839999999997</v>
      </c>
      <c r="C285" t="s">
        <v>57</v>
      </c>
      <c r="D285">
        <v>18</v>
      </c>
      <c r="E285" s="39">
        <v>1986.93</v>
      </c>
      <c r="F285" t="s">
        <v>83</v>
      </c>
      <c r="G285">
        <v>2</v>
      </c>
      <c r="H285">
        <v>993.58</v>
      </c>
    </row>
    <row r="286" spans="1:11" x14ac:dyDescent="0.3">
      <c r="A286" t="s">
        <v>687</v>
      </c>
      <c r="B286" s="39">
        <v>11919.19</v>
      </c>
      <c r="C286" t="s">
        <v>24</v>
      </c>
      <c r="D286">
        <v>18</v>
      </c>
      <c r="E286">
        <v>551.78</v>
      </c>
      <c r="F286" t="s">
        <v>72</v>
      </c>
      <c r="G286">
        <v>2</v>
      </c>
      <c r="H286">
        <v>993.58</v>
      </c>
    </row>
    <row r="287" spans="1:11" x14ac:dyDescent="0.3">
      <c r="A287" t="s">
        <v>688</v>
      </c>
      <c r="B287" s="39">
        <v>15895.4</v>
      </c>
      <c r="C287" t="s">
        <v>27</v>
      </c>
      <c r="D287">
        <v>18</v>
      </c>
      <c r="E287">
        <v>772.68</v>
      </c>
      <c r="F287" t="s">
        <v>72</v>
      </c>
      <c r="G287">
        <v>2</v>
      </c>
      <c r="H287">
        <v>993.58</v>
      </c>
    </row>
    <row r="288" spans="1:11" x14ac:dyDescent="0.3">
      <c r="A288" t="s">
        <v>689</v>
      </c>
      <c r="B288" s="39">
        <v>15895.4</v>
      </c>
      <c r="C288" t="s">
        <v>27</v>
      </c>
      <c r="D288">
        <v>18</v>
      </c>
      <c r="E288">
        <v>772.68</v>
      </c>
      <c r="F288" t="s">
        <v>72</v>
      </c>
      <c r="G288">
        <v>2</v>
      </c>
      <c r="H288">
        <v>993.58</v>
      </c>
    </row>
    <row r="289" spans="1:8" x14ac:dyDescent="0.3">
      <c r="A289" t="s">
        <v>691</v>
      </c>
      <c r="B289" s="39">
        <v>15895.4</v>
      </c>
      <c r="C289" t="s">
        <v>27</v>
      </c>
      <c r="D289">
        <v>18</v>
      </c>
      <c r="E289">
        <v>772.68</v>
      </c>
      <c r="F289" t="s">
        <v>72</v>
      </c>
      <c r="G289">
        <v>2</v>
      </c>
      <c r="H289">
        <v>993.58</v>
      </c>
    </row>
    <row r="290" spans="1:8" x14ac:dyDescent="0.3">
      <c r="A290" t="s">
        <v>690</v>
      </c>
      <c r="B290" s="39">
        <v>15895.4</v>
      </c>
      <c r="C290" t="s">
        <v>27</v>
      </c>
      <c r="D290">
        <v>18</v>
      </c>
      <c r="E290">
        <v>772.68</v>
      </c>
      <c r="F290" t="s">
        <v>72</v>
      </c>
      <c r="G290">
        <v>2</v>
      </c>
      <c r="H290">
        <v>993.58</v>
      </c>
    </row>
    <row r="291" spans="1:8" x14ac:dyDescent="0.3">
      <c r="A291" t="s">
        <v>693</v>
      </c>
      <c r="B291" s="39">
        <v>15895.4</v>
      </c>
      <c r="C291" t="s">
        <v>27</v>
      </c>
      <c r="D291">
        <v>18</v>
      </c>
      <c r="E291">
        <v>772.68</v>
      </c>
      <c r="F291" t="s">
        <v>72</v>
      </c>
      <c r="G291">
        <v>2</v>
      </c>
      <c r="H291">
        <v>993.58</v>
      </c>
    </row>
    <row r="292" spans="1:8" x14ac:dyDescent="0.3">
      <c r="A292" t="s">
        <v>692</v>
      </c>
      <c r="B292" s="39">
        <v>19871.61</v>
      </c>
      <c r="C292" t="s">
        <v>65</v>
      </c>
      <c r="D292">
        <v>18</v>
      </c>
      <c r="E292">
        <v>993.58</v>
      </c>
      <c r="F292" t="s">
        <v>72</v>
      </c>
      <c r="G292">
        <v>2</v>
      </c>
      <c r="H292">
        <v>993.58</v>
      </c>
    </row>
    <row r="293" spans="1:8" x14ac:dyDescent="0.3">
      <c r="A293" t="s">
        <v>694</v>
      </c>
      <c r="B293" s="39">
        <v>19871.61</v>
      </c>
      <c r="C293" t="s">
        <v>29</v>
      </c>
      <c r="D293">
        <v>18</v>
      </c>
      <c r="E293">
        <v>993.58</v>
      </c>
      <c r="F293" t="s">
        <v>74</v>
      </c>
      <c r="G293">
        <v>2</v>
      </c>
      <c r="H293">
        <v>993.58</v>
      </c>
    </row>
    <row r="294" spans="1:8" x14ac:dyDescent="0.3">
      <c r="A294" t="s">
        <v>696</v>
      </c>
      <c r="B294" s="39">
        <v>19871.61</v>
      </c>
      <c r="C294" t="s">
        <v>29</v>
      </c>
      <c r="D294">
        <v>18</v>
      </c>
      <c r="E294">
        <v>993.58</v>
      </c>
      <c r="F294" t="s">
        <v>74</v>
      </c>
      <c r="G294">
        <v>2</v>
      </c>
      <c r="H294">
        <v>993.58</v>
      </c>
    </row>
    <row r="295" spans="1:8" x14ac:dyDescent="0.3">
      <c r="A295" t="s">
        <v>695</v>
      </c>
      <c r="B295" s="39">
        <v>19871.61</v>
      </c>
      <c r="C295" t="s">
        <v>29</v>
      </c>
      <c r="D295">
        <v>18</v>
      </c>
      <c r="E295" s="39">
        <v>993.58</v>
      </c>
      <c r="F295" t="s">
        <v>74</v>
      </c>
      <c r="G295">
        <v>2</v>
      </c>
      <c r="H295">
        <v>993.58</v>
      </c>
    </row>
    <row r="296" spans="1:8" x14ac:dyDescent="0.3">
      <c r="A296" t="s">
        <v>697</v>
      </c>
      <c r="B296" s="39">
        <v>23847.67</v>
      </c>
      <c r="C296" t="s">
        <v>31</v>
      </c>
      <c r="D296">
        <v>18</v>
      </c>
      <c r="E296" s="39">
        <v>1214.47</v>
      </c>
      <c r="F296" t="s">
        <v>74</v>
      </c>
      <c r="G296">
        <v>2</v>
      </c>
      <c r="H296">
        <v>993.58</v>
      </c>
    </row>
    <row r="297" spans="1:8" x14ac:dyDescent="0.3">
      <c r="A297" t="s">
        <v>699</v>
      </c>
      <c r="B297" s="39">
        <v>23847.67</v>
      </c>
      <c r="C297" t="s">
        <v>31</v>
      </c>
      <c r="D297">
        <v>18</v>
      </c>
      <c r="E297" s="39">
        <v>1214.47</v>
      </c>
      <c r="F297" t="s">
        <v>74</v>
      </c>
      <c r="G297">
        <v>2</v>
      </c>
      <c r="H297">
        <v>993.58</v>
      </c>
    </row>
    <row r="298" spans="1:8" x14ac:dyDescent="0.3">
      <c r="A298" t="s">
        <v>700</v>
      </c>
      <c r="B298" s="39">
        <v>23847.67</v>
      </c>
      <c r="C298" t="s">
        <v>31</v>
      </c>
      <c r="D298">
        <v>18</v>
      </c>
      <c r="E298" s="39">
        <v>1214.47</v>
      </c>
      <c r="F298" t="s">
        <v>74</v>
      </c>
      <c r="G298">
        <v>2</v>
      </c>
      <c r="H298">
        <v>993.58</v>
      </c>
    </row>
    <row r="299" spans="1:8" x14ac:dyDescent="0.3">
      <c r="A299" t="s">
        <v>701</v>
      </c>
      <c r="B299" s="39">
        <v>23847.67</v>
      </c>
      <c r="C299" t="s">
        <v>31</v>
      </c>
      <c r="D299">
        <v>18</v>
      </c>
      <c r="E299" s="39">
        <v>1214.47</v>
      </c>
      <c r="F299" t="s">
        <v>74</v>
      </c>
      <c r="G299">
        <v>2</v>
      </c>
      <c r="H299">
        <v>993.58</v>
      </c>
    </row>
    <row r="300" spans="1:8" x14ac:dyDescent="0.3">
      <c r="A300" t="s">
        <v>703</v>
      </c>
      <c r="B300" s="39">
        <v>27817.26</v>
      </c>
      <c r="C300" t="s">
        <v>69</v>
      </c>
      <c r="D300">
        <v>18</v>
      </c>
      <c r="E300" s="39">
        <v>1435.01</v>
      </c>
      <c r="F300" t="s">
        <v>74</v>
      </c>
      <c r="G300">
        <v>2</v>
      </c>
      <c r="H300">
        <v>993.58</v>
      </c>
    </row>
    <row r="301" spans="1:8" x14ac:dyDescent="0.3">
      <c r="A301" t="s">
        <v>702</v>
      </c>
      <c r="B301" s="39">
        <v>23847.67</v>
      </c>
      <c r="C301" t="s">
        <v>31</v>
      </c>
      <c r="D301">
        <v>18</v>
      </c>
      <c r="E301" s="39">
        <v>1214.47</v>
      </c>
      <c r="F301" t="s">
        <v>74</v>
      </c>
      <c r="G301">
        <v>2</v>
      </c>
      <c r="H301">
        <v>993.58</v>
      </c>
    </row>
    <row r="302" spans="1:8" x14ac:dyDescent="0.3">
      <c r="A302" t="s">
        <v>704</v>
      </c>
      <c r="B302" s="39">
        <v>23847.67</v>
      </c>
      <c r="C302" t="s">
        <v>31</v>
      </c>
      <c r="D302">
        <v>18</v>
      </c>
      <c r="E302" s="39">
        <v>1214.47</v>
      </c>
      <c r="F302" t="s">
        <v>74</v>
      </c>
      <c r="G302">
        <v>2</v>
      </c>
      <c r="H302">
        <v>993.58</v>
      </c>
    </row>
    <row r="303" spans="1:8" x14ac:dyDescent="0.3">
      <c r="A303" t="s">
        <v>706</v>
      </c>
      <c r="B303" s="39">
        <v>23847.67</v>
      </c>
      <c r="C303" t="s">
        <v>31</v>
      </c>
      <c r="D303">
        <v>18</v>
      </c>
      <c r="E303" s="39">
        <v>1214.47</v>
      </c>
      <c r="F303" t="s">
        <v>74</v>
      </c>
      <c r="G303">
        <v>2</v>
      </c>
      <c r="H303">
        <v>993.58</v>
      </c>
    </row>
    <row r="304" spans="1:8" x14ac:dyDescent="0.3">
      <c r="A304" t="s">
        <v>705</v>
      </c>
      <c r="B304" s="39">
        <v>23847.67</v>
      </c>
      <c r="C304" t="s">
        <v>31</v>
      </c>
      <c r="D304">
        <v>18</v>
      </c>
      <c r="E304" s="39">
        <v>1214.47</v>
      </c>
      <c r="F304" t="s">
        <v>74</v>
      </c>
      <c r="G304">
        <v>2</v>
      </c>
      <c r="H304">
        <v>993.58</v>
      </c>
    </row>
    <row r="305" spans="1:11" x14ac:dyDescent="0.3">
      <c r="A305" t="s">
        <v>707</v>
      </c>
      <c r="B305" s="39">
        <v>23847.67</v>
      </c>
      <c r="C305" t="s">
        <v>31</v>
      </c>
      <c r="D305">
        <v>18</v>
      </c>
      <c r="E305" s="39">
        <v>1214.47</v>
      </c>
      <c r="F305" t="s">
        <v>74</v>
      </c>
      <c r="G305">
        <v>2</v>
      </c>
      <c r="H305">
        <v>993.58</v>
      </c>
    </row>
    <row r="306" spans="1:11" x14ac:dyDescent="0.3">
      <c r="A306" t="s">
        <v>708</v>
      </c>
      <c r="B306" s="39">
        <v>27817.26</v>
      </c>
      <c r="C306" t="s">
        <v>69</v>
      </c>
      <c r="D306">
        <v>18</v>
      </c>
      <c r="E306" s="39">
        <v>1435.01</v>
      </c>
      <c r="F306" t="s">
        <v>74</v>
      </c>
      <c r="G306">
        <v>2</v>
      </c>
      <c r="H306">
        <v>993.58</v>
      </c>
    </row>
    <row r="307" spans="1:11" x14ac:dyDescent="0.3">
      <c r="A307" t="s">
        <v>709</v>
      </c>
      <c r="B307" s="39">
        <v>23847.67</v>
      </c>
      <c r="C307" t="s">
        <v>31</v>
      </c>
      <c r="D307">
        <v>18</v>
      </c>
      <c r="E307" s="39">
        <v>1214.47</v>
      </c>
      <c r="F307" t="s">
        <v>74</v>
      </c>
      <c r="G307">
        <v>2</v>
      </c>
      <c r="H307">
        <v>993.58</v>
      </c>
    </row>
    <row r="308" spans="1:11" x14ac:dyDescent="0.3">
      <c r="A308" t="s">
        <v>711</v>
      </c>
      <c r="B308" s="39">
        <v>23847.67</v>
      </c>
      <c r="C308" t="s">
        <v>31</v>
      </c>
      <c r="D308">
        <v>18</v>
      </c>
      <c r="E308" s="39">
        <v>1214.47</v>
      </c>
      <c r="F308" t="s">
        <v>74</v>
      </c>
      <c r="G308">
        <v>2</v>
      </c>
      <c r="H308">
        <v>993.58</v>
      </c>
    </row>
    <row r="309" spans="1:11" x14ac:dyDescent="0.3">
      <c r="A309" t="s">
        <v>710</v>
      </c>
      <c r="B309" s="39">
        <v>25829.98</v>
      </c>
      <c r="C309" t="s">
        <v>43</v>
      </c>
      <c r="D309">
        <v>18</v>
      </c>
      <c r="E309" s="39">
        <v>1324.6</v>
      </c>
      <c r="F309" t="s">
        <v>74</v>
      </c>
      <c r="G309">
        <v>2</v>
      </c>
      <c r="H309">
        <v>993.58</v>
      </c>
    </row>
    <row r="310" spans="1:11" x14ac:dyDescent="0.3">
      <c r="A310" t="s">
        <v>712</v>
      </c>
      <c r="B310" s="39">
        <v>25829.98</v>
      </c>
      <c r="C310" t="s">
        <v>43</v>
      </c>
      <c r="D310">
        <v>18</v>
      </c>
      <c r="E310" s="39">
        <v>1324.6</v>
      </c>
      <c r="F310" t="s">
        <v>74</v>
      </c>
      <c r="G310">
        <v>2</v>
      </c>
      <c r="H310">
        <v>993.58</v>
      </c>
    </row>
    <row r="311" spans="1:11" x14ac:dyDescent="0.3">
      <c r="A311" t="s">
        <v>715</v>
      </c>
      <c r="B311" s="39">
        <v>25829.98</v>
      </c>
      <c r="C311" t="s">
        <v>43</v>
      </c>
      <c r="D311">
        <v>18</v>
      </c>
      <c r="E311" s="39">
        <v>1324.6</v>
      </c>
      <c r="F311" t="s">
        <v>74</v>
      </c>
      <c r="G311">
        <v>2</v>
      </c>
      <c r="H311">
        <v>993.58</v>
      </c>
    </row>
    <row r="312" spans="1:11" x14ac:dyDescent="0.3">
      <c r="A312" t="s">
        <v>713</v>
      </c>
      <c r="B312" s="39">
        <v>23405.87</v>
      </c>
      <c r="C312" t="s">
        <v>31</v>
      </c>
      <c r="D312">
        <v>18</v>
      </c>
      <c r="E312" s="39">
        <v>1214.47</v>
      </c>
      <c r="F312" t="s">
        <v>89</v>
      </c>
      <c r="G312">
        <v>2</v>
      </c>
      <c r="H312">
        <v>772.68</v>
      </c>
    </row>
    <row r="313" spans="1:11" x14ac:dyDescent="0.3">
      <c r="A313" t="s">
        <v>716</v>
      </c>
      <c r="B313" s="39">
        <v>9932.0300000000007</v>
      </c>
      <c r="C313" t="s">
        <v>24</v>
      </c>
      <c r="D313">
        <v>18</v>
      </c>
      <c r="E313" s="39">
        <v>551.78</v>
      </c>
    </row>
    <row r="314" spans="1:11" x14ac:dyDescent="0.3">
      <c r="A314" t="s">
        <v>717</v>
      </c>
      <c r="B314" s="39">
        <v>17884.45</v>
      </c>
      <c r="C314" t="s">
        <v>65</v>
      </c>
      <c r="D314">
        <v>18</v>
      </c>
      <c r="E314">
        <v>993.58</v>
      </c>
    </row>
    <row r="315" spans="1:11" x14ac:dyDescent="0.3">
      <c r="A315" t="s">
        <v>719</v>
      </c>
      <c r="B315" s="39">
        <v>31127.13</v>
      </c>
      <c r="C315" t="s">
        <v>31</v>
      </c>
      <c r="D315">
        <v>18</v>
      </c>
      <c r="E315" s="39">
        <v>1214.47</v>
      </c>
      <c r="F315" t="s">
        <v>110</v>
      </c>
      <c r="G315">
        <v>2</v>
      </c>
      <c r="H315" s="39">
        <v>1324.46</v>
      </c>
      <c r="I315" t="s">
        <v>137</v>
      </c>
      <c r="J315">
        <v>20</v>
      </c>
      <c r="K315">
        <v>330.88</v>
      </c>
    </row>
    <row r="316" spans="1:11" x14ac:dyDescent="0.3">
      <c r="A316" t="s">
        <v>718</v>
      </c>
      <c r="B316" s="39">
        <v>35096.720000000001</v>
      </c>
      <c r="C316" t="s">
        <v>69</v>
      </c>
      <c r="D316">
        <v>18</v>
      </c>
      <c r="E316" s="39">
        <v>1435.01</v>
      </c>
      <c r="F316" t="s">
        <v>110</v>
      </c>
      <c r="G316">
        <v>2</v>
      </c>
      <c r="H316" s="39">
        <v>1324.46</v>
      </c>
      <c r="I316" t="s">
        <v>137</v>
      </c>
      <c r="J316">
        <v>20</v>
      </c>
      <c r="K316">
        <v>330.88</v>
      </c>
    </row>
    <row r="317" spans="1:11" x14ac:dyDescent="0.3">
      <c r="A317" t="s">
        <v>721</v>
      </c>
      <c r="B317" s="39">
        <v>31127.13</v>
      </c>
      <c r="C317" t="s">
        <v>31</v>
      </c>
      <c r="D317">
        <v>18</v>
      </c>
      <c r="E317" s="39">
        <v>1214.47</v>
      </c>
      <c r="F317" t="s">
        <v>110</v>
      </c>
      <c r="G317">
        <v>2</v>
      </c>
      <c r="H317" s="39">
        <v>1324.46</v>
      </c>
      <c r="I317" t="s">
        <v>137</v>
      </c>
      <c r="J317">
        <v>20</v>
      </c>
      <c r="K317">
        <v>330.88</v>
      </c>
    </row>
    <row r="318" spans="1:11" x14ac:dyDescent="0.3">
      <c r="A318" t="s">
        <v>720</v>
      </c>
      <c r="B318" s="39">
        <v>33777.99</v>
      </c>
      <c r="C318" t="s">
        <v>57</v>
      </c>
      <c r="D318">
        <v>16</v>
      </c>
      <c r="E318" s="39">
        <v>1986.93</v>
      </c>
      <c r="F318" t="s">
        <v>83</v>
      </c>
      <c r="G318">
        <v>2</v>
      </c>
      <c r="H318">
        <v>993.58</v>
      </c>
    </row>
    <row r="319" spans="1:11" x14ac:dyDescent="0.3">
      <c r="A319" t="s">
        <v>722</v>
      </c>
      <c r="B319" s="39">
        <v>33777.99</v>
      </c>
      <c r="C319" t="s">
        <v>57</v>
      </c>
      <c r="D319">
        <v>16</v>
      </c>
      <c r="E319" s="39">
        <v>1986.93</v>
      </c>
      <c r="F319" t="s">
        <v>83</v>
      </c>
      <c r="G319">
        <v>2</v>
      </c>
      <c r="H319">
        <v>993.58</v>
      </c>
    </row>
    <row r="320" spans="1:11" x14ac:dyDescent="0.3">
      <c r="A320" t="s">
        <v>723</v>
      </c>
      <c r="B320" s="39">
        <v>33777.99</v>
      </c>
      <c r="C320" t="s">
        <v>57</v>
      </c>
      <c r="D320">
        <v>16</v>
      </c>
      <c r="E320" s="39">
        <v>1986.93</v>
      </c>
      <c r="F320" t="s">
        <v>83</v>
      </c>
      <c r="G320">
        <v>2</v>
      </c>
      <c r="H320">
        <v>993.58</v>
      </c>
    </row>
    <row r="321" spans="1:8" x14ac:dyDescent="0.3">
      <c r="A321" t="s">
        <v>724</v>
      </c>
      <c r="B321" s="39">
        <v>10815.63</v>
      </c>
      <c r="C321" t="s">
        <v>24</v>
      </c>
      <c r="D321">
        <v>16</v>
      </c>
      <c r="E321">
        <v>551.78</v>
      </c>
      <c r="F321" t="s">
        <v>72</v>
      </c>
      <c r="G321">
        <v>2</v>
      </c>
      <c r="H321">
        <v>993.58</v>
      </c>
    </row>
    <row r="322" spans="1:8" x14ac:dyDescent="0.3">
      <c r="A322" t="s">
        <v>726</v>
      </c>
      <c r="B322" s="39">
        <v>14350.04</v>
      </c>
      <c r="C322" t="s">
        <v>27</v>
      </c>
      <c r="D322">
        <v>16</v>
      </c>
      <c r="E322">
        <v>772.68</v>
      </c>
      <c r="F322" t="s">
        <v>72</v>
      </c>
      <c r="G322">
        <v>2</v>
      </c>
      <c r="H322">
        <v>993.58</v>
      </c>
    </row>
    <row r="323" spans="1:8" x14ac:dyDescent="0.3">
      <c r="A323" t="s">
        <v>725</v>
      </c>
      <c r="B323" s="39">
        <v>14350.04</v>
      </c>
      <c r="C323" t="s">
        <v>27</v>
      </c>
      <c r="D323">
        <v>16</v>
      </c>
      <c r="E323" s="39">
        <v>772.68</v>
      </c>
      <c r="F323" t="s">
        <v>72</v>
      </c>
      <c r="G323">
        <v>2</v>
      </c>
      <c r="H323">
        <v>993.58</v>
      </c>
    </row>
    <row r="324" spans="1:8" x14ac:dyDescent="0.3">
      <c r="A324" t="s">
        <v>727</v>
      </c>
      <c r="B324" s="39">
        <v>14350.04</v>
      </c>
      <c r="C324" t="s">
        <v>27</v>
      </c>
      <c r="D324">
        <v>16</v>
      </c>
      <c r="E324">
        <v>772.68</v>
      </c>
      <c r="F324" t="s">
        <v>72</v>
      </c>
      <c r="G324">
        <v>2</v>
      </c>
      <c r="H324">
        <v>993.58</v>
      </c>
    </row>
    <row r="325" spans="1:8" x14ac:dyDescent="0.3">
      <c r="A325" t="s">
        <v>728</v>
      </c>
      <c r="B325" s="39">
        <v>14350.04</v>
      </c>
      <c r="C325" t="s">
        <v>27</v>
      </c>
      <c r="D325">
        <v>16</v>
      </c>
      <c r="E325">
        <v>772.68</v>
      </c>
      <c r="F325" t="s">
        <v>72</v>
      </c>
      <c r="G325">
        <v>2</v>
      </c>
      <c r="H325">
        <v>993.58</v>
      </c>
    </row>
    <row r="326" spans="1:8" x14ac:dyDescent="0.3">
      <c r="A326" t="s">
        <v>730</v>
      </c>
      <c r="B326" s="39">
        <v>17884.45</v>
      </c>
      <c r="C326" t="s">
        <v>65</v>
      </c>
      <c r="D326">
        <v>16</v>
      </c>
      <c r="E326">
        <v>993.58</v>
      </c>
      <c r="F326" t="s">
        <v>72</v>
      </c>
      <c r="G326">
        <v>2</v>
      </c>
      <c r="H326">
        <v>993.58</v>
      </c>
    </row>
    <row r="327" spans="1:8" x14ac:dyDescent="0.3">
      <c r="A327" t="s">
        <v>729</v>
      </c>
      <c r="B327" s="39">
        <v>14350.04</v>
      </c>
      <c r="C327" t="s">
        <v>27</v>
      </c>
      <c r="D327">
        <v>16</v>
      </c>
      <c r="E327" s="39">
        <v>772.68</v>
      </c>
      <c r="F327" t="s">
        <v>72</v>
      </c>
      <c r="G327">
        <v>2</v>
      </c>
      <c r="H327">
        <v>993.58</v>
      </c>
    </row>
    <row r="328" spans="1:8" x14ac:dyDescent="0.3">
      <c r="A328" t="s">
        <v>731</v>
      </c>
      <c r="B328" s="39">
        <v>17884.45</v>
      </c>
      <c r="C328" t="s">
        <v>29</v>
      </c>
      <c r="D328">
        <v>16</v>
      </c>
      <c r="E328">
        <v>993.58</v>
      </c>
      <c r="F328" t="s">
        <v>74</v>
      </c>
      <c r="G328">
        <v>2</v>
      </c>
      <c r="H328">
        <v>993.58</v>
      </c>
    </row>
    <row r="329" spans="1:8" x14ac:dyDescent="0.3">
      <c r="A329" t="s">
        <v>732</v>
      </c>
      <c r="B329" s="39">
        <v>21418.720000000001</v>
      </c>
      <c r="C329" t="s">
        <v>31</v>
      </c>
      <c r="D329">
        <v>16</v>
      </c>
      <c r="E329" s="39">
        <v>1214.47</v>
      </c>
      <c r="F329" t="s">
        <v>74</v>
      </c>
      <c r="G329">
        <v>2</v>
      </c>
      <c r="H329">
        <v>993.58</v>
      </c>
    </row>
    <row r="330" spans="1:8" x14ac:dyDescent="0.3">
      <c r="A330" t="s">
        <v>733</v>
      </c>
      <c r="B330" s="39">
        <v>24947.25</v>
      </c>
      <c r="C330" t="s">
        <v>69</v>
      </c>
      <c r="D330">
        <v>16</v>
      </c>
      <c r="E330" s="39">
        <v>1435.01</v>
      </c>
      <c r="F330" t="s">
        <v>74</v>
      </c>
      <c r="G330">
        <v>2</v>
      </c>
      <c r="H330">
        <v>993.58</v>
      </c>
    </row>
    <row r="331" spans="1:8" x14ac:dyDescent="0.3">
      <c r="A331" t="s">
        <v>734</v>
      </c>
      <c r="B331" s="39">
        <v>21418.720000000001</v>
      </c>
      <c r="C331" t="s">
        <v>31</v>
      </c>
      <c r="D331">
        <v>16</v>
      </c>
      <c r="E331" s="39">
        <v>1214.47</v>
      </c>
      <c r="F331" t="s">
        <v>74</v>
      </c>
      <c r="G331">
        <v>2</v>
      </c>
      <c r="H331">
        <v>993.58</v>
      </c>
    </row>
    <row r="332" spans="1:8" x14ac:dyDescent="0.3">
      <c r="A332" t="s">
        <v>735</v>
      </c>
      <c r="B332" s="39">
        <v>21418.720000000001</v>
      </c>
      <c r="C332" t="s">
        <v>31</v>
      </c>
      <c r="D332">
        <v>16</v>
      </c>
      <c r="E332" s="39">
        <v>1214.47</v>
      </c>
      <c r="F332" t="s">
        <v>74</v>
      </c>
      <c r="G332">
        <v>2</v>
      </c>
      <c r="H332">
        <v>993.58</v>
      </c>
    </row>
    <row r="333" spans="1:8" x14ac:dyDescent="0.3">
      <c r="A333" t="s">
        <v>736</v>
      </c>
      <c r="B333" s="39">
        <v>21418.720000000001</v>
      </c>
      <c r="C333" t="s">
        <v>31</v>
      </c>
      <c r="D333">
        <v>16</v>
      </c>
      <c r="E333" s="39">
        <v>1214.47</v>
      </c>
      <c r="F333" t="s">
        <v>74</v>
      </c>
      <c r="G333">
        <v>2</v>
      </c>
      <c r="H333">
        <v>993.58</v>
      </c>
    </row>
    <row r="334" spans="1:8" x14ac:dyDescent="0.3">
      <c r="A334" t="s">
        <v>738</v>
      </c>
      <c r="B334" s="39">
        <v>24947.25</v>
      </c>
      <c r="C334" t="s">
        <v>69</v>
      </c>
      <c r="D334">
        <v>16</v>
      </c>
      <c r="E334" s="39">
        <v>1435.01</v>
      </c>
      <c r="F334" t="s">
        <v>74</v>
      </c>
      <c r="G334">
        <v>2</v>
      </c>
      <c r="H334">
        <v>993.58</v>
      </c>
    </row>
    <row r="335" spans="1:8" x14ac:dyDescent="0.3">
      <c r="A335" t="s">
        <v>737</v>
      </c>
      <c r="B335" s="39">
        <v>21418.720000000001</v>
      </c>
      <c r="C335" t="s">
        <v>31</v>
      </c>
      <c r="D335">
        <v>16</v>
      </c>
      <c r="E335" s="39">
        <v>1214.47</v>
      </c>
      <c r="F335" t="s">
        <v>74</v>
      </c>
      <c r="G335">
        <v>2</v>
      </c>
      <c r="H335">
        <v>993.58</v>
      </c>
    </row>
    <row r="336" spans="1:8" x14ac:dyDescent="0.3">
      <c r="A336" t="s">
        <v>739</v>
      </c>
      <c r="B336" s="39">
        <v>21418.720000000001</v>
      </c>
      <c r="C336" t="s">
        <v>31</v>
      </c>
      <c r="D336">
        <v>16</v>
      </c>
      <c r="E336" s="39">
        <v>1214.47</v>
      </c>
      <c r="F336" t="s">
        <v>74</v>
      </c>
      <c r="G336">
        <v>2</v>
      </c>
      <c r="H336">
        <v>993.58</v>
      </c>
    </row>
    <row r="337" spans="1:11" x14ac:dyDescent="0.3">
      <c r="A337" t="s">
        <v>740</v>
      </c>
      <c r="B337" s="39">
        <v>24947.25</v>
      </c>
      <c r="C337" t="s">
        <v>69</v>
      </c>
      <c r="D337">
        <v>16</v>
      </c>
      <c r="E337" s="39">
        <v>1435.01</v>
      </c>
      <c r="F337" t="s">
        <v>74</v>
      </c>
      <c r="G337">
        <v>2</v>
      </c>
      <c r="H337">
        <v>993.58</v>
      </c>
    </row>
    <row r="338" spans="1:11" x14ac:dyDescent="0.3">
      <c r="A338" t="s">
        <v>741</v>
      </c>
      <c r="B338" s="39">
        <v>21418.720000000001</v>
      </c>
      <c r="C338" t="s">
        <v>31</v>
      </c>
      <c r="D338">
        <v>16</v>
      </c>
      <c r="E338" s="39">
        <v>1214.47</v>
      </c>
      <c r="F338" t="s">
        <v>74</v>
      </c>
      <c r="G338">
        <v>2</v>
      </c>
      <c r="H338">
        <v>993.58</v>
      </c>
    </row>
    <row r="339" spans="1:11" x14ac:dyDescent="0.3">
      <c r="A339" t="s">
        <v>742</v>
      </c>
      <c r="B339" s="39">
        <v>24947.25</v>
      </c>
      <c r="C339" t="s">
        <v>69</v>
      </c>
      <c r="D339">
        <v>16</v>
      </c>
      <c r="E339" s="39">
        <v>1435.01</v>
      </c>
      <c r="F339" t="s">
        <v>74</v>
      </c>
      <c r="G339">
        <v>2</v>
      </c>
      <c r="H339">
        <v>993.58</v>
      </c>
    </row>
    <row r="340" spans="1:11" x14ac:dyDescent="0.3">
      <c r="A340" t="s">
        <v>743</v>
      </c>
      <c r="B340" s="39">
        <v>23180.78</v>
      </c>
      <c r="C340" t="s">
        <v>43</v>
      </c>
      <c r="D340">
        <v>16</v>
      </c>
      <c r="E340" s="39">
        <v>1324.6</v>
      </c>
      <c r="F340" t="s">
        <v>74</v>
      </c>
      <c r="G340">
        <v>2</v>
      </c>
      <c r="H340">
        <v>993.58</v>
      </c>
    </row>
    <row r="341" spans="1:11" x14ac:dyDescent="0.3">
      <c r="A341" t="s">
        <v>744</v>
      </c>
      <c r="B341" s="39">
        <v>15897.29</v>
      </c>
      <c r="C341" t="s">
        <v>29</v>
      </c>
      <c r="D341">
        <v>16</v>
      </c>
      <c r="E341">
        <v>993.58</v>
      </c>
    </row>
    <row r="342" spans="1:11" x14ac:dyDescent="0.3">
      <c r="A342" t="s">
        <v>745</v>
      </c>
      <c r="B342" s="39">
        <v>19431.560000000001</v>
      </c>
      <c r="C342" t="s">
        <v>31</v>
      </c>
      <c r="D342">
        <v>16</v>
      </c>
      <c r="E342" s="39">
        <v>1214.47</v>
      </c>
    </row>
    <row r="343" spans="1:11" x14ac:dyDescent="0.3">
      <c r="A343" t="s">
        <v>747</v>
      </c>
      <c r="B343" s="39">
        <v>24063.65</v>
      </c>
      <c r="C343" t="s">
        <v>69</v>
      </c>
      <c r="D343">
        <v>16</v>
      </c>
      <c r="E343" s="39">
        <v>1435.01</v>
      </c>
      <c r="F343" t="s">
        <v>99</v>
      </c>
      <c r="G343">
        <v>2</v>
      </c>
      <c r="H343">
        <v>551.78</v>
      </c>
    </row>
    <row r="344" spans="1:11" x14ac:dyDescent="0.3">
      <c r="A344" t="s">
        <v>748</v>
      </c>
      <c r="B344" s="39">
        <v>28036.42</v>
      </c>
      <c r="C344" t="s">
        <v>31</v>
      </c>
      <c r="D344">
        <v>16</v>
      </c>
      <c r="E344" s="39">
        <v>1214.47</v>
      </c>
      <c r="F344" t="s">
        <v>110</v>
      </c>
      <c r="G344">
        <v>2</v>
      </c>
      <c r="H344" s="39">
        <v>1324.46</v>
      </c>
      <c r="I344" t="s">
        <v>137</v>
      </c>
      <c r="J344">
        <v>18</v>
      </c>
      <c r="K344">
        <v>330.88</v>
      </c>
    </row>
    <row r="345" spans="1:11" x14ac:dyDescent="0.3">
      <c r="A345" t="s">
        <v>749</v>
      </c>
      <c r="B345" s="39">
        <v>31564.94</v>
      </c>
      <c r="C345" t="s">
        <v>69</v>
      </c>
      <c r="D345">
        <v>16</v>
      </c>
      <c r="E345" s="39">
        <v>1435.01</v>
      </c>
      <c r="F345" t="s">
        <v>110</v>
      </c>
      <c r="G345">
        <v>2</v>
      </c>
      <c r="H345" s="39">
        <v>1324.46</v>
      </c>
      <c r="I345" t="s">
        <v>137</v>
      </c>
      <c r="J345">
        <v>18</v>
      </c>
      <c r="K345">
        <v>330.88</v>
      </c>
    </row>
    <row r="346" spans="1:11" x14ac:dyDescent="0.3">
      <c r="A346" t="s">
        <v>751</v>
      </c>
      <c r="B346" s="39">
        <v>16890.87</v>
      </c>
      <c r="C346" t="s">
        <v>65</v>
      </c>
      <c r="D346">
        <v>15</v>
      </c>
      <c r="E346">
        <v>993.58</v>
      </c>
      <c r="F346" t="s">
        <v>72</v>
      </c>
      <c r="G346">
        <v>2</v>
      </c>
      <c r="H346">
        <v>993.58</v>
      </c>
    </row>
    <row r="347" spans="1:11" x14ac:dyDescent="0.3">
      <c r="A347" t="s">
        <v>750</v>
      </c>
      <c r="B347" s="39">
        <v>16890.87</v>
      </c>
      <c r="C347" t="s">
        <v>65</v>
      </c>
      <c r="D347">
        <v>15</v>
      </c>
      <c r="E347" s="39">
        <v>993.58</v>
      </c>
      <c r="F347" t="s">
        <v>72</v>
      </c>
      <c r="G347">
        <v>2</v>
      </c>
      <c r="H347">
        <v>993.58</v>
      </c>
    </row>
    <row r="348" spans="1:11" x14ac:dyDescent="0.3">
      <c r="A348" t="s">
        <v>752</v>
      </c>
      <c r="B348" s="39">
        <v>13577.36</v>
      </c>
      <c r="C348" t="s">
        <v>27</v>
      </c>
      <c r="D348">
        <v>15</v>
      </c>
      <c r="E348">
        <v>772.68</v>
      </c>
      <c r="F348" t="s">
        <v>72</v>
      </c>
      <c r="G348">
        <v>2</v>
      </c>
      <c r="H348">
        <v>993.58</v>
      </c>
    </row>
    <row r="349" spans="1:11" x14ac:dyDescent="0.3">
      <c r="A349" t="s">
        <v>753</v>
      </c>
      <c r="B349" s="39">
        <v>13577.36</v>
      </c>
      <c r="C349" t="s">
        <v>27</v>
      </c>
      <c r="D349">
        <v>15</v>
      </c>
      <c r="E349">
        <v>772.68</v>
      </c>
      <c r="F349" t="s">
        <v>72</v>
      </c>
      <c r="G349">
        <v>2</v>
      </c>
      <c r="H349">
        <v>993.58</v>
      </c>
    </row>
    <row r="350" spans="1:11" x14ac:dyDescent="0.3">
      <c r="A350" t="s">
        <v>755</v>
      </c>
      <c r="B350" s="39">
        <v>13577.36</v>
      </c>
      <c r="C350" t="s">
        <v>27</v>
      </c>
      <c r="D350">
        <v>15</v>
      </c>
      <c r="E350">
        <v>772.68</v>
      </c>
      <c r="F350" t="s">
        <v>72</v>
      </c>
      <c r="G350">
        <v>2</v>
      </c>
      <c r="H350">
        <v>993.58</v>
      </c>
    </row>
    <row r="351" spans="1:11" x14ac:dyDescent="0.3">
      <c r="A351" t="s">
        <v>756</v>
      </c>
      <c r="B351" s="39">
        <v>16890.87</v>
      </c>
      <c r="C351" t="s">
        <v>65</v>
      </c>
      <c r="D351">
        <v>15</v>
      </c>
      <c r="E351">
        <v>993.58</v>
      </c>
      <c r="F351" t="s">
        <v>72</v>
      </c>
      <c r="G351">
        <v>2</v>
      </c>
      <c r="H351">
        <v>993.58</v>
      </c>
    </row>
    <row r="352" spans="1:11" x14ac:dyDescent="0.3">
      <c r="A352" t="s">
        <v>754</v>
      </c>
      <c r="B352" s="39">
        <v>20204.25</v>
      </c>
      <c r="C352" t="s">
        <v>31</v>
      </c>
      <c r="D352">
        <v>15</v>
      </c>
      <c r="E352" s="39">
        <v>1214.47</v>
      </c>
      <c r="F352" t="s">
        <v>74</v>
      </c>
      <c r="G352">
        <v>2</v>
      </c>
      <c r="H352">
        <v>993.58</v>
      </c>
    </row>
    <row r="353" spans="1:8" x14ac:dyDescent="0.3">
      <c r="A353" t="s">
        <v>759</v>
      </c>
      <c r="B353" s="39">
        <v>20204.25</v>
      </c>
      <c r="C353" t="s">
        <v>31</v>
      </c>
      <c r="D353">
        <v>15</v>
      </c>
      <c r="E353" s="39">
        <v>1214.47</v>
      </c>
      <c r="F353" t="s">
        <v>74</v>
      </c>
      <c r="G353">
        <v>2</v>
      </c>
      <c r="H353">
        <v>993.58</v>
      </c>
    </row>
    <row r="354" spans="1:8" x14ac:dyDescent="0.3">
      <c r="A354" t="s">
        <v>757</v>
      </c>
      <c r="B354" s="39">
        <v>23512.240000000002</v>
      </c>
      <c r="C354" t="s">
        <v>69</v>
      </c>
      <c r="D354">
        <v>15</v>
      </c>
      <c r="E354" s="39">
        <v>1435.01</v>
      </c>
      <c r="F354" t="s">
        <v>74</v>
      </c>
      <c r="G354">
        <v>2</v>
      </c>
      <c r="H354">
        <v>993.58</v>
      </c>
    </row>
    <row r="355" spans="1:8" x14ac:dyDescent="0.3">
      <c r="A355" t="s">
        <v>758</v>
      </c>
      <c r="B355" s="39">
        <v>20204.25</v>
      </c>
      <c r="C355" t="s">
        <v>31</v>
      </c>
      <c r="D355">
        <v>15</v>
      </c>
      <c r="E355" s="39">
        <v>1214.47</v>
      </c>
      <c r="F355" t="s">
        <v>74</v>
      </c>
      <c r="G355">
        <v>2</v>
      </c>
      <c r="H355">
        <v>993.58</v>
      </c>
    </row>
    <row r="356" spans="1:8" x14ac:dyDescent="0.3">
      <c r="A356" t="s">
        <v>760</v>
      </c>
      <c r="B356" s="39">
        <v>11590.2</v>
      </c>
      <c r="C356" t="s">
        <v>27</v>
      </c>
      <c r="D356">
        <v>15</v>
      </c>
      <c r="E356">
        <v>772.68</v>
      </c>
    </row>
    <row r="357" spans="1:8" x14ac:dyDescent="0.3">
      <c r="A357" t="s">
        <v>761</v>
      </c>
      <c r="B357" s="39">
        <v>29804.14</v>
      </c>
      <c r="C357" t="s">
        <v>57</v>
      </c>
      <c r="D357">
        <v>14</v>
      </c>
      <c r="E357" s="39">
        <v>1986.93</v>
      </c>
      <c r="F357" t="s">
        <v>83</v>
      </c>
      <c r="G357">
        <v>2</v>
      </c>
      <c r="H357">
        <v>993.58</v>
      </c>
    </row>
    <row r="358" spans="1:8" x14ac:dyDescent="0.3">
      <c r="A358" t="s">
        <v>762</v>
      </c>
      <c r="B358" s="39">
        <v>12804.68</v>
      </c>
      <c r="C358" t="s">
        <v>27</v>
      </c>
      <c r="D358">
        <v>14</v>
      </c>
      <c r="E358">
        <v>772.68</v>
      </c>
      <c r="F358" t="s">
        <v>72</v>
      </c>
      <c r="G358">
        <v>2</v>
      </c>
      <c r="H358">
        <v>993.58</v>
      </c>
    </row>
    <row r="359" spans="1:8" x14ac:dyDescent="0.3">
      <c r="A359" t="s">
        <v>763</v>
      </c>
      <c r="B359" s="39">
        <v>15897.29</v>
      </c>
      <c r="C359" t="s">
        <v>65</v>
      </c>
      <c r="D359">
        <v>14</v>
      </c>
      <c r="E359">
        <v>993.58</v>
      </c>
      <c r="F359" t="s">
        <v>72</v>
      </c>
      <c r="G359">
        <v>2</v>
      </c>
      <c r="H359">
        <v>993.58</v>
      </c>
    </row>
    <row r="360" spans="1:8" x14ac:dyDescent="0.3">
      <c r="A360" t="s">
        <v>764</v>
      </c>
      <c r="B360" s="39">
        <v>12804.68</v>
      </c>
      <c r="C360" t="s">
        <v>27</v>
      </c>
      <c r="D360">
        <v>14</v>
      </c>
      <c r="E360">
        <v>772.68</v>
      </c>
      <c r="F360" t="s">
        <v>72</v>
      </c>
      <c r="G360">
        <v>2</v>
      </c>
      <c r="H360">
        <v>993.58</v>
      </c>
    </row>
    <row r="361" spans="1:8" x14ac:dyDescent="0.3">
      <c r="A361" t="s">
        <v>766</v>
      </c>
      <c r="B361" s="39">
        <v>12804.68</v>
      </c>
      <c r="C361" t="s">
        <v>27</v>
      </c>
      <c r="D361">
        <v>14</v>
      </c>
      <c r="E361">
        <v>772.68</v>
      </c>
      <c r="F361" t="s">
        <v>72</v>
      </c>
      <c r="G361">
        <v>2</v>
      </c>
      <c r="H361">
        <v>993.58</v>
      </c>
    </row>
    <row r="362" spans="1:8" x14ac:dyDescent="0.3">
      <c r="A362" t="s">
        <v>765</v>
      </c>
      <c r="B362" s="39">
        <v>15897.29</v>
      </c>
      <c r="C362" t="s">
        <v>65</v>
      </c>
      <c r="D362">
        <v>14</v>
      </c>
      <c r="E362">
        <v>993.58</v>
      </c>
      <c r="F362" t="s">
        <v>72</v>
      </c>
      <c r="G362">
        <v>2</v>
      </c>
      <c r="H362">
        <v>993.58</v>
      </c>
    </row>
    <row r="363" spans="1:8" x14ac:dyDescent="0.3">
      <c r="A363" t="s">
        <v>767</v>
      </c>
      <c r="B363" s="39">
        <v>12804.68</v>
      </c>
      <c r="C363" t="s">
        <v>27</v>
      </c>
      <c r="D363">
        <v>14</v>
      </c>
      <c r="E363">
        <v>772.68</v>
      </c>
      <c r="F363" t="s">
        <v>72</v>
      </c>
      <c r="G363">
        <v>2</v>
      </c>
      <c r="H363">
        <v>993.58</v>
      </c>
    </row>
    <row r="364" spans="1:8" x14ac:dyDescent="0.3">
      <c r="A364" t="s">
        <v>768</v>
      </c>
      <c r="B364" s="39">
        <v>18989.78</v>
      </c>
      <c r="C364" t="s">
        <v>31</v>
      </c>
      <c r="D364">
        <v>14</v>
      </c>
      <c r="E364" s="39">
        <v>1214.47</v>
      </c>
      <c r="F364" t="s">
        <v>74</v>
      </c>
      <c r="G364">
        <v>2</v>
      </c>
      <c r="H364">
        <v>993.58</v>
      </c>
    </row>
    <row r="365" spans="1:8" x14ac:dyDescent="0.3">
      <c r="A365" t="s">
        <v>769</v>
      </c>
      <c r="B365" s="39">
        <v>18989.78</v>
      </c>
      <c r="C365" t="s">
        <v>31</v>
      </c>
      <c r="D365">
        <v>14</v>
      </c>
      <c r="E365" s="39">
        <v>1214.47</v>
      </c>
      <c r="F365" t="s">
        <v>74</v>
      </c>
      <c r="G365">
        <v>2</v>
      </c>
      <c r="H365">
        <v>993.58</v>
      </c>
    </row>
    <row r="366" spans="1:8" x14ac:dyDescent="0.3">
      <c r="A366" t="s">
        <v>770</v>
      </c>
      <c r="B366" s="39">
        <v>18989.78</v>
      </c>
      <c r="C366" t="s">
        <v>31</v>
      </c>
      <c r="D366">
        <v>14</v>
      </c>
      <c r="E366" s="39">
        <v>1214.47</v>
      </c>
      <c r="F366" t="s">
        <v>74</v>
      </c>
      <c r="G366">
        <v>2</v>
      </c>
      <c r="H366">
        <v>993.58</v>
      </c>
    </row>
    <row r="367" spans="1:8" x14ac:dyDescent="0.3">
      <c r="A367" t="s">
        <v>772</v>
      </c>
      <c r="B367" s="39">
        <v>18989.78</v>
      </c>
      <c r="C367" t="s">
        <v>31</v>
      </c>
      <c r="D367">
        <v>14</v>
      </c>
      <c r="E367" s="39">
        <v>1214.47</v>
      </c>
      <c r="F367" t="s">
        <v>74</v>
      </c>
      <c r="G367">
        <v>2</v>
      </c>
      <c r="H367">
        <v>993.58</v>
      </c>
    </row>
    <row r="368" spans="1:8" x14ac:dyDescent="0.3">
      <c r="A368" t="s">
        <v>771</v>
      </c>
      <c r="B368" s="39">
        <v>18989.78</v>
      </c>
      <c r="C368" t="s">
        <v>31</v>
      </c>
      <c r="D368">
        <v>14</v>
      </c>
      <c r="E368" s="39">
        <v>1214.47</v>
      </c>
      <c r="F368" t="s">
        <v>74</v>
      </c>
      <c r="G368">
        <v>2</v>
      </c>
      <c r="H368">
        <v>993.58</v>
      </c>
    </row>
    <row r="369" spans="1:8" x14ac:dyDescent="0.3">
      <c r="A369" t="s">
        <v>774</v>
      </c>
      <c r="B369" s="39">
        <v>18989.78</v>
      </c>
      <c r="C369" t="s">
        <v>31</v>
      </c>
      <c r="D369">
        <v>14</v>
      </c>
      <c r="E369" s="39">
        <v>1214.47</v>
      </c>
      <c r="F369" t="s">
        <v>74</v>
      </c>
      <c r="G369">
        <v>2</v>
      </c>
      <c r="H369">
        <v>993.58</v>
      </c>
    </row>
    <row r="370" spans="1:8" x14ac:dyDescent="0.3">
      <c r="A370" t="s">
        <v>773</v>
      </c>
      <c r="B370" s="39">
        <v>18989.78</v>
      </c>
      <c r="C370" t="s">
        <v>31</v>
      </c>
      <c r="D370">
        <v>14</v>
      </c>
      <c r="E370" s="39">
        <v>1214.47</v>
      </c>
      <c r="F370" t="s">
        <v>74</v>
      </c>
      <c r="G370">
        <v>2</v>
      </c>
      <c r="H370">
        <v>993.58</v>
      </c>
    </row>
    <row r="371" spans="1:8" x14ac:dyDescent="0.3">
      <c r="A371" t="s">
        <v>775</v>
      </c>
      <c r="B371" s="39">
        <v>18989.78</v>
      </c>
      <c r="C371" t="s">
        <v>31</v>
      </c>
      <c r="D371">
        <v>14</v>
      </c>
      <c r="E371" s="39">
        <v>1214.47</v>
      </c>
      <c r="F371" t="s">
        <v>74</v>
      </c>
      <c r="G371">
        <v>2</v>
      </c>
      <c r="H371">
        <v>993.58</v>
      </c>
    </row>
    <row r="372" spans="1:8" x14ac:dyDescent="0.3">
      <c r="A372" t="s">
        <v>778</v>
      </c>
      <c r="B372" s="39">
        <v>18989.78</v>
      </c>
      <c r="C372" t="s">
        <v>31</v>
      </c>
      <c r="D372">
        <v>14</v>
      </c>
      <c r="E372" s="39">
        <v>1214.47</v>
      </c>
      <c r="F372" t="s">
        <v>74</v>
      </c>
      <c r="G372">
        <v>2</v>
      </c>
      <c r="H372">
        <v>993.58</v>
      </c>
    </row>
    <row r="373" spans="1:8" x14ac:dyDescent="0.3">
      <c r="A373" t="s">
        <v>777</v>
      </c>
      <c r="B373" s="39">
        <v>18989.78</v>
      </c>
      <c r="C373" t="s">
        <v>31</v>
      </c>
      <c r="D373">
        <v>14</v>
      </c>
      <c r="E373" s="39">
        <v>1214.47</v>
      </c>
      <c r="F373" t="s">
        <v>74</v>
      </c>
      <c r="G373">
        <v>2</v>
      </c>
      <c r="H373">
        <v>993.58</v>
      </c>
    </row>
    <row r="374" spans="1:8" x14ac:dyDescent="0.3">
      <c r="A374" t="s">
        <v>779</v>
      </c>
      <c r="B374" s="39">
        <v>18989.78</v>
      </c>
      <c r="C374" t="s">
        <v>31</v>
      </c>
      <c r="D374">
        <v>14</v>
      </c>
      <c r="E374" s="39">
        <v>1214.47</v>
      </c>
      <c r="F374" t="s">
        <v>74</v>
      </c>
      <c r="G374">
        <v>2</v>
      </c>
      <c r="H374">
        <v>993.58</v>
      </c>
    </row>
    <row r="375" spans="1:8" x14ac:dyDescent="0.3">
      <c r="A375" t="s">
        <v>780</v>
      </c>
      <c r="B375" s="39">
        <v>12362.88</v>
      </c>
      <c r="C375" t="s">
        <v>27</v>
      </c>
      <c r="D375">
        <v>14</v>
      </c>
      <c r="E375" s="39">
        <v>772.68</v>
      </c>
      <c r="F375" t="s">
        <v>87</v>
      </c>
      <c r="G375">
        <v>2</v>
      </c>
      <c r="H375">
        <v>772.68</v>
      </c>
    </row>
    <row r="376" spans="1:8" x14ac:dyDescent="0.3">
      <c r="A376" t="s">
        <v>781</v>
      </c>
      <c r="B376" s="39">
        <v>18547.98</v>
      </c>
      <c r="C376" t="s">
        <v>31</v>
      </c>
      <c r="D376">
        <v>14</v>
      </c>
      <c r="E376" s="39">
        <v>1214.47</v>
      </c>
      <c r="F376" t="s">
        <v>89</v>
      </c>
      <c r="G376">
        <v>2</v>
      </c>
      <c r="H376">
        <v>772.68</v>
      </c>
    </row>
    <row r="377" spans="1:8" x14ac:dyDescent="0.3">
      <c r="A377" t="s">
        <v>782</v>
      </c>
      <c r="B377" s="39">
        <v>12032</v>
      </c>
      <c r="C377" t="s">
        <v>27</v>
      </c>
      <c r="D377">
        <v>13</v>
      </c>
      <c r="E377" s="39">
        <v>772.68</v>
      </c>
      <c r="F377" t="s">
        <v>72</v>
      </c>
      <c r="G377">
        <v>2</v>
      </c>
      <c r="H377">
        <v>993.58</v>
      </c>
    </row>
    <row r="378" spans="1:8" x14ac:dyDescent="0.3">
      <c r="A378" t="s">
        <v>783</v>
      </c>
      <c r="B378" s="39">
        <v>17333.5</v>
      </c>
      <c r="C378" t="s">
        <v>67</v>
      </c>
      <c r="D378">
        <v>13</v>
      </c>
      <c r="E378" s="39">
        <v>1214.47</v>
      </c>
      <c r="F378" t="s">
        <v>89</v>
      </c>
      <c r="G378">
        <v>2</v>
      </c>
      <c r="H378" s="39">
        <v>772.68</v>
      </c>
    </row>
    <row r="379" spans="1:8" x14ac:dyDescent="0.3">
      <c r="A379" t="s">
        <v>784</v>
      </c>
      <c r="B379" s="39">
        <v>10044.84</v>
      </c>
      <c r="C379" t="s">
        <v>27</v>
      </c>
      <c r="D379">
        <v>13</v>
      </c>
      <c r="E379">
        <v>772.68</v>
      </c>
    </row>
    <row r="380" spans="1:8" x14ac:dyDescent="0.3">
      <c r="A380" t="s">
        <v>785</v>
      </c>
      <c r="B380" s="39">
        <v>25830.28</v>
      </c>
      <c r="C380" t="s">
        <v>57</v>
      </c>
      <c r="D380">
        <v>12</v>
      </c>
      <c r="E380" s="39">
        <v>1986.93</v>
      </c>
      <c r="F380" t="s">
        <v>83</v>
      </c>
      <c r="G380">
        <v>2</v>
      </c>
      <c r="H380" s="39">
        <v>993.58</v>
      </c>
    </row>
    <row r="381" spans="1:8" x14ac:dyDescent="0.3">
      <c r="A381" t="s">
        <v>787</v>
      </c>
      <c r="B381" s="39">
        <v>25830.28</v>
      </c>
      <c r="C381" t="s">
        <v>57</v>
      </c>
      <c r="D381">
        <v>12</v>
      </c>
      <c r="E381" s="39">
        <v>1986.93</v>
      </c>
      <c r="F381" t="s">
        <v>83</v>
      </c>
      <c r="G381">
        <v>2</v>
      </c>
      <c r="H381">
        <v>993.58</v>
      </c>
    </row>
    <row r="382" spans="1:8" x14ac:dyDescent="0.3">
      <c r="A382" t="s">
        <v>786</v>
      </c>
      <c r="B382" s="39">
        <v>23181.18</v>
      </c>
      <c r="C382" t="s">
        <v>53</v>
      </c>
      <c r="D382">
        <v>12</v>
      </c>
      <c r="E382" s="39">
        <v>1766.17</v>
      </c>
      <c r="F382" t="s">
        <v>81</v>
      </c>
      <c r="G382">
        <v>2</v>
      </c>
      <c r="H382">
        <v>993.58</v>
      </c>
    </row>
    <row r="383" spans="1:8" x14ac:dyDescent="0.3">
      <c r="A383" t="s">
        <v>789</v>
      </c>
      <c r="B383" s="39">
        <v>25830.28</v>
      </c>
      <c r="C383" t="s">
        <v>57</v>
      </c>
      <c r="D383">
        <v>12</v>
      </c>
      <c r="E383" s="39">
        <v>1986.93</v>
      </c>
      <c r="F383" t="s">
        <v>83</v>
      </c>
      <c r="G383">
        <v>2</v>
      </c>
      <c r="H383">
        <v>993.58</v>
      </c>
    </row>
    <row r="384" spans="1:8" x14ac:dyDescent="0.3">
      <c r="A384" t="s">
        <v>788</v>
      </c>
      <c r="B384" s="39">
        <v>25830.28</v>
      </c>
      <c r="C384" t="s">
        <v>57</v>
      </c>
      <c r="D384">
        <v>12</v>
      </c>
      <c r="E384" s="39">
        <v>1986.93</v>
      </c>
      <c r="F384" t="s">
        <v>83</v>
      </c>
      <c r="G384">
        <v>2</v>
      </c>
      <c r="H384">
        <v>993.58</v>
      </c>
    </row>
    <row r="385" spans="1:8" x14ac:dyDescent="0.3">
      <c r="A385" t="s">
        <v>790</v>
      </c>
      <c r="B385" s="39">
        <v>30465.29</v>
      </c>
      <c r="C385" t="s">
        <v>59</v>
      </c>
      <c r="D385">
        <v>12</v>
      </c>
      <c r="E385" s="39">
        <v>2207.7399999999998</v>
      </c>
      <c r="F385" t="s">
        <v>85</v>
      </c>
      <c r="G385">
        <v>2</v>
      </c>
      <c r="H385" s="39">
        <v>1986.23</v>
      </c>
    </row>
    <row r="386" spans="1:8" x14ac:dyDescent="0.3">
      <c r="A386" t="s">
        <v>791</v>
      </c>
      <c r="B386" s="39">
        <v>30465.29</v>
      </c>
      <c r="C386" t="s">
        <v>59</v>
      </c>
      <c r="D386">
        <v>12</v>
      </c>
      <c r="E386" s="39">
        <v>2207.7399999999998</v>
      </c>
      <c r="F386" t="s">
        <v>85</v>
      </c>
      <c r="G386">
        <v>2</v>
      </c>
      <c r="H386" s="39">
        <v>1986.23</v>
      </c>
    </row>
    <row r="387" spans="1:8" x14ac:dyDescent="0.3">
      <c r="A387" t="s">
        <v>793</v>
      </c>
      <c r="B387" s="39">
        <v>8608.51</v>
      </c>
      <c r="C387" t="s">
        <v>24</v>
      </c>
      <c r="D387">
        <v>12</v>
      </c>
      <c r="E387">
        <v>551.78</v>
      </c>
      <c r="F387" t="s">
        <v>72</v>
      </c>
      <c r="G387">
        <v>2</v>
      </c>
      <c r="H387">
        <v>993.58</v>
      </c>
    </row>
    <row r="388" spans="1:8" x14ac:dyDescent="0.3">
      <c r="A388" t="s">
        <v>792</v>
      </c>
      <c r="B388" s="39">
        <v>8608.51</v>
      </c>
      <c r="C388" t="s">
        <v>24</v>
      </c>
      <c r="D388">
        <v>12</v>
      </c>
      <c r="E388">
        <v>551.78</v>
      </c>
      <c r="F388" t="s">
        <v>72</v>
      </c>
      <c r="G388">
        <v>2</v>
      </c>
      <c r="H388">
        <v>993.58</v>
      </c>
    </row>
    <row r="389" spans="1:8" x14ac:dyDescent="0.3">
      <c r="A389" t="s">
        <v>796</v>
      </c>
      <c r="B389" s="39">
        <v>11259.32</v>
      </c>
      <c r="C389" t="s">
        <v>27</v>
      </c>
      <c r="D389">
        <v>12</v>
      </c>
      <c r="E389">
        <v>772.68</v>
      </c>
      <c r="F389" t="s">
        <v>72</v>
      </c>
      <c r="G389">
        <v>2</v>
      </c>
      <c r="H389">
        <v>993.58</v>
      </c>
    </row>
    <row r="390" spans="1:8" x14ac:dyDescent="0.3">
      <c r="A390" t="s">
        <v>794</v>
      </c>
      <c r="B390" s="39">
        <v>8608.51</v>
      </c>
      <c r="C390" t="s">
        <v>24</v>
      </c>
      <c r="D390">
        <v>12</v>
      </c>
      <c r="E390">
        <v>551.78</v>
      </c>
      <c r="F390" t="s">
        <v>72</v>
      </c>
      <c r="G390">
        <v>2</v>
      </c>
      <c r="H390">
        <v>993.58</v>
      </c>
    </row>
    <row r="391" spans="1:8" x14ac:dyDescent="0.3">
      <c r="A391" t="s">
        <v>797</v>
      </c>
      <c r="B391" s="39">
        <v>13910.13</v>
      </c>
      <c r="C391" t="s">
        <v>65</v>
      </c>
      <c r="D391">
        <v>12</v>
      </c>
      <c r="E391">
        <v>993.58</v>
      </c>
      <c r="F391" t="s">
        <v>72</v>
      </c>
      <c r="G391">
        <v>2</v>
      </c>
      <c r="H391">
        <v>993.58</v>
      </c>
    </row>
    <row r="392" spans="1:8" x14ac:dyDescent="0.3">
      <c r="A392" t="s">
        <v>798</v>
      </c>
      <c r="B392" s="39">
        <v>11259.32</v>
      </c>
      <c r="C392" t="s">
        <v>27</v>
      </c>
      <c r="D392">
        <v>12</v>
      </c>
      <c r="E392">
        <v>772.68</v>
      </c>
      <c r="F392" t="s">
        <v>72</v>
      </c>
      <c r="G392">
        <v>2</v>
      </c>
      <c r="H392">
        <v>993.58</v>
      </c>
    </row>
    <row r="393" spans="1:8" x14ac:dyDescent="0.3">
      <c r="A393" t="s">
        <v>799</v>
      </c>
      <c r="B393" s="39">
        <v>11259.32</v>
      </c>
      <c r="C393" t="s">
        <v>27</v>
      </c>
      <c r="D393">
        <v>12</v>
      </c>
      <c r="E393">
        <v>772.68</v>
      </c>
      <c r="F393" t="s">
        <v>72</v>
      </c>
      <c r="G393">
        <v>2</v>
      </c>
      <c r="H393">
        <v>993.58</v>
      </c>
    </row>
    <row r="394" spans="1:8" x14ac:dyDescent="0.3">
      <c r="A394" t="s">
        <v>800</v>
      </c>
      <c r="B394" s="39">
        <v>13910.13</v>
      </c>
      <c r="C394" t="s">
        <v>65</v>
      </c>
      <c r="D394">
        <v>12</v>
      </c>
      <c r="E394">
        <v>993.58</v>
      </c>
      <c r="F394" t="s">
        <v>72</v>
      </c>
      <c r="G394">
        <v>2</v>
      </c>
      <c r="H394">
        <v>993.58</v>
      </c>
    </row>
    <row r="395" spans="1:8" x14ac:dyDescent="0.3">
      <c r="A395" t="s">
        <v>802</v>
      </c>
      <c r="B395" s="39">
        <v>11259.32</v>
      </c>
      <c r="C395" t="s">
        <v>27</v>
      </c>
      <c r="D395">
        <v>12</v>
      </c>
      <c r="E395">
        <v>772.68</v>
      </c>
      <c r="F395" t="s">
        <v>72</v>
      </c>
      <c r="G395">
        <v>2</v>
      </c>
      <c r="H395">
        <v>993.58</v>
      </c>
    </row>
    <row r="396" spans="1:8" x14ac:dyDescent="0.3">
      <c r="A396" t="s">
        <v>803</v>
      </c>
      <c r="B396" s="39">
        <v>11259.32</v>
      </c>
      <c r="C396" t="s">
        <v>27</v>
      </c>
      <c r="D396">
        <v>12</v>
      </c>
      <c r="E396">
        <v>772.68</v>
      </c>
      <c r="F396" t="s">
        <v>72</v>
      </c>
      <c r="G396">
        <v>2</v>
      </c>
      <c r="H396">
        <v>993.58</v>
      </c>
    </row>
    <row r="397" spans="1:8" x14ac:dyDescent="0.3">
      <c r="A397" t="s">
        <v>801</v>
      </c>
      <c r="B397" s="39">
        <v>13910.13</v>
      </c>
      <c r="C397" t="s">
        <v>65</v>
      </c>
      <c r="D397">
        <v>12</v>
      </c>
      <c r="E397">
        <v>993.58</v>
      </c>
      <c r="F397" t="s">
        <v>72</v>
      </c>
      <c r="G397">
        <v>2</v>
      </c>
      <c r="H397">
        <v>993.58</v>
      </c>
    </row>
    <row r="398" spans="1:8" x14ac:dyDescent="0.3">
      <c r="A398" t="s">
        <v>805</v>
      </c>
      <c r="B398" s="39">
        <v>11259.32</v>
      </c>
      <c r="C398" t="s">
        <v>27</v>
      </c>
      <c r="D398">
        <v>12</v>
      </c>
      <c r="E398">
        <v>772.68</v>
      </c>
      <c r="F398" t="s">
        <v>72</v>
      </c>
      <c r="G398">
        <v>2</v>
      </c>
      <c r="H398">
        <v>993.58</v>
      </c>
    </row>
    <row r="399" spans="1:8" x14ac:dyDescent="0.3">
      <c r="A399" t="s">
        <v>804</v>
      </c>
      <c r="B399" s="39">
        <v>13910.13</v>
      </c>
      <c r="C399" t="s">
        <v>65</v>
      </c>
      <c r="D399">
        <v>12</v>
      </c>
      <c r="E399">
        <v>993.58</v>
      </c>
      <c r="F399" t="s">
        <v>72</v>
      </c>
      <c r="G399">
        <v>2</v>
      </c>
      <c r="H399">
        <v>993.58</v>
      </c>
    </row>
    <row r="400" spans="1:8" x14ac:dyDescent="0.3">
      <c r="A400" t="s">
        <v>806</v>
      </c>
      <c r="B400" s="39">
        <v>11259.32</v>
      </c>
      <c r="C400" t="s">
        <v>27</v>
      </c>
      <c r="D400">
        <v>12</v>
      </c>
      <c r="E400">
        <v>772.68</v>
      </c>
      <c r="F400" t="s">
        <v>72</v>
      </c>
      <c r="G400">
        <v>2</v>
      </c>
      <c r="H400">
        <v>993.58</v>
      </c>
    </row>
    <row r="401" spans="1:11" x14ac:dyDescent="0.3">
      <c r="A401" t="s">
        <v>808</v>
      </c>
      <c r="B401" s="39">
        <v>13910.13</v>
      </c>
      <c r="C401" t="s">
        <v>65</v>
      </c>
      <c r="D401">
        <v>12</v>
      </c>
      <c r="E401">
        <v>993.58</v>
      </c>
      <c r="F401" t="s">
        <v>72</v>
      </c>
      <c r="G401">
        <v>2</v>
      </c>
      <c r="H401">
        <v>993.58</v>
      </c>
    </row>
    <row r="402" spans="1:11" x14ac:dyDescent="0.3">
      <c r="A402" t="s">
        <v>807</v>
      </c>
      <c r="B402" s="39">
        <v>11259.32</v>
      </c>
      <c r="C402" t="s">
        <v>27</v>
      </c>
      <c r="D402">
        <v>12</v>
      </c>
      <c r="E402">
        <v>772.68</v>
      </c>
      <c r="F402" t="s">
        <v>72</v>
      </c>
      <c r="G402">
        <v>2</v>
      </c>
      <c r="H402">
        <v>993.58</v>
      </c>
    </row>
    <row r="403" spans="1:11" x14ac:dyDescent="0.3">
      <c r="A403" t="s">
        <v>809</v>
      </c>
      <c r="B403" s="39">
        <v>13910.13</v>
      </c>
      <c r="C403" t="s">
        <v>65</v>
      </c>
      <c r="D403">
        <v>12</v>
      </c>
      <c r="E403">
        <v>993.58</v>
      </c>
      <c r="F403" t="s">
        <v>72</v>
      </c>
      <c r="G403">
        <v>2</v>
      </c>
      <c r="H403">
        <v>993.58</v>
      </c>
    </row>
    <row r="404" spans="1:11" x14ac:dyDescent="0.3">
      <c r="A404" t="s">
        <v>810</v>
      </c>
      <c r="B404" s="39">
        <v>11259.32</v>
      </c>
      <c r="C404" t="s">
        <v>27</v>
      </c>
      <c r="D404">
        <v>12</v>
      </c>
      <c r="E404">
        <v>772.68</v>
      </c>
      <c r="F404" t="s">
        <v>72</v>
      </c>
      <c r="G404">
        <v>2</v>
      </c>
      <c r="H404">
        <v>993.58</v>
      </c>
    </row>
    <row r="405" spans="1:11" x14ac:dyDescent="0.3">
      <c r="A405" t="s">
        <v>813</v>
      </c>
      <c r="B405" s="39">
        <v>13910.13</v>
      </c>
      <c r="C405" t="s">
        <v>29</v>
      </c>
      <c r="D405">
        <v>12</v>
      </c>
      <c r="E405">
        <v>993.58</v>
      </c>
      <c r="F405" t="s">
        <v>74</v>
      </c>
      <c r="G405">
        <v>2</v>
      </c>
      <c r="H405">
        <v>993.58</v>
      </c>
    </row>
    <row r="406" spans="1:11" x14ac:dyDescent="0.3">
      <c r="A406" t="s">
        <v>812</v>
      </c>
      <c r="B406" s="39">
        <v>15234.59</v>
      </c>
      <c r="C406" t="s">
        <v>29</v>
      </c>
      <c r="D406">
        <v>12</v>
      </c>
      <c r="E406">
        <v>993.58</v>
      </c>
      <c r="F406" t="s">
        <v>74</v>
      </c>
      <c r="G406">
        <v>2</v>
      </c>
      <c r="H406">
        <v>993.58</v>
      </c>
      <c r="I406" t="s">
        <v>164</v>
      </c>
      <c r="J406">
        <v>1</v>
      </c>
      <c r="K406" s="39">
        <v>1324.46</v>
      </c>
    </row>
    <row r="407" spans="1:11" x14ac:dyDescent="0.3">
      <c r="A407" t="s">
        <v>811</v>
      </c>
      <c r="B407" s="39">
        <v>13910.13</v>
      </c>
      <c r="C407" t="s">
        <v>65</v>
      </c>
      <c r="D407">
        <v>12</v>
      </c>
      <c r="E407">
        <v>993.58</v>
      </c>
      <c r="F407" t="s">
        <v>72</v>
      </c>
      <c r="G407">
        <v>2</v>
      </c>
      <c r="H407">
        <v>993.58</v>
      </c>
    </row>
    <row r="408" spans="1:11" x14ac:dyDescent="0.3">
      <c r="A408" t="s">
        <v>814</v>
      </c>
      <c r="B408" s="39">
        <v>16560.830000000002</v>
      </c>
      <c r="C408" t="s">
        <v>67</v>
      </c>
      <c r="D408">
        <v>12</v>
      </c>
      <c r="E408" s="39">
        <v>1214.47</v>
      </c>
      <c r="F408" t="s">
        <v>74</v>
      </c>
      <c r="G408">
        <v>2</v>
      </c>
      <c r="H408">
        <v>993.58</v>
      </c>
    </row>
    <row r="409" spans="1:11" x14ac:dyDescent="0.3">
      <c r="A409" t="s">
        <v>816</v>
      </c>
      <c r="B409" s="39">
        <v>13910.13</v>
      </c>
      <c r="C409" t="s">
        <v>29</v>
      </c>
      <c r="D409">
        <v>12</v>
      </c>
      <c r="E409" s="39">
        <v>993.58</v>
      </c>
      <c r="F409" t="s">
        <v>74</v>
      </c>
      <c r="G409">
        <v>2</v>
      </c>
      <c r="H409">
        <v>993.58</v>
      </c>
    </row>
    <row r="410" spans="1:11" x14ac:dyDescent="0.3">
      <c r="A410" t="s">
        <v>817</v>
      </c>
      <c r="B410" s="39">
        <v>13910.13</v>
      </c>
      <c r="C410" t="s">
        <v>29</v>
      </c>
      <c r="D410">
        <v>12</v>
      </c>
      <c r="E410">
        <v>993.58</v>
      </c>
      <c r="F410" t="s">
        <v>74</v>
      </c>
      <c r="G410">
        <v>2</v>
      </c>
      <c r="H410">
        <v>993.58</v>
      </c>
    </row>
    <row r="411" spans="1:11" x14ac:dyDescent="0.3">
      <c r="A411" t="s">
        <v>815</v>
      </c>
      <c r="B411" s="39">
        <v>13910.13</v>
      </c>
      <c r="C411" t="s">
        <v>29</v>
      </c>
      <c r="D411">
        <v>12</v>
      </c>
      <c r="E411">
        <v>993.58</v>
      </c>
      <c r="F411" t="s">
        <v>74</v>
      </c>
      <c r="G411">
        <v>2</v>
      </c>
      <c r="H411">
        <v>993.58</v>
      </c>
    </row>
    <row r="412" spans="1:11" x14ac:dyDescent="0.3">
      <c r="A412" t="s">
        <v>818</v>
      </c>
      <c r="B412" s="39">
        <v>13910.13</v>
      </c>
      <c r="C412" t="s">
        <v>29</v>
      </c>
      <c r="D412">
        <v>12</v>
      </c>
      <c r="E412" s="39">
        <v>993.58</v>
      </c>
      <c r="F412" t="s">
        <v>74</v>
      </c>
      <c r="G412">
        <v>2</v>
      </c>
      <c r="H412">
        <v>993.58</v>
      </c>
    </row>
    <row r="413" spans="1:11" x14ac:dyDescent="0.3">
      <c r="A413" t="s">
        <v>819</v>
      </c>
      <c r="B413" s="39">
        <v>13910.13</v>
      </c>
      <c r="C413" t="s">
        <v>29</v>
      </c>
      <c r="D413">
        <v>12</v>
      </c>
      <c r="E413">
        <v>993.58</v>
      </c>
      <c r="F413" t="s">
        <v>74</v>
      </c>
      <c r="G413">
        <v>2</v>
      </c>
      <c r="H413">
        <v>993.58</v>
      </c>
    </row>
    <row r="414" spans="1:11" x14ac:dyDescent="0.3">
      <c r="A414" t="s">
        <v>820</v>
      </c>
      <c r="B414" s="39">
        <v>13910.13</v>
      </c>
      <c r="C414" t="s">
        <v>29</v>
      </c>
      <c r="D414">
        <v>12</v>
      </c>
      <c r="E414">
        <v>993.58</v>
      </c>
      <c r="F414" t="s">
        <v>74</v>
      </c>
      <c r="G414">
        <v>2</v>
      </c>
      <c r="H414">
        <v>993.58</v>
      </c>
    </row>
    <row r="415" spans="1:11" x14ac:dyDescent="0.3">
      <c r="A415" t="s">
        <v>821</v>
      </c>
      <c r="B415" s="39">
        <v>16560.830000000002</v>
      </c>
      <c r="C415" t="s">
        <v>67</v>
      </c>
      <c r="D415">
        <v>12</v>
      </c>
      <c r="E415" s="39">
        <v>1214.47</v>
      </c>
      <c r="F415" t="s">
        <v>74</v>
      </c>
      <c r="G415">
        <v>2</v>
      </c>
      <c r="H415">
        <v>993.58</v>
      </c>
    </row>
    <row r="416" spans="1:11" x14ac:dyDescent="0.3">
      <c r="A416" t="s">
        <v>822</v>
      </c>
      <c r="B416" s="39">
        <v>13910.13</v>
      </c>
      <c r="C416" t="s">
        <v>29</v>
      </c>
      <c r="D416">
        <v>12</v>
      </c>
      <c r="E416" s="39">
        <v>993.58</v>
      </c>
      <c r="F416" t="s">
        <v>74</v>
      </c>
      <c r="G416">
        <v>2</v>
      </c>
      <c r="H416">
        <v>993.58</v>
      </c>
    </row>
    <row r="417" spans="1:11" x14ac:dyDescent="0.3">
      <c r="A417" t="s">
        <v>823</v>
      </c>
      <c r="B417" s="39">
        <v>21858.69</v>
      </c>
      <c r="C417" t="s">
        <v>31</v>
      </c>
      <c r="D417">
        <v>12</v>
      </c>
      <c r="E417" s="39">
        <v>1214.47</v>
      </c>
      <c r="F417" t="s">
        <v>74</v>
      </c>
      <c r="G417">
        <v>2</v>
      </c>
      <c r="H417">
        <v>993.58</v>
      </c>
      <c r="I417" t="s">
        <v>150</v>
      </c>
      <c r="J417">
        <v>4</v>
      </c>
      <c r="K417" s="39">
        <v>1324.46</v>
      </c>
    </row>
    <row r="418" spans="1:11" x14ac:dyDescent="0.3">
      <c r="A418" t="s">
        <v>964</v>
      </c>
      <c r="B418" s="39">
        <v>32451.86</v>
      </c>
      <c r="C418" t="s">
        <v>69</v>
      </c>
      <c r="D418">
        <v>12</v>
      </c>
      <c r="E418" s="39">
        <v>1435.01</v>
      </c>
      <c r="F418" t="s">
        <v>74</v>
      </c>
      <c r="G418">
        <v>2</v>
      </c>
      <c r="H418">
        <v>993.58</v>
      </c>
      <c r="I418" t="s">
        <v>150</v>
      </c>
      <c r="J418">
        <v>10</v>
      </c>
      <c r="K418" s="39">
        <v>1324.46</v>
      </c>
    </row>
    <row r="419" spans="1:11" x14ac:dyDescent="0.3">
      <c r="A419" t="s">
        <v>824</v>
      </c>
      <c r="B419" s="39">
        <v>32451.86</v>
      </c>
      <c r="C419" t="s">
        <v>69</v>
      </c>
      <c r="D419">
        <v>12</v>
      </c>
      <c r="E419" s="39">
        <v>1435.01</v>
      </c>
      <c r="F419" t="s">
        <v>74</v>
      </c>
      <c r="G419">
        <v>2</v>
      </c>
      <c r="H419">
        <v>993.58</v>
      </c>
      <c r="I419" t="s">
        <v>160</v>
      </c>
      <c r="J419">
        <v>10</v>
      </c>
      <c r="K419" s="39">
        <v>1324.46</v>
      </c>
    </row>
    <row r="420" spans="1:11" x14ac:dyDescent="0.3">
      <c r="A420" t="s">
        <v>825</v>
      </c>
      <c r="B420" s="39">
        <v>16560.830000000002</v>
      </c>
      <c r="C420" t="s">
        <v>31</v>
      </c>
      <c r="D420">
        <v>12</v>
      </c>
      <c r="E420" s="39">
        <v>1214.47</v>
      </c>
      <c r="F420" t="s">
        <v>74</v>
      </c>
      <c r="G420">
        <v>2</v>
      </c>
      <c r="H420">
        <v>993.58</v>
      </c>
    </row>
    <row r="421" spans="1:11" x14ac:dyDescent="0.3">
      <c r="A421" t="s">
        <v>826</v>
      </c>
      <c r="B421" s="39">
        <v>19207.23</v>
      </c>
      <c r="C421" t="s">
        <v>69</v>
      </c>
      <c r="D421">
        <v>12</v>
      </c>
      <c r="E421" s="39">
        <v>1435.01</v>
      </c>
      <c r="F421" t="s">
        <v>74</v>
      </c>
      <c r="G421">
        <v>2</v>
      </c>
      <c r="H421">
        <v>993.58</v>
      </c>
    </row>
    <row r="422" spans="1:11" x14ac:dyDescent="0.3">
      <c r="A422" t="s">
        <v>827</v>
      </c>
      <c r="B422" s="39">
        <v>16560.830000000002</v>
      </c>
      <c r="C422" t="s">
        <v>31</v>
      </c>
      <c r="D422">
        <v>12</v>
      </c>
      <c r="E422" s="39">
        <v>1214.47</v>
      </c>
      <c r="F422" t="s">
        <v>74</v>
      </c>
      <c r="G422">
        <v>2</v>
      </c>
      <c r="H422">
        <v>993.58</v>
      </c>
    </row>
    <row r="423" spans="1:11" x14ac:dyDescent="0.3">
      <c r="A423" t="s">
        <v>828</v>
      </c>
      <c r="B423" s="39">
        <v>19207.23</v>
      </c>
      <c r="C423" t="s">
        <v>69</v>
      </c>
      <c r="D423">
        <v>12</v>
      </c>
      <c r="E423" s="39">
        <v>1435.01</v>
      </c>
      <c r="F423" t="s">
        <v>74</v>
      </c>
      <c r="G423">
        <v>2</v>
      </c>
      <c r="H423">
        <v>993.58</v>
      </c>
    </row>
    <row r="424" spans="1:11" x14ac:dyDescent="0.3">
      <c r="A424" t="s">
        <v>830</v>
      </c>
      <c r="B424" s="39">
        <v>16560.830000000002</v>
      </c>
      <c r="C424" t="s">
        <v>31</v>
      </c>
      <c r="D424">
        <v>12</v>
      </c>
      <c r="E424" s="39">
        <v>1214.47</v>
      </c>
      <c r="F424" t="s">
        <v>74</v>
      </c>
      <c r="G424">
        <v>2</v>
      </c>
      <c r="H424">
        <v>993.58</v>
      </c>
    </row>
    <row r="425" spans="1:11" x14ac:dyDescent="0.3">
      <c r="A425" t="s">
        <v>831</v>
      </c>
      <c r="B425" s="39">
        <v>16560.830000000002</v>
      </c>
      <c r="C425" t="s">
        <v>31</v>
      </c>
      <c r="D425">
        <v>12</v>
      </c>
      <c r="E425" s="39">
        <v>1214.47</v>
      </c>
      <c r="F425" t="s">
        <v>74</v>
      </c>
      <c r="G425">
        <v>2</v>
      </c>
      <c r="H425">
        <v>993.58</v>
      </c>
    </row>
    <row r="426" spans="1:11" x14ac:dyDescent="0.3">
      <c r="A426" t="s">
        <v>829</v>
      </c>
      <c r="B426" s="39">
        <v>16560.830000000002</v>
      </c>
      <c r="C426" t="s">
        <v>31</v>
      </c>
      <c r="D426">
        <v>12</v>
      </c>
      <c r="E426" s="39">
        <v>1214.47</v>
      </c>
      <c r="F426" t="s">
        <v>74</v>
      </c>
      <c r="G426">
        <v>2</v>
      </c>
      <c r="H426">
        <v>993.58</v>
      </c>
    </row>
    <row r="427" spans="1:11" x14ac:dyDescent="0.3">
      <c r="A427" t="s">
        <v>832</v>
      </c>
      <c r="B427" s="39">
        <v>19207.23</v>
      </c>
      <c r="C427" t="s">
        <v>69</v>
      </c>
      <c r="D427">
        <v>12</v>
      </c>
      <c r="E427" s="39">
        <v>1435.01</v>
      </c>
      <c r="F427" t="s">
        <v>74</v>
      </c>
      <c r="G427">
        <v>2</v>
      </c>
      <c r="H427">
        <v>993.58</v>
      </c>
    </row>
    <row r="428" spans="1:11" x14ac:dyDescent="0.3">
      <c r="A428" t="s">
        <v>834</v>
      </c>
      <c r="B428" s="39">
        <v>19207.23</v>
      </c>
      <c r="C428" t="s">
        <v>69</v>
      </c>
      <c r="D428">
        <v>12</v>
      </c>
      <c r="E428" s="39">
        <v>1435.01</v>
      </c>
      <c r="F428" t="s">
        <v>74</v>
      </c>
      <c r="G428">
        <v>2</v>
      </c>
      <c r="H428">
        <v>993.58</v>
      </c>
    </row>
    <row r="429" spans="1:11" x14ac:dyDescent="0.3">
      <c r="A429" t="s">
        <v>833</v>
      </c>
      <c r="B429" s="39">
        <v>16560.830000000002</v>
      </c>
      <c r="C429" t="s">
        <v>31</v>
      </c>
      <c r="D429">
        <v>12</v>
      </c>
      <c r="E429" s="39">
        <v>1214.47</v>
      </c>
      <c r="F429" t="s">
        <v>74</v>
      </c>
      <c r="G429">
        <v>2</v>
      </c>
      <c r="H429">
        <v>993.58</v>
      </c>
    </row>
    <row r="430" spans="1:11" x14ac:dyDescent="0.3">
      <c r="A430" t="s">
        <v>835</v>
      </c>
      <c r="B430" s="39">
        <v>16560.830000000002</v>
      </c>
      <c r="C430" t="s">
        <v>31</v>
      </c>
      <c r="D430">
        <v>12</v>
      </c>
      <c r="E430" s="39">
        <v>1214.47</v>
      </c>
      <c r="F430" t="s">
        <v>74</v>
      </c>
      <c r="G430">
        <v>2</v>
      </c>
      <c r="H430">
        <v>993.58</v>
      </c>
    </row>
    <row r="431" spans="1:11" x14ac:dyDescent="0.3">
      <c r="A431" t="s">
        <v>836</v>
      </c>
      <c r="B431" s="39">
        <v>16560.830000000002</v>
      </c>
      <c r="C431" t="s">
        <v>31</v>
      </c>
      <c r="D431">
        <v>12</v>
      </c>
      <c r="E431" s="39">
        <v>1214.47</v>
      </c>
      <c r="F431" t="s">
        <v>74</v>
      </c>
      <c r="G431">
        <v>2</v>
      </c>
      <c r="H431">
        <v>993.58</v>
      </c>
    </row>
    <row r="432" spans="1:11" x14ac:dyDescent="0.3">
      <c r="A432" t="s">
        <v>838</v>
      </c>
      <c r="B432" s="39">
        <v>16560.830000000002</v>
      </c>
      <c r="C432" t="s">
        <v>31</v>
      </c>
      <c r="D432">
        <v>12</v>
      </c>
      <c r="E432" s="39">
        <v>1214.47</v>
      </c>
      <c r="F432" t="s">
        <v>74</v>
      </c>
      <c r="G432">
        <v>2</v>
      </c>
      <c r="H432">
        <v>993.58</v>
      </c>
    </row>
    <row r="433" spans="1:8" x14ac:dyDescent="0.3">
      <c r="A433" t="s">
        <v>837</v>
      </c>
      <c r="B433" s="39">
        <v>16560.830000000002</v>
      </c>
      <c r="C433" t="s">
        <v>31</v>
      </c>
      <c r="D433">
        <v>12</v>
      </c>
      <c r="E433" s="39">
        <v>1214.47</v>
      </c>
      <c r="F433" t="s">
        <v>74</v>
      </c>
      <c r="G433">
        <v>2</v>
      </c>
      <c r="H433">
        <v>993.58</v>
      </c>
    </row>
    <row r="434" spans="1:8" x14ac:dyDescent="0.3">
      <c r="A434" t="s">
        <v>840</v>
      </c>
      <c r="B434" s="39">
        <v>19207.23</v>
      </c>
      <c r="C434" t="s">
        <v>69</v>
      </c>
      <c r="D434">
        <v>12</v>
      </c>
      <c r="E434" s="39">
        <v>1435.01</v>
      </c>
      <c r="F434" t="s">
        <v>74</v>
      </c>
      <c r="G434">
        <v>2</v>
      </c>
      <c r="H434">
        <v>993.58</v>
      </c>
    </row>
    <row r="435" spans="1:8" x14ac:dyDescent="0.3">
      <c r="A435" t="s">
        <v>839</v>
      </c>
      <c r="B435" s="39">
        <v>16560.830000000002</v>
      </c>
      <c r="C435" t="s">
        <v>31</v>
      </c>
      <c r="D435">
        <v>12</v>
      </c>
      <c r="E435" s="39">
        <v>1214.47</v>
      </c>
      <c r="F435" t="s">
        <v>74</v>
      </c>
      <c r="G435">
        <v>2</v>
      </c>
      <c r="H435">
        <v>993.58</v>
      </c>
    </row>
    <row r="436" spans="1:8" x14ac:dyDescent="0.3">
      <c r="A436" t="s">
        <v>841</v>
      </c>
      <c r="B436" s="39">
        <v>19207.23</v>
      </c>
      <c r="C436" t="s">
        <v>69</v>
      </c>
      <c r="D436">
        <v>12</v>
      </c>
      <c r="E436" s="39">
        <v>1435.01</v>
      </c>
      <c r="F436" t="s">
        <v>74</v>
      </c>
      <c r="G436">
        <v>2</v>
      </c>
      <c r="H436">
        <v>993.58</v>
      </c>
    </row>
    <row r="437" spans="1:8" x14ac:dyDescent="0.3">
      <c r="A437" t="s">
        <v>962</v>
      </c>
      <c r="B437" s="39">
        <v>16560.830000000002</v>
      </c>
      <c r="C437" t="s">
        <v>31</v>
      </c>
      <c r="D437">
        <v>12</v>
      </c>
      <c r="E437" s="39">
        <v>1214.47</v>
      </c>
      <c r="F437" t="s">
        <v>74</v>
      </c>
      <c r="G437">
        <v>2</v>
      </c>
      <c r="H437">
        <v>993.58</v>
      </c>
    </row>
    <row r="438" spans="1:8" x14ac:dyDescent="0.3">
      <c r="A438" t="s">
        <v>842</v>
      </c>
      <c r="B438" s="39">
        <v>16560.830000000002</v>
      </c>
      <c r="C438" t="s">
        <v>31</v>
      </c>
      <c r="D438">
        <v>12</v>
      </c>
      <c r="E438" s="39">
        <v>1214.47</v>
      </c>
      <c r="F438" t="s">
        <v>74</v>
      </c>
      <c r="G438">
        <v>2</v>
      </c>
      <c r="H438" s="39">
        <v>993.58</v>
      </c>
    </row>
    <row r="439" spans="1:8" x14ac:dyDescent="0.3">
      <c r="A439" t="s">
        <v>844</v>
      </c>
      <c r="B439" s="39">
        <v>16560.830000000002</v>
      </c>
      <c r="C439" t="s">
        <v>31</v>
      </c>
      <c r="D439">
        <v>12</v>
      </c>
      <c r="E439" s="39">
        <v>1214.47</v>
      </c>
      <c r="F439" t="s">
        <v>74</v>
      </c>
      <c r="G439">
        <v>2</v>
      </c>
      <c r="H439" s="39">
        <v>993.58</v>
      </c>
    </row>
    <row r="440" spans="1:8" x14ac:dyDescent="0.3">
      <c r="A440" t="s">
        <v>845</v>
      </c>
      <c r="B440" s="39">
        <v>16560.830000000002</v>
      </c>
      <c r="C440" t="s">
        <v>31</v>
      </c>
      <c r="D440">
        <v>12</v>
      </c>
      <c r="E440" s="39">
        <v>1214.47</v>
      </c>
      <c r="F440" t="s">
        <v>74</v>
      </c>
      <c r="G440">
        <v>2</v>
      </c>
      <c r="H440" s="39">
        <v>993.58</v>
      </c>
    </row>
    <row r="441" spans="1:8" x14ac:dyDescent="0.3">
      <c r="A441" t="s">
        <v>847</v>
      </c>
      <c r="B441" s="39">
        <v>19207.23</v>
      </c>
      <c r="C441" t="s">
        <v>69</v>
      </c>
      <c r="D441">
        <v>12</v>
      </c>
      <c r="E441" s="39">
        <v>1435.01</v>
      </c>
      <c r="F441" t="s">
        <v>74</v>
      </c>
      <c r="G441">
        <v>2</v>
      </c>
      <c r="H441" s="39">
        <v>993.58</v>
      </c>
    </row>
    <row r="442" spans="1:8" x14ac:dyDescent="0.3">
      <c r="A442" t="s">
        <v>846</v>
      </c>
      <c r="B442" s="39">
        <v>16560.830000000002</v>
      </c>
      <c r="C442" t="s">
        <v>31</v>
      </c>
      <c r="D442">
        <v>12</v>
      </c>
      <c r="E442" s="39">
        <v>1214.47</v>
      </c>
      <c r="F442" t="s">
        <v>74</v>
      </c>
      <c r="G442">
        <v>2</v>
      </c>
      <c r="H442" s="39">
        <v>993.58</v>
      </c>
    </row>
    <row r="443" spans="1:8" x14ac:dyDescent="0.3">
      <c r="A443" t="s">
        <v>848</v>
      </c>
      <c r="B443" s="39">
        <v>16560.830000000002</v>
      </c>
      <c r="C443" t="s">
        <v>31</v>
      </c>
      <c r="D443">
        <v>12</v>
      </c>
      <c r="E443" s="39">
        <v>1214.47</v>
      </c>
      <c r="F443" t="s">
        <v>74</v>
      </c>
      <c r="G443">
        <v>2</v>
      </c>
      <c r="H443">
        <v>993.58</v>
      </c>
    </row>
    <row r="444" spans="1:8" x14ac:dyDescent="0.3">
      <c r="A444" t="s">
        <v>849</v>
      </c>
      <c r="B444" s="39">
        <v>19207.23</v>
      </c>
      <c r="C444" t="s">
        <v>69</v>
      </c>
      <c r="D444">
        <v>12</v>
      </c>
      <c r="E444" s="39">
        <v>1435.01</v>
      </c>
      <c r="F444" t="s">
        <v>74</v>
      </c>
      <c r="G444">
        <v>2</v>
      </c>
      <c r="H444">
        <v>993.58</v>
      </c>
    </row>
    <row r="445" spans="1:8" x14ac:dyDescent="0.3">
      <c r="A445" t="s">
        <v>850</v>
      </c>
      <c r="B445" s="39">
        <v>16560.830000000002</v>
      </c>
      <c r="C445" t="s">
        <v>31</v>
      </c>
      <c r="D445">
        <v>12</v>
      </c>
      <c r="E445" s="39">
        <v>1214.47</v>
      </c>
      <c r="F445" t="s">
        <v>74</v>
      </c>
      <c r="G445">
        <v>2</v>
      </c>
      <c r="H445">
        <v>993.58</v>
      </c>
    </row>
    <row r="446" spans="1:8" x14ac:dyDescent="0.3">
      <c r="A446" t="s">
        <v>851</v>
      </c>
      <c r="B446" s="39">
        <v>19207.23</v>
      </c>
      <c r="C446" t="s">
        <v>69</v>
      </c>
      <c r="D446">
        <v>12</v>
      </c>
      <c r="E446" s="39">
        <v>1435.01</v>
      </c>
      <c r="F446" t="s">
        <v>74</v>
      </c>
      <c r="G446">
        <v>2</v>
      </c>
      <c r="H446">
        <v>993.58</v>
      </c>
    </row>
    <row r="447" spans="1:8" x14ac:dyDescent="0.3">
      <c r="A447" t="s">
        <v>852</v>
      </c>
      <c r="B447" s="39">
        <v>19207.23</v>
      </c>
      <c r="C447" t="s">
        <v>69</v>
      </c>
      <c r="D447">
        <v>12</v>
      </c>
      <c r="E447" s="39">
        <v>1435.01</v>
      </c>
      <c r="F447" t="s">
        <v>74</v>
      </c>
      <c r="G447">
        <v>2</v>
      </c>
      <c r="H447">
        <v>993.58</v>
      </c>
    </row>
    <row r="448" spans="1:8" x14ac:dyDescent="0.3">
      <c r="A448" t="s">
        <v>853</v>
      </c>
      <c r="B448" s="39">
        <v>16560.830000000002</v>
      </c>
      <c r="C448" t="s">
        <v>31</v>
      </c>
      <c r="D448">
        <v>12</v>
      </c>
      <c r="E448" s="39">
        <v>1214.47</v>
      </c>
      <c r="F448" t="s">
        <v>74</v>
      </c>
      <c r="G448">
        <v>2</v>
      </c>
      <c r="H448">
        <v>993.58</v>
      </c>
    </row>
    <row r="449" spans="1:8" x14ac:dyDescent="0.3">
      <c r="A449" t="s">
        <v>854</v>
      </c>
      <c r="B449" s="39">
        <v>19207.23</v>
      </c>
      <c r="C449" t="s">
        <v>69</v>
      </c>
      <c r="D449">
        <v>12</v>
      </c>
      <c r="E449" s="39">
        <v>1435.01</v>
      </c>
      <c r="F449" t="s">
        <v>74</v>
      </c>
      <c r="G449">
        <v>2</v>
      </c>
      <c r="H449">
        <v>993.58</v>
      </c>
    </row>
    <row r="450" spans="1:8" x14ac:dyDescent="0.3">
      <c r="A450" t="s">
        <v>855</v>
      </c>
      <c r="B450" s="39">
        <v>23842.240000000002</v>
      </c>
      <c r="C450" t="s">
        <v>33</v>
      </c>
      <c r="D450">
        <v>12</v>
      </c>
      <c r="E450" s="39">
        <v>1655.81</v>
      </c>
      <c r="F450" t="s">
        <v>79</v>
      </c>
      <c r="G450">
        <v>2</v>
      </c>
      <c r="H450" s="39">
        <v>1986.23</v>
      </c>
    </row>
    <row r="451" spans="1:8" x14ac:dyDescent="0.3">
      <c r="A451" t="s">
        <v>856</v>
      </c>
      <c r="B451" s="39">
        <v>23842.240000000002</v>
      </c>
      <c r="C451" t="s">
        <v>33</v>
      </c>
      <c r="D451">
        <v>12</v>
      </c>
      <c r="E451" s="39">
        <v>1655.81</v>
      </c>
      <c r="F451" t="s">
        <v>79</v>
      </c>
      <c r="G451">
        <v>2</v>
      </c>
      <c r="H451" s="39">
        <v>1986.23</v>
      </c>
    </row>
    <row r="452" spans="1:8" x14ac:dyDescent="0.3">
      <c r="A452" t="s">
        <v>857</v>
      </c>
      <c r="B452" s="39">
        <v>23842.240000000002</v>
      </c>
      <c r="C452" t="s">
        <v>33</v>
      </c>
      <c r="D452">
        <v>12</v>
      </c>
      <c r="E452" s="39">
        <v>1655.81</v>
      </c>
      <c r="F452" t="s">
        <v>79</v>
      </c>
      <c r="G452">
        <v>2</v>
      </c>
      <c r="H452" s="39">
        <v>1986.23</v>
      </c>
    </row>
    <row r="453" spans="1:8" x14ac:dyDescent="0.3">
      <c r="A453" t="s">
        <v>858</v>
      </c>
      <c r="B453" s="39">
        <v>23842.240000000002</v>
      </c>
      <c r="C453" t="s">
        <v>33</v>
      </c>
      <c r="D453">
        <v>12</v>
      </c>
      <c r="E453" s="39">
        <v>1655.81</v>
      </c>
      <c r="F453" t="s">
        <v>79</v>
      </c>
      <c r="G453">
        <v>2</v>
      </c>
      <c r="H453" s="39">
        <v>1986.23</v>
      </c>
    </row>
    <row r="454" spans="1:8" x14ac:dyDescent="0.3">
      <c r="A454" t="s">
        <v>859</v>
      </c>
      <c r="B454" s="39">
        <v>26491.34</v>
      </c>
      <c r="C454" t="s">
        <v>35</v>
      </c>
      <c r="D454">
        <v>12</v>
      </c>
      <c r="E454" s="39">
        <v>1876.57</v>
      </c>
      <c r="F454" t="s">
        <v>79</v>
      </c>
      <c r="G454">
        <v>2</v>
      </c>
      <c r="H454" s="39">
        <v>1986.23</v>
      </c>
    </row>
    <row r="455" spans="1:8" x14ac:dyDescent="0.3">
      <c r="A455" t="s">
        <v>860</v>
      </c>
      <c r="B455" s="39">
        <v>11921.8</v>
      </c>
      <c r="C455" t="s">
        <v>39</v>
      </c>
      <c r="D455">
        <v>12</v>
      </c>
      <c r="E455">
        <v>827.89</v>
      </c>
      <c r="F455" t="s">
        <v>72</v>
      </c>
      <c r="G455">
        <v>2</v>
      </c>
      <c r="H455">
        <v>993.58</v>
      </c>
    </row>
    <row r="456" spans="1:8" x14ac:dyDescent="0.3">
      <c r="A456" t="s">
        <v>861</v>
      </c>
      <c r="B456" s="39">
        <v>17882.38</v>
      </c>
      <c r="C456" t="s">
        <v>43</v>
      </c>
      <c r="D456">
        <v>12</v>
      </c>
      <c r="E456" s="39">
        <v>1324.6</v>
      </c>
      <c r="F456" t="s">
        <v>74</v>
      </c>
      <c r="G456">
        <v>2</v>
      </c>
      <c r="H456">
        <v>993.58</v>
      </c>
    </row>
    <row r="457" spans="1:8" x14ac:dyDescent="0.3">
      <c r="A457" t="s">
        <v>863</v>
      </c>
      <c r="B457" s="39">
        <v>11921.8</v>
      </c>
      <c r="C457" t="s">
        <v>39</v>
      </c>
      <c r="D457">
        <v>12</v>
      </c>
      <c r="E457" s="39">
        <v>827.89</v>
      </c>
      <c r="F457" t="s">
        <v>72</v>
      </c>
      <c r="G457">
        <v>2</v>
      </c>
      <c r="H457">
        <v>993.58</v>
      </c>
    </row>
    <row r="458" spans="1:8" x14ac:dyDescent="0.3">
      <c r="A458" t="s">
        <v>862</v>
      </c>
      <c r="B458" s="39">
        <v>17882.38</v>
      </c>
      <c r="C458" t="s">
        <v>43</v>
      </c>
      <c r="D458">
        <v>12</v>
      </c>
      <c r="E458" s="39">
        <v>1324.6</v>
      </c>
      <c r="F458" t="s">
        <v>74</v>
      </c>
      <c r="G458">
        <v>2</v>
      </c>
      <c r="H458">
        <v>993.58</v>
      </c>
    </row>
    <row r="459" spans="1:8" x14ac:dyDescent="0.3">
      <c r="A459" t="s">
        <v>864</v>
      </c>
      <c r="B459" s="39">
        <v>17882.38</v>
      </c>
      <c r="C459" t="s">
        <v>43</v>
      </c>
      <c r="D459">
        <v>12</v>
      </c>
      <c r="E459" s="39">
        <v>1324.6</v>
      </c>
      <c r="F459" t="s">
        <v>74</v>
      </c>
      <c r="G459">
        <v>2</v>
      </c>
      <c r="H459">
        <v>993.58</v>
      </c>
    </row>
    <row r="460" spans="1:8" x14ac:dyDescent="0.3">
      <c r="A460" t="s">
        <v>963</v>
      </c>
      <c r="B460" s="39">
        <v>17882.38</v>
      </c>
      <c r="C460" t="s">
        <v>43</v>
      </c>
      <c r="D460">
        <v>12</v>
      </c>
      <c r="E460" s="39">
        <v>1324.6</v>
      </c>
      <c r="F460" t="s">
        <v>74</v>
      </c>
      <c r="G460">
        <v>2</v>
      </c>
      <c r="H460">
        <v>993.58</v>
      </c>
    </row>
    <row r="461" spans="1:8" x14ac:dyDescent="0.3">
      <c r="A461" t="s">
        <v>865</v>
      </c>
      <c r="B461" s="39">
        <v>17882.38</v>
      </c>
      <c r="C461" t="s">
        <v>43</v>
      </c>
      <c r="D461">
        <v>12</v>
      </c>
      <c r="E461" s="39">
        <v>1324.6</v>
      </c>
      <c r="F461" t="s">
        <v>74</v>
      </c>
      <c r="G461">
        <v>2</v>
      </c>
      <c r="H461">
        <v>993.58</v>
      </c>
    </row>
    <row r="462" spans="1:8" x14ac:dyDescent="0.3">
      <c r="A462" t="s">
        <v>866</v>
      </c>
      <c r="B462" s="39">
        <v>17882.38</v>
      </c>
      <c r="C462" t="s">
        <v>43</v>
      </c>
      <c r="D462">
        <v>12</v>
      </c>
      <c r="E462" s="39">
        <v>1324.6</v>
      </c>
      <c r="F462" t="s">
        <v>74</v>
      </c>
      <c r="G462">
        <v>2</v>
      </c>
      <c r="H462">
        <v>993.58</v>
      </c>
    </row>
    <row r="463" spans="1:8" x14ac:dyDescent="0.3">
      <c r="A463" t="s">
        <v>867</v>
      </c>
      <c r="B463" s="39">
        <v>30465.29</v>
      </c>
      <c r="C463" t="s">
        <v>47</v>
      </c>
      <c r="D463">
        <v>12</v>
      </c>
      <c r="E463" s="39">
        <v>2207.7399999999998</v>
      </c>
      <c r="F463" t="s">
        <v>79</v>
      </c>
      <c r="G463">
        <v>2</v>
      </c>
      <c r="H463" s="39">
        <v>1986.23</v>
      </c>
    </row>
    <row r="464" spans="1:8" x14ac:dyDescent="0.3">
      <c r="A464" t="s">
        <v>871</v>
      </c>
      <c r="B464" s="39">
        <v>16119.03</v>
      </c>
      <c r="C464" t="s">
        <v>31</v>
      </c>
      <c r="D464">
        <v>12</v>
      </c>
      <c r="E464" s="39">
        <v>1214.47</v>
      </c>
      <c r="F464" t="s">
        <v>89</v>
      </c>
      <c r="G464">
        <v>2</v>
      </c>
      <c r="H464">
        <v>772.68</v>
      </c>
    </row>
    <row r="465" spans="1:11" x14ac:dyDescent="0.3">
      <c r="A465" t="s">
        <v>869</v>
      </c>
      <c r="B465" s="39">
        <v>8166.71</v>
      </c>
      <c r="C465" t="s">
        <v>24</v>
      </c>
      <c r="D465">
        <v>12</v>
      </c>
      <c r="E465">
        <v>551.78</v>
      </c>
      <c r="F465" t="s">
        <v>87</v>
      </c>
      <c r="G465">
        <v>2</v>
      </c>
      <c r="H465">
        <v>772.68</v>
      </c>
    </row>
    <row r="466" spans="1:11" x14ac:dyDescent="0.3">
      <c r="A466" t="s">
        <v>868</v>
      </c>
      <c r="B466" s="39">
        <v>10817.52</v>
      </c>
      <c r="C466" t="s">
        <v>27</v>
      </c>
      <c r="D466">
        <v>12</v>
      </c>
      <c r="E466" s="39">
        <v>772.68</v>
      </c>
      <c r="F466" t="s">
        <v>87</v>
      </c>
      <c r="G466">
        <v>2</v>
      </c>
      <c r="H466">
        <v>772.68</v>
      </c>
    </row>
    <row r="467" spans="1:11" x14ac:dyDescent="0.3">
      <c r="A467" t="s">
        <v>873</v>
      </c>
      <c r="B467" s="39">
        <v>18765.43</v>
      </c>
      <c r="C467" t="s">
        <v>69</v>
      </c>
      <c r="D467">
        <v>12</v>
      </c>
      <c r="E467" s="39">
        <v>1435.01</v>
      </c>
      <c r="F467" t="s">
        <v>89</v>
      </c>
      <c r="G467">
        <v>2</v>
      </c>
      <c r="H467">
        <v>772.68</v>
      </c>
    </row>
    <row r="468" spans="1:11" x14ac:dyDescent="0.3">
      <c r="A468" t="s">
        <v>872</v>
      </c>
      <c r="B468" s="39">
        <v>16119.03</v>
      </c>
      <c r="C468" t="s">
        <v>31</v>
      </c>
      <c r="D468">
        <v>12</v>
      </c>
      <c r="E468" s="39">
        <v>1214.47</v>
      </c>
      <c r="F468" t="s">
        <v>89</v>
      </c>
      <c r="G468">
        <v>2</v>
      </c>
      <c r="H468">
        <v>772.68</v>
      </c>
    </row>
    <row r="469" spans="1:11" x14ac:dyDescent="0.3">
      <c r="A469" t="s">
        <v>874</v>
      </c>
      <c r="B469" s="39">
        <v>9272.16</v>
      </c>
      <c r="C469" t="s">
        <v>27</v>
      </c>
      <c r="D469">
        <v>12</v>
      </c>
      <c r="E469">
        <v>772.68</v>
      </c>
    </row>
    <row r="470" spans="1:11" x14ac:dyDescent="0.3">
      <c r="A470" t="s">
        <v>875</v>
      </c>
      <c r="B470" s="39">
        <v>11922.97</v>
      </c>
      <c r="C470" t="s">
        <v>65</v>
      </c>
      <c r="D470">
        <v>12</v>
      </c>
      <c r="E470">
        <v>993.58</v>
      </c>
    </row>
    <row r="471" spans="1:11" x14ac:dyDescent="0.3">
      <c r="A471" t="s">
        <v>876</v>
      </c>
      <c r="B471" s="39">
        <v>9272.16</v>
      </c>
      <c r="C471" t="s">
        <v>27</v>
      </c>
      <c r="D471">
        <v>12</v>
      </c>
      <c r="E471">
        <v>772.68</v>
      </c>
    </row>
    <row r="472" spans="1:11" x14ac:dyDescent="0.3">
      <c r="A472" t="s">
        <v>965</v>
      </c>
      <c r="B472" s="39">
        <v>9272.16</v>
      </c>
      <c r="C472" t="s">
        <v>27</v>
      </c>
      <c r="D472">
        <v>12</v>
      </c>
      <c r="E472">
        <v>772.68</v>
      </c>
    </row>
    <row r="473" spans="1:11" x14ac:dyDescent="0.3">
      <c r="A473" t="s">
        <v>878</v>
      </c>
      <c r="B473" s="39">
        <v>14573.67</v>
      </c>
      <c r="C473" t="s">
        <v>31</v>
      </c>
      <c r="D473">
        <v>12</v>
      </c>
      <c r="E473" s="39">
        <v>1214.47</v>
      </c>
    </row>
    <row r="474" spans="1:11" x14ac:dyDescent="0.3">
      <c r="A474" t="s">
        <v>877</v>
      </c>
      <c r="B474" s="39">
        <v>11922.97</v>
      </c>
      <c r="C474" t="s">
        <v>29</v>
      </c>
      <c r="D474">
        <v>12</v>
      </c>
      <c r="E474">
        <v>993.58</v>
      </c>
    </row>
    <row r="475" spans="1:11" x14ac:dyDescent="0.3">
      <c r="A475" t="s">
        <v>879</v>
      </c>
      <c r="B475" s="39">
        <v>17220.07</v>
      </c>
      <c r="C475" t="s">
        <v>69</v>
      </c>
      <c r="D475">
        <v>12</v>
      </c>
      <c r="E475" s="39">
        <v>1435.01</v>
      </c>
    </row>
    <row r="476" spans="1:11" x14ac:dyDescent="0.3">
      <c r="A476" t="s">
        <v>880</v>
      </c>
      <c r="B476" s="39">
        <v>10375.719999999999</v>
      </c>
      <c r="C476" t="s">
        <v>27</v>
      </c>
      <c r="D476">
        <v>12</v>
      </c>
      <c r="E476">
        <v>772.68</v>
      </c>
      <c r="F476" t="s">
        <v>99</v>
      </c>
      <c r="G476">
        <v>2</v>
      </c>
      <c r="H476">
        <v>551.78</v>
      </c>
    </row>
    <row r="477" spans="1:11" x14ac:dyDescent="0.3">
      <c r="A477" t="s">
        <v>881</v>
      </c>
      <c r="B477" s="39">
        <v>15677.24</v>
      </c>
      <c r="C477" t="s">
        <v>31</v>
      </c>
      <c r="D477">
        <v>12</v>
      </c>
      <c r="E477" s="39">
        <v>1214.47</v>
      </c>
      <c r="F477" t="s">
        <v>99</v>
      </c>
      <c r="G477">
        <v>2</v>
      </c>
      <c r="H477">
        <v>551.78</v>
      </c>
    </row>
    <row r="478" spans="1:11" x14ac:dyDescent="0.3">
      <c r="A478" t="s">
        <v>883</v>
      </c>
      <c r="B478" s="39">
        <v>21854.99</v>
      </c>
      <c r="C478" t="s">
        <v>31</v>
      </c>
      <c r="D478">
        <v>12</v>
      </c>
      <c r="E478" s="39">
        <v>1214.47</v>
      </c>
      <c r="F478" t="s">
        <v>110</v>
      </c>
      <c r="G478">
        <v>2</v>
      </c>
      <c r="H478" s="39">
        <v>1324.46</v>
      </c>
      <c r="I478" t="s">
        <v>137</v>
      </c>
      <c r="J478">
        <v>14</v>
      </c>
      <c r="K478">
        <v>330.88</v>
      </c>
    </row>
    <row r="479" spans="1:11" x14ac:dyDescent="0.3">
      <c r="A479" t="s">
        <v>882</v>
      </c>
      <c r="B479" s="39">
        <v>21854.99</v>
      </c>
      <c r="C479" t="s">
        <v>31</v>
      </c>
      <c r="D479">
        <v>12</v>
      </c>
      <c r="E479" s="39">
        <v>1214.47</v>
      </c>
      <c r="F479" t="s">
        <v>110</v>
      </c>
      <c r="G479">
        <v>2</v>
      </c>
      <c r="H479" s="39">
        <v>1324.46</v>
      </c>
      <c r="I479" t="s">
        <v>137</v>
      </c>
      <c r="J479">
        <v>14</v>
      </c>
      <c r="K479">
        <v>330.88</v>
      </c>
    </row>
    <row r="480" spans="1:11" x14ac:dyDescent="0.3">
      <c r="A480" t="s">
        <v>884</v>
      </c>
      <c r="B480" s="39">
        <v>19648.84</v>
      </c>
      <c r="C480" t="s">
        <v>53</v>
      </c>
      <c r="D480">
        <v>10</v>
      </c>
      <c r="E480" s="39">
        <v>1766.17</v>
      </c>
      <c r="F480" t="s">
        <v>81</v>
      </c>
      <c r="G480">
        <v>2</v>
      </c>
      <c r="H480">
        <v>993.58</v>
      </c>
    </row>
    <row r="481" spans="1:11" x14ac:dyDescent="0.3">
      <c r="A481" t="s">
        <v>967</v>
      </c>
      <c r="B481" s="39">
        <v>7504.95</v>
      </c>
      <c r="C481" t="s">
        <v>24</v>
      </c>
      <c r="D481">
        <v>10</v>
      </c>
      <c r="E481" s="39">
        <v>551.78</v>
      </c>
      <c r="F481" t="s">
        <v>72</v>
      </c>
      <c r="G481">
        <v>2</v>
      </c>
      <c r="H481">
        <v>993.58</v>
      </c>
    </row>
    <row r="482" spans="1:11" x14ac:dyDescent="0.3">
      <c r="A482" t="s">
        <v>885</v>
      </c>
      <c r="B482" s="39">
        <v>24501.38</v>
      </c>
      <c r="C482" t="s">
        <v>69</v>
      </c>
      <c r="D482">
        <v>12</v>
      </c>
      <c r="E482" s="39">
        <v>1435.01</v>
      </c>
      <c r="F482" t="s">
        <v>110</v>
      </c>
      <c r="G482">
        <v>2</v>
      </c>
      <c r="H482" s="39">
        <v>1324.46</v>
      </c>
      <c r="I482" t="s">
        <v>137</v>
      </c>
      <c r="J482">
        <v>14</v>
      </c>
      <c r="K482">
        <v>330.88</v>
      </c>
    </row>
    <row r="483" spans="1:11" x14ac:dyDescent="0.3">
      <c r="A483" t="s">
        <v>886</v>
      </c>
      <c r="B483" s="39">
        <v>9713.9599999999991</v>
      </c>
      <c r="C483" t="s">
        <v>27</v>
      </c>
      <c r="D483">
        <v>10</v>
      </c>
      <c r="E483">
        <v>772.68</v>
      </c>
      <c r="F483" t="s">
        <v>72</v>
      </c>
      <c r="G483">
        <v>2</v>
      </c>
      <c r="H483">
        <v>993.58</v>
      </c>
    </row>
    <row r="484" spans="1:11" x14ac:dyDescent="0.3">
      <c r="A484" t="s">
        <v>887</v>
      </c>
      <c r="B484" s="39">
        <v>9713.9599999999991</v>
      </c>
      <c r="C484" t="s">
        <v>27</v>
      </c>
      <c r="D484">
        <v>10</v>
      </c>
      <c r="E484">
        <v>772.68</v>
      </c>
      <c r="F484" t="s">
        <v>72</v>
      </c>
      <c r="G484">
        <v>2</v>
      </c>
      <c r="H484">
        <v>993.58</v>
      </c>
    </row>
    <row r="485" spans="1:11" x14ac:dyDescent="0.3">
      <c r="A485" t="s">
        <v>890</v>
      </c>
      <c r="B485" s="39">
        <v>9713.9599999999991</v>
      </c>
      <c r="C485" t="s">
        <v>27</v>
      </c>
      <c r="D485">
        <v>10</v>
      </c>
      <c r="E485">
        <v>772.68</v>
      </c>
      <c r="F485" t="s">
        <v>72</v>
      </c>
      <c r="G485">
        <v>2</v>
      </c>
      <c r="H485">
        <v>993.58</v>
      </c>
    </row>
    <row r="486" spans="1:11" x14ac:dyDescent="0.3">
      <c r="A486" t="s">
        <v>889</v>
      </c>
      <c r="B486" s="39">
        <v>9713.9599999999991</v>
      </c>
      <c r="C486" t="s">
        <v>27</v>
      </c>
      <c r="D486">
        <v>10</v>
      </c>
      <c r="E486">
        <v>772.68</v>
      </c>
      <c r="F486" t="s">
        <v>72</v>
      </c>
      <c r="G486">
        <v>2</v>
      </c>
      <c r="H486">
        <v>993.58</v>
      </c>
    </row>
    <row r="487" spans="1:11" x14ac:dyDescent="0.3">
      <c r="A487" t="s">
        <v>888</v>
      </c>
      <c r="B487" s="39">
        <v>9713.9599999999991</v>
      </c>
      <c r="C487" t="s">
        <v>27</v>
      </c>
      <c r="D487">
        <v>10</v>
      </c>
      <c r="E487">
        <v>772.68</v>
      </c>
      <c r="F487" t="s">
        <v>72</v>
      </c>
      <c r="G487">
        <v>2</v>
      </c>
      <c r="H487">
        <v>993.58</v>
      </c>
    </row>
    <row r="488" spans="1:11" x14ac:dyDescent="0.3">
      <c r="A488" t="s">
        <v>894</v>
      </c>
      <c r="B488" s="39">
        <v>9713.9599999999991</v>
      </c>
      <c r="C488" t="s">
        <v>27</v>
      </c>
      <c r="D488">
        <v>10</v>
      </c>
      <c r="E488" s="39">
        <v>772.68</v>
      </c>
      <c r="F488" t="s">
        <v>72</v>
      </c>
      <c r="G488">
        <v>2</v>
      </c>
      <c r="H488">
        <v>993.58</v>
      </c>
    </row>
    <row r="489" spans="1:11" x14ac:dyDescent="0.3">
      <c r="A489" t="s">
        <v>892</v>
      </c>
      <c r="B489" s="39">
        <v>9713.9599999999991</v>
      </c>
      <c r="C489" t="s">
        <v>27</v>
      </c>
      <c r="D489">
        <v>10</v>
      </c>
      <c r="E489">
        <v>772.68</v>
      </c>
      <c r="F489" t="s">
        <v>72</v>
      </c>
      <c r="G489">
        <v>2</v>
      </c>
      <c r="H489">
        <v>993.58</v>
      </c>
    </row>
    <row r="490" spans="1:11" x14ac:dyDescent="0.3">
      <c r="A490" t="s">
        <v>891</v>
      </c>
      <c r="B490" s="39">
        <v>9713.9599999999991</v>
      </c>
      <c r="C490" t="s">
        <v>27</v>
      </c>
      <c r="D490">
        <v>10</v>
      </c>
      <c r="E490">
        <v>772.68</v>
      </c>
      <c r="F490" t="s">
        <v>72</v>
      </c>
      <c r="G490">
        <v>2</v>
      </c>
      <c r="H490">
        <v>993.58</v>
      </c>
    </row>
    <row r="491" spans="1:11" x14ac:dyDescent="0.3">
      <c r="A491" t="s">
        <v>893</v>
      </c>
      <c r="B491" s="39">
        <v>9713.9599999999991</v>
      </c>
      <c r="C491" t="s">
        <v>27</v>
      </c>
      <c r="D491">
        <v>10</v>
      </c>
      <c r="E491">
        <v>772.68</v>
      </c>
      <c r="F491" t="s">
        <v>72</v>
      </c>
      <c r="G491">
        <v>2</v>
      </c>
      <c r="H491">
        <v>993.58</v>
      </c>
    </row>
    <row r="492" spans="1:11" x14ac:dyDescent="0.3">
      <c r="A492" t="s">
        <v>895</v>
      </c>
      <c r="B492" s="39">
        <v>9713.9599999999991</v>
      </c>
      <c r="C492" t="s">
        <v>27</v>
      </c>
      <c r="D492">
        <v>10</v>
      </c>
      <c r="E492">
        <v>772.68</v>
      </c>
      <c r="F492" t="s">
        <v>72</v>
      </c>
      <c r="G492">
        <v>2</v>
      </c>
      <c r="H492">
        <v>993.58</v>
      </c>
    </row>
    <row r="493" spans="1:11" x14ac:dyDescent="0.3">
      <c r="A493" t="s">
        <v>896</v>
      </c>
      <c r="B493" s="39">
        <v>14131.89</v>
      </c>
      <c r="C493" t="s">
        <v>31</v>
      </c>
      <c r="D493">
        <v>10</v>
      </c>
      <c r="E493" s="39">
        <v>1214.47</v>
      </c>
      <c r="F493" t="s">
        <v>74</v>
      </c>
      <c r="G493">
        <v>2</v>
      </c>
      <c r="H493">
        <v>993.58</v>
      </c>
    </row>
    <row r="494" spans="1:11" x14ac:dyDescent="0.3">
      <c r="A494" t="s">
        <v>898</v>
      </c>
      <c r="B494" s="39">
        <v>11922.97</v>
      </c>
      <c r="C494" t="s">
        <v>29</v>
      </c>
      <c r="D494">
        <v>10</v>
      </c>
      <c r="E494" s="39">
        <v>993.58</v>
      </c>
      <c r="F494" t="s">
        <v>74</v>
      </c>
      <c r="G494">
        <v>2</v>
      </c>
      <c r="H494" s="39">
        <v>993.58</v>
      </c>
    </row>
    <row r="495" spans="1:11" x14ac:dyDescent="0.3">
      <c r="A495" t="s">
        <v>897</v>
      </c>
      <c r="B495" s="39">
        <v>16337.22</v>
      </c>
      <c r="C495" t="s">
        <v>69</v>
      </c>
      <c r="D495">
        <v>10</v>
      </c>
      <c r="E495" s="39">
        <v>1435.01</v>
      </c>
      <c r="F495" t="s">
        <v>74</v>
      </c>
      <c r="G495">
        <v>2</v>
      </c>
      <c r="H495">
        <v>993.58</v>
      </c>
    </row>
    <row r="496" spans="1:11" x14ac:dyDescent="0.3">
      <c r="A496" t="s">
        <v>899</v>
      </c>
      <c r="B496" s="39">
        <v>14131.89</v>
      </c>
      <c r="C496" t="s">
        <v>31</v>
      </c>
      <c r="D496">
        <v>10</v>
      </c>
      <c r="E496" s="39">
        <v>1214.47</v>
      </c>
      <c r="F496" t="s">
        <v>74</v>
      </c>
      <c r="G496">
        <v>2</v>
      </c>
      <c r="H496">
        <v>993.58</v>
      </c>
    </row>
    <row r="497" spans="1:8" x14ac:dyDescent="0.3">
      <c r="A497" t="s">
        <v>901</v>
      </c>
      <c r="B497" s="39">
        <v>14131.89</v>
      </c>
      <c r="C497" t="s">
        <v>31</v>
      </c>
      <c r="D497">
        <v>10</v>
      </c>
      <c r="E497" s="39">
        <v>1214.47</v>
      </c>
      <c r="F497" t="s">
        <v>74</v>
      </c>
      <c r="G497">
        <v>2</v>
      </c>
      <c r="H497">
        <v>993.58</v>
      </c>
    </row>
    <row r="498" spans="1:8" x14ac:dyDescent="0.3">
      <c r="A498" t="s">
        <v>900</v>
      </c>
      <c r="B498" s="39">
        <v>14131.89</v>
      </c>
      <c r="C498" t="s">
        <v>31</v>
      </c>
      <c r="D498">
        <v>10</v>
      </c>
      <c r="E498" s="39">
        <v>1214.47</v>
      </c>
      <c r="F498" t="s">
        <v>74</v>
      </c>
      <c r="G498">
        <v>2</v>
      </c>
      <c r="H498">
        <v>993.58</v>
      </c>
    </row>
    <row r="499" spans="1:8" x14ac:dyDescent="0.3">
      <c r="A499" t="s">
        <v>902</v>
      </c>
      <c r="B499" s="39">
        <v>14131.89</v>
      </c>
      <c r="C499" t="s">
        <v>31</v>
      </c>
      <c r="D499">
        <v>10</v>
      </c>
      <c r="E499" s="39">
        <v>1214.47</v>
      </c>
      <c r="F499" t="s">
        <v>74</v>
      </c>
      <c r="G499">
        <v>2</v>
      </c>
      <c r="H499">
        <v>993.58</v>
      </c>
    </row>
    <row r="500" spans="1:8" x14ac:dyDescent="0.3">
      <c r="A500" t="s">
        <v>903</v>
      </c>
      <c r="B500" s="39">
        <v>14131.89</v>
      </c>
      <c r="C500" t="s">
        <v>31</v>
      </c>
      <c r="D500">
        <v>10</v>
      </c>
      <c r="E500" s="39">
        <v>1214.47</v>
      </c>
      <c r="F500" t="s">
        <v>74</v>
      </c>
      <c r="G500">
        <v>2</v>
      </c>
      <c r="H500">
        <v>993.58</v>
      </c>
    </row>
    <row r="501" spans="1:8" x14ac:dyDescent="0.3">
      <c r="A501" t="s">
        <v>904</v>
      </c>
      <c r="B501" s="39">
        <v>16337.22</v>
      </c>
      <c r="C501" t="s">
        <v>69</v>
      </c>
      <c r="D501">
        <v>10</v>
      </c>
      <c r="E501" s="39">
        <v>1435.01</v>
      </c>
      <c r="F501" t="s">
        <v>74</v>
      </c>
      <c r="G501">
        <v>2</v>
      </c>
      <c r="H501">
        <v>993.58</v>
      </c>
    </row>
    <row r="502" spans="1:8" x14ac:dyDescent="0.3">
      <c r="A502" t="s">
        <v>905</v>
      </c>
      <c r="B502" s="39">
        <v>14131.89</v>
      </c>
      <c r="C502" t="s">
        <v>31</v>
      </c>
      <c r="D502">
        <v>10</v>
      </c>
      <c r="E502" s="39">
        <v>1214.47</v>
      </c>
      <c r="F502" t="s">
        <v>74</v>
      </c>
      <c r="G502">
        <v>2</v>
      </c>
      <c r="H502">
        <v>993.58</v>
      </c>
    </row>
    <row r="503" spans="1:8" x14ac:dyDescent="0.3">
      <c r="A503" t="s">
        <v>907</v>
      </c>
      <c r="B503" s="39">
        <v>14131.89</v>
      </c>
      <c r="C503" t="s">
        <v>31</v>
      </c>
      <c r="D503">
        <v>10</v>
      </c>
      <c r="E503" s="39">
        <v>1214.47</v>
      </c>
      <c r="F503" t="s">
        <v>74</v>
      </c>
      <c r="G503">
        <v>2</v>
      </c>
      <c r="H503">
        <v>993.58</v>
      </c>
    </row>
    <row r="504" spans="1:8" x14ac:dyDescent="0.3">
      <c r="A504" t="s">
        <v>906</v>
      </c>
      <c r="B504" s="39">
        <v>16337.22</v>
      </c>
      <c r="C504" t="s">
        <v>69</v>
      </c>
      <c r="D504">
        <v>10</v>
      </c>
      <c r="E504" s="39">
        <v>1435.01</v>
      </c>
      <c r="F504" t="s">
        <v>74</v>
      </c>
      <c r="G504">
        <v>2</v>
      </c>
      <c r="H504">
        <v>993.58</v>
      </c>
    </row>
    <row r="505" spans="1:8" x14ac:dyDescent="0.3">
      <c r="A505" t="s">
        <v>909</v>
      </c>
      <c r="B505" s="39">
        <v>5517.79</v>
      </c>
      <c r="C505" t="s">
        <v>24</v>
      </c>
      <c r="D505">
        <v>10</v>
      </c>
      <c r="E505">
        <v>551.78</v>
      </c>
    </row>
    <row r="506" spans="1:8" x14ac:dyDescent="0.3">
      <c r="A506" t="s">
        <v>908</v>
      </c>
      <c r="B506" s="39">
        <v>15233.17</v>
      </c>
      <c r="C506" t="s">
        <v>43</v>
      </c>
      <c r="D506">
        <v>10</v>
      </c>
      <c r="E506" s="39">
        <v>1324.6</v>
      </c>
      <c r="F506" t="s">
        <v>74</v>
      </c>
      <c r="G506">
        <v>2</v>
      </c>
      <c r="H506">
        <v>993.58</v>
      </c>
    </row>
    <row r="507" spans="1:8" x14ac:dyDescent="0.3">
      <c r="A507" t="s">
        <v>910</v>
      </c>
      <c r="B507" s="39">
        <v>9935.7999999999993</v>
      </c>
      <c r="C507" t="s">
        <v>29</v>
      </c>
      <c r="D507">
        <v>10</v>
      </c>
      <c r="E507" s="39">
        <v>993.58</v>
      </c>
      <c r="H507" s="39"/>
    </row>
    <row r="508" spans="1:8" x14ac:dyDescent="0.3">
      <c r="A508" t="s">
        <v>912</v>
      </c>
      <c r="B508" s="39">
        <v>10929.38</v>
      </c>
      <c r="C508" t="s">
        <v>65</v>
      </c>
      <c r="D508">
        <v>9</v>
      </c>
      <c r="E508">
        <v>993.58</v>
      </c>
      <c r="F508" t="s">
        <v>72</v>
      </c>
      <c r="G508">
        <v>2</v>
      </c>
      <c r="H508">
        <v>993.58</v>
      </c>
    </row>
    <row r="509" spans="1:8" x14ac:dyDescent="0.3">
      <c r="A509" t="s">
        <v>911</v>
      </c>
      <c r="B509" s="39">
        <v>19868.810000000001</v>
      </c>
      <c r="C509" t="s">
        <v>45</v>
      </c>
      <c r="D509">
        <v>9</v>
      </c>
      <c r="E509" s="39">
        <v>1766.26</v>
      </c>
      <c r="F509" t="s">
        <v>79</v>
      </c>
      <c r="G509">
        <v>2</v>
      </c>
      <c r="H509" s="39">
        <v>1986.23</v>
      </c>
    </row>
    <row r="510" spans="1:8" x14ac:dyDescent="0.3">
      <c r="A510" t="s">
        <v>914</v>
      </c>
      <c r="B510" s="39">
        <v>10487.58</v>
      </c>
      <c r="C510" t="s">
        <v>65</v>
      </c>
      <c r="D510">
        <v>9</v>
      </c>
      <c r="E510">
        <v>993.58</v>
      </c>
      <c r="F510" t="s">
        <v>87</v>
      </c>
      <c r="G510">
        <v>2</v>
      </c>
      <c r="H510">
        <v>772.68</v>
      </c>
    </row>
    <row r="511" spans="1:8" x14ac:dyDescent="0.3">
      <c r="A511" t="s">
        <v>913</v>
      </c>
      <c r="B511" s="39">
        <v>17882.580000000002</v>
      </c>
      <c r="C511" t="s">
        <v>57</v>
      </c>
      <c r="D511">
        <v>8</v>
      </c>
      <c r="E511" s="39">
        <v>1986.93</v>
      </c>
      <c r="F511" t="s">
        <v>83</v>
      </c>
      <c r="G511">
        <v>2</v>
      </c>
      <c r="H511">
        <v>993.58</v>
      </c>
    </row>
    <row r="512" spans="1:8" x14ac:dyDescent="0.3">
      <c r="A512" t="s">
        <v>916</v>
      </c>
      <c r="B512" s="39">
        <v>8168.6</v>
      </c>
      <c r="C512" t="s">
        <v>27</v>
      </c>
      <c r="D512">
        <v>8</v>
      </c>
      <c r="E512" s="39">
        <v>772.68</v>
      </c>
      <c r="F512" t="s">
        <v>72</v>
      </c>
      <c r="G512">
        <v>2</v>
      </c>
      <c r="H512">
        <v>993.58</v>
      </c>
    </row>
    <row r="513" spans="1:11" x14ac:dyDescent="0.3">
      <c r="A513" t="s">
        <v>917</v>
      </c>
      <c r="B513" s="39">
        <v>8168.6</v>
      </c>
      <c r="C513" t="s">
        <v>27</v>
      </c>
      <c r="D513">
        <v>8</v>
      </c>
      <c r="E513">
        <v>772.68</v>
      </c>
      <c r="F513" t="s">
        <v>72</v>
      </c>
      <c r="G513">
        <v>2</v>
      </c>
      <c r="H513">
        <v>993.58</v>
      </c>
    </row>
    <row r="514" spans="1:11" x14ac:dyDescent="0.3">
      <c r="A514" t="s">
        <v>918</v>
      </c>
      <c r="B514" s="39">
        <v>8168.6</v>
      </c>
      <c r="C514" t="s">
        <v>27</v>
      </c>
      <c r="D514">
        <v>8</v>
      </c>
      <c r="E514">
        <v>772.68</v>
      </c>
      <c r="F514" t="s">
        <v>72</v>
      </c>
      <c r="G514">
        <v>2</v>
      </c>
      <c r="H514">
        <v>993.58</v>
      </c>
    </row>
    <row r="515" spans="1:11" x14ac:dyDescent="0.3">
      <c r="A515" t="s">
        <v>919</v>
      </c>
      <c r="B515" s="39">
        <v>9935.7999999999993</v>
      </c>
      <c r="C515" t="s">
        <v>65</v>
      </c>
      <c r="D515">
        <v>8</v>
      </c>
      <c r="E515">
        <v>993.58</v>
      </c>
      <c r="F515" t="s">
        <v>72</v>
      </c>
      <c r="G515">
        <v>2</v>
      </c>
      <c r="H515">
        <v>993.58</v>
      </c>
    </row>
    <row r="516" spans="1:11" x14ac:dyDescent="0.3">
      <c r="A516" t="s">
        <v>920</v>
      </c>
      <c r="B516" s="39">
        <v>8168.6</v>
      </c>
      <c r="C516" t="s">
        <v>27</v>
      </c>
      <c r="D516">
        <v>8</v>
      </c>
      <c r="E516">
        <v>772.68</v>
      </c>
      <c r="F516" t="s">
        <v>72</v>
      </c>
      <c r="G516">
        <v>2</v>
      </c>
      <c r="H516">
        <v>993.58</v>
      </c>
    </row>
    <row r="517" spans="1:11" x14ac:dyDescent="0.3">
      <c r="A517" t="s">
        <v>968</v>
      </c>
      <c r="B517" s="39">
        <v>23180.44</v>
      </c>
      <c r="C517" t="s">
        <v>29</v>
      </c>
      <c r="D517">
        <v>8</v>
      </c>
      <c r="E517">
        <v>993.58</v>
      </c>
      <c r="F517" t="s">
        <v>74</v>
      </c>
      <c r="G517">
        <v>2</v>
      </c>
      <c r="H517">
        <v>993.58</v>
      </c>
      <c r="I517" t="s">
        <v>150</v>
      </c>
      <c r="J517">
        <v>10</v>
      </c>
      <c r="K517" s="39">
        <v>1324.46</v>
      </c>
    </row>
    <row r="518" spans="1:11" x14ac:dyDescent="0.3">
      <c r="A518" t="s">
        <v>921</v>
      </c>
      <c r="B518" s="39">
        <v>9935.7999999999993</v>
      </c>
      <c r="C518" t="s">
        <v>29</v>
      </c>
      <c r="D518">
        <v>8</v>
      </c>
      <c r="E518">
        <v>993.58</v>
      </c>
      <c r="F518" t="s">
        <v>74</v>
      </c>
      <c r="G518">
        <v>2</v>
      </c>
      <c r="H518">
        <v>993.58</v>
      </c>
    </row>
    <row r="519" spans="1:11" x14ac:dyDescent="0.3">
      <c r="A519" t="s">
        <v>922</v>
      </c>
      <c r="B519" s="39">
        <v>11702.94</v>
      </c>
      <c r="C519" t="s">
        <v>31</v>
      </c>
      <c r="D519">
        <v>8</v>
      </c>
      <c r="E519" s="39">
        <v>1214.47</v>
      </c>
      <c r="F519" t="s">
        <v>74</v>
      </c>
      <c r="G519">
        <v>2</v>
      </c>
      <c r="H519">
        <v>993.58</v>
      </c>
    </row>
    <row r="520" spans="1:11" x14ac:dyDescent="0.3">
      <c r="A520" t="s">
        <v>923</v>
      </c>
      <c r="B520" s="39">
        <v>9935.7999999999993</v>
      </c>
      <c r="C520" t="s">
        <v>29</v>
      </c>
      <c r="D520">
        <v>8</v>
      </c>
      <c r="E520">
        <v>993.58</v>
      </c>
      <c r="F520" t="s">
        <v>74</v>
      </c>
      <c r="G520">
        <v>2</v>
      </c>
      <c r="H520">
        <v>993.58</v>
      </c>
    </row>
    <row r="521" spans="1:11" x14ac:dyDescent="0.3">
      <c r="A521" t="s">
        <v>924</v>
      </c>
      <c r="B521" s="39">
        <v>11702.94</v>
      </c>
      <c r="C521" t="s">
        <v>31</v>
      </c>
      <c r="D521">
        <v>8</v>
      </c>
      <c r="E521" s="39">
        <v>1214.47</v>
      </c>
      <c r="F521" t="s">
        <v>74</v>
      </c>
      <c r="G521">
        <v>2</v>
      </c>
      <c r="H521">
        <v>993.58</v>
      </c>
    </row>
    <row r="522" spans="1:11" x14ac:dyDescent="0.3">
      <c r="A522" t="s">
        <v>925</v>
      </c>
      <c r="B522" s="39">
        <v>11702.94</v>
      </c>
      <c r="C522" t="s">
        <v>31</v>
      </c>
      <c r="D522">
        <v>8</v>
      </c>
      <c r="E522" s="39">
        <v>1214.47</v>
      </c>
      <c r="F522" t="s">
        <v>74</v>
      </c>
      <c r="G522">
        <v>2</v>
      </c>
      <c r="H522">
        <v>993.58</v>
      </c>
    </row>
    <row r="523" spans="1:11" x14ac:dyDescent="0.3">
      <c r="A523" t="s">
        <v>926</v>
      </c>
      <c r="B523" s="39">
        <v>17218.98</v>
      </c>
      <c r="C523" t="s">
        <v>33</v>
      </c>
      <c r="D523">
        <v>8</v>
      </c>
      <c r="E523" s="39">
        <v>1655.81</v>
      </c>
      <c r="F523" t="s">
        <v>79</v>
      </c>
      <c r="G523">
        <v>2</v>
      </c>
      <c r="H523" s="39">
        <v>1986.23</v>
      </c>
    </row>
    <row r="524" spans="1:11" x14ac:dyDescent="0.3">
      <c r="A524" t="s">
        <v>929</v>
      </c>
      <c r="B524" s="39">
        <v>9715.7800000000007</v>
      </c>
      <c r="C524" t="s">
        <v>67</v>
      </c>
      <c r="D524">
        <v>8</v>
      </c>
      <c r="E524" s="39">
        <v>1214.47</v>
      </c>
    </row>
    <row r="525" spans="1:11" x14ac:dyDescent="0.3">
      <c r="A525" t="s">
        <v>928</v>
      </c>
      <c r="B525" s="39">
        <v>10596.74</v>
      </c>
      <c r="C525" t="s">
        <v>41</v>
      </c>
      <c r="D525">
        <v>8</v>
      </c>
      <c r="E525" s="39">
        <v>1076.2</v>
      </c>
      <c r="F525" t="s">
        <v>74</v>
      </c>
      <c r="G525">
        <v>2</v>
      </c>
      <c r="H525">
        <v>993.58</v>
      </c>
    </row>
    <row r="526" spans="1:11" x14ac:dyDescent="0.3">
      <c r="A526" t="s">
        <v>927</v>
      </c>
      <c r="B526" s="39">
        <v>9715.7800000000007</v>
      </c>
      <c r="C526" t="s">
        <v>31</v>
      </c>
      <c r="D526">
        <v>8</v>
      </c>
      <c r="E526" s="39">
        <v>1214.47</v>
      </c>
    </row>
    <row r="527" spans="1:11" x14ac:dyDescent="0.3">
      <c r="A527" t="s">
        <v>932</v>
      </c>
      <c r="B527" s="39">
        <v>6955.06</v>
      </c>
      <c r="C527" t="s">
        <v>29</v>
      </c>
      <c r="D527">
        <v>7</v>
      </c>
      <c r="E527">
        <v>993.58</v>
      </c>
    </row>
    <row r="528" spans="1:11" x14ac:dyDescent="0.3">
      <c r="A528" t="s">
        <v>931</v>
      </c>
      <c r="B528" s="39">
        <v>12584.17</v>
      </c>
      <c r="C528" t="s">
        <v>53</v>
      </c>
      <c r="D528">
        <v>6</v>
      </c>
      <c r="E528" s="39">
        <v>1766.17</v>
      </c>
      <c r="F528" t="s">
        <v>81</v>
      </c>
      <c r="G528">
        <v>2</v>
      </c>
      <c r="H528">
        <v>993.58</v>
      </c>
    </row>
    <row r="529" spans="1:8" x14ac:dyDescent="0.3">
      <c r="A529" t="s">
        <v>930</v>
      </c>
      <c r="B529" s="39">
        <v>7395.92</v>
      </c>
      <c r="C529" t="s">
        <v>27</v>
      </c>
      <c r="D529">
        <v>7</v>
      </c>
      <c r="E529" s="39">
        <v>772.68</v>
      </c>
      <c r="F529" t="s">
        <v>72</v>
      </c>
      <c r="G529">
        <v>2</v>
      </c>
      <c r="H529">
        <v>993.58</v>
      </c>
    </row>
    <row r="530" spans="1:8" x14ac:dyDescent="0.3">
      <c r="A530" t="s">
        <v>933</v>
      </c>
      <c r="B530" s="39">
        <v>5297.84</v>
      </c>
      <c r="C530" t="s">
        <v>24</v>
      </c>
      <c r="D530">
        <v>6</v>
      </c>
      <c r="E530">
        <v>551.78</v>
      </c>
      <c r="F530" t="s">
        <v>72</v>
      </c>
      <c r="G530">
        <v>2</v>
      </c>
      <c r="H530">
        <v>993.58</v>
      </c>
    </row>
    <row r="531" spans="1:8" x14ac:dyDescent="0.3">
      <c r="A531" t="s">
        <v>934</v>
      </c>
      <c r="B531" s="39">
        <v>6623.24</v>
      </c>
      <c r="C531" t="s">
        <v>63</v>
      </c>
      <c r="D531">
        <v>6</v>
      </c>
      <c r="E531">
        <v>772.68</v>
      </c>
      <c r="F531" t="s">
        <v>72</v>
      </c>
      <c r="G531">
        <v>2</v>
      </c>
      <c r="H531">
        <v>993.58</v>
      </c>
    </row>
    <row r="532" spans="1:8" x14ac:dyDescent="0.3">
      <c r="A532" t="s">
        <v>938</v>
      </c>
      <c r="B532" s="39">
        <v>6623.24</v>
      </c>
      <c r="C532" t="s">
        <v>27</v>
      </c>
      <c r="D532">
        <v>6</v>
      </c>
      <c r="E532">
        <v>772.68</v>
      </c>
      <c r="F532" t="s">
        <v>72</v>
      </c>
      <c r="G532">
        <v>2</v>
      </c>
      <c r="H532">
        <v>993.58</v>
      </c>
    </row>
    <row r="533" spans="1:8" x14ac:dyDescent="0.3">
      <c r="A533" t="s">
        <v>936</v>
      </c>
      <c r="B533" s="39">
        <v>5297.84</v>
      </c>
      <c r="C533" t="s">
        <v>24</v>
      </c>
      <c r="D533">
        <v>6</v>
      </c>
      <c r="E533">
        <v>551.78</v>
      </c>
      <c r="F533" t="s">
        <v>72</v>
      </c>
      <c r="G533">
        <v>2</v>
      </c>
      <c r="H533">
        <v>993.58</v>
      </c>
    </row>
    <row r="534" spans="1:8" x14ac:dyDescent="0.3">
      <c r="A534" t="s">
        <v>935</v>
      </c>
      <c r="B534" s="39">
        <v>6623.24</v>
      </c>
      <c r="C534" t="s">
        <v>27</v>
      </c>
      <c r="D534">
        <v>6</v>
      </c>
      <c r="E534">
        <v>772.68</v>
      </c>
      <c r="F534" t="s">
        <v>72</v>
      </c>
      <c r="G534">
        <v>2</v>
      </c>
      <c r="H534">
        <v>993.58</v>
      </c>
    </row>
    <row r="535" spans="1:8" x14ac:dyDescent="0.3">
      <c r="A535" t="s">
        <v>937</v>
      </c>
      <c r="B535" s="39">
        <v>6623.24</v>
      </c>
      <c r="C535" t="s">
        <v>27</v>
      </c>
      <c r="D535">
        <v>6</v>
      </c>
      <c r="E535" s="39">
        <v>772.68</v>
      </c>
      <c r="F535" t="s">
        <v>72</v>
      </c>
      <c r="G535">
        <v>2</v>
      </c>
      <c r="H535">
        <v>993.58</v>
      </c>
    </row>
    <row r="536" spans="1:8" x14ac:dyDescent="0.3">
      <c r="A536" t="s">
        <v>939</v>
      </c>
      <c r="B536" s="39">
        <v>6623.24</v>
      </c>
      <c r="C536" t="s">
        <v>27</v>
      </c>
      <c r="D536">
        <v>6</v>
      </c>
      <c r="E536">
        <v>772.68</v>
      </c>
      <c r="F536" t="s">
        <v>72</v>
      </c>
      <c r="G536">
        <v>2</v>
      </c>
      <c r="H536">
        <v>993.58</v>
      </c>
    </row>
    <row r="537" spans="1:8" x14ac:dyDescent="0.3">
      <c r="A537" t="s">
        <v>940</v>
      </c>
      <c r="B537" s="39">
        <v>7948.64</v>
      </c>
      <c r="C537" t="s">
        <v>65</v>
      </c>
      <c r="D537">
        <v>6</v>
      </c>
      <c r="E537" s="39">
        <v>993.58</v>
      </c>
      <c r="F537" t="s">
        <v>72</v>
      </c>
      <c r="G537">
        <v>2</v>
      </c>
      <c r="H537" s="39">
        <v>993.58</v>
      </c>
    </row>
    <row r="538" spans="1:8" x14ac:dyDescent="0.3">
      <c r="A538" t="s">
        <v>941</v>
      </c>
      <c r="B538" s="39">
        <v>6623.24</v>
      </c>
      <c r="C538" t="s">
        <v>27</v>
      </c>
      <c r="D538">
        <v>6</v>
      </c>
      <c r="E538">
        <v>772.68</v>
      </c>
      <c r="F538" t="s">
        <v>72</v>
      </c>
      <c r="G538">
        <v>2</v>
      </c>
      <c r="H538">
        <v>993.58</v>
      </c>
    </row>
    <row r="539" spans="1:8" x14ac:dyDescent="0.3">
      <c r="A539" t="s">
        <v>942</v>
      </c>
      <c r="B539" s="39">
        <v>6623.24</v>
      </c>
      <c r="C539" t="s">
        <v>27</v>
      </c>
      <c r="D539">
        <v>6</v>
      </c>
      <c r="E539" s="39">
        <v>772.68</v>
      </c>
      <c r="F539" t="s">
        <v>72</v>
      </c>
      <c r="G539">
        <v>2</v>
      </c>
      <c r="H539" s="39">
        <v>993.58</v>
      </c>
    </row>
    <row r="540" spans="1:8" x14ac:dyDescent="0.3">
      <c r="A540" t="s">
        <v>944</v>
      </c>
      <c r="B540" s="39">
        <v>6623.24</v>
      </c>
      <c r="C540" t="s">
        <v>27</v>
      </c>
      <c r="D540">
        <v>6</v>
      </c>
      <c r="E540">
        <v>772.68</v>
      </c>
      <c r="F540" t="s">
        <v>72</v>
      </c>
      <c r="G540">
        <v>2</v>
      </c>
      <c r="H540">
        <v>993.58</v>
      </c>
    </row>
    <row r="541" spans="1:8" x14ac:dyDescent="0.3">
      <c r="A541" t="s">
        <v>943</v>
      </c>
      <c r="B541" s="39">
        <v>7948.64</v>
      </c>
      <c r="C541" t="s">
        <v>65</v>
      </c>
      <c r="D541">
        <v>6</v>
      </c>
      <c r="E541">
        <v>993.58</v>
      </c>
      <c r="F541" t="s">
        <v>72</v>
      </c>
      <c r="G541">
        <v>2</v>
      </c>
      <c r="H541">
        <v>993.58</v>
      </c>
    </row>
    <row r="542" spans="1:8" x14ac:dyDescent="0.3">
      <c r="A542" t="s">
        <v>945</v>
      </c>
      <c r="B542" s="39">
        <v>6623.24</v>
      </c>
      <c r="C542" t="s">
        <v>27</v>
      </c>
      <c r="D542">
        <v>6</v>
      </c>
      <c r="E542">
        <v>772.68</v>
      </c>
      <c r="F542" t="s">
        <v>72</v>
      </c>
      <c r="G542">
        <v>2</v>
      </c>
      <c r="H542">
        <v>993.58</v>
      </c>
    </row>
    <row r="543" spans="1:8" x14ac:dyDescent="0.3">
      <c r="A543" t="s">
        <v>946</v>
      </c>
      <c r="B543" s="39">
        <v>7948.64</v>
      </c>
      <c r="C543" t="s">
        <v>29</v>
      </c>
      <c r="D543">
        <v>6</v>
      </c>
      <c r="E543">
        <v>993.58</v>
      </c>
      <c r="F543" t="s">
        <v>74</v>
      </c>
      <c r="G543">
        <v>2</v>
      </c>
      <c r="H543">
        <v>993.58</v>
      </c>
    </row>
    <row r="544" spans="1:8" x14ac:dyDescent="0.3">
      <c r="A544" t="s">
        <v>947</v>
      </c>
      <c r="B544" s="39">
        <v>7948.64</v>
      </c>
      <c r="C544" t="s">
        <v>29</v>
      </c>
      <c r="D544">
        <v>6</v>
      </c>
      <c r="E544" s="39">
        <v>993.58</v>
      </c>
      <c r="F544" t="s">
        <v>74</v>
      </c>
      <c r="G544">
        <v>2</v>
      </c>
      <c r="H544" s="39">
        <v>993.58</v>
      </c>
    </row>
    <row r="545" spans="1:11" x14ac:dyDescent="0.3">
      <c r="A545" t="s">
        <v>949</v>
      </c>
      <c r="B545" s="39">
        <v>9274</v>
      </c>
      <c r="C545" t="s">
        <v>31</v>
      </c>
      <c r="D545">
        <v>6</v>
      </c>
      <c r="E545" s="39">
        <v>1214.47</v>
      </c>
      <c r="F545" t="s">
        <v>74</v>
      </c>
      <c r="G545">
        <v>2</v>
      </c>
      <c r="H545">
        <v>993.58</v>
      </c>
    </row>
    <row r="546" spans="1:11" x14ac:dyDescent="0.3">
      <c r="A546" t="s">
        <v>950</v>
      </c>
      <c r="B546" s="39">
        <v>10597.19</v>
      </c>
      <c r="C546" t="s">
        <v>69</v>
      </c>
      <c r="D546">
        <v>6</v>
      </c>
      <c r="E546" s="39">
        <v>1435.01</v>
      </c>
      <c r="F546" t="s">
        <v>74</v>
      </c>
      <c r="G546">
        <v>2</v>
      </c>
      <c r="H546" s="39">
        <v>993.58</v>
      </c>
    </row>
    <row r="547" spans="1:11" x14ac:dyDescent="0.3">
      <c r="A547" t="s">
        <v>952</v>
      </c>
      <c r="B547" s="39">
        <v>9274</v>
      </c>
      <c r="C547" t="s">
        <v>31</v>
      </c>
      <c r="D547">
        <v>6</v>
      </c>
      <c r="E547" s="39">
        <v>1214.47</v>
      </c>
      <c r="F547" t="s">
        <v>74</v>
      </c>
      <c r="G547">
        <v>2</v>
      </c>
      <c r="H547">
        <v>993.58</v>
      </c>
    </row>
    <row r="548" spans="1:11" x14ac:dyDescent="0.3">
      <c r="A548" t="s">
        <v>953</v>
      </c>
      <c r="B548" s="39">
        <v>9274</v>
      </c>
      <c r="C548" t="s">
        <v>31</v>
      </c>
      <c r="D548">
        <v>6</v>
      </c>
      <c r="E548" s="39">
        <v>1214.47</v>
      </c>
      <c r="F548" t="s">
        <v>74</v>
      </c>
      <c r="G548">
        <v>2</v>
      </c>
      <c r="H548">
        <v>993.58</v>
      </c>
    </row>
    <row r="549" spans="1:11" x14ac:dyDescent="0.3">
      <c r="A549" t="s">
        <v>951</v>
      </c>
      <c r="B549" s="39">
        <v>4856.04</v>
      </c>
      <c r="C549" t="s">
        <v>24</v>
      </c>
      <c r="D549">
        <v>6</v>
      </c>
      <c r="E549" s="39">
        <v>551.78</v>
      </c>
      <c r="F549" t="s">
        <v>87</v>
      </c>
      <c r="G549">
        <v>2</v>
      </c>
      <c r="H549">
        <v>772.68</v>
      </c>
    </row>
    <row r="550" spans="1:11" x14ac:dyDescent="0.3">
      <c r="A550" t="s">
        <v>956</v>
      </c>
      <c r="B550" s="39">
        <v>7506.84</v>
      </c>
      <c r="C550" t="s">
        <v>65</v>
      </c>
      <c r="D550">
        <v>6</v>
      </c>
      <c r="E550">
        <v>993.58</v>
      </c>
      <c r="F550" t="s">
        <v>87</v>
      </c>
      <c r="G550">
        <v>2</v>
      </c>
      <c r="H550">
        <v>772.68</v>
      </c>
    </row>
    <row r="551" spans="1:11" x14ac:dyDescent="0.3">
      <c r="A551" t="s">
        <v>969</v>
      </c>
      <c r="B551" s="39">
        <v>6181.44</v>
      </c>
      <c r="C551" t="s">
        <v>27</v>
      </c>
      <c r="D551">
        <v>6</v>
      </c>
      <c r="E551" s="39">
        <v>772.68</v>
      </c>
      <c r="F551" t="s">
        <v>87</v>
      </c>
      <c r="G551">
        <v>2</v>
      </c>
      <c r="H551">
        <v>772.68</v>
      </c>
    </row>
    <row r="552" spans="1:11" x14ac:dyDescent="0.3">
      <c r="A552" t="s">
        <v>955</v>
      </c>
      <c r="B552" s="39">
        <v>3310.68</v>
      </c>
      <c r="C552" t="s">
        <v>24</v>
      </c>
      <c r="D552">
        <v>6</v>
      </c>
      <c r="E552">
        <v>551.78</v>
      </c>
    </row>
    <row r="553" spans="1:11" x14ac:dyDescent="0.3">
      <c r="A553" t="s">
        <v>954</v>
      </c>
      <c r="B553" s="39">
        <v>12582.84</v>
      </c>
      <c r="C553" t="s">
        <v>31</v>
      </c>
      <c r="D553">
        <v>6</v>
      </c>
      <c r="E553" s="39">
        <v>1214.47</v>
      </c>
      <c r="F553" t="s">
        <v>110</v>
      </c>
      <c r="G553">
        <v>2</v>
      </c>
      <c r="H553" s="39">
        <v>1324.46</v>
      </c>
      <c r="I553" t="s">
        <v>137</v>
      </c>
      <c r="J553">
        <v>8</v>
      </c>
      <c r="K553">
        <v>330.88</v>
      </c>
    </row>
    <row r="554" spans="1:11" x14ac:dyDescent="0.3">
      <c r="A554" t="s">
        <v>970</v>
      </c>
      <c r="B554" s="39">
        <v>4636.08</v>
      </c>
      <c r="C554" t="s">
        <v>27</v>
      </c>
      <c r="D554">
        <v>6</v>
      </c>
      <c r="E554" s="39">
        <v>772.68</v>
      </c>
    </row>
    <row r="555" spans="1:11" x14ac:dyDescent="0.3">
      <c r="A555" t="s">
        <v>971</v>
      </c>
      <c r="B555" s="39">
        <v>13906.04</v>
      </c>
      <c r="C555" t="s">
        <v>69</v>
      </c>
      <c r="D555">
        <v>6</v>
      </c>
      <c r="E555" s="39">
        <v>1435.01</v>
      </c>
      <c r="F555" t="s">
        <v>110</v>
      </c>
      <c r="G555">
        <v>2</v>
      </c>
      <c r="H555" s="39">
        <v>1324.46</v>
      </c>
      <c r="I555" t="s">
        <v>137</v>
      </c>
      <c r="J555">
        <v>8</v>
      </c>
      <c r="K555">
        <v>330.88</v>
      </c>
    </row>
    <row r="556" spans="1:11" x14ac:dyDescent="0.3">
      <c r="A556" t="s">
        <v>957</v>
      </c>
      <c r="B556" s="39">
        <v>31134.5</v>
      </c>
      <c r="C556" t="s">
        <v>31</v>
      </c>
      <c r="D556">
        <v>24</v>
      </c>
      <c r="E556" s="39">
        <v>1214.47</v>
      </c>
      <c r="F556" t="s">
        <v>74</v>
      </c>
      <c r="G556">
        <v>2</v>
      </c>
      <c r="H556">
        <v>993.58</v>
      </c>
    </row>
    <row r="557" spans="1:11" x14ac:dyDescent="0.3">
      <c r="A557" t="s">
        <v>958</v>
      </c>
      <c r="B557" s="39">
        <v>31134.5</v>
      </c>
      <c r="C557" t="s">
        <v>31</v>
      </c>
      <c r="D557">
        <v>24</v>
      </c>
      <c r="E557" s="39">
        <v>1214.47</v>
      </c>
      <c r="F557" t="s">
        <v>74</v>
      </c>
      <c r="G557">
        <v>2</v>
      </c>
      <c r="H557">
        <v>993.58</v>
      </c>
    </row>
    <row r="558" spans="1:11" x14ac:dyDescent="0.3">
      <c r="A558" t="s">
        <v>972</v>
      </c>
      <c r="B558" s="39">
        <v>16560.830000000002</v>
      </c>
      <c r="C558" t="s">
        <v>31</v>
      </c>
      <c r="D558">
        <v>12</v>
      </c>
      <c r="E558" s="39">
        <v>1214.47</v>
      </c>
      <c r="F558" t="s">
        <v>74</v>
      </c>
      <c r="G558">
        <v>2</v>
      </c>
      <c r="H558">
        <v>993.58</v>
      </c>
    </row>
    <row r="559" spans="1:11" x14ac:dyDescent="0.3">
      <c r="A559" t="s">
        <v>974</v>
      </c>
      <c r="B559" s="39">
        <v>16560.830000000002</v>
      </c>
      <c r="C559" t="s">
        <v>31</v>
      </c>
      <c r="D559">
        <v>12</v>
      </c>
      <c r="E559" s="39">
        <v>1214.47</v>
      </c>
      <c r="F559" t="s">
        <v>74</v>
      </c>
      <c r="G559">
        <v>2</v>
      </c>
      <c r="H559">
        <v>993.58</v>
      </c>
    </row>
    <row r="560" spans="1:11" x14ac:dyDescent="0.3">
      <c r="A560" t="s">
        <v>959</v>
      </c>
      <c r="B560" s="39">
        <v>33777.120000000003</v>
      </c>
      <c r="C560" t="s">
        <v>33</v>
      </c>
      <c r="D560">
        <v>18</v>
      </c>
      <c r="E560" s="39">
        <v>1655.81</v>
      </c>
      <c r="F560" t="s">
        <v>79</v>
      </c>
      <c r="G560">
        <v>2</v>
      </c>
      <c r="H560" s="39">
        <v>1986.23</v>
      </c>
    </row>
    <row r="561" spans="1:8" x14ac:dyDescent="0.3">
      <c r="A561" t="s">
        <v>973</v>
      </c>
      <c r="B561" s="39">
        <v>53646.89</v>
      </c>
      <c r="C561" t="s">
        <v>33</v>
      </c>
      <c r="D561">
        <v>30</v>
      </c>
      <c r="E561" s="39">
        <v>1655.81</v>
      </c>
      <c r="F561" t="s">
        <v>79</v>
      </c>
      <c r="G561">
        <v>2</v>
      </c>
      <c r="H561" s="39">
        <v>1986.23</v>
      </c>
    </row>
    <row r="562" spans="1:8" x14ac:dyDescent="0.3">
      <c r="A562" t="s">
        <v>975</v>
      </c>
      <c r="B562" s="39">
        <v>43712.01</v>
      </c>
      <c r="C562" t="s">
        <v>33</v>
      </c>
      <c r="D562">
        <v>24</v>
      </c>
      <c r="E562" s="39">
        <v>1655.81</v>
      </c>
      <c r="F562" t="s">
        <v>79</v>
      </c>
      <c r="G562">
        <v>2</v>
      </c>
      <c r="H562" s="39">
        <v>1986.23</v>
      </c>
    </row>
    <row r="563" spans="1:8" x14ac:dyDescent="0.3">
      <c r="A563" t="s">
        <v>960</v>
      </c>
      <c r="B563" s="39">
        <v>23842.240000000002</v>
      </c>
      <c r="C563" t="s">
        <v>33</v>
      </c>
      <c r="D563">
        <v>12</v>
      </c>
      <c r="E563" s="39">
        <v>1655.81</v>
      </c>
      <c r="F563" t="s">
        <v>79</v>
      </c>
      <c r="G563">
        <v>2</v>
      </c>
      <c r="H563" s="39">
        <v>1986.23</v>
      </c>
    </row>
    <row r="564" spans="1:8" x14ac:dyDescent="0.3">
      <c r="A564" t="s">
        <v>961</v>
      </c>
      <c r="B564" s="39">
        <v>23842.240000000002</v>
      </c>
      <c r="C564" t="s">
        <v>33</v>
      </c>
      <c r="D564">
        <v>12</v>
      </c>
      <c r="E564" s="39">
        <v>1655.81</v>
      </c>
      <c r="F564" t="s">
        <v>79</v>
      </c>
      <c r="G564">
        <v>2</v>
      </c>
      <c r="H564" s="39">
        <v>1986.23</v>
      </c>
    </row>
    <row r="565" spans="1:8" x14ac:dyDescent="0.3">
      <c r="A565" t="s">
        <v>596</v>
      </c>
      <c r="B565" s="39">
        <v>31134.5</v>
      </c>
      <c r="C565" t="s">
        <v>31</v>
      </c>
      <c r="D565">
        <v>24</v>
      </c>
      <c r="E565" s="39">
        <v>1214.47</v>
      </c>
      <c r="F565" t="s">
        <v>74</v>
      </c>
      <c r="G565">
        <v>2</v>
      </c>
      <c r="H565">
        <v>993.58</v>
      </c>
    </row>
    <row r="566" spans="1:8" x14ac:dyDescent="0.3">
      <c r="A566" t="s">
        <v>542</v>
      </c>
      <c r="B566" s="39">
        <v>38421.339999999997</v>
      </c>
      <c r="C566" t="s">
        <v>31</v>
      </c>
      <c r="D566">
        <v>30</v>
      </c>
      <c r="E566" s="39">
        <v>1214.47</v>
      </c>
      <c r="F566" t="s">
        <v>74</v>
      </c>
      <c r="G566">
        <v>2</v>
      </c>
      <c r="H566">
        <v>993.58</v>
      </c>
    </row>
    <row r="567" spans="1:8" x14ac:dyDescent="0.3">
      <c r="A567" t="s">
        <v>570</v>
      </c>
      <c r="B567" s="39">
        <v>56958.12</v>
      </c>
      <c r="C567" t="s">
        <v>59</v>
      </c>
      <c r="D567">
        <v>24</v>
      </c>
      <c r="E567" s="39">
        <v>2207.7399999999998</v>
      </c>
      <c r="F567" t="s">
        <v>85</v>
      </c>
      <c r="G567">
        <v>2</v>
      </c>
      <c r="H567" s="39">
        <v>1986.23</v>
      </c>
    </row>
    <row r="568" spans="1:8" x14ac:dyDescent="0.3">
      <c r="A568" t="s">
        <v>698</v>
      </c>
      <c r="B568" s="39">
        <v>23847.67</v>
      </c>
      <c r="C568" t="s">
        <v>31</v>
      </c>
      <c r="D568">
        <v>18</v>
      </c>
      <c r="E568" s="39">
        <v>1214.47</v>
      </c>
      <c r="F568" t="s">
        <v>74</v>
      </c>
      <c r="G568">
        <v>2</v>
      </c>
      <c r="H568">
        <v>993.58</v>
      </c>
    </row>
    <row r="569" spans="1:8" x14ac:dyDescent="0.3">
      <c r="A569" t="s">
        <v>613</v>
      </c>
      <c r="B569" s="39">
        <v>36427.29</v>
      </c>
      <c r="C569" t="s">
        <v>69</v>
      </c>
      <c r="D569">
        <v>24</v>
      </c>
      <c r="E569" s="39">
        <v>1435.01</v>
      </c>
      <c r="F569" t="s">
        <v>74</v>
      </c>
      <c r="G569">
        <v>2</v>
      </c>
      <c r="H569">
        <v>993.58</v>
      </c>
    </row>
    <row r="570" spans="1:8" x14ac:dyDescent="0.3">
      <c r="A570" t="s">
        <v>621</v>
      </c>
      <c r="B570" s="39">
        <v>36427.29</v>
      </c>
      <c r="C570" t="s">
        <v>69</v>
      </c>
      <c r="D570">
        <v>24</v>
      </c>
      <c r="E570" s="39">
        <v>1435.01</v>
      </c>
      <c r="F570" t="s">
        <v>74</v>
      </c>
      <c r="G570">
        <v>2</v>
      </c>
      <c r="H570">
        <v>993.58</v>
      </c>
    </row>
    <row r="571" spans="1:8" x14ac:dyDescent="0.3">
      <c r="A571" t="s">
        <v>677</v>
      </c>
      <c r="B571" s="39">
        <v>26276.61</v>
      </c>
      <c r="C571" t="s">
        <v>31</v>
      </c>
      <c r="D571">
        <v>20</v>
      </c>
      <c r="E571" s="39">
        <v>1214.47</v>
      </c>
      <c r="F571" t="s">
        <v>74</v>
      </c>
      <c r="G571">
        <v>2</v>
      </c>
      <c r="H571">
        <v>993.58</v>
      </c>
    </row>
    <row r="572" spans="1:8" x14ac:dyDescent="0.3">
      <c r="A572" t="s">
        <v>746</v>
      </c>
      <c r="B572" s="39">
        <v>22960.09</v>
      </c>
      <c r="C572" t="s">
        <v>69</v>
      </c>
      <c r="D572">
        <v>16</v>
      </c>
      <c r="E572" s="39">
        <v>1435.01</v>
      </c>
    </row>
    <row r="573" spans="1:8" x14ac:dyDescent="0.3">
      <c r="A573" t="s">
        <v>776</v>
      </c>
      <c r="B573" s="39">
        <v>18989.78</v>
      </c>
      <c r="C573" t="s">
        <v>31</v>
      </c>
      <c r="D573">
        <v>14</v>
      </c>
      <c r="E573" s="39">
        <v>1214.47</v>
      </c>
      <c r="F573" t="s">
        <v>74</v>
      </c>
      <c r="G573">
        <v>2</v>
      </c>
      <c r="H573">
        <v>993.58</v>
      </c>
    </row>
    <row r="574" spans="1:8" x14ac:dyDescent="0.3">
      <c r="A574" t="s">
        <v>714</v>
      </c>
      <c r="B574" s="39">
        <v>19429.810000000001</v>
      </c>
      <c r="C574" t="s">
        <v>29</v>
      </c>
      <c r="D574">
        <v>18</v>
      </c>
      <c r="E574">
        <v>993.58</v>
      </c>
      <c r="F574" t="s">
        <v>89</v>
      </c>
      <c r="G574">
        <v>2</v>
      </c>
      <c r="H574">
        <v>772.68</v>
      </c>
    </row>
    <row r="575" spans="1:8" x14ac:dyDescent="0.3">
      <c r="A575" t="s">
        <v>843</v>
      </c>
      <c r="B575" s="39">
        <v>16560.830000000002</v>
      </c>
      <c r="C575" t="s">
        <v>31</v>
      </c>
      <c r="D575">
        <v>12</v>
      </c>
      <c r="E575" s="39">
        <v>1214.47</v>
      </c>
      <c r="F575" t="s">
        <v>74</v>
      </c>
      <c r="G575">
        <v>2</v>
      </c>
      <c r="H575" s="39">
        <v>993.58</v>
      </c>
    </row>
    <row r="576" spans="1:8" x14ac:dyDescent="0.3">
      <c r="A576" t="s">
        <v>870</v>
      </c>
      <c r="B576" s="39">
        <v>13468.33</v>
      </c>
      <c r="C576" t="s">
        <v>29</v>
      </c>
      <c r="D576">
        <v>12</v>
      </c>
      <c r="E576" s="39">
        <v>993.58</v>
      </c>
      <c r="F576" t="s">
        <v>89</v>
      </c>
      <c r="G576">
        <v>2</v>
      </c>
      <c r="H576" s="39">
        <v>772.68</v>
      </c>
    </row>
    <row r="577" spans="1:11" x14ac:dyDescent="0.3">
      <c r="A577" t="s">
        <v>795</v>
      </c>
      <c r="B577" s="39">
        <v>21855.03</v>
      </c>
      <c r="C577" t="s">
        <v>27</v>
      </c>
      <c r="D577">
        <v>12</v>
      </c>
      <c r="E577" s="39">
        <v>772.68</v>
      </c>
      <c r="F577" t="s">
        <v>72</v>
      </c>
      <c r="G577">
        <v>2</v>
      </c>
      <c r="H577" s="39">
        <v>993.58</v>
      </c>
      <c r="I577" t="s">
        <v>160</v>
      </c>
      <c r="J577">
        <v>8</v>
      </c>
      <c r="K577" s="39">
        <v>1324.46</v>
      </c>
    </row>
    <row r="578" spans="1:11" x14ac:dyDescent="0.3">
      <c r="A578" t="s">
        <v>966</v>
      </c>
      <c r="B578" s="39">
        <v>26271.16</v>
      </c>
      <c r="C578" t="s">
        <v>29</v>
      </c>
      <c r="D578">
        <v>12</v>
      </c>
      <c r="E578">
        <v>993.58</v>
      </c>
      <c r="F578" t="s">
        <v>99</v>
      </c>
      <c r="G578">
        <v>2</v>
      </c>
      <c r="H578">
        <v>551.78</v>
      </c>
      <c r="I578" t="s">
        <v>164</v>
      </c>
      <c r="J578">
        <v>10</v>
      </c>
      <c r="K578" s="39">
        <v>1324.46</v>
      </c>
    </row>
    <row r="579" spans="1:11" x14ac:dyDescent="0.3">
      <c r="A579" t="s">
        <v>915</v>
      </c>
      <c r="B579" s="39">
        <v>8168.6</v>
      </c>
      <c r="C579" t="s">
        <v>27</v>
      </c>
      <c r="D579">
        <v>8</v>
      </c>
      <c r="E579">
        <v>772.68</v>
      </c>
      <c r="F579" t="s">
        <v>72</v>
      </c>
      <c r="G579">
        <v>2</v>
      </c>
      <c r="H579">
        <v>993.58</v>
      </c>
    </row>
    <row r="580" spans="1:11" x14ac:dyDescent="0.3">
      <c r="A580" t="s">
        <v>948</v>
      </c>
      <c r="B580" s="39">
        <v>13247.39</v>
      </c>
      <c r="C580" t="s">
        <v>31</v>
      </c>
      <c r="D580">
        <v>6</v>
      </c>
      <c r="E580" s="39">
        <v>1214.47</v>
      </c>
      <c r="F580" t="s">
        <v>74</v>
      </c>
      <c r="G580">
        <v>2</v>
      </c>
      <c r="H580">
        <v>993.58</v>
      </c>
      <c r="I580" t="s">
        <v>164</v>
      </c>
      <c r="J580">
        <v>3</v>
      </c>
      <c r="K580" s="39">
        <v>1324.46</v>
      </c>
    </row>
    <row r="581" spans="1:11" x14ac:dyDescent="0.3">
      <c r="A581" t="s">
        <v>453</v>
      </c>
      <c r="B581" s="39">
        <v>61275.43</v>
      </c>
      <c r="C581" t="s">
        <v>31</v>
      </c>
      <c r="D581">
        <v>48</v>
      </c>
      <c r="E581" s="39">
        <v>1214.47</v>
      </c>
      <c r="F581" t="s">
        <v>74</v>
      </c>
      <c r="G581">
        <v>3</v>
      </c>
      <c r="H581">
        <v>993.58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415D-159F-4812-845F-EA26F84F7884}">
  <sheetPr codeName="Sheet8"/>
  <dimension ref="A1:K1162"/>
  <sheetViews>
    <sheetView workbookViewId="0">
      <selection activeCell="N159" sqref="N159"/>
    </sheetView>
  </sheetViews>
  <sheetFormatPr defaultRowHeight="14.4" x14ac:dyDescent="0.3"/>
  <cols>
    <col min="1" max="1" width="18" bestFit="1" customWidth="1"/>
    <col min="2" max="2" width="12.44140625" bestFit="1" customWidth="1"/>
    <col min="14" max="15" width="11" bestFit="1" customWidth="1"/>
  </cols>
  <sheetData>
    <row r="1" spans="1:8" x14ac:dyDescent="0.3">
      <c r="A1" t="s">
        <v>401</v>
      </c>
      <c r="B1">
        <v>11143.7</v>
      </c>
      <c r="C1" t="s">
        <v>31</v>
      </c>
      <c r="D1">
        <v>120</v>
      </c>
      <c r="E1">
        <v>89.8</v>
      </c>
      <c r="F1" t="s">
        <v>74</v>
      </c>
      <c r="G1">
        <v>5</v>
      </c>
      <c r="H1">
        <v>73.47</v>
      </c>
    </row>
    <row r="2" spans="1:8" s="40" customFormat="1" x14ac:dyDescent="0.3">
      <c r="A2" s="41" t="s">
        <v>976</v>
      </c>
      <c r="B2" s="40">
        <f>D1*E2+G1*H2+J1*K2</f>
        <v>11143.702453</v>
      </c>
      <c r="E2" s="40">
        <v>89.802965799999996</v>
      </c>
      <c r="H2" s="40">
        <v>73.469311399999995</v>
      </c>
    </row>
    <row r="3" spans="1:8" x14ac:dyDescent="0.3">
      <c r="A3" t="s">
        <v>400</v>
      </c>
      <c r="B3">
        <v>13100.55</v>
      </c>
      <c r="C3" t="s">
        <v>69</v>
      </c>
      <c r="D3">
        <v>120</v>
      </c>
      <c r="E3">
        <v>106.11</v>
      </c>
      <c r="F3" t="s">
        <v>74</v>
      </c>
      <c r="G3">
        <v>5</v>
      </c>
      <c r="H3">
        <v>73.47</v>
      </c>
    </row>
    <row r="4" spans="1:8" s="40" customFormat="1" x14ac:dyDescent="0.3">
      <c r="A4" s="41" t="s">
        <v>976</v>
      </c>
      <c r="B4" s="40">
        <f>D3*E4+G3*H4+J3*K4</f>
        <v>13100.552358999999</v>
      </c>
      <c r="E4" s="40">
        <v>106.11004834999999</v>
      </c>
      <c r="H4" s="40">
        <v>73.469311399999995</v>
      </c>
    </row>
    <row r="5" spans="1:8" x14ac:dyDescent="0.3">
      <c r="A5" t="s">
        <v>396</v>
      </c>
      <c r="B5">
        <v>13372.44</v>
      </c>
      <c r="C5" t="s">
        <v>31</v>
      </c>
      <c r="D5">
        <v>144</v>
      </c>
      <c r="E5">
        <v>89.8</v>
      </c>
      <c r="F5" t="s">
        <v>74</v>
      </c>
      <c r="G5">
        <v>6</v>
      </c>
      <c r="H5">
        <v>73.47</v>
      </c>
    </row>
    <row r="6" spans="1:8" s="40" customFormat="1" x14ac:dyDescent="0.3">
      <c r="A6" s="41" t="s">
        <v>976</v>
      </c>
      <c r="B6" s="40">
        <f>D5*E6+G5*H6+J5*K6</f>
        <v>13372.442943599999</v>
      </c>
      <c r="E6" s="40">
        <v>89.802965799999996</v>
      </c>
      <c r="H6" s="40">
        <v>73.469311399999995</v>
      </c>
    </row>
    <row r="7" spans="1:8" x14ac:dyDescent="0.3">
      <c r="A7" t="s">
        <v>398</v>
      </c>
      <c r="B7">
        <v>7223.55</v>
      </c>
      <c r="C7" t="s">
        <v>27</v>
      </c>
      <c r="D7">
        <v>120</v>
      </c>
      <c r="E7">
        <v>57.14</v>
      </c>
      <c r="F7" t="s">
        <v>72</v>
      </c>
      <c r="G7">
        <v>5</v>
      </c>
      <c r="H7">
        <v>73.47</v>
      </c>
    </row>
    <row r="8" spans="1:8" s="40" customFormat="1" x14ac:dyDescent="0.3">
      <c r="A8" s="41" t="s">
        <v>976</v>
      </c>
      <c r="B8" s="40">
        <f>D7*E8+G7*H8+J7*K8</f>
        <v>7223.551242999999</v>
      </c>
      <c r="E8" s="40">
        <v>57.135039049999996</v>
      </c>
      <c r="H8" s="40">
        <v>73.469311399999995</v>
      </c>
    </row>
    <row r="9" spans="1:8" x14ac:dyDescent="0.3">
      <c r="A9" t="s">
        <v>397</v>
      </c>
      <c r="B9">
        <v>7223.55</v>
      </c>
      <c r="C9" t="s">
        <v>27</v>
      </c>
      <c r="D9">
        <v>120</v>
      </c>
      <c r="E9">
        <v>57.14</v>
      </c>
      <c r="F9" t="s">
        <v>72</v>
      </c>
      <c r="G9">
        <v>5</v>
      </c>
      <c r="H9">
        <v>73.47</v>
      </c>
    </row>
    <row r="10" spans="1:8" s="40" customFormat="1" x14ac:dyDescent="0.3">
      <c r="A10" s="41" t="s">
        <v>976</v>
      </c>
      <c r="B10" s="40">
        <f>D9*E10+G9*H10+J9*K10</f>
        <v>7223.551242999999</v>
      </c>
      <c r="E10" s="40">
        <v>57.135039049999996</v>
      </c>
      <c r="H10" s="40">
        <v>73.469311399999995</v>
      </c>
    </row>
    <row r="11" spans="1:8" x14ac:dyDescent="0.3">
      <c r="A11" t="s">
        <v>395</v>
      </c>
      <c r="B11">
        <v>8668.26</v>
      </c>
      <c r="C11" t="s">
        <v>27</v>
      </c>
      <c r="D11">
        <v>144</v>
      </c>
      <c r="E11">
        <v>57.14</v>
      </c>
      <c r="F11" t="s">
        <v>72</v>
      </c>
      <c r="G11">
        <v>6</v>
      </c>
      <c r="H11">
        <v>73.47</v>
      </c>
    </row>
    <row r="12" spans="1:8" s="40" customFormat="1" x14ac:dyDescent="0.3">
      <c r="A12" s="41" t="s">
        <v>976</v>
      </c>
      <c r="B12" s="40">
        <f>D11*E12+G11*H12+J11*K12</f>
        <v>8668.2614915999984</v>
      </c>
      <c r="E12" s="40">
        <v>57.135039049999996</v>
      </c>
      <c r="H12" s="40">
        <v>73.469311399999995</v>
      </c>
    </row>
    <row r="13" spans="1:8" x14ac:dyDescent="0.3">
      <c r="A13" t="s">
        <v>404</v>
      </c>
      <c r="B13">
        <v>15426.85</v>
      </c>
      <c r="C13" t="s">
        <v>33</v>
      </c>
      <c r="D13">
        <v>120</v>
      </c>
      <c r="E13">
        <v>122.44</v>
      </c>
      <c r="F13" t="s">
        <v>79</v>
      </c>
      <c r="G13">
        <v>5</v>
      </c>
      <c r="H13">
        <v>146.87</v>
      </c>
    </row>
    <row r="14" spans="1:8" s="40" customFormat="1" x14ac:dyDescent="0.3">
      <c r="A14" s="41" t="s">
        <v>976</v>
      </c>
      <c r="B14" s="40">
        <f>D13*E14+G13*H14+J13*K14</f>
        <v>15426.852941750003</v>
      </c>
      <c r="E14" s="40">
        <v>122.43752325000001</v>
      </c>
      <c r="H14" s="40">
        <v>146.87003034999998</v>
      </c>
    </row>
    <row r="15" spans="1:8" x14ac:dyDescent="0.3">
      <c r="A15" t="s">
        <v>399</v>
      </c>
      <c r="B15">
        <v>11143.7</v>
      </c>
      <c r="C15" t="s">
        <v>67</v>
      </c>
      <c r="D15">
        <v>120</v>
      </c>
      <c r="E15">
        <v>89.8</v>
      </c>
      <c r="F15" t="s">
        <v>74</v>
      </c>
      <c r="G15">
        <v>5</v>
      </c>
      <c r="H15">
        <v>73.47</v>
      </c>
    </row>
    <row r="16" spans="1:8" s="40" customFormat="1" x14ac:dyDescent="0.3">
      <c r="A16" s="41" t="s">
        <v>976</v>
      </c>
      <c r="B16" s="40">
        <f>D15*E16+G15*H16+J15*K16</f>
        <v>11143.702453</v>
      </c>
      <c r="E16" s="40">
        <v>89.802965799999996</v>
      </c>
      <c r="H16" s="40">
        <v>73.469311399999995</v>
      </c>
    </row>
    <row r="17" spans="1:8" x14ac:dyDescent="0.3">
      <c r="A17" t="s">
        <v>402</v>
      </c>
      <c r="B17">
        <v>12120.9</v>
      </c>
      <c r="C17" t="s">
        <v>43</v>
      </c>
      <c r="D17">
        <v>120</v>
      </c>
      <c r="E17">
        <v>97.95</v>
      </c>
      <c r="F17" t="s">
        <v>74</v>
      </c>
      <c r="G17">
        <v>5</v>
      </c>
      <c r="H17">
        <v>73.47</v>
      </c>
    </row>
    <row r="18" spans="1:8" s="40" customFormat="1" x14ac:dyDescent="0.3">
      <c r="A18" s="41" t="s">
        <v>976</v>
      </c>
      <c r="B18" s="40">
        <f>D17*E18+G17*H18+J17*K18</f>
        <v>12120.903864999998</v>
      </c>
      <c r="E18" s="40">
        <v>97.946310899999986</v>
      </c>
      <c r="H18" s="40">
        <v>73.469311399999995</v>
      </c>
    </row>
    <row r="19" spans="1:8" x14ac:dyDescent="0.3">
      <c r="A19" t="s">
        <v>407</v>
      </c>
      <c r="B19">
        <v>5778.84</v>
      </c>
      <c r="C19" t="s">
        <v>27</v>
      </c>
      <c r="D19">
        <v>96</v>
      </c>
      <c r="E19">
        <v>57.14</v>
      </c>
      <c r="F19" t="s">
        <v>72</v>
      </c>
      <c r="G19">
        <v>4</v>
      </c>
      <c r="H19">
        <v>73.47</v>
      </c>
    </row>
    <row r="20" spans="1:8" s="40" customFormat="1" x14ac:dyDescent="0.3">
      <c r="A20" s="41" t="s">
        <v>976</v>
      </c>
      <c r="B20" s="40">
        <f>D19*E20+G19*H20+J19*K20</f>
        <v>5778.8409943999995</v>
      </c>
      <c r="E20" s="40">
        <v>57.135039049999996</v>
      </c>
      <c r="H20" s="40">
        <v>73.469311399999995</v>
      </c>
    </row>
    <row r="21" spans="1:8" x14ac:dyDescent="0.3">
      <c r="A21" t="s">
        <v>409</v>
      </c>
      <c r="B21">
        <v>5778.84</v>
      </c>
      <c r="C21" t="s">
        <v>27</v>
      </c>
      <c r="D21">
        <v>96</v>
      </c>
      <c r="E21">
        <v>57.14</v>
      </c>
      <c r="F21" t="s">
        <v>72</v>
      </c>
      <c r="G21">
        <v>4</v>
      </c>
      <c r="H21">
        <v>73.47</v>
      </c>
    </row>
    <row r="22" spans="1:8" s="40" customFormat="1" x14ac:dyDescent="0.3">
      <c r="A22" s="41" t="s">
        <v>976</v>
      </c>
      <c r="B22" s="40">
        <f>D21*E22+G21*H22+J21*K22</f>
        <v>5778.8409943999995</v>
      </c>
      <c r="E22" s="40">
        <v>57.135039049999996</v>
      </c>
      <c r="H22" s="40">
        <v>73.469311399999995</v>
      </c>
    </row>
    <row r="23" spans="1:8" x14ac:dyDescent="0.3">
      <c r="A23" t="s">
        <v>408</v>
      </c>
      <c r="B23">
        <v>7346.93</v>
      </c>
      <c r="C23" t="s">
        <v>29</v>
      </c>
      <c r="D23">
        <v>96</v>
      </c>
      <c r="E23">
        <v>73.47</v>
      </c>
      <c r="F23" t="s">
        <v>74</v>
      </c>
      <c r="G23">
        <v>4</v>
      </c>
      <c r="H23">
        <v>73.47</v>
      </c>
    </row>
    <row r="24" spans="1:8" s="40" customFormat="1" x14ac:dyDescent="0.3">
      <c r="A24" s="41" t="s">
        <v>976</v>
      </c>
      <c r="B24" s="40">
        <f>D23*E24+G23*H24+J23*K24</f>
        <v>7346.9311399999997</v>
      </c>
      <c r="E24" s="40">
        <v>73.469311399999995</v>
      </c>
      <c r="H24" s="40">
        <v>73.469311399999995</v>
      </c>
    </row>
    <row r="25" spans="1:8" x14ac:dyDescent="0.3">
      <c r="A25" t="s">
        <v>405</v>
      </c>
      <c r="B25">
        <v>12120.9</v>
      </c>
      <c r="C25" t="s">
        <v>43</v>
      </c>
      <c r="D25">
        <v>120</v>
      </c>
      <c r="E25">
        <v>97.95</v>
      </c>
      <c r="F25" t="s">
        <v>74</v>
      </c>
      <c r="G25">
        <v>5</v>
      </c>
      <c r="H25">
        <v>73.47</v>
      </c>
    </row>
    <row r="26" spans="1:8" s="40" customFormat="1" x14ac:dyDescent="0.3">
      <c r="A26" s="41" t="s">
        <v>976</v>
      </c>
      <c r="B26" s="40">
        <f>D25*E26+G25*H26+J25*K26</f>
        <v>12120.903864999998</v>
      </c>
      <c r="E26" s="40">
        <v>97.946310899999986</v>
      </c>
      <c r="H26" s="40">
        <v>73.469311399999995</v>
      </c>
    </row>
    <row r="27" spans="1:8" x14ac:dyDescent="0.3">
      <c r="A27" t="s">
        <v>406</v>
      </c>
      <c r="B27">
        <v>7346.93</v>
      </c>
      <c r="C27" t="s">
        <v>29</v>
      </c>
      <c r="D27">
        <v>96</v>
      </c>
      <c r="E27">
        <v>73.47</v>
      </c>
      <c r="F27" t="s">
        <v>74</v>
      </c>
      <c r="G27">
        <v>4</v>
      </c>
      <c r="H27">
        <v>73.47</v>
      </c>
    </row>
    <row r="28" spans="1:8" s="40" customFormat="1" x14ac:dyDescent="0.3">
      <c r="A28" s="41" t="s">
        <v>976</v>
      </c>
      <c r="B28" s="40">
        <f>D27*E28+G27*H28+J27*K28</f>
        <v>7346.9311399999997</v>
      </c>
      <c r="E28" s="40">
        <v>73.469311399999995</v>
      </c>
      <c r="H28" s="40">
        <v>73.469311399999995</v>
      </c>
    </row>
    <row r="29" spans="1:8" x14ac:dyDescent="0.3">
      <c r="A29" t="s">
        <v>411</v>
      </c>
      <c r="B29">
        <v>8914.9599999999991</v>
      </c>
      <c r="C29" t="s">
        <v>31</v>
      </c>
      <c r="D29">
        <v>96</v>
      </c>
      <c r="E29">
        <v>89.8</v>
      </c>
      <c r="F29" t="s">
        <v>74</v>
      </c>
      <c r="G29">
        <v>4</v>
      </c>
      <c r="H29">
        <v>73.47</v>
      </c>
    </row>
    <row r="30" spans="1:8" s="40" customFormat="1" x14ac:dyDescent="0.3">
      <c r="A30" s="41" t="s">
        <v>976</v>
      </c>
      <c r="B30" s="40">
        <f>D29*E30+G29*H30+J29*K30</f>
        <v>8914.9619624000006</v>
      </c>
      <c r="E30" s="40">
        <v>89.802965799999996</v>
      </c>
      <c r="H30" s="40">
        <v>73.469311399999995</v>
      </c>
    </row>
    <row r="31" spans="1:8" x14ac:dyDescent="0.3">
      <c r="A31" t="s">
        <v>403</v>
      </c>
      <c r="B31">
        <v>5778.84</v>
      </c>
      <c r="C31" t="s">
        <v>27</v>
      </c>
      <c r="D31">
        <v>96</v>
      </c>
      <c r="E31">
        <v>57.14</v>
      </c>
      <c r="F31" t="s">
        <v>72</v>
      </c>
      <c r="G31">
        <v>4</v>
      </c>
      <c r="H31">
        <v>73.47</v>
      </c>
    </row>
    <row r="32" spans="1:8" s="40" customFormat="1" x14ac:dyDescent="0.3">
      <c r="A32" s="41" t="s">
        <v>976</v>
      </c>
      <c r="B32" s="40">
        <f>D31*E32+G31*H32+J31*K32</f>
        <v>5778.8409943999995</v>
      </c>
      <c r="E32" s="40">
        <v>57.135039049999996</v>
      </c>
      <c r="H32" s="40">
        <v>73.469311399999995</v>
      </c>
    </row>
    <row r="33" spans="1:8" x14ac:dyDescent="0.3">
      <c r="A33" t="s">
        <v>412</v>
      </c>
      <c r="B33">
        <v>8914.9599999999991</v>
      </c>
      <c r="C33" t="s">
        <v>31</v>
      </c>
      <c r="D33">
        <v>96</v>
      </c>
      <c r="E33">
        <v>89.8</v>
      </c>
      <c r="F33" t="s">
        <v>74</v>
      </c>
      <c r="G33">
        <v>4</v>
      </c>
      <c r="H33">
        <v>73.47</v>
      </c>
    </row>
    <row r="34" spans="1:8" s="40" customFormat="1" x14ac:dyDescent="0.3">
      <c r="A34" s="41" t="s">
        <v>976</v>
      </c>
      <c r="B34" s="40">
        <f>D33*E34+G33*H34+J33*K34</f>
        <v>8914.9619624000006</v>
      </c>
      <c r="E34" s="40">
        <v>89.802965799999996</v>
      </c>
      <c r="H34" s="40">
        <v>73.469311399999995</v>
      </c>
    </row>
    <row r="35" spans="1:8" x14ac:dyDescent="0.3">
      <c r="A35" t="s">
        <v>416</v>
      </c>
      <c r="B35">
        <v>7478.11</v>
      </c>
      <c r="C35" t="s">
        <v>31</v>
      </c>
      <c r="D35">
        <v>80</v>
      </c>
      <c r="E35">
        <v>89.8</v>
      </c>
      <c r="F35" t="s">
        <v>74</v>
      </c>
      <c r="G35">
        <v>4</v>
      </c>
      <c r="H35">
        <v>73.47</v>
      </c>
    </row>
    <row r="36" spans="1:8" s="40" customFormat="1" x14ac:dyDescent="0.3">
      <c r="A36" s="41" t="s">
        <v>976</v>
      </c>
      <c r="B36" s="40">
        <f>D35*E36+G35*H36+J35*K36</f>
        <v>7478.1145095999991</v>
      </c>
      <c r="E36" s="40">
        <v>89.802965799999996</v>
      </c>
      <c r="H36" s="40">
        <v>73.469311399999995</v>
      </c>
    </row>
    <row r="37" spans="1:8" x14ac:dyDescent="0.3">
      <c r="A37" t="s">
        <v>410</v>
      </c>
      <c r="B37">
        <v>5484.96</v>
      </c>
      <c r="C37" t="s">
        <v>27</v>
      </c>
      <c r="D37">
        <v>96</v>
      </c>
      <c r="E37">
        <v>57.14</v>
      </c>
    </row>
    <row r="38" spans="1:8" s="40" customFormat="1" x14ac:dyDescent="0.3">
      <c r="A38" s="41" t="s">
        <v>976</v>
      </c>
      <c r="B38" s="40">
        <f>D37*E38+G37*H38+J37*K38</f>
        <v>5484.9637487999998</v>
      </c>
      <c r="E38" s="40">
        <v>57.135039049999996</v>
      </c>
    </row>
    <row r="39" spans="1:8" x14ac:dyDescent="0.3">
      <c r="A39" t="s">
        <v>415</v>
      </c>
      <c r="B39">
        <v>4962.55</v>
      </c>
      <c r="C39" t="s">
        <v>27</v>
      </c>
      <c r="D39">
        <v>84</v>
      </c>
      <c r="E39">
        <v>57.14</v>
      </c>
      <c r="F39" t="s">
        <v>99</v>
      </c>
      <c r="G39">
        <v>4</v>
      </c>
      <c r="H39">
        <v>40.799999999999997</v>
      </c>
    </row>
    <row r="40" spans="1:8" s="40" customFormat="1" x14ac:dyDescent="0.3">
      <c r="A40" s="41" t="s">
        <v>976</v>
      </c>
      <c r="B40" s="40">
        <f>D39*E40+G39*H40+J39*K40</f>
        <v>4962.5473579661993</v>
      </c>
      <c r="E40" s="40">
        <v>57.135039049999996</v>
      </c>
      <c r="H40" s="40">
        <v>40.80101944154999</v>
      </c>
    </row>
    <row r="41" spans="1:8" x14ac:dyDescent="0.3">
      <c r="A41" t="s">
        <v>417</v>
      </c>
      <c r="B41">
        <v>3158.06</v>
      </c>
      <c r="C41" t="s">
        <v>24</v>
      </c>
      <c r="D41">
        <v>72</v>
      </c>
      <c r="E41">
        <v>40.799999999999997</v>
      </c>
      <c r="F41" t="s">
        <v>72</v>
      </c>
      <c r="G41">
        <v>3</v>
      </c>
      <c r="H41">
        <v>73.47</v>
      </c>
    </row>
    <row r="42" spans="1:8" s="40" customFormat="1" x14ac:dyDescent="0.3">
      <c r="A42" s="41" t="s">
        <v>976</v>
      </c>
      <c r="B42" s="40">
        <f>D41*E42+G41*H42+J41*K42</f>
        <v>3158.0631365999998</v>
      </c>
      <c r="E42" s="40">
        <v>40.800766699999997</v>
      </c>
      <c r="H42" s="40">
        <v>73.469311399999995</v>
      </c>
    </row>
    <row r="43" spans="1:8" x14ac:dyDescent="0.3">
      <c r="A43" t="s">
        <v>413</v>
      </c>
      <c r="B43">
        <v>8914.9599999999991</v>
      </c>
      <c r="C43" t="s">
        <v>31</v>
      </c>
      <c r="D43">
        <v>96</v>
      </c>
      <c r="E43">
        <v>89.8</v>
      </c>
      <c r="F43" t="s">
        <v>74</v>
      </c>
      <c r="G43">
        <v>4</v>
      </c>
      <c r="H43">
        <v>73.47</v>
      </c>
    </row>
    <row r="44" spans="1:8" s="40" customFormat="1" x14ac:dyDescent="0.3">
      <c r="A44" s="41" t="s">
        <v>976</v>
      </c>
      <c r="B44" s="40">
        <f>D43*E44+G43*H44+J43*K44</f>
        <v>8914.9619624000006</v>
      </c>
      <c r="E44" s="40">
        <v>89.802965799999996</v>
      </c>
      <c r="H44" s="40">
        <v>73.469311399999995</v>
      </c>
    </row>
    <row r="45" spans="1:8" x14ac:dyDescent="0.3">
      <c r="A45" t="s">
        <v>420</v>
      </c>
      <c r="B45">
        <v>4334.13</v>
      </c>
      <c r="C45" t="s">
        <v>27</v>
      </c>
      <c r="D45">
        <v>72</v>
      </c>
      <c r="E45">
        <v>57.14</v>
      </c>
      <c r="F45" t="s">
        <v>72</v>
      </c>
      <c r="G45">
        <v>3</v>
      </c>
      <c r="H45">
        <v>73.47</v>
      </c>
    </row>
    <row r="46" spans="1:8" s="40" customFormat="1" x14ac:dyDescent="0.3">
      <c r="A46" s="41" t="s">
        <v>976</v>
      </c>
      <c r="B46" s="40">
        <f>D45*E46+G45*H46+J45*K46</f>
        <v>4334.1307457999992</v>
      </c>
      <c r="E46" s="40">
        <v>57.135039049999996</v>
      </c>
      <c r="H46" s="40">
        <v>73.469311399999995</v>
      </c>
    </row>
    <row r="47" spans="1:8" x14ac:dyDescent="0.3">
      <c r="A47" t="s">
        <v>419</v>
      </c>
      <c r="B47">
        <v>5510.2</v>
      </c>
      <c r="C47" t="s">
        <v>29</v>
      </c>
      <c r="D47">
        <v>72</v>
      </c>
      <c r="E47">
        <v>73.47</v>
      </c>
      <c r="F47" t="s">
        <v>74</v>
      </c>
      <c r="G47">
        <v>3</v>
      </c>
      <c r="H47">
        <v>73.47</v>
      </c>
    </row>
    <row r="48" spans="1:8" s="40" customFormat="1" x14ac:dyDescent="0.3">
      <c r="A48" s="41" t="s">
        <v>976</v>
      </c>
      <c r="B48" s="40">
        <f>D47*E48+G47*H48+J47*K48</f>
        <v>5510.1983550000004</v>
      </c>
      <c r="E48" s="40">
        <v>73.469311399999995</v>
      </c>
      <c r="H48" s="40">
        <v>73.469311399999995</v>
      </c>
    </row>
    <row r="49" spans="1:8" x14ac:dyDescent="0.3">
      <c r="A49" t="s">
        <v>418</v>
      </c>
      <c r="B49">
        <v>6686.22</v>
      </c>
      <c r="C49" t="s">
        <v>31</v>
      </c>
      <c r="D49">
        <v>72</v>
      </c>
      <c r="E49">
        <v>89.8</v>
      </c>
      <c r="F49" t="s">
        <v>74</v>
      </c>
      <c r="G49">
        <v>3</v>
      </c>
      <c r="H49">
        <v>73.47</v>
      </c>
    </row>
    <row r="50" spans="1:8" s="40" customFormat="1" x14ac:dyDescent="0.3">
      <c r="A50" s="41" t="s">
        <v>976</v>
      </c>
      <c r="B50" s="40">
        <f>D49*E50+G49*H50+J49*K50</f>
        <v>6686.2214717999996</v>
      </c>
      <c r="E50" s="40">
        <v>89.802965799999996</v>
      </c>
      <c r="H50" s="40">
        <v>73.469311399999995</v>
      </c>
    </row>
    <row r="51" spans="1:8" x14ac:dyDescent="0.3">
      <c r="A51" t="s">
        <v>421</v>
      </c>
      <c r="B51">
        <v>6686.22</v>
      </c>
      <c r="C51" t="s">
        <v>31</v>
      </c>
      <c r="D51">
        <v>72</v>
      </c>
      <c r="E51">
        <v>89.8</v>
      </c>
      <c r="F51" t="s">
        <v>74</v>
      </c>
      <c r="G51">
        <v>3</v>
      </c>
      <c r="H51">
        <v>73.47</v>
      </c>
    </row>
    <row r="52" spans="1:8" s="40" customFormat="1" x14ac:dyDescent="0.3">
      <c r="A52" s="41" t="s">
        <v>976</v>
      </c>
      <c r="B52" s="40">
        <f>D51*E52+G51*H52+J51*K52</f>
        <v>6686.2214717999996</v>
      </c>
      <c r="E52" s="40">
        <v>89.802965799999996</v>
      </c>
      <c r="H52" s="40">
        <v>73.469311399999995</v>
      </c>
    </row>
    <row r="53" spans="1:8" x14ac:dyDescent="0.3">
      <c r="A53" t="s">
        <v>422</v>
      </c>
      <c r="B53">
        <v>4219.8599999999997</v>
      </c>
      <c r="C53" t="s">
        <v>27</v>
      </c>
      <c r="D53">
        <v>70</v>
      </c>
      <c r="E53">
        <v>57.14</v>
      </c>
      <c r="F53" t="s">
        <v>72</v>
      </c>
      <c r="G53">
        <v>3</v>
      </c>
      <c r="H53">
        <v>73.47</v>
      </c>
    </row>
    <row r="54" spans="1:8" s="40" customFormat="1" x14ac:dyDescent="0.3">
      <c r="A54" s="41" t="s">
        <v>976</v>
      </c>
      <c r="B54" s="40">
        <f>D53*E54+G53*H54+J53*K54</f>
        <v>4219.8606676999998</v>
      </c>
      <c r="E54" s="40">
        <v>57.135039049999996</v>
      </c>
      <c r="H54" s="40">
        <v>73.469311399999995</v>
      </c>
    </row>
    <row r="55" spans="1:8" x14ac:dyDescent="0.3">
      <c r="A55" t="s">
        <v>424</v>
      </c>
      <c r="B55">
        <v>9035.69</v>
      </c>
      <c r="C55" t="s">
        <v>57</v>
      </c>
      <c r="D55">
        <v>60</v>
      </c>
      <c r="E55">
        <v>146.91999999999999</v>
      </c>
      <c r="F55" t="s">
        <v>83</v>
      </c>
      <c r="G55">
        <v>3</v>
      </c>
      <c r="H55">
        <v>73.47</v>
      </c>
    </row>
    <row r="56" spans="1:8" s="40" customFormat="1" x14ac:dyDescent="0.3">
      <c r="A56" s="41" t="s">
        <v>976</v>
      </c>
      <c r="B56" s="40">
        <f>D55*E56+G55*H56+J55*K56</f>
        <v>9035.6871461999999</v>
      </c>
      <c r="E56" s="40">
        <v>146.9213202</v>
      </c>
      <c r="H56" s="40">
        <v>73.469311399999995</v>
      </c>
    </row>
    <row r="57" spans="1:8" x14ac:dyDescent="0.3">
      <c r="A57" t="s">
        <v>427</v>
      </c>
      <c r="B57">
        <v>3648.51</v>
      </c>
      <c r="C57" t="s">
        <v>27</v>
      </c>
      <c r="D57">
        <v>60</v>
      </c>
      <c r="E57">
        <v>57.14</v>
      </c>
      <c r="F57" t="s">
        <v>72</v>
      </c>
      <c r="G57">
        <v>3</v>
      </c>
      <c r="H57">
        <v>73.47</v>
      </c>
    </row>
    <row r="58" spans="1:8" s="40" customFormat="1" x14ac:dyDescent="0.3">
      <c r="A58" s="41" t="s">
        <v>976</v>
      </c>
      <c r="B58" s="40">
        <f>D57*E58+G57*H58+J57*K58</f>
        <v>3648.5102771999996</v>
      </c>
      <c r="E58" s="40">
        <v>57.135039049999996</v>
      </c>
      <c r="H58" s="40">
        <v>73.469311399999995</v>
      </c>
    </row>
    <row r="59" spans="1:8" x14ac:dyDescent="0.3">
      <c r="A59" t="s">
        <v>423</v>
      </c>
      <c r="B59">
        <v>6686.22</v>
      </c>
      <c r="C59" t="s">
        <v>31</v>
      </c>
      <c r="D59">
        <v>72</v>
      </c>
      <c r="E59">
        <v>89.8</v>
      </c>
      <c r="F59" t="s">
        <v>74</v>
      </c>
      <c r="G59">
        <v>3</v>
      </c>
      <c r="H59">
        <v>73.47</v>
      </c>
    </row>
    <row r="60" spans="1:8" s="40" customFormat="1" x14ac:dyDescent="0.3">
      <c r="A60" s="41" t="s">
        <v>976</v>
      </c>
      <c r="B60" s="40">
        <f>D59*E60+G59*H60+J59*K60</f>
        <v>6686.2214717999996</v>
      </c>
      <c r="E60" s="40">
        <v>89.802965799999996</v>
      </c>
      <c r="H60" s="40">
        <v>73.469311399999995</v>
      </c>
    </row>
    <row r="61" spans="1:8" x14ac:dyDescent="0.3">
      <c r="A61" t="s">
        <v>425</v>
      </c>
      <c r="B61">
        <v>3648.51</v>
      </c>
      <c r="C61" t="s">
        <v>27</v>
      </c>
      <c r="D61">
        <v>60</v>
      </c>
      <c r="E61">
        <v>57.14</v>
      </c>
      <c r="F61" t="s">
        <v>72</v>
      </c>
      <c r="G61">
        <v>3</v>
      </c>
      <c r="H61">
        <v>73.47</v>
      </c>
    </row>
    <row r="62" spans="1:8" s="40" customFormat="1" x14ac:dyDescent="0.3">
      <c r="A62" s="41" t="s">
        <v>976</v>
      </c>
      <c r="B62" s="40">
        <f>D61*E62+G61*H62+J61*K62</f>
        <v>3648.5102771999996</v>
      </c>
      <c r="E62" s="40">
        <v>57.135039049999996</v>
      </c>
      <c r="H62" s="40">
        <v>73.469311399999995</v>
      </c>
    </row>
    <row r="63" spans="1:8" x14ac:dyDescent="0.3">
      <c r="A63" t="s">
        <v>426</v>
      </c>
      <c r="B63">
        <v>3648.51</v>
      </c>
      <c r="C63" t="s">
        <v>27</v>
      </c>
      <c r="D63">
        <v>60</v>
      </c>
      <c r="E63">
        <v>57.14</v>
      </c>
      <c r="F63" t="s">
        <v>72</v>
      </c>
      <c r="G63">
        <v>3</v>
      </c>
      <c r="H63">
        <v>73.47</v>
      </c>
    </row>
    <row r="64" spans="1:8" s="40" customFormat="1" x14ac:dyDescent="0.3">
      <c r="A64" s="41" t="s">
        <v>976</v>
      </c>
      <c r="B64" s="40">
        <f>D63*E64+G63*H64+J63*K64</f>
        <v>3648.5102771999996</v>
      </c>
      <c r="E64" s="40">
        <v>57.135039049999996</v>
      </c>
      <c r="H64" s="40">
        <v>73.469311399999995</v>
      </c>
    </row>
    <row r="65" spans="1:8" x14ac:dyDescent="0.3">
      <c r="A65" t="s">
        <v>429</v>
      </c>
      <c r="B65">
        <v>5608.59</v>
      </c>
      <c r="C65" t="s">
        <v>31</v>
      </c>
      <c r="D65">
        <v>60</v>
      </c>
      <c r="E65">
        <v>89.8</v>
      </c>
      <c r="F65" t="s">
        <v>74</v>
      </c>
      <c r="G65">
        <v>3</v>
      </c>
      <c r="H65">
        <v>73.47</v>
      </c>
    </row>
    <row r="66" spans="1:8" s="40" customFormat="1" x14ac:dyDescent="0.3">
      <c r="A66" s="41" t="s">
        <v>976</v>
      </c>
      <c r="B66" s="40">
        <f>D65*E66+G65*H66+J65*K66</f>
        <v>5608.5858821999991</v>
      </c>
      <c r="E66" s="40">
        <v>89.802965799999996</v>
      </c>
      <c r="H66" s="40">
        <v>73.469311399999995</v>
      </c>
    </row>
    <row r="67" spans="1:8" x14ac:dyDescent="0.3">
      <c r="A67" t="s">
        <v>428</v>
      </c>
      <c r="B67">
        <v>5608.59</v>
      </c>
      <c r="C67" t="s">
        <v>67</v>
      </c>
      <c r="D67">
        <v>60</v>
      </c>
      <c r="E67">
        <v>89.8</v>
      </c>
      <c r="F67" t="s">
        <v>74</v>
      </c>
      <c r="G67">
        <v>3</v>
      </c>
      <c r="H67">
        <v>73.47</v>
      </c>
    </row>
    <row r="68" spans="1:8" s="40" customFormat="1" x14ac:dyDescent="0.3">
      <c r="A68" s="41" t="s">
        <v>976</v>
      </c>
      <c r="B68" s="40">
        <f>D67*E68+G67*H68+J67*K68</f>
        <v>5608.5858821999991</v>
      </c>
      <c r="E68" s="40">
        <v>89.802965799999996</v>
      </c>
      <c r="H68" s="40">
        <v>73.469311399999995</v>
      </c>
    </row>
    <row r="69" spans="1:8" x14ac:dyDescent="0.3">
      <c r="A69" t="s">
        <v>432</v>
      </c>
      <c r="B69">
        <v>7786.86</v>
      </c>
      <c r="C69" t="s">
        <v>33</v>
      </c>
      <c r="D69">
        <v>60</v>
      </c>
      <c r="E69">
        <v>122.44</v>
      </c>
      <c r="F69" t="s">
        <v>79</v>
      </c>
      <c r="G69">
        <v>3</v>
      </c>
      <c r="H69">
        <v>146.87</v>
      </c>
    </row>
    <row r="70" spans="1:8" s="40" customFormat="1" x14ac:dyDescent="0.3">
      <c r="A70" s="41" t="s">
        <v>976</v>
      </c>
      <c r="B70" s="40">
        <f>D69*E70+G69*H70+J69*K70</f>
        <v>7786.8614860500011</v>
      </c>
      <c r="E70" s="40">
        <v>122.43752325000001</v>
      </c>
      <c r="H70" s="40">
        <v>146.87003034999998</v>
      </c>
    </row>
    <row r="71" spans="1:8" x14ac:dyDescent="0.3">
      <c r="A71" t="s">
        <v>430</v>
      </c>
      <c r="B71">
        <v>6587.01</v>
      </c>
      <c r="C71" t="s">
        <v>69</v>
      </c>
      <c r="D71">
        <v>60</v>
      </c>
      <c r="E71">
        <v>106.11</v>
      </c>
      <c r="F71" t="s">
        <v>74</v>
      </c>
      <c r="G71">
        <v>3</v>
      </c>
      <c r="H71">
        <v>73.47</v>
      </c>
    </row>
    <row r="72" spans="1:8" s="40" customFormat="1" x14ac:dyDescent="0.3">
      <c r="A72" s="41" t="s">
        <v>976</v>
      </c>
      <c r="B72" s="40">
        <f>D71*E72+G71*H72+J71*K72</f>
        <v>6587.0108351999988</v>
      </c>
      <c r="E72" s="40">
        <v>106.11004834999999</v>
      </c>
      <c r="H72" s="40">
        <v>73.469311399999995</v>
      </c>
    </row>
    <row r="73" spans="1:8" x14ac:dyDescent="0.3">
      <c r="A73" t="s">
        <v>431</v>
      </c>
      <c r="B73">
        <v>5608.59</v>
      </c>
      <c r="C73" t="s">
        <v>31</v>
      </c>
      <c r="D73">
        <v>60</v>
      </c>
      <c r="E73">
        <v>89.8</v>
      </c>
      <c r="F73" t="s">
        <v>74</v>
      </c>
      <c r="G73">
        <v>3</v>
      </c>
      <c r="H73">
        <v>73.47</v>
      </c>
    </row>
    <row r="74" spans="1:8" s="40" customFormat="1" x14ac:dyDescent="0.3">
      <c r="A74" s="41" t="s">
        <v>976</v>
      </c>
      <c r="B74" s="40">
        <f>D73*E74+G73*H74+J73*K74</f>
        <v>5608.5858821999991</v>
      </c>
      <c r="E74" s="40">
        <v>89.802965799999996</v>
      </c>
      <c r="H74" s="40">
        <v>73.469311399999995</v>
      </c>
    </row>
    <row r="75" spans="1:8" x14ac:dyDescent="0.3">
      <c r="A75" t="s">
        <v>433</v>
      </c>
      <c r="B75">
        <v>6097.19</v>
      </c>
      <c r="C75" t="s">
        <v>43</v>
      </c>
      <c r="D75">
        <v>60</v>
      </c>
      <c r="E75">
        <v>97.95</v>
      </c>
      <c r="F75" t="s">
        <v>74</v>
      </c>
      <c r="G75">
        <v>3</v>
      </c>
      <c r="H75">
        <v>73.47</v>
      </c>
    </row>
    <row r="76" spans="1:8" s="40" customFormat="1" x14ac:dyDescent="0.3">
      <c r="A76" s="41" t="s">
        <v>976</v>
      </c>
      <c r="B76" s="40">
        <f>D75*E76+G75*H76+J75*K76</f>
        <v>6097.1865881999984</v>
      </c>
      <c r="E76" s="40">
        <v>97.946310899999986</v>
      </c>
      <c r="H76" s="40">
        <v>73.469311399999995</v>
      </c>
    </row>
    <row r="77" spans="1:8" x14ac:dyDescent="0.3">
      <c r="A77" t="s">
        <v>434</v>
      </c>
      <c r="B77">
        <v>6097.19</v>
      </c>
      <c r="C77" t="s">
        <v>43</v>
      </c>
      <c r="D77">
        <v>60</v>
      </c>
      <c r="E77">
        <v>97.95</v>
      </c>
      <c r="F77" t="s">
        <v>74</v>
      </c>
      <c r="G77">
        <v>3</v>
      </c>
      <c r="H77">
        <v>73.47</v>
      </c>
    </row>
    <row r="78" spans="1:8" s="40" customFormat="1" x14ac:dyDescent="0.3">
      <c r="A78" s="41" t="s">
        <v>976</v>
      </c>
      <c r="B78" s="40">
        <f>D77*E78+G77*H78+J77*K78</f>
        <v>6097.1865881999984</v>
      </c>
      <c r="E78" s="40">
        <v>97.946310899999986</v>
      </c>
      <c r="H78" s="40">
        <v>73.469311399999995</v>
      </c>
    </row>
    <row r="79" spans="1:8" x14ac:dyDescent="0.3">
      <c r="A79" t="s">
        <v>435</v>
      </c>
      <c r="B79">
        <v>3419.97</v>
      </c>
      <c r="C79" t="s">
        <v>27</v>
      </c>
      <c r="D79">
        <v>56</v>
      </c>
      <c r="E79">
        <v>57.14</v>
      </c>
      <c r="F79" t="s">
        <v>72</v>
      </c>
      <c r="G79">
        <v>3</v>
      </c>
      <c r="H79">
        <v>73.47</v>
      </c>
    </row>
    <row r="80" spans="1:8" s="40" customFormat="1" x14ac:dyDescent="0.3">
      <c r="A80" s="41" t="s">
        <v>976</v>
      </c>
      <c r="B80" s="40">
        <f>D79*E80+G79*H80+J79*K80</f>
        <v>3419.9701209999998</v>
      </c>
      <c r="E80" s="40">
        <v>57.135039049999996</v>
      </c>
      <c r="H80" s="40">
        <v>73.469311399999995</v>
      </c>
    </row>
    <row r="81" spans="1:8" x14ac:dyDescent="0.3">
      <c r="A81" t="s">
        <v>437</v>
      </c>
      <c r="B81">
        <v>4187.75</v>
      </c>
      <c r="C81" t="s">
        <v>29</v>
      </c>
      <c r="D81">
        <v>54</v>
      </c>
      <c r="E81">
        <v>73.47</v>
      </c>
      <c r="F81" t="s">
        <v>74</v>
      </c>
      <c r="G81">
        <v>3</v>
      </c>
      <c r="H81">
        <v>73.47</v>
      </c>
    </row>
    <row r="82" spans="1:8" s="40" customFormat="1" x14ac:dyDescent="0.3">
      <c r="A82" s="41" t="s">
        <v>976</v>
      </c>
      <c r="B82" s="40">
        <f>D81*E82+G81*H82+J81*K82</f>
        <v>4187.7507497999995</v>
      </c>
      <c r="E82" s="40">
        <v>73.469311399999995</v>
      </c>
      <c r="H82" s="40">
        <v>73.469311399999995</v>
      </c>
    </row>
    <row r="83" spans="1:8" x14ac:dyDescent="0.3">
      <c r="A83" t="s">
        <v>436</v>
      </c>
      <c r="B83">
        <v>3077.16</v>
      </c>
      <c r="C83" t="s">
        <v>27</v>
      </c>
      <c r="D83">
        <v>50</v>
      </c>
      <c r="E83">
        <v>57.14</v>
      </c>
      <c r="F83" t="s">
        <v>72</v>
      </c>
      <c r="G83">
        <v>3</v>
      </c>
      <c r="H83">
        <v>73.47</v>
      </c>
    </row>
    <row r="84" spans="1:8" s="40" customFormat="1" x14ac:dyDescent="0.3">
      <c r="A84" s="41" t="s">
        <v>976</v>
      </c>
      <c r="B84" s="40">
        <f>D83*E84+G83*H84+J83*K84</f>
        <v>3077.1598866999998</v>
      </c>
      <c r="E84" s="40">
        <v>57.135039049999996</v>
      </c>
      <c r="H84" s="40">
        <v>73.469311399999995</v>
      </c>
    </row>
    <row r="85" spans="1:8" x14ac:dyDescent="0.3">
      <c r="A85" t="s">
        <v>439</v>
      </c>
      <c r="B85">
        <v>4710.5600000000004</v>
      </c>
      <c r="C85" t="s">
        <v>31</v>
      </c>
      <c r="D85">
        <v>50</v>
      </c>
      <c r="E85">
        <v>89.8</v>
      </c>
      <c r="F85" t="s">
        <v>74</v>
      </c>
      <c r="G85">
        <v>3</v>
      </c>
      <c r="H85">
        <v>73.47</v>
      </c>
    </row>
    <row r="86" spans="1:8" s="40" customFormat="1" x14ac:dyDescent="0.3">
      <c r="A86" s="41" t="s">
        <v>976</v>
      </c>
      <c r="B86" s="40">
        <f>D85*E86+G85*H86+J85*K86</f>
        <v>4710.5562241999996</v>
      </c>
      <c r="E86" s="40">
        <v>89.802965799999996</v>
      </c>
      <c r="H86" s="40">
        <v>73.469311399999995</v>
      </c>
    </row>
    <row r="87" spans="1:8" x14ac:dyDescent="0.3">
      <c r="A87" t="s">
        <v>438</v>
      </c>
      <c r="B87">
        <v>7272.63</v>
      </c>
      <c r="C87" t="s">
        <v>57</v>
      </c>
      <c r="D87">
        <v>48</v>
      </c>
      <c r="E87">
        <v>146.91999999999999</v>
      </c>
      <c r="F87" t="s">
        <v>83</v>
      </c>
      <c r="G87">
        <v>3</v>
      </c>
      <c r="H87">
        <v>73.47</v>
      </c>
    </row>
    <row r="88" spans="1:8" s="40" customFormat="1" x14ac:dyDescent="0.3">
      <c r="A88" s="41" t="s">
        <v>976</v>
      </c>
      <c r="B88" s="40">
        <f>D87*E88+G87*H88+J87*K88</f>
        <v>7272.6313038000008</v>
      </c>
      <c r="E88" s="40">
        <v>146.9213202</v>
      </c>
      <c r="H88" s="40">
        <v>73.469311399999995</v>
      </c>
    </row>
    <row r="89" spans="1:8" x14ac:dyDescent="0.3">
      <c r="A89" t="s">
        <v>440</v>
      </c>
      <c r="B89">
        <v>2962.89</v>
      </c>
      <c r="C89" t="s">
        <v>27</v>
      </c>
      <c r="D89">
        <v>48</v>
      </c>
      <c r="E89">
        <v>57.14</v>
      </c>
      <c r="F89" t="s">
        <v>72</v>
      </c>
      <c r="G89">
        <v>3</v>
      </c>
      <c r="H89">
        <v>73.47</v>
      </c>
    </row>
    <row r="90" spans="1:8" s="40" customFormat="1" x14ac:dyDescent="0.3">
      <c r="A90" s="41" t="s">
        <v>976</v>
      </c>
      <c r="B90" s="40">
        <f>D89*E90+G89*H90+J89*K90</f>
        <v>2962.8898085999999</v>
      </c>
      <c r="E90" s="40">
        <v>57.135039049999996</v>
      </c>
      <c r="H90" s="40">
        <v>73.469311399999995</v>
      </c>
    </row>
    <row r="91" spans="1:8" x14ac:dyDescent="0.3">
      <c r="A91" t="s">
        <v>441</v>
      </c>
      <c r="B91">
        <v>2178.84</v>
      </c>
      <c r="C91" t="s">
        <v>24</v>
      </c>
      <c r="D91">
        <v>48</v>
      </c>
      <c r="E91">
        <v>40.799999999999997</v>
      </c>
      <c r="F91" t="s">
        <v>72</v>
      </c>
      <c r="G91">
        <v>3</v>
      </c>
      <c r="H91">
        <v>73.47</v>
      </c>
    </row>
    <row r="92" spans="1:8" s="40" customFormat="1" x14ac:dyDescent="0.3">
      <c r="A92" s="41" t="s">
        <v>976</v>
      </c>
      <c r="B92" s="40">
        <f>D91*E92+G91*H92+J91*K92</f>
        <v>2178.8447357999999</v>
      </c>
      <c r="E92" s="40">
        <v>40.800766699999997</v>
      </c>
      <c r="H92" s="40">
        <v>73.469311399999995</v>
      </c>
    </row>
    <row r="93" spans="1:8" x14ac:dyDescent="0.3">
      <c r="A93" t="s">
        <v>443</v>
      </c>
      <c r="B93">
        <v>2962.89</v>
      </c>
      <c r="C93" t="s">
        <v>27</v>
      </c>
      <c r="D93">
        <v>48</v>
      </c>
      <c r="E93">
        <v>57.14</v>
      </c>
      <c r="F93" t="s">
        <v>72</v>
      </c>
      <c r="G93">
        <v>3</v>
      </c>
      <c r="H93">
        <v>73.47</v>
      </c>
    </row>
    <row r="94" spans="1:8" s="40" customFormat="1" x14ac:dyDescent="0.3">
      <c r="A94" s="41" t="s">
        <v>976</v>
      </c>
      <c r="B94" s="40">
        <f>D93*E94+G93*H94+J93*K94</f>
        <v>2962.8898085999999</v>
      </c>
      <c r="E94" s="40">
        <v>57.135039049999996</v>
      </c>
      <c r="H94" s="40">
        <v>73.469311399999995</v>
      </c>
    </row>
    <row r="95" spans="1:8" x14ac:dyDescent="0.3">
      <c r="A95" t="s">
        <v>442</v>
      </c>
      <c r="B95">
        <v>2962.89</v>
      </c>
      <c r="C95" t="s">
        <v>27</v>
      </c>
      <c r="D95">
        <v>48</v>
      </c>
      <c r="E95">
        <v>57.14</v>
      </c>
      <c r="F95" t="s">
        <v>72</v>
      </c>
      <c r="G95">
        <v>3</v>
      </c>
      <c r="H95">
        <v>73.47</v>
      </c>
    </row>
    <row r="96" spans="1:8" s="40" customFormat="1" x14ac:dyDescent="0.3">
      <c r="A96" s="41" t="s">
        <v>976</v>
      </c>
      <c r="B96" s="40">
        <f>D95*E96+G95*H96+J95*K96</f>
        <v>2962.8898085999999</v>
      </c>
      <c r="E96" s="40">
        <v>57.135039049999996</v>
      </c>
      <c r="H96" s="40">
        <v>73.469311399999995</v>
      </c>
    </row>
    <row r="97" spans="1:8" x14ac:dyDescent="0.3">
      <c r="A97" t="s">
        <v>445</v>
      </c>
      <c r="B97">
        <v>3746.93</v>
      </c>
      <c r="C97" t="s">
        <v>29</v>
      </c>
      <c r="D97">
        <v>48</v>
      </c>
      <c r="E97">
        <v>73.47</v>
      </c>
      <c r="F97" t="s">
        <v>74</v>
      </c>
      <c r="G97">
        <v>3</v>
      </c>
      <c r="H97">
        <v>73.47</v>
      </c>
    </row>
    <row r="98" spans="1:8" s="40" customFormat="1" x14ac:dyDescent="0.3">
      <c r="A98" s="41" t="s">
        <v>976</v>
      </c>
      <c r="B98" s="40">
        <f>D97*E98+G97*H98+J97*K98</f>
        <v>3746.9348814</v>
      </c>
      <c r="E98" s="40">
        <v>73.469311399999995</v>
      </c>
      <c r="H98" s="40">
        <v>73.469311399999995</v>
      </c>
    </row>
    <row r="99" spans="1:8" x14ac:dyDescent="0.3">
      <c r="A99" t="s">
        <v>446</v>
      </c>
      <c r="B99">
        <v>3746.93</v>
      </c>
      <c r="C99" t="s">
        <v>29</v>
      </c>
      <c r="D99">
        <v>48</v>
      </c>
      <c r="E99">
        <v>73.47</v>
      </c>
      <c r="F99" t="s">
        <v>74</v>
      </c>
      <c r="G99">
        <v>3</v>
      </c>
      <c r="H99">
        <v>73.47</v>
      </c>
    </row>
    <row r="100" spans="1:8" s="40" customFormat="1" x14ac:dyDescent="0.3">
      <c r="A100" s="41" t="s">
        <v>976</v>
      </c>
      <c r="B100" s="40">
        <f>D99*E100+G99*H100+J99*K100</f>
        <v>3746.9348814</v>
      </c>
      <c r="E100" s="40">
        <v>73.469311399999995</v>
      </c>
      <c r="H100" s="40">
        <v>73.469311399999995</v>
      </c>
    </row>
    <row r="101" spans="1:8" x14ac:dyDescent="0.3">
      <c r="A101" t="s">
        <v>447</v>
      </c>
      <c r="B101">
        <v>4530.95</v>
      </c>
      <c r="C101" t="s">
        <v>67</v>
      </c>
      <c r="D101">
        <v>48</v>
      </c>
      <c r="E101">
        <v>89.8</v>
      </c>
      <c r="F101" t="s">
        <v>74</v>
      </c>
      <c r="G101">
        <v>3</v>
      </c>
      <c r="H101">
        <v>73.47</v>
      </c>
    </row>
    <row r="102" spans="1:8" s="40" customFormat="1" x14ac:dyDescent="0.3">
      <c r="A102" s="41" t="s">
        <v>976</v>
      </c>
      <c r="B102" s="40">
        <f>D101*E102+G101*H102+J101*K102</f>
        <v>4530.9502926000005</v>
      </c>
      <c r="E102" s="40">
        <v>89.802965799999996</v>
      </c>
      <c r="H102" s="40">
        <v>73.469311399999995</v>
      </c>
    </row>
    <row r="103" spans="1:8" x14ac:dyDescent="0.3">
      <c r="A103" t="s">
        <v>444</v>
      </c>
      <c r="B103">
        <v>2962.89</v>
      </c>
      <c r="C103" t="s">
        <v>27</v>
      </c>
      <c r="D103">
        <v>48</v>
      </c>
      <c r="E103">
        <v>57.14</v>
      </c>
      <c r="F103" t="s">
        <v>72</v>
      </c>
      <c r="G103">
        <v>3</v>
      </c>
      <c r="H103">
        <v>73.47</v>
      </c>
    </row>
    <row r="104" spans="1:8" s="40" customFormat="1" x14ac:dyDescent="0.3">
      <c r="A104" s="41" t="s">
        <v>976</v>
      </c>
      <c r="B104" s="40">
        <f>D103*E104+G103*H104+J103*K104</f>
        <v>2962.8898085999999</v>
      </c>
      <c r="E104" s="40">
        <v>57.135039049999996</v>
      </c>
      <c r="H104" s="40">
        <v>73.469311399999995</v>
      </c>
    </row>
    <row r="105" spans="1:8" x14ac:dyDescent="0.3">
      <c r="A105" t="s">
        <v>448</v>
      </c>
      <c r="B105">
        <v>4530.95</v>
      </c>
      <c r="C105" t="s">
        <v>31</v>
      </c>
      <c r="D105">
        <v>48</v>
      </c>
      <c r="E105">
        <v>89.8</v>
      </c>
      <c r="F105" t="s">
        <v>74</v>
      </c>
      <c r="G105">
        <v>3</v>
      </c>
      <c r="H105">
        <v>73.47</v>
      </c>
    </row>
    <row r="106" spans="1:8" s="40" customFormat="1" x14ac:dyDescent="0.3">
      <c r="A106" s="41" t="s">
        <v>976</v>
      </c>
      <c r="B106" s="40">
        <f>D105*E106+G105*H106+J105*K106</f>
        <v>4530.9502926000005</v>
      </c>
      <c r="E106" s="40">
        <v>89.802965799999996</v>
      </c>
      <c r="H106" s="40">
        <v>73.469311399999995</v>
      </c>
    </row>
    <row r="107" spans="1:8" x14ac:dyDescent="0.3">
      <c r="A107" t="s">
        <v>450</v>
      </c>
      <c r="B107">
        <v>4530.95</v>
      </c>
      <c r="C107" t="s">
        <v>31</v>
      </c>
      <c r="D107">
        <v>48</v>
      </c>
      <c r="E107">
        <v>89.8</v>
      </c>
      <c r="F107" t="s">
        <v>74</v>
      </c>
      <c r="G107">
        <v>3</v>
      </c>
      <c r="H107">
        <v>73.47</v>
      </c>
    </row>
    <row r="108" spans="1:8" s="40" customFormat="1" x14ac:dyDescent="0.3">
      <c r="A108" s="41" t="s">
        <v>976</v>
      </c>
      <c r="B108" s="40">
        <f>D107*E108+G107*H108+J107*K108</f>
        <v>4530.9502926000005</v>
      </c>
      <c r="E108" s="40">
        <v>89.802965799999996</v>
      </c>
      <c r="H108" s="40">
        <v>73.469311399999995</v>
      </c>
    </row>
    <row r="109" spans="1:8" x14ac:dyDescent="0.3">
      <c r="A109" t="s">
        <v>449</v>
      </c>
      <c r="B109">
        <v>4530.95</v>
      </c>
      <c r="C109" t="s">
        <v>31</v>
      </c>
      <c r="D109">
        <v>48</v>
      </c>
      <c r="E109">
        <v>89.8</v>
      </c>
      <c r="F109" t="s">
        <v>74</v>
      </c>
      <c r="G109">
        <v>3</v>
      </c>
      <c r="H109">
        <v>73.47</v>
      </c>
    </row>
    <row r="110" spans="1:8" s="40" customFormat="1" x14ac:dyDescent="0.3">
      <c r="A110" s="41" t="s">
        <v>976</v>
      </c>
      <c r="B110" s="40">
        <f>D109*E110+G109*H110+J109*K110</f>
        <v>4530.9502926000005</v>
      </c>
      <c r="E110" s="40">
        <v>89.802965799999996</v>
      </c>
      <c r="H110" s="40">
        <v>73.469311399999995</v>
      </c>
    </row>
    <row r="111" spans="1:8" x14ac:dyDescent="0.3">
      <c r="A111" t="s">
        <v>569</v>
      </c>
      <c r="B111">
        <v>4530.95</v>
      </c>
      <c r="C111" t="s">
        <v>31</v>
      </c>
      <c r="D111">
        <v>48</v>
      </c>
      <c r="E111">
        <v>89.8</v>
      </c>
      <c r="F111" t="s">
        <v>74</v>
      </c>
      <c r="G111">
        <v>3</v>
      </c>
      <c r="H111">
        <v>73.47</v>
      </c>
    </row>
    <row r="112" spans="1:8" s="40" customFormat="1" x14ac:dyDescent="0.3">
      <c r="A112" s="41" t="s">
        <v>976</v>
      </c>
      <c r="B112" s="40">
        <f>D111*E112+G111*H112+J111*K112</f>
        <v>4530.9502926000005</v>
      </c>
      <c r="E112" s="40">
        <v>89.802965799999996</v>
      </c>
      <c r="H112" s="40">
        <v>73.469311399999995</v>
      </c>
    </row>
    <row r="113" spans="1:8" x14ac:dyDescent="0.3">
      <c r="A113" t="s">
        <v>451</v>
      </c>
      <c r="B113">
        <v>5313.69</v>
      </c>
      <c r="C113" t="s">
        <v>69</v>
      </c>
      <c r="D113">
        <v>48</v>
      </c>
      <c r="E113">
        <v>106.11</v>
      </c>
      <c r="F113" t="s">
        <v>74</v>
      </c>
      <c r="G113">
        <v>3</v>
      </c>
      <c r="H113">
        <v>73.47</v>
      </c>
    </row>
    <row r="114" spans="1:8" s="40" customFormat="1" x14ac:dyDescent="0.3">
      <c r="A114" s="41" t="s">
        <v>976</v>
      </c>
      <c r="B114" s="40">
        <f>D113*E114+G113*H114+J113*K114</f>
        <v>5313.6902549999995</v>
      </c>
      <c r="E114" s="40">
        <v>106.11004834999999</v>
      </c>
      <c r="H114" s="40">
        <v>73.469311399999995</v>
      </c>
    </row>
    <row r="115" spans="1:8" x14ac:dyDescent="0.3">
      <c r="A115" t="s">
        <v>453</v>
      </c>
      <c r="B115">
        <v>4530.95</v>
      </c>
      <c r="C115" t="s">
        <v>31</v>
      </c>
      <c r="D115">
        <v>48</v>
      </c>
      <c r="E115">
        <v>89.8</v>
      </c>
      <c r="F115" t="s">
        <v>74</v>
      </c>
      <c r="G115">
        <v>3</v>
      </c>
      <c r="H115">
        <v>73.47</v>
      </c>
    </row>
    <row r="116" spans="1:8" s="40" customFormat="1" x14ac:dyDescent="0.3">
      <c r="A116" s="41" t="s">
        <v>976</v>
      </c>
      <c r="B116" s="40">
        <f>D115*E116+G115*H116+J115*K116</f>
        <v>4530.9502926000005</v>
      </c>
      <c r="E116" s="40">
        <v>89.802965799999996</v>
      </c>
      <c r="H116" s="40">
        <v>73.469311399999995</v>
      </c>
    </row>
    <row r="117" spans="1:8" x14ac:dyDescent="0.3">
      <c r="A117" t="s">
        <v>454</v>
      </c>
      <c r="B117">
        <v>4530.95</v>
      </c>
      <c r="C117" t="s">
        <v>31</v>
      </c>
      <c r="D117">
        <v>48</v>
      </c>
      <c r="E117">
        <v>89.8</v>
      </c>
      <c r="F117" t="s">
        <v>74</v>
      </c>
      <c r="G117">
        <v>3</v>
      </c>
      <c r="H117">
        <v>73.47</v>
      </c>
    </row>
    <row r="118" spans="1:8" s="40" customFormat="1" x14ac:dyDescent="0.3">
      <c r="A118" s="41" t="s">
        <v>976</v>
      </c>
      <c r="B118" s="40">
        <f>D117*E118+G117*H118+J117*K118</f>
        <v>4530.9502926000005</v>
      </c>
      <c r="E118" s="40">
        <v>89.802965799999996</v>
      </c>
      <c r="H118" s="40">
        <v>73.469311399999995</v>
      </c>
    </row>
    <row r="119" spans="1:8" x14ac:dyDescent="0.3">
      <c r="A119" t="s">
        <v>452</v>
      </c>
      <c r="B119">
        <v>4530.95</v>
      </c>
      <c r="C119" t="s">
        <v>31</v>
      </c>
      <c r="D119">
        <v>48</v>
      </c>
      <c r="E119">
        <v>89.8</v>
      </c>
      <c r="F119" t="s">
        <v>74</v>
      </c>
      <c r="G119">
        <v>3</v>
      </c>
      <c r="H119">
        <v>73.47</v>
      </c>
    </row>
    <row r="120" spans="1:8" s="40" customFormat="1" x14ac:dyDescent="0.3">
      <c r="A120" s="41" t="s">
        <v>976</v>
      </c>
      <c r="B120" s="40">
        <f>D119*E120+G119*H120+J119*K120</f>
        <v>4530.9502926000005</v>
      </c>
      <c r="E120" s="40">
        <v>89.802965799999996</v>
      </c>
      <c r="H120" s="40">
        <v>73.469311399999995</v>
      </c>
    </row>
    <row r="121" spans="1:8" x14ac:dyDescent="0.3">
      <c r="A121" t="s">
        <v>455</v>
      </c>
      <c r="B121">
        <v>4530.95</v>
      </c>
      <c r="C121" t="s">
        <v>31</v>
      </c>
      <c r="D121">
        <v>48</v>
      </c>
      <c r="E121">
        <v>89.8</v>
      </c>
      <c r="F121" t="s">
        <v>74</v>
      </c>
      <c r="G121">
        <v>3</v>
      </c>
      <c r="H121">
        <v>73.47</v>
      </c>
    </row>
    <row r="122" spans="1:8" s="40" customFormat="1" x14ac:dyDescent="0.3">
      <c r="A122" s="41" t="s">
        <v>976</v>
      </c>
      <c r="B122" s="40">
        <f>D121*E122+G121*H122+J121*K122</f>
        <v>4530.9502926000005</v>
      </c>
      <c r="E122" s="40">
        <v>89.802965799999996</v>
      </c>
      <c r="H122" s="40">
        <v>73.469311399999995</v>
      </c>
    </row>
    <row r="123" spans="1:8" x14ac:dyDescent="0.3">
      <c r="A123" t="s">
        <v>458</v>
      </c>
      <c r="B123">
        <v>4530.95</v>
      </c>
      <c r="C123" t="s">
        <v>31</v>
      </c>
      <c r="D123">
        <v>48</v>
      </c>
      <c r="E123">
        <v>89.8</v>
      </c>
      <c r="F123" t="s">
        <v>74</v>
      </c>
      <c r="G123">
        <v>3</v>
      </c>
      <c r="H123">
        <v>73.47</v>
      </c>
    </row>
    <row r="124" spans="1:8" s="40" customFormat="1" x14ac:dyDescent="0.3">
      <c r="A124" s="41" t="s">
        <v>976</v>
      </c>
      <c r="B124" s="40">
        <f>D123*E124+G123*H124+J123*K124</f>
        <v>4530.9502926000005</v>
      </c>
      <c r="E124" s="40">
        <v>89.802965799999996</v>
      </c>
      <c r="H124" s="40">
        <v>73.469311399999995</v>
      </c>
    </row>
    <row r="125" spans="1:8" x14ac:dyDescent="0.3">
      <c r="A125" t="s">
        <v>456</v>
      </c>
      <c r="B125">
        <v>5313.69</v>
      </c>
      <c r="C125" t="s">
        <v>69</v>
      </c>
      <c r="D125">
        <v>48</v>
      </c>
      <c r="E125">
        <v>106.11</v>
      </c>
      <c r="F125" t="s">
        <v>74</v>
      </c>
      <c r="G125">
        <v>3</v>
      </c>
      <c r="H125">
        <v>73.47</v>
      </c>
    </row>
    <row r="126" spans="1:8" s="40" customFormat="1" x14ac:dyDescent="0.3">
      <c r="A126" s="41" t="s">
        <v>976</v>
      </c>
      <c r="B126" s="40">
        <f>D125*E126+G125*H126+J125*K126</f>
        <v>5313.6902549999995</v>
      </c>
      <c r="E126" s="40">
        <v>106.11004834999999</v>
      </c>
      <c r="H126" s="40">
        <v>73.469311399999995</v>
      </c>
    </row>
    <row r="127" spans="1:8" x14ac:dyDescent="0.3">
      <c r="A127" t="s">
        <v>457</v>
      </c>
      <c r="B127">
        <v>6317.61</v>
      </c>
      <c r="C127" t="s">
        <v>33</v>
      </c>
      <c r="D127">
        <v>48</v>
      </c>
      <c r="E127">
        <v>122.44</v>
      </c>
      <c r="F127" t="s">
        <v>79</v>
      </c>
      <c r="G127">
        <v>3</v>
      </c>
      <c r="H127">
        <v>146.87</v>
      </c>
    </row>
    <row r="128" spans="1:8" s="40" customFormat="1" x14ac:dyDescent="0.3">
      <c r="A128" s="41" t="s">
        <v>976</v>
      </c>
      <c r="B128" s="40">
        <f>D127*E128+G127*H128+J127*K128</f>
        <v>6317.6112070500003</v>
      </c>
      <c r="E128" s="40">
        <v>122.43752325000001</v>
      </c>
      <c r="H128" s="40">
        <v>146.87003034999998</v>
      </c>
    </row>
    <row r="129" spans="1:8" x14ac:dyDescent="0.3">
      <c r="A129" t="s">
        <v>459</v>
      </c>
      <c r="B129">
        <v>6317.61</v>
      </c>
      <c r="C129" t="s">
        <v>33</v>
      </c>
      <c r="D129">
        <v>48</v>
      </c>
      <c r="E129">
        <v>122.44</v>
      </c>
      <c r="F129" t="s">
        <v>79</v>
      </c>
      <c r="G129">
        <v>3</v>
      </c>
      <c r="H129">
        <v>146.87</v>
      </c>
    </row>
    <row r="130" spans="1:8" s="40" customFormat="1" x14ac:dyDescent="0.3">
      <c r="A130" s="41" t="s">
        <v>976</v>
      </c>
      <c r="B130" s="40">
        <f>D129*E130+G129*H130+J129*K130</f>
        <v>6317.6112070500003</v>
      </c>
      <c r="E130" s="40">
        <v>122.43752325000001</v>
      </c>
      <c r="H130" s="40">
        <v>146.87003034999998</v>
      </c>
    </row>
    <row r="131" spans="1:8" x14ac:dyDescent="0.3">
      <c r="A131" t="s">
        <v>462</v>
      </c>
      <c r="B131">
        <v>3158.83</v>
      </c>
      <c r="C131" t="s">
        <v>39</v>
      </c>
      <c r="D131">
        <v>48</v>
      </c>
      <c r="E131">
        <v>61.22</v>
      </c>
      <c r="F131" t="s">
        <v>72</v>
      </c>
      <c r="G131">
        <v>3</v>
      </c>
      <c r="H131">
        <v>73.47</v>
      </c>
    </row>
    <row r="132" spans="1:8" s="40" customFormat="1" x14ac:dyDescent="0.3">
      <c r="A132" s="41" t="s">
        <v>976</v>
      </c>
      <c r="B132" s="40">
        <f>D131*E132+G131*H132+J131*K132</f>
        <v>3158.8343381999998</v>
      </c>
      <c r="E132" s="40">
        <v>61.217216749999992</v>
      </c>
      <c r="H132" s="40">
        <v>73.469311399999995</v>
      </c>
    </row>
    <row r="133" spans="1:8" x14ac:dyDescent="0.3">
      <c r="A133" t="s">
        <v>460</v>
      </c>
      <c r="B133">
        <v>6317.61</v>
      </c>
      <c r="C133" t="s">
        <v>33</v>
      </c>
      <c r="D133">
        <v>48</v>
      </c>
      <c r="E133">
        <v>122.44</v>
      </c>
      <c r="F133" t="s">
        <v>79</v>
      </c>
      <c r="G133">
        <v>3</v>
      </c>
      <c r="H133">
        <v>146.87</v>
      </c>
    </row>
    <row r="134" spans="1:8" s="40" customFormat="1" x14ac:dyDescent="0.3">
      <c r="A134" s="41" t="s">
        <v>976</v>
      </c>
      <c r="B134" s="40">
        <f>D133*E134+G133*H134+J133*K134</f>
        <v>6317.6112070500003</v>
      </c>
      <c r="E134" s="40">
        <v>122.43752325000001</v>
      </c>
      <c r="H134" s="40">
        <v>146.87003034999998</v>
      </c>
    </row>
    <row r="135" spans="1:8" x14ac:dyDescent="0.3">
      <c r="A135" t="s">
        <v>461</v>
      </c>
      <c r="B135">
        <v>4921.83</v>
      </c>
      <c r="C135" t="s">
        <v>43</v>
      </c>
      <c r="D135">
        <v>48</v>
      </c>
      <c r="E135">
        <v>97.95</v>
      </c>
      <c r="F135" t="s">
        <v>74</v>
      </c>
      <c r="G135">
        <v>3</v>
      </c>
      <c r="H135">
        <v>73.47</v>
      </c>
    </row>
    <row r="136" spans="1:8" s="40" customFormat="1" x14ac:dyDescent="0.3">
      <c r="A136" s="41" t="s">
        <v>976</v>
      </c>
      <c r="B136" s="40">
        <f>D135*E136+G135*H136+J135*K136</f>
        <v>4921.8308574000002</v>
      </c>
      <c r="E136" s="40">
        <v>97.946310899999986</v>
      </c>
      <c r="H136" s="40">
        <v>73.469311399999995</v>
      </c>
    </row>
    <row r="137" spans="1:8" x14ac:dyDescent="0.3">
      <c r="A137" t="s">
        <v>463</v>
      </c>
      <c r="B137">
        <v>4921.83</v>
      </c>
      <c r="C137" t="s">
        <v>43</v>
      </c>
      <c r="D137">
        <v>48</v>
      </c>
      <c r="E137">
        <v>97.95</v>
      </c>
      <c r="F137" t="s">
        <v>74</v>
      </c>
      <c r="G137">
        <v>3</v>
      </c>
      <c r="H137">
        <v>73.47</v>
      </c>
    </row>
    <row r="138" spans="1:8" s="40" customFormat="1" x14ac:dyDescent="0.3">
      <c r="A138" s="41" t="s">
        <v>976</v>
      </c>
      <c r="B138" s="40">
        <f>D137*E138+G137*H138+J137*K138</f>
        <v>4921.8308574000002</v>
      </c>
      <c r="E138" s="40">
        <v>97.946310899999986</v>
      </c>
      <c r="H138" s="40">
        <v>73.469311399999995</v>
      </c>
    </row>
    <row r="139" spans="1:8" x14ac:dyDescent="0.3">
      <c r="A139" t="s">
        <v>464</v>
      </c>
      <c r="B139">
        <v>4921.83</v>
      </c>
      <c r="C139" t="s">
        <v>43</v>
      </c>
      <c r="D139">
        <v>48</v>
      </c>
      <c r="E139">
        <v>97.95</v>
      </c>
      <c r="F139" t="s">
        <v>74</v>
      </c>
      <c r="G139">
        <v>3</v>
      </c>
      <c r="H139">
        <v>73.47</v>
      </c>
    </row>
    <row r="140" spans="1:8" s="40" customFormat="1" x14ac:dyDescent="0.3">
      <c r="A140" s="41" t="s">
        <v>976</v>
      </c>
      <c r="B140" s="40">
        <f>D139*E140+G139*H140+J139*K140</f>
        <v>4921.8308574000002</v>
      </c>
      <c r="E140" s="40">
        <v>97.946310899999986</v>
      </c>
      <c r="H140" s="40">
        <v>73.469311399999995</v>
      </c>
    </row>
    <row r="141" spans="1:8" x14ac:dyDescent="0.3">
      <c r="A141" t="s">
        <v>466</v>
      </c>
      <c r="B141">
        <v>4921.83</v>
      </c>
      <c r="C141" t="s">
        <v>43</v>
      </c>
      <c r="D141">
        <v>48</v>
      </c>
      <c r="E141">
        <v>97.95</v>
      </c>
      <c r="F141" t="s">
        <v>74</v>
      </c>
      <c r="G141">
        <v>3</v>
      </c>
      <c r="H141">
        <v>73.47</v>
      </c>
    </row>
    <row r="142" spans="1:8" s="40" customFormat="1" x14ac:dyDescent="0.3">
      <c r="A142" s="41" t="s">
        <v>976</v>
      </c>
      <c r="B142" s="40">
        <f>D141*E142+G141*H142+J141*K142</f>
        <v>4921.8308574000002</v>
      </c>
      <c r="E142" s="40">
        <v>97.946310899999986</v>
      </c>
      <c r="H142" s="40">
        <v>73.469311399999995</v>
      </c>
    </row>
    <row r="143" spans="1:8" x14ac:dyDescent="0.3">
      <c r="A143" t="s">
        <v>465</v>
      </c>
      <c r="B143">
        <v>4921.83</v>
      </c>
      <c r="C143" t="s">
        <v>43</v>
      </c>
      <c r="D143">
        <v>48</v>
      </c>
      <c r="E143">
        <v>97.95</v>
      </c>
      <c r="F143" t="s">
        <v>74</v>
      </c>
      <c r="G143">
        <v>3</v>
      </c>
      <c r="H143">
        <v>73.47</v>
      </c>
    </row>
    <row r="144" spans="1:8" s="40" customFormat="1" x14ac:dyDescent="0.3">
      <c r="A144" s="41" t="s">
        <v>976</v>
      </c>
      <c r="B144" s="40">
        <f>D143*E144+G143*H144+J143*K144</f>
        <v>4921.8308574000002</v>
      </c>
      <c r="E144" s="40">
        <v>97.946310899999986</v>
      </c>
      <c r="H144" s="40">
        <v>73.469311399999995</v>
      </c>
    </row>
    <row r="145" spans="1:11" x14ac:dyDescent="0.3">
      <c r="A145" t="s">
        <v>468</v>
      </c>
      <c r="B145">
        <v>4310.54</v>
      </c>
      <c r="C145" t="s">
        <v>31</v>
      </c>
      <c r="D145">
        <v>48</v>
      </c>
      <c r="E145">
        <v>89.8</v>
      </c>
    </row>
    <row r="146" spans="1:11" s="40" customFormat="1" x14ac:dyDescent="0.3">
      <c r="A146" s="41" t="s">
        <v>976</v>
      </c>
      <c r="B146" s="40">
        <f>D145*E146+G145*H146+J145*K146</f>
        <v>4310.5423584</v>
      </c>
      <c r="E146" s="40">
        <v>89.802965799999996</v>
      </c>
    </row>
    <row r="147" spans="1:11" x14ac:dyDescent="0.3">
      <c r="A147" t="s">
        <v>469</v>
      </c>
      <c r="B147">
        <v>8569.3799999999992</v>
      </c>
      <c r="C147" t="s">
        <v>57</v>
      </c>
      <c r="D147">
        <v>48</v>
      </c>
      <c r="E147">
        <v>146.91999999999999</v>
      </c>
      <c r="F147" t="s">
        <v>119</v>
      </c>
      <c r="G147">
        <v>3</v>
      </c>
      <c r="H147">
        <v>97.94</v>
      </c>
      <c r="I147" t="s">
        <v>137</v>
      </c>
      <c r="J147">
        <v>50</v>
      </c>
      <c r="K147">
        <v>24.47</v>
      </c>
    </row>
    <row r="148" spans="1:11" s="40" customFormat="1" x14ac:dyDescent="0.3">
      <c r="A148" s="41" t="s">
        <v>976</v>
      </c>
      <c r="B148" s="40">
        <f>D147*E148+G147*H148+J147*K148</f>
        <v>8569.3788647138499</v>
      </c>
      <c r="E148" s="40">
        <v>146.9213202</v>
      </c>
      <c r="H148" s="40">
        <v>97.936115342949989</v>
      </c>
      <c r="K148" s="40">
        <v>24.466942981699997</v>
      </c>
    </row>
    <row r="149" spans="1:11" x14ac:dyDescent="0.3">
      <c r="A149" t="s">
        <v>467</v>
      </c>
      <c r="B149">
        <v>4921.83</v>
      </c>
      <c r="C149" t="s">
        <v>43</v>
      </c>
      <c r="D149">
        <v>48</v>
      </c>
      <c r="E149">
        <v>97.95</v>
      </c>
      <c r="F149" t="s">
        <v>74</v>
      </c>
      <c r="G149">
        <v>3</v>
      </c>
      <c r="H149">
        <v>73.47</v>
      </c>
    </row>
    <row r="150" spans="1:11" s="40" customFormat="1" x14ac:dyDescent="0.3">
      <c r="A150" s="41" t="s">
        <v>976</v>
      </c>
      <c r="B150" s="40">
        <f>D149*E150+G149*H150+J149*K150</f>
        <v>4921.8308574000002</v>
      </c>
      <c r="E150" s="40">
        <v>97.946310899999986</v>
      </c>
      <c r="H150" s="40">
        <v>73.469311399999995</v>
      </c>
    </row>
    <row r="151" spans="1:11" x14ac:dyDescent="0.3">
      <c r="A151" t="s">
        <v>470</v>
      </c>
      <c r="B151">
        <v>2742.48</v>
      </c>
      <c r="C151" t="s">
        <v>27</v>
      </c>
      <c r="D151">
        <v>48</v>
      </c>
      <c r="E151">
        <v>57.14</v>
      </c>
    </row>
    <row r="152" spans="1:11" s="40" customFormat="1" x14ac:dyDescent="0.3">
      <c r="A152" s="41" t="s">
        <v>976</v>
      </c>
      <c r="B152" s="40">
        <f>D151*E152+G151*H152+J151*K152</f>
        <v>2742.4818743999999</v>
      </c>
      <c r="E152" s="40">
        <v>57.135039049999996</v>
      </c>
    </row>
    <row r="153" spans="1:11" x14ac:dyDescent="0.3">
      <c r="A153" t="s">
        <v>472</v>
      </c>
      <c r="B153">
        <v>8569.3799999999992</v>
      </c>
      <c r="C153" t="s">
        <v>57</v>
      </c>
      <c r="D153">
        <v>48</v>
      </c>
      <c r="E153">
        <v>146.91999999999999</v>
      </c>
      <c r="F153" t="s">
        <v>119</v>
      </c>
      <c r="G153">
        <v>3</v>
      </c>
      <c r="H153">
        <v>97.94</v>
      </c>
      <c r="I153" t="s">
        <v>137</v>
      </c>
      <c r="J153">
        <v>50</v>
      </c>
      <c r="K153">
        <v>24.47</v>
      </c>
    </row>
    <row r="154" spans="1:11" s="40" customFormat="1" x14ac:dyDescent="0.3">
      <c r="A154" s="41" t="s">
        <v>976</v>
      </c>
      <c r="B154" s="40">
        <f>D153*E154+G153*H154+J153*K154</f>
        <v>8569.3788647138499</v>
      </c>
      <c r="E154" s="40">
        <v>146.9213202</v>
      </c>
      <c r="H154" s="40">
        <v>97.936115342949989</v>
      </c>
      <c r="K154" s="40">
        <v>24.466942981699997</v>
      </c>
    </row>
    <row r="155" spans="1:11" x14ac:dyDescent="0.3">
      <c r="A155" t="s">
        <v>471</v>
      </c>
      <c r="B155">
        <v>5827.7</v>
      </c>
      <c r="C155" t="s">
        <v>31</v>
      </c>
      <c r="D155">
        <v>48</v>
      </c>
      <c r="E155">
        <v>89.8</v>
      </c>
      <c r="F155" t="s">
        <v>110</v>
      </c>
      <c r="G155">
        <v>3</v>
      </c>
      <c r="H155">
        <v>97.94</v>
      </c>
      <c r="I155" t="s">
        <v>137</v>
      </c>
      <c r="J155">
        <v>50</v>
      </c>
      <c r="K155">
        <v>24.47</v>
      </c>
    </row>
    <row r="156" spans="1:11" s="40" customFormat="1" x14ac:dyDescent="0.3">
      <c r="A156" s="41" t="s">
        <v>976</v>
      </c>
      <c r="B156" s="40">
        <f>D155*E156+G155*H156+J155*K156</f>
        <v>5827.6978535138496</v>
      </c>
      <c r="E156" s="40">
        <v>89.802965799999996</v>
      </c>
      <c r="H156" s="40">
        <v>97.936115342949989</v>
      </c>
      <c r="K156" s="40">
        <v>24.466942981699997</v>
      </c>
    </row>
    <row r="157" spans="1:11" x14ac:dyDescent="0.3">
      <c r="A157" t="s">
        <v>474</v>
      </c>
      <c r="B157">
        <v>6610.44</v>
      </c>
      <c r="C157" t="s">
        <v>69</v>
      </c>
      <c r="D157">
        <v>48</v>
      </c>
      <c r="E157">
        <v>106.11</v>
      </c>
      <c r="F157" t="s">
        <v>110</v>
      </c>
      <c r="G157">
        <v>3</v>
      </c>
      <c r="H157">
        <v>97.94</v>
      </c>
      <c r="I157" t="s">
        <v>137</v>
      </c>
      <c r="J157">
        <v>50</v>
      </c>
      <c r="K157">
        <v>24.47</v>
      </c>
    </row>
    <row r="158" spans="1:11" s="40" customFormat="1" x14ac:dyDescent="0.3">
      <c r="A158" s="41" t="s">
        <v>976</v>
      </c>
      <c r="B158" s="40">
        <f>D157*E158+G157*H158+J157*K158</f>
        <v>6610.4378159138487</v>
      </c>
      <c r="E158" s="40">
        <v>106.11004834999999</v>
      </c>
      <c r="H158" s="40">
        <v>97.936115342949989</v>
      </c>
      <c r="K158" s="40">
        <v>24.466942981699997</v>
      </c>
    </row>
    <row r="159" spans="1:11" x14ac:dyDescent="0.3">
      <c r="A159" t="s">
        <v>473</v>
      </c>
      <c r="B159">
        <v>9011.1299999999992</v>
      </c>
      <c r="C159" t="s">
        <v>61</v>
      </c>
      <c r="D159">
        <v>42</v>
      </c>
      <c r="E159">
        <v>204.06</v>
      </c>
      <c r="F159" t="s">
        <v>85</v>
      </c>
      <c r="G159">
        <v>3</v>
      </c>
      <c r="H159">
        <v>146.87</v>
      </c>
    </row>
    <row r="160" spans="1:11" s="40" customFormat="1" x14ac:dyDescent="0.3">
      <c r="A160" s="41" t="s">
        <v>976</v>
      </c>
      <c r="B160" s="40">
        <f>D159*E160+G159*H160+J159*K160</f>
        <v>9011.1329029500012</v>
      </c>
      <c r="E160" s="40">
        <v>204.06006694999999</v>
      </c>
      <c r="H160" s="40">
        <v>146.87003034999998</v>
      </c>
    </row>
    <row r="161" spans="1:11" x14ac:dyDescent="0.3">
      <c r="A161" t="s">
        <v>476</v>
      </c>
      <c r="B161">
        <v>3992.13</v>
      </c>
      <c r="C161" t="s">
        <v>31</v>
      </c>
      <c r="D161">
        <v>42</v>
      </c>
      <c r="E161">
        <v>89.8</v>
      </c>
      <c r="F161" t="s">
        <v>74</v>
      </c>
      <c r="G161">
        <v>3</v>
      </c>
      <c r="H161">
        <v>73.47</v>
      </c>
    </row>
    <row r="162" spans="1:11" s="40" customFormat="1" x14ac:dyDescent="0.3">
      <c r="A162" s="41" t="s">
        <v>976</v>
      </c>
      <c r="B162" s="40">
        <f>D161*E162+G161*H162+J161*K162</f>
        <v>3992.1324977999998</v>
      </c>
      <c r="E162" s="40">
        <v>89.802965799999996</v>
      </c>
      <c r="H162" s="40">
        <v>73.469311399999995</v>
      </c>
    </row>
    <row r="163" spans="1:11" x14ac:dyDescent="0.3">
      <c r="A163" t="s">
        <v>475</v>
      </c>
      <c r="B163">
        <v>3992.13</v>
      </c>
      <c r="C163" t="s">
        <v>31</v>
      </c>
      <c r="D163">
        <v>42</v>
      </c>
      <c r="E163">
        <v>89.8</v>
      </c>
      <c r="F163" t="s">
        <v>74</v>
      </c>
      <c r="G163">
        <v>3</v>
      </c>
      <c r="H163">
        <v>73.47</v>
      </c>
    </row>
    <row r="164" spans="1:11" s="40" customFormat="1" x14ac:dyDescent="0.3">
      <c r="A164" s="41" t="s">
        <v>976</v>
      </c>
      <c r="B164" s="40">
        <f>D163*E164+G163*H164+J163*K164</f>
        <v>3992.1324977999998</v>
      </c>
      <c r="E164" s="40">
        <v>89.802965799999996</v>
      </c>
      <c r="H164" s="40">
        <v>73.469311399999995</v>
      </c>
    </row>
    <row r="165" spans="1:11" x14ac:dyDescent="0.3">
      <c r="A165" t="s">
        <v>478</v>
      </c>
      <c r="B165">
        <v>3159.18</v>
      </c>
      <c r="C165" t="s">
        <v>65</v>
      </c>
      <c r="D165">
        <v>40</v>
      </c>
      <c r="E165">
        <v>73.47</v>
      </c>
      <c r="F165" t="s">
        <v>72</v>
      </c>
      <c r="G165">
        <v>3</v>
      </c>
      <c r="H165">
        <v>73.47</v>
      </c>
    </row>
    <row r="166" spans="1:11" s="40" customFormat="1" x14ac:dyDescent="0.3">
      <c r="A166" s="41" t="s">
        <v>976</v>
      </c>
      <c r="B166" s="40">
        <f>D165*E166+G165*H166+J165*K166</f>
        <v>3159.1803901999997</v>
      </c>
      <c r="E166" s="40">
        <v>73.469311399999995</v>
      </c>
      <c r="H166" s="40">
        <v>73.469311399999995</v>
      </c>
    </row>
    <row r="167" spans="1:11" x14ac:dyDescent="0.3">
      <c r="A167" t="s">
        <v>477</v>
      </c>
      <c r="B167">
        <v>7297.06</v>
      </c>
      <c r="C167" t="s">
        <v>47</v>
      </c>
      <c r="D167">
        <v>42</v>
      </c>
      <c r="E167">
        <v>163.25</v>
      </c>
      <c r="F167" t="s">
        <v>79</v>
      </c>
      <c r="G167">
        <v>3</v>
      </c>
      <c r="H167">
        <v>146.87</v>
      </c>
    </row>
    <row r="168" spans="1:11" s="40" customFormat="1" x14ac:dyDescent="0.3">
      <c r="A168" s="41" t="s">
        <v>976</v>
      </c>
      <c r="B168" s="40">
        <f>D167*E168+G167*H168+J167*K168</f>
        <v>7297.0594852499999</v>
      </c>
      <c r="E168" s="40">
        <v>163.2487951</v>
      </c>
      <c r="H168" s="40">
        <v>146.87003034999998</v>
      </c>
    </row>
    <row r="169" spans="1:11" x14ac:dyDescent="0.3">
      <c r="A169" t="s">
        <v>479</v>
      </c>
      <c r="B169">
        <v>3812.53</v>
      </c>
      <c r="C169" t="s">
        <v>31</v>
      </c>
      <c r="D169">
        <v>40</v>
      </c>
      <c r="E169">
        <v>89.8</v>
      </c>
      <c r="F169" t="s">
        <v>74</v>
      </c>
      <c r="G169">
        <v>3</v>
      </c>
      <c r="H169">
        <v>73.47</v>
      </c>
    </row>
    <row r="170" spans="1:11" s="40" customFormat="1" x14ac:dyDescent="0.3">
      <c r="A170" s="41" t="s">
        <v>976</v>
      </c>
      <c r="B170" s="40">
        <f>D169*E170+G169*H170+J169*K170</f>
        <v>3812.5265661999997</v>
      </c>
      <c r="E170" s="40">
        <v>89.802965799999996</v>
      </c>
      <c r="H170" s="40">
        <v>73.469311399999995</v>
      </c>
    </row>
    <row r="171" spans="1:11" x14ac:dyDescent="0.3">
      <c r="A171" t="s">
        <v>480</v>
      </c>
      <c r="B171">
        <v>2456.81</v>
      </c>
      <c r="C171" t="s">
        <v>27</v>
      </c>
      <c r="D171">
        <v>40</v>
      </c>
      <c r="E171">
        <v>57.14</v>
      </c>
      <c r="F171" t="s">
        <v>87</v>
      </c>
      <c r="G171">
        <v>3</v>
      </c>
      <c r="H171">
        <v>57.14</v>
      </c>
    </row>
    <row r="172" spans="1:11" s="40" customFormat="1" x14ac:dyDescent="0.3">
      <c r="A172" s="41" t="s">
        <v>976</v>
      </c>
      <c r="B172" s="40">
        <f>D171*E172+G171*H172+J171*K172</f>
        <v>2456.80667915</v>
      </c>
      <c r="E172" s="40">
        <v>57.135039049999996</v>
      </c>
      <c r="H172" s="40">
        <v>57.135039049999996</v>
      </c>
    </row>
    <row r="173" spans="1:11" x14ac:dyDescent="0.3">
      <c r="A173" t="s">
        <v>481</v>
      </c>
      <c r="B173">
        <v>4913.54</v>
      </c>
      <c r="C173" t="s">
        <v>31</v>
      </c>
      <c r="D173">
        <v>40</v>
      </c>
      <c r="E173">
        <v>89.8</v>
      </c>
      <c r="F173" t="s">
        <v>110</v>
      </c>
      <c r="G173">
        <v>3</v>
      </c>
      <c r="H173">
        <v>97.94</v>
      </c>
      <c r="I173" t="s">
        <v>137</v>
      </c>
      <c r="J173">
        <v>42</v>
      </c>
      <c r="K173">
        <v>24.47</v>
      </c>
    </row>
    <row r="174" spans="1:11" s="40" customFormat="1" x14ac:dyDescent="0.3">
      <c r="A174" s="41" t="s">
        <v>976</v>
      </c>
      <c r="B174" s="40">
        <f>D173*E174+G173*H174+J173*K174</f>
        <v>4913.5385832602497</v>
      </c>
      <c r="E174" s="40">
        <v>89.802965799999996</v>
      </c>
      <c r="H174" s="40">
        <v>97.936115342949989</v>
      </c>
      <c r="K174" s="40">
        <v>24.466942981699997</v>
      </c>
    </row>
    <row r="175" spans="1:11" x14ac:dyDescent="0.3">
      <c r="A175" t="s">
        <v>482</v>
      </c>
      <c r="B175">
        <v>5436.11</v>
      </c>
      <c r="C175" t="s">
        <v>57</v>
      </c>
      <c r="D175">
        <v>36</v>
      </c>
      <c r="E175">
        <v>146.91999999999999</v>
      </c>
      <c r="F175" t="s">
        <v>83</v>
      </c>
      <c r="G175">
        <v>2</v>
      </c>
      <c r="H175">
        <v>73.47</v>
      </c>
    </row>
    <row r="176" spans="1:11" s="40" customFormat="1" x14ac:dyDescent="0.3">
      <c r="A176" s="41" t="s">
        <v>976</v>
      </c>
      <c r="B176" s="40">
        <f>D175*E176+G175*H176+J175*K176</f>
        <v>5436.1061500000005</v>
      </c>
      <c r="E176" s="40">
        <v>146.9213202</v>
      </c>
      <c r="H176" s="40">
        <v>73.469311399999995</v>
      </c>
    </row>
    <row r="177" spans="1:8" x14ac:dyDescent="0.3">
      <c r="A177" t="s">
        <v>483</v>
      </c>
      <c r="B177">
        <v>6170.7</v>
      </c>
      <c r="C177" t="s">
        <v>59</v>
      </c>
      <c r="D177">
        <v>36</v>
      </c>
      <c r="E177">
        <v>163.25</v>
      </c>
      <c r="F177" t="s">
        <v>85</v>
      </c>
      <c r="G177">
        <v>2</v>
      </c>
      <c r="H177">
        <v>146.87</v>
      </c>
    </row>
    <row r="178" spans="1:8" s="40" customFormat="1" x14ac:dyDescent="0.3">
      <c r="A178" s="41" t="s">
        <v>976</v>
      </c>
      <c r="B178" s="40">
        <f>D177*E178+G177*H178+J177*K178</f>
        <v>6170.6966843</v>
      </c>
      <c r="E178" s="40">
        <v>163.2487951</v>
      </c>
      <c r="H178" s="40">
        <v>146.87003034999998</v>
      </c>
    </row>
    <row r="179" spans="1:8" x14ac:dyDescent="0.3">
      <c r="A179" t="s">
        <v>484</v>
      </c>
      <c r="B179">
        <v>6170.7</v>
      </c>
      <c r="C179" t="s">
        <v>59</v>
      </c>
      <c r="D179">
        <v>36</v>
      </c>
      <c r="E179">
        <v>163.25</v>
      </c>
      <c r="F179" t="s">
        <v>85</v>
      </c>
      <c r="G179">
        <v>2</v>
      </c>
      <c r="H179">
        <v>146.87</v>
      </c>
    </row>
    <row r="180" spans="1:8" s="40" customFormat="1" x14ac:dyDescent="0.3">
      <c r="A180" s="41" t="s">
        <v>976</v>
      </c>
      <c r="B180" s="40">
        <f>D179*E180+G179*H180+J179*K180</f>
        <v>6170.6966843</v>
      </c>
      <c r="E180" s="40">
        <v>163.2487951</v>
      </c>
      <c r="H180" s="40">
        <v>146.87003034999998</v>
      </c>
    </row>
    <row r="181" spans="1:8" x14ac:dyDescent="0.3">
      <c r="A181" t="s">
        <v>487</v>
      </c>
      <c r="B181">
        <v>2203.8000000000002</v>
      </c>
      <c r="C181" t="s">
        <v>27</v>
      </c>
      <c r="D181">
        <v>36</v>
      </c>
      <c r="E181">
        <v>57.14</v>
      </c>
      <c r="F181" t="s">
        <v>72</v>
      </c>
      <c r="G181">
        <v>2</v>
      </c>
      <c r="H181">
        <v>73.47</v>
      </c>
    </row>
    <row r="182" spans="1:8" s="40" customFormat="1" x14ac:dyDescent="0.3">
      <c r="A182" s="41" t="s">
        <v>976</v>
      </c>
      <c r="B182" s="40">
        <f>D181*E182+G181*H182+J181*K182</f>
        <v>2203.8000285999997</v>
      </c>
      <c r="E182" s="40">
        <v>57.135039049999996</v>
      </c>
      <c r="H182" s="40">
        <v>73.469311399999995</v>
      </c>
    </row>
    <row r="183" spans="1:8" x14ac:dyDescent="0.3">
      <c r="A183" t="s">
        <v>485</v>
      </c>
      <c r="B183">
        <v>2203.8000000000002</v>
      </c>
      <c r="C183" t="s">
        <v>27</v>
      </c>
      <c r="D183">
        <v>36</v>
      </c>
      <c r="E183">
        <v>57.14</v>
      </c>
      <c r="F183" t="s">
        <v>72</v>
      </c>
      <c r="G183">
        <v>2</v>
      </c>
      <c r="H183">
        <v>73.47</v>
      </c>
    </row>
    <row r="184" spans="1:8" s="40" customFormat="1" x14ac:dyDescent="0.3">
      <c r="A184" s="41" t="s">
        <v>976</v>
      </c>
      <c r="B184" s="40">
        <f>D183*E184+G183*H184+J183*K184</f>
        <v>2203.8000285999997</v>
      </c>
      <c r="E184" s="40">
        <v>57.135039049999996</v>
      </c>
      <c r="H184" s="40">
        <v>73.469311399999995</v>
      </c>
    </row>
    <row r="185" spans="1:8" x14ac:dyDescent="0.3">
      <c r="A185" t="s">
        <v>486</v>
      </c>
      <c r="B185">
        <v>2203.8000000000002</v>
      </c>
      <c r="C185" t="s">
        <v>27</v>
      </c>
      <c r="D185">
        <v>36</v>
      </c>
      <c r="E185">
        <v>57.14</v>
      </c>
      <c r="F185" t="s">
        <v>72</v>
      </c>
      <c r="G185">
        <v>2</v>
      </c>
      <c r="H185">
        <v>73.47</v>
      </c>
    </row>
    <row r="186" spans="1:8" s="40" customFormat="1" x14ac:dyDescent="0.3">
      <c r="A186" s="41" t="s">
        <v>976</v>
      </c>
      <c r="B186" s="40">
        <f>D185*E186+G185*H186+J185*K186</f>
        <v>2203.8000285999997</v>
      </c>
      <c r="E186" s="40">
        <v>57.135039049999996</v>
      </c>
      <c r="H186" s="40">
        <v>73.469311399999995</v>
      </c>
    </row>
    <row r="187" spans="1:8" x14ac:dyDescent="0.3">
      <c r="A187" t="s">
        <v>488</v>
      </c>
      <c r="B187">
        <v>2203.8000000000002</v>
      </c>
      <c r="C187" t="s">
        <v>27</v>
      </c>
      <c r="D187">
        <v>36</v>
      </c>
      <c r="E187">
        <v>57.14</v>
      </c>
      <c r="F187" t="s">
        <v>72</v>
      </c>
      <c r="G187">
        <v>2</v>
      </c>
      <c r="H187">
        <v>73.47</v>
      </c>
    </row>
    <row r="188" spans="1:8" s="40" customFormat="1" x14ac:dyDescent="0.3">
      <c r="A188" s="41" t="s">
        <v>976</v>
      </c>
      <c r="B188" s="40">
        <f>D187*E188+G187*H188+J187*K188</f>
        <v>2203.8000285999997</v>
      </c>
      <c r="E188" s="40">
        <v>57.135039049999996</v>
      </c>
      <c r="H188" s="40">
        <v>73.469311399999995</v>
      </c>
    </row>
    <row r="189" spans="1:8" x14ac:dyDescent="0.3">
      <c r="A189" t="s">
        <v>489</v>
      </c>
      <c r="B189">
        <v>2203.8000000000002</v>
      </c>
      <c r="C189" t="s">
        <v>27</v>
      </c>
      <c r="D189">
        <v>36</v>
      </c>
      <c r="E189">
        <v>57.14</v>
      </c>
      <c r="F189" t="s">
        <v>72</v>
      </c>
      <c r="G189">
        <v>2</v>
      </c>
      <c r="H189">
        <v>73.47</v>
      </c>
    </row>
    <row r="190" spans="1:8" s="40" customFormat="1" x14ac:dyDescent="0.3">
      <c r="A190" s="41" t="s">
        <v>976</v>
      </c>
      <c r="B190" s="40">
        <f>D189*E190+G189*H190+J189*K190</f>
        <v>2203.8000285999997</v>
      </c>
      <c r="E190" s="40">
        <v>57.135039049999996</v>
      </c>
      <c r="H190" s="40">
        <v>73.469311399999995</v>
      </c>
    </row>
    <row r="191" spans="1:8" x14ac:dyDescent="0.3">
      <c r="A191" t="s">
        <v>493</v>
      </c>
      <c r="B191">
        <v>2791.83</v>
      </c>
      <c r="C191" t="s">
        <v>29</v>
      </c>
      <c r="D191">
        <v>36</v>
      </c>
      <c r="E191">
        <v>73.47</v>
      </c>
      <c r="F191" t="s">
        <v>74</v>
      </c>
      <c r="G191">
        <v>2</v>
      </c>
      <c r="H191">
        <v>73.47</v>
      </c>
    </row>
    <row r="192" spans="1:8" s="40" customFormat="1" x14ac:dyDescent="0.3">
      <c r="A192" s="41" t="s">
        <v>976</v>
      </c>
      <c r="B192" s="40">
        <f>D191*E192+G191*H192+J191*K192</f>
        <v>2791.8338331999998</v>
      </c>
      <c r="E192" s="40">
        <v>73.469311399999995</v>
      </c>
      <c r="H192" s="40">
        <v>73.469311399999995</v>
      </c>
    </row>
    <row r="193" spans="1:8" x14ac:dyDescent="0.3">
      <c r="A193" t="s">
        <v>490</v>
      </c>
      <c r="B193">
        <v>2203.8000000000002</v>
      </c>
      <c r="C193" t="s">
        <v>27</v>
      </c>
      <c r="D193">
        <v>36</v>
      </c>
      <c r="E193">
        <v>57.14</v>
      </c>
      <c r="F193" t="s">
        <v>72</v>
      </c>
      <c r="G193">
        <v>2</v>
      </c>
      <c r="H193">
        <v>73.47</v>
      </c>
    </row>
    <row r="194" spans="1:8" s="40" customFormat="1" x14ac:dyDescent="0.3">
      <c r="A194" s="41" t="s">
        <v>976</v>
      </c>
      <c r="B194" s="40">
        <f>D193*E194+G193*H194+J193*K194</f>
        <v>2203.8000285999997</v>
      </c>
      <c r="E194" s="40">
        <v>57.135039049999996</v>
      </c>
      <c r="H194" s="40">
        <v>73.469311399999995</v>
      </c>
    </row>
    <row r="195" spans="1:8" x14ac:dyDescent="0.3">
      <c r="A195" t="s">
        <v>491</v>
      </c>
      <c r="B195">
        <v>2791.83</v>
      </c>
      <c r="C195" t="s">
        <v>65</v>
      </c>
      <c r="D195">
        <v>36</v>
      </c>
      <c r="E195">
        <v>73.47</v>
      </c>
      <c r="F195" t="s">
        <v>72</v>
      </c>
      <c r="G195">
        <v>2</v>
      </c>
      <c r="H195">
        <v>73.47</v>
      </c>
    </row>
    <row r="196" spans="1:8" s="40" customFormat="1" x14ac:dyDescent="0.3">
      <c r="A196" s="41" t="s">
        <v>976</v>
      </c>
      <c r="B196" s="40">
        <f>D195*E196+G195*H196+J195*K196</f>
        <v>2791.8338331999998</v>
      </c>
      <c r="E196" s="40">
        <v>73.469311399999995</v>
      </c>
      <c r="H196" s="40">
        <v>73.469311399999995</v>
      </c>
    </row>
    <row r="197" spans="1:8" x14ac:dyDescent="0.3">
      <c r="A197" t="s">
        <v>492</v>
      </c>
      <c r="B197">
        <v>3379.85</v>
      </c>
      <c r="C197" t="s">
        <v>67</v>
      </c>
      <c r="D197">
        <v>36</v>
      </c>
      <c r="E197">
        <v>89.8</v>
      </c>
      <c r="F197" t="s">
        <v>74</v>
      </c>
      <c r="G197">
        <v>2</v>
      </c>
      <c r="H197">
        <v>73.47</v>
      </c>
    </row>
    <row r="198" spans="1:8" s="40" customFormat="1" x14ac:dyDescent="0.3">
      <c r="A198" s="41" t="s">
        <v>976</v>
      </c>
      <c r="B198" s="40">
        <f>D197*E198+G197*H198+J197*K198</f>
        <v>3379.8453915999999</v>
      </c>
      <c r="E198" s="40">
        <v>89.802965799999996</v>
      </c>
      <c r="H198" s="40">
        <v>73.469311399999995</v>
      </c>
    </row>
    <row r="199" spans="1:8" x14ac:dyDescent="0.3">
      <c r="A199" t="s">
        <v>494</v>
      </c>
      <c r="B199">
        <v>2791.83</v>
      </c>
      <c r="C199" t="s">
        <v>29</v>
      </c>
      <c r="D199">
        <v>36</v>
      </c>
      <c r="E199">
        <v>73.47</v>
      </c>
      <c r="F199" t="s">
        <v>74</v>
      </c>
      <c r="G199">
        <v>2</v>
      </c>
      <c r="H199">
        <v>73.47</v>
      </c>
    </row>
    <row r="200" spans="1:8" s="40" customFormat="1" x14ac:dyDescent="0.3">
      <c r="A200" s="41" t="s">
        <v>976</v>
      </c>
      <c r="B200" s="40">
        <f>D199*E200+G199*H200+J199*K200</f>
        <v>2791.8338331999998</v>
      </c>
      <c r="E200" s="40">
        <v>73.469311399999995</v>
      </c>
      <c r="H200" s="40">
        <v>73.469311399999995</v>
      </c>
    </row>
    <row r="201" spans="1:8" x14ac:dyDescent="0.3">
      <c r="A201" t="s">
        <v>495</v>
      </c>
      <c r="B201">
        <v>3379.85</v>
      </c>
      <c r="C201" t="s">
        <v>67</v>
      </c>
      <c r="D201">
        <v>36</v>
      </c>
      <c r="E201">
        <v>89.8</v>
      </c>
      <c r="F201" t="s">
        <v>74</v>
      </c>
      <c r="G201">
        <v>2</v>
      </c>
      <c r="H201">
        <v>73.47</v>
      </c>
    </row>
    <row r="202" spans="1:8" s="40" customFormat="1" x14ac:dyDescent="0.3">
      <c r="A202" s="41" t="s">
        <v>976</v>
      </c>
      <c r="B202" s="40">
        <f>D201*E202+G201*H202+J201*K202</f>
        <v>3379.8453915999999</v>
      </c>
      <c r="E202" s="40">
        <v>89.802965799999996</v>
      </c>
      <c r="H202" s="40">
        <v>73.469311399999995</v>
      </c>
    </row>
    <row r="203" spans="1:8" x14ac:dyDescent="0.3">
      <c r="A203" t="s">
        <v>497</v>
      </c>
      <c r="B203">
        <v>2791.83</v>
      </c>
      <c r="C203" t="s">
        <v>29</v>
      </c>
      <c r="D203">
        <v>36</v>
      </c>
      <c r="E203">
        <v>73.47</v>
      </c>
      <c r="F203" t="s">
        <v>74</v>
      </c>
      <c r="G203">
        <v>2</v>
      </c>
      <c r="H203">
        <v>73.47</v>
      </c>
    </row>
    <row r="204" spans="1:8" s="40" customFormat="1" x14ac:dyDescent="0.3">
      <c r="A204" s="41" t="s">
        <v>976</v>
      </c>
      <c r="B204" s="40">
        <f>D203*E204+G203*H204+J203*K204</f>
        <v>2791.8338331999998</v>
      </c>
      <c r="E204" s="40">
        <v>73.469311399999995</v>
      </c>
      <c r="H204" s="40">
        <v>73.469311399999995</v>
      </c>
    </row>
    <row r="205" spans="1:8" x14ac:dyDescent="0.3">
      <c r="A205" t="s">
        <v>496</v>
      </c>
      <c r="B205">
        <v>3379.85</v>
      </c>
      <c r="C205" t="s">
        <v>31</v>
      </c>
      <c r="D205">
        <v>36</v>
      </c>
      <c r="E205">
        <v>89.8</v>
      </c>
      <c r="F205" t="s">
        <v>74</v>
      </c>
      <c r="G205">
        <v>2</v>
      </c>
      <c r="H205">
        <v>73.47</v>
      </c>
    </row>
    <row r="206" spans="1:8" s="40" customFormat="1" x14ac:dyDescent="0.3">
      <c r="A206" s="41" t="s">
        <v>976</v>
      </c>
      <c r="B206" s="40">
        <f>D205*E206+G205*H206+J205*K206</f>
        <v>3379.8453915999999</v>
      </c>
      <c r="E206" s="40">
        <v>89.802965799999996</v>
      </c>
      <c r="H206" s="40">
        <v>73.469311399999995</v>
      </c>
    </row>
    <row r="207" spans="1:8" x14ac:dyDescent="0.3">
      <c r="A207" t="s">
        <v>567</v>
      </c>
      <c r="B207">
        <v>3379.85</v>
      </c>
      <c r="C207" t="s">
        <v>31</v>
      </c>
      <c r="D207">
        <v>36</v>
      </c>
      <c r="E207">
        <v>89.8</v>
      </c>
      <c r="F207" t="s">
        <v>74</v>
      </c>
      <c r="G207">
        <v>2</v>
      </c>
      <c r="H207">
        <v>73.47</v>
      </c>
    </row>
    <row r="208" spans="1:8" s="40" customFormat="1" x14ac:dyDescent="0.3">
      <c r="A208" s="41" t="s">
        <v>976</v>
      </c>
      <c r="B208" s="40">
        <f>D207*E208+G207*H208+J207*K208</f>
        <v>3379.8453915999999</v>
      </c>
      <c r="E208" s="40">
        <v>89.802965799999996</v>
      </c>
      <c r="H208" s="40">
        <v>73.469311399999995</v>
      </c>
    </row>
    <row r="209" spans="1:8" x14ac:dyDescent="0.3">
      <c r="A209" t="s">
        <v>498</v>
      </c>
      <c r="B209">
        <v>3966.9</v>
      </c>
      <c r="C209" t="s">
        <v>69</v>
      </c>
      <c r="D209">
        <v>36</v>
      </c>
      <c r="E209">
        <v>106.11</v>
      </c>
      <c r="F209" t="s">
        <v>74</v>
      </c>
      <c r="G209">
        <v>2</v>
      </c>
      <c r="H209">
        <v>73.47</v>
      </c>
    </row>
    <row r="210" spans="1:8" s="40" customFormat="1" x14ac:dyDescent="0.3">
      <c r="A210" s="41" t="s">
        <v>976</v>
      </c>
      <c r="B210" s="40">
        <f>D209*E210+G209*H210+J209*K210</f>
        <v>3966.9003633999992</v>
      </c>
      <c r="E210" s="40">
        <v>106.11004834999999</v>
      </c>
      <c r="H210" s="40">
        <v>73.469311399999995</v>
      </c>
    </row>
    <row r="211" spans="1:8" x14ac:dyDescent="0.3">
      <c r="A211" t="s">
        <v>499</v>
      </c>
      <c r="B211">
        <v>3379.85</v>
      </c>
      <c r="C211" t="s">
        <v>31</v>
      </c>
      <c r="D211">
        <v>36</v>
      </c>
      <c r="E211">
        <v>89.8</v>
      </c>
      <c r="F211" t="s">
        <v>74</v>
      </c>
      <c r="G211">
        <v>2</v>
      </c>
      <c r="H211">
        <v>73.47</v>
      </c>
    </row>
    <row r="212" spans="1:8" s="40" customFormat="1" x14ac:dyDescent="0.3">
      <c r="A212" s="41" t="s">
        <v>976</v>
      </c>
      <c r="B212" s="40">
        <f>D211*E212+G211*H212+J211*K212</f>
        <v>3379.8453915999999</v>
      </c>
      <c r="E212" s="40">
        <v>89.802965799999996</v>
      </c>
      <c r="H212" s="40">
        <v>73.469311399999995</v>
      </c>
    </row>
    <row r="213" spans="1:8" x14ac:dyDescent="0.3">
      <c r="A213" t="s">
        <v>500</v>
      </c>
      <c r="B213">
        <v>3379.85</v>
      </c>
      <c r="C213" t="s">
        <v>31</v>
      </c>
      <c r="D213">
        <v>36</v>
      </c>
      <c r="E213">
        <v>89.8</v>
      </c>
      <c r="F213" t="s">
        <v>74</v>
      </c>
      <c r="G213">
        <v>2</v>
      </c>
      <c r="H213">
        <v>73.47</v>
      </c>
    </row>
    <row r="214" spans="1:8" s="40" customFormat="1" x14ac:dyDescent="0.3">
      <c r="A214" s="41" t="s">
        <v>976</v>
      </c>
      <c r="B214" s="40">
        <f>D213*E214+G213*H214+J213*K214</f>
        <v>3379.8453915999999</v>
      </c>
      <c r="E214" s="40">
        <v>89.802965799999996</v>
      </c>
      <c r="H214" s="40">
        <v>73.469311399999995</v>
      </c>
    </row>
    <row r="215" spans="1:8" x14ac:dyDescent="0.3">
      <c r="A215" t="s">
        <v>503</v>
      </c>
      <c r="B215">
        <v>3379.85</v>
      </c>
      <c r="C215" t="s">
        <v>31</v>
      </c>
      <c r="D215">
        <v>36</v>
      </c>
      <c r="E215">
        <v>89.8</v>
      </c>
      <c r="F215" t="s">
        <v>74</v>
      </c>
      <c r="G215">
        <v>2</v>
      </c>
      <c r="H215">
        <v>73.47</v>
      </c>
    </row>
    <row r="216" spans="1:8" s="40" customFormat="1" x14ac:dyDescent="0.3">
      <c r="A216" s="41" t="s">
        <v>976</v>
      </c>
      <c r="B216" s="40">
        <f>D215*E216+G215*H216+J215*K216</f>
        <v>3379.8453915999999</v>
      </c>
      <c r="E216" s="40">
        <v>89.802965799999996</v>
      </c>
      <c r="H216" s="40">
        <v>73.469311399999995</v>
      </c>
    </row>
    <row r="217" spans="1:8" x14ac:dyDescent="0.3">
      <c r="A217" t="s">
        <v>501</v>
      </c>
      <c r="B217">
        <v>3966.9</v>
      </c>
      <c r="C217" t="s">
        <v>69</v>
      </c>
      <c r="D217">
        <v>36</v>
      </c>
      <c r="E217">
        <v>106.11</v>
      </c>
      <c r="F217" t="s">
        <v>74</v>
      </c>
      <c r="G217">
        <v>2</v>
      </c>
      <c r="H217">
        <v>73.47</v>
      </c>
    </row>
    <row r="218" spans="1:8" s="40" customFormat="1" x14ac:dyDescent="0.3">
      <c r="A218" s="41" t="s">
        <v>976</v>
      </c>
      <c r="B218" s="40">
        <f>D217*E218+G217*H218+J217*K218</f>
        <v>3966.9003633999992</v>
      </c>
      <c r="E218" s="40">
        <v>106.11004834999999</v>
      </c>
      <c r="H218" s="40">
        <v>73.469311399999995</v>
      </c>
    </row>
    <row r="219" spans="1:8" x14ac:dyDescent="0.3">
      <c r="A219" t="s">
        <v>504</v>
      </c>
      <c r="B219">
        <v>3379.85</v>
      </c>
      <c r="C219" t="s">
        <v>31</v>
      </c>
      <c r="D219">
        <v>36</v>
      </c>
      <c r="E219">
        <v>89.8</v>
      </c>
      <c r="F219" t="s">
        <v>74</v>
      </c>
      <c r="G219">
        <v>2</v>
      </c>
      <c r="H219">
        <v>73.47</v>
      </c>
    </row>
    <row r="220" spans="1:8" s="40" customFormat="1" x14ac:dyDescent="0.3">
      <c r="A220" s="41" t="s">
        <v>976</v>
      </c>
      <c r="B220" s="40">
        <f>D219*E220+G219*H220+J219*K220</f>
        <v>3379.8453915999999</v>
      </c>
      <c r="E220" s="40">
        <v>89.802965799999996</v>
      </c>
      <c r="H220" s="40">
        <v>73.469311399999995</v>
      </c>
    </row>
    <row r="221" spans="1:8" x14ac:dyDescent="0.3">
      <c r="A221" t="s">
        <v>502</v>
      </c>
      <c r="B221">
        <v>3379.85</v>
      </c>
      <c r="C221" t="s">
        <v>31</v>
      </c>
      <c r="D221">
        <v>36</v>
      </c>
      <c r="E221">
        <v>89.8</v>
      </c>
      <c r="F221" t="s">
        <v>74</v>
      </c>
      <c r="G221">
        <v>2</v>
      </c>
      <c r="H221">
        <v>73.47</v>
      </c>
    </row>
    <row r="222" spans="1:8" s="40" customFormat="1" x14ac:dyDescent="0.3">
      <c r="A222" s="41" t="s">
        <v>976</v>
      </c>
      <c r="B222" s="40">
        <f>D221*E222+G221*H222+J221*K222</f>
        <v>3379.8453915999999</v>
      </c>
      <c r="E222" s="40">
        <v>89.802965799999996</v>
      </c>
      <c r="H222" s="40">
        <v>73.469311399999995</v>
      </c>
    </row>
    <row r="223" spans="1:8" x14ac:dyDescent="0.3">
      <c r="A223" t="s">
        <v>505</v>
      </c>
      <c r="B223">
        <v>3379.85</v>
      </c>
      <c r="C223" t="s">
        <v>31</v>
      </c>
      <c r="D223">
        <v>36</v>
      </c>
      <c r="E223">
        <v>89.8</v>
      </c>
      <c r="F223" t="s">
        <v>74</v>
      </c>
      <c r="G223">
        <v>2</v>
      </c>
      <c r="H223">
        <v>73.47</v>
      </c>
    </row>
    <row r="224" spans="1:8" s="40" customFormat="1" x14ac:dyDescent="0.3">
      <c r="A224" s="41" t="s">
        <v>976</v>
      </c>
      <c r="B224" s="40">
        <f>D223*E224+G223*H224+J223*K224</f>
        <v>3379.8453915999999</v>
      </c>
      <c r="E224" s="40">
        <v>89.802965799999996</v>
      </c>
      <c r="H224" s="40">
        <v>73.469311399999995</v>
      </c>
    </row>
    <row r="225" spans="1:8" x14ac:dyDescent="0.3">
      <c r="A225" t="s">
        <v>506</v>
      </c>
      <c r="B225">
        <v>3379.85</v>
      </c>
      <c r="C225" t="s">
        <v>31</v>
      </c>
      <c r="D225">
        <v>36</v>
      </c>
      <c r="E225">
        <v>89.8</v>
      </c>
      <c r="F225" t="s">
        <v>74</v>
      </c>
      <c r="G225">
        <v>2</v>
      </c>
      <c r="H225">
        <v>73.47</v>
      </c>
    </row>
    <row r="226" spans="1:8" s="40" customFormat="1" x14ac:dyDescent="0.3">
      <c r="A226" s="41" t="s">
        <v>976</v>
      </c>
      <c r="B226" s="40">
        <f>D225*E226+G225*H226+J225*K226</f>
        <v>3379.8453915999999</v>
      </c>
      <c r="E226" s="40">
        <v>89.802965799999996</v>
      </c>
      <c r="H226" s="40">
        <v>73.469311399999995</v>
      </c>
    </row>
    <row r="227" spans="1:8" x14ac:dyDescent="0.3">
      <c r="A227" t="s">
        <v>507</v>
      </c>
      <c r="B227">
        <v>3966.9</v>
      </c>
      <c r="C227" t="s">
        <v>69</v>
      </c>
      <c r="D227">
        <v>36</v>
      </c>
      <c r="E227">
        <v>106.11</v>
      </c>
      <c r="F227" t="s">
        <v>74</v>
      </c>
      <c r="G227">
        <v>2</v>
      </c>
      <c r="H227">
        <v>73.47</v>
      </c>
    </row>
    <row r="228" spans="1:8" s="40" customFormat="1" x14ac:dyDescent="0.3">
      <c r="A228" s="41" t="s">
        <v>976</v>
      </c>
      <c r="B228" s="40">
        <f>D227*E228+G227*H228+J227*K228</f>
        <v>3966.9003633999992</v>
      </c>
      <c r="E228" s="40">
        <v>106.11004834999999</v>
      </c>
      <c r="H228" s="40">
        <v>73.469311399999995</v>
      </c>
    </row>
    <row r="229" spans="1:8" x14ac:dyDescent="0.3">
      <c r="A229" t="s">
        <v>508</v>
      </c>
      <c r="B229">
        <v>3379.85</v>
      </c>
      <c r="C229" t="s">
        <v>31</v>
      </c>
      <c r="D229">
        <v>36</v>
      </c>
      <c r="E229">
        <v>89.8</v>
      </c>
      <c r="F229" t="s">
        <v>74</v>
      </c>
      <c r="G229">
        <v>2</v>
      </c>
      <c r="H229">
        <v>73.47</v>
      </c>
    </row>
    <row r="230" spans="1:8" s="40" customFormat="1" x14ac:dyDescent="0.3">
      <c r="A230" s="41" t="s">
        <v>976</v>
      </c>
      <c r="B230" s="40">
        <f>D229*E230+G229*H230+J229*K230</f>
        <v>3379.8453915999999</v>
      </c>
      <c r="E230" s="40">
        <v>89.802965799999996</v>
      </c>
      <c r="H230" s="40">
        <v>73.469311399999995</v>
      </c>
    </row>
    <row r="231" spans="1:8" x14ac:dyDescent="0.3">
      <c r="A231" t="s">
        <v>511</v>
      </c>
      <c r="B231">
        <v>3379.85</v>
      </c>
      <c r="C231" t="s">
        <v>31</v>
      </c>
      <c r="D231">
        <v>36</v>
      </c>
      <c r="E231">
        <v>89.8</v>
      </c>
      <c r="F231" t="s">
        <v>74</v>
      </c>
      <c r="G231">
        <v>2</v>
      </c>
      <c r="H231">
        <v>73.47</v>
      </c>
    </row>
    <row r="232" spans="1:8" s="40" customFormat="1" x14ac:dyDescent="0.3">
      <c r="A232" s="41" t="s">
        <v>976</v>
      </c>
      <c r="B232" s="40">
        <f>D231*E232+G231*H232+J231*K232</f>
        <v>3379.8453915999999</v>
      </c>
      <c r="E232" s="40">
        <v>89.802965799999996</v>
      </c>
      <c r="H232" s="40">
        <v>73.469311399999995</v>
      </c>
    </row>
    <row r="233" spans="1:8" x14ac:dyDescent="0.3">
      <c r="A233" t="s">
        <v>509</v>
      </c>
      <c r="B233">
        <v>3379.85</v>
      </c>
      <c r="C233" t="s">
        <v>31</v>
      </c>
      <c r="D233">
        <v>36</v>
      </c>
      <c r="E233">
        <v>89.8</v>
      </c>
      <c r="F233" t="s">
        <v>74</v>
      </c>
      <c r="G233">
        <v>2</v>
      </c>
      <c r="H233">
        <v>73.47</v>
      </c>
    </row>
    <row r="234" spans="1:8" s="40" customFormat="1" x14ac:dyDescent="0.3">
      <c r="A234" s="41" t="s">
        <v>976</v>
      </c>
      <c r="B234" s="40">
        <f>D233*E234+G233*H234+J233*K234</f>
        <v>3379.8453915999999</v>
      </c>
      <c r="E234" s="40">
        <v>89.802965799999996</v>
      </c>
      <c r="H234" s="40">
        <v>73.469311399999995</v>
      </c>
    </row>
    <row r="235" spans="1:8" x14ac:dyDescent="0.3">
      <c r="A235" t="s">
        <v>510</v>
      </c>
      <c r="B235">
        <v>3966.9</v>
      </c>
      <c r="C235" t="s">
        <v>69</v>
      </c>
      <c r="D235">
        <v>36</v>
      </c>
      <c r="E235">
        <v>106.11</v>
      </c>
      <c r="F235" t="s">
        <v>74</v>
      </c>
      <c r="G235">
        <v>2</v>
      </c>
      <c r="H235">
        <v>73.47</v>
      </c>
    </row>
    <row r="236" spans="1:8" s="40" customFormat="1" x14ac:dyDescent="0.3">
      <c r="A236" s="41" t="s">
        <v>976</v>
      </c>
      <c r="B236" s="40">
        <f>D235*E236+G235*H236+J235*K236</f>
        <v>3966.9003633999992</v>
      </c>
      <c r="E236" s="40">
        <v>106.11004834999999</v>
      </c>
      <c r="H236" s="40">
        <v>73.469311399999995</v>
      </c>
    </row>
    <row r="237" spans="1:8" x14ac:dyDescent="0.3">
      <c r="A237" t="s">
        <v>512</v>
      </c>
      <c r="B237">
        <v>3379.85</v>
      </c>
      <c r="C237" t="s">
        <v>31</v>
      </c>
      <c r="D237">
        <v>36</v>
      </c>
      <c r="E237">
        <v>89.8</v>
      </c>
      <c r="F237" t="s">
        <v>74</v>
      </c>
      <c r="G237">
        <v>2</v>
      </c>
      <c r="H237">
        <v>73.47</v>
      </c>
    </row>
    <row r="238" spans="1:8" s="40" customFormat="1" x14ac:dyDescent="0.3">
      <c r="A238" s="41" t="s">
        <v>976</v>
      </c>
      <c r="B238" s="40">
        <f>D237*E238+G237*H238+J237*K238</f>
        <v>3379.8453915999999</v>
      </c>
      <c r="E238" s="40">
        <v>89.802965799999996</v>
      </c>
      <c r="H238" s="40">
        <v>73.469311399999995</v>
      </c>
    </row>
    <row r="239" spans="1:8" x14ac:dyDescent="0.3">
      <c r="A239" t="s">
        <v>513</v>
      </c>
      <c r="B239">
        <v>4701.49</v>
      </c>
      <c r="C239" t="s">
        <v>33</v>
      </c>
      <c r="D239">
        <v>36</v>
      </c>
      <c r="E239">
        <v>122.44</v>
      </c>
      <c r="F239" t="s">
        <v>79</v>
      </c>
      <c r="G239">
        <v>2</v>
      </c>
      <c r="H239">
        <v>146.87</v>
      </c>
    </row>
    <row r="240" spans="1:8" s="40" customFormat="1" x14ac:dyDescent="0.3">
      <c r="A240" s="41" t="s">
        <v>976</v>
      </c>
      <c r="B240" s="40">
        <f>D239*E240+G239*H240+J239*K240</f>
        <v>4701.4908977000005</v>
      </c>
      <c r="E240" s="40">
        <v>122.43752325000001</v>
      </c>
      <c r="H240" s="40">
        <v>146.87003034999998</v>
      </c>
    </row>
    <row r="241" spans="1:8" x14ac:dyDescent="0.3">
      <c r="A241" t="s">
        <v>514</v>
      </c>
      <c r="B241">
        <v>4701.49</v>
      </c>
      <c r="C241" t="s">
        <v>33</v>
      </c>
      <c r="D241">
        <v>36</v>
      </c>
      <c r="E241">
        <v>122.44</v>
      </c>
      <c r="F241" t="s">
        <v>79</v>
      </c>
      <c r="G241">
        <v>2</v>
      </c>
      <c r="H241">
        <v>146.87</v>
      </c>
    </row>
    <row r="242" spans="1:8" s="40" customFormat="1" x14ac:dyDescent="0.3">
      <c r="A242" s="41" t="s">
        <v>976</v>
      </c>
      <c r="B242" s="40">
        <f>D241*E242+G241*H242+J241*K242</f>
        <v>4701.4908977000005</v>
      </c>
      <c r="E242" s="40">
        <v>122.43752325000001</v>
      </c>
      <c r="H242" s="40">
        <v>146.87003034999998</v>
      </c>
    </row>
    <row r="243" spans="1:8" x14ac:dyDescent="0.3">
      <c r="A243" t="s">
        <v>515</v>
      </c>
      <c r="B243">
        <v>4701.49</v>
      </c>
      <c r="C243" t="s">
        <v>33</v>
      </c>
      <c r="D243">
        <v>36</v>
      </c>
      <c r="E243">
        <v>122.44</v>
      </c>
      <c r="F243" t="s">
        <v>79</v>
      </c>
      <c r="G243">
        <v>2</v>
      </c>
      <c r="H243">
        <v>146.87</v>
      </c>
    </row>
    <row r="244" spans="1:8" s="40" customFormat="1" x14ac:dyDescent="0.3">
      <c r="A244" s="41" t="s">
        <v>976</v>
      </c>
      <c r="B244" s="40">
        <f>D243*E244+G243*H244+J243*K244</f>
        <v>4701.4908977000005</v>
      </c>
      <c r="E244" s="40">
        <v>122.43752325000001</v>
      </c>
      <c r="H244" s="40">
        <v>146.87003034999998</v>
      </c>
    </row>
    <row r="245" spans="1:8" x14ac:dyDescent="0.3">
      <c r="A245" t="s">
        <v>517</v>
      </c>
      <c r="B245">
        <v>4701.49</v>
      </c>
      <c r="C245" t="s">
        <v>33</v>
      </c>
      <c r="D245">
        <v>36</v>
      </c>
      <c r="E245">
        <v>122.44</v>
      </c>
      <c r="F245" t="s">
        <v>79</v>
      </c>
      <c r="G245">
        <v>2</v>
      </c>
      <c r="H245">
        <v>146.87</v>
      </c>
    </row>
    <row r="246" spans="1:8" s="40" customFormat="1" x14ac:dyDescent="0.3">
      <c r="A246" s="41" t="s">
        <v>976</v>
      </c>
      <c r="B246" s="40">
        <f>D245*E246+G245*H246+J245*K246</f>
        <v>4701.4908977000005</v>
      </c>
      <c r="E246" s="40">
        <v>122.43752325000001</v>
      </c>
      <c r="H246" s="40">
        <v>146.87003034999998</v>
      </c>
    </row>
    <row r="247" spans="1:8" x14ac:dyDescent="0.3">
      <c r="A247" t="s">
        <v>516</v>
      </c>
      <c r="B247">
        <v>4701.49</v>
      </c>
      <c r="C247" t="s">
        <v>33</v>
      </c>
      <c r="D247">
        <v>36</v>
      </c>
      <c r="E247">
        <v>122.44</v>
      </c>
      <c r="F247" t="s">
        <v>79</v>
      </c>
      <c r="G247">
        <v>2</v>
      </c>
      <c r="H247">
        <v>146.87</v>
      </c>
    </row>
    <row r="248" spans="1:8" s="40" customFormat="1" x14ac:dyDescent="0.3">
      <c r="A248" s="41" t="s">
        <v>976</v>
      </c>
      <c r="B248" s="40">
        <f>D247*E248+G247*H248+J247*K248</f>
        <v>4701.4908977000005</v>
      </c>
      <c r="E248" s="40">
        <v>122.43752325000001</v>
      </c>
      <c r="H248" s="40">
        <v>146.87003034999998</v>
      </c>
    </row>
    <row r="249" spans="1:8" x14ac:dyDescent="0.3">
      <c r="A249" t="s">
        <v>518</v>
      </c>
      <c r="B249">
        <v>4701.49</v>
      </c>
      <c r="C249" t="s">
        <v>33</v>
      </c>
      <c r="D249">
        <v>36</v>
      </c>
      <c r="E249">
        <v>122.44</v>
      </c>
      <c r="F249" t="s">
        <v>79</v>
      </c>
      <c r="G249">
        <v>2</v>
      </c>
      <c r="H249">
        <v>146.87</v>
      </c>
    </row>
    <row r="250" spans="1:8" s="40" customFormat="1" x14ac:dyDescent="0.3">
      <c r="A250" s="41" t="s">
        <v>976</v>
      </c>
      <c r="B250" s="40">
        <f>D249*E250+G249*H250+J249*K250</f>
        <v>4701.4908977000005</v>
      </c>
      <c r="E250" s="40">
        <v>122.43752325000001</v>
      </c>
      <c r="H250" s="40">
        <v>146.87003034999998</v>
      </c>
    </row>
    <row r="251" spans="1:8" x14ac:dyDescent="0.3">
      <c r="A251" t="s">
        <v>519</v>
      </c>
      <c r="B251">
        <v>5289.15</v>
      </c>
      <c r="C251" t="s">
        <v>35</v>
      </c>
      <c r="D251">
        <v>36</v>
      </c>
      <c r="E251">
        <v>138.76</v>
      </c>
      <c r="F251" t="s">
        <v>79</v>
      </c>
      <c r="G251">
        <v>2</v>
      </c>
      <c r="H251">
        <v>146.87</v>
      </c>
    </row>
    <row r="252" spans="1:8" s="40" customFormat="1" x14ac:dyDescent="0.3">
      <c r="A252" s="41" t="s">
        <v>976</v>
      </c>
      <c r="B252" s="40">
        <f>D251*E252+G251*H252+J251*K252</f>
        <v>5289.1465169000003</v>
      </c>
      <c r="E252" s="40">
        <v>138.76129045000002</v>
      </c>
      <c r="H252" s="40">
        <v>146.87003034999998</v>
      </c>
    </row>
    <row r="253" spans="1:8" x14ac:dyDescent="0.3">
      <c r="A253" t="s">
        <v>520</v>
      </c>
      <c r="B253">
        <v>5289.15</v>
      </c>
      <c r="C253" t="s">
        <v>35</v>
      </c>
      <c r="D253">
        <v>36</v>
      </c>
      <c r="E253">
        <v>138.76</v>
      </c>
      <c r="F253" t="s">
        <v>79</v>
      </c>
      <c r="G253">
        <v>2</v>
      </c>
      <c r="H253">
        <v>146.87</v>
      </c>
    </row>
    <row r="254" spans="1:8" s="40" customFormat="1" x14ac:dyDescent="0.3">
      <c r="A254" s="41" t="s">
        <v>976</v>
      </c>
      <c r="B254" s="40">
        <f>D253*E254+G253*H254+J253*K254</f>
        <v>5289.1465169000003</v>
      </c>
      <c r="E254" s="40">
        <v>138.76129045000002</v>
      </c>
      <c r="H254" s="40">
        <v>146.87003034999998</v>
      </c>
    </row>
    <row r="255" spans="1:8" x14ac:dyDescent="0.3">
      <c r="A255" t="s">
        <v>521</v>
      </c>
      <c r="B255">
        <v>5289.15</v>
      </c>
      <c r="C255" t="s">
        <v>35</v>
      </c>
      <c r="D255">
        <v>36</v>
      </c>
      <c r="E255">
        <v>138.76</v>
      </c>
      <c r="F255" t="s">
        <v>79</v>
      </c>
      <c r="G255">
        <v>2</v>
      </c>
      <c r="H255">
        <v>146.87</v>
      </c>
    </row>
    <row r="256" spans="1:8" s="40" customFormat="1" x14ac:dyDescent="0.3">
      <c r="A256" s="41" t="s">
        <v>976</v>
      </c>
      <c r="B256" s="40">
        <f>D255*E256+G255*H256+J255*K256</f>
        <v>5289.1465169000003</v>
      </c>
      <c r="E256" s="40">
        <v>138.76129045000002</v>
      </c>
      <c r="H256" s="40">
        <v>146.87003034999998</v>
      </c>
    </row>
    <row r="257" spans="1:11" x14ac:dyDescent="0.3">
      <c r="A257" t="s">
        <v>522</v>
      </c>
      <c r="B257">
        <v>2350.7600000000002</v>
      </c>
      <c r="C257" t="s">
        <v>39</v>
      </c>
      <c r="D257">
        <v>36</v>
      </c>
      <c r="E257">
        <v>61.22</v>
      </c>
      <c r="F257" t="s">
        <v>72</v>
      </c>
      <c r="G257">
        <v>2</v>
      </c>
      <c r="H257">
        <v>73.47</v>
      </c>
    </row>
    <row r="258" spans="1:11" s="40" customFormat="1" x14ac:dyDescent="0.3">
      <c r="A258" s="41" t="s">
        <v>976</v>
      </c>
      <c r="B258" s="40">
        <f>D257*E258+G257*H258+J257*K258</f>
        <v>2350.7584257999997</v>
      </c>
      <c r="E258" s="40">
        <v>61.217216749999992</v>
      </c>
      <c r="H258" s="40">
        <v>73.469311399999995</v>
      </c>
    </row>
    <row r="259" spans="1:11" x14ac:dyDescent="0.3">
      <c r="A259" t="s">
        <v>523</v>
      </c>
      <c r="B259">
        <v>3673.01</v>
      </c>
      <c r="C259" t="s">
        <v>43</v>
      </c>
      <c r="D259">
        <v>36</v>
      </c>
      <c r="E259">
        <v>97.95</v>
      </c>
      <c r="F259" t="s">
        <v>74</v>
      </c>
      <c r="G259">
        <v>2</v>
      </c>
      <c r="H259">
        <v>73.47</v>
      </c>
    </row>
    <row r="260" spans="1:11" s="40" customFormat="1" x14ac:dyDescent="0.3">
      <c r="A260" s="41" t="s">
        <v>976</v>
      </c>
      <c r="B260" s="40">
        <f>D259*E260+G259*H260+J259*K260</f>
        <v>3673.0058151999992</v>
      </c>
      <c r="E260" s="40">
        <v>97.946310899999986</v>
      </c>
      <c r="H260" s="40">
        <v>73.469311399999995</v>
      </c>
    </row>
    <row r="261" spans="1:11" x14ac:dyDescent="0.3">
      <c r="A261" t="s">
        <v>525</v>
      </c>
      <c r="B261">
        <v>2056.86</v>
      </c>
      <c r="C261" t="s">
        <v>27</v>
      </c>
      <c r="D261">
        <v>36</v>
      </c>
      <c r="E261">
        <v>57.14</v>
      </c>
    </row>
    <row r="262" spans="1:11" s="40" customFormat="1" x14ac:dyDescent="0.3">
      <c r="A262" s="41" t="s">
        <v>976</v>
      </c>
      <c r="B262" s="40">
        <f>D261*E262+G261*H262+J261*K262</f>
        <v>2056.8614057999998</v>
      </c>
      <c r="E262" s="40">
        <v>57.135039049999996</v>
      </c>
    </row>
    <row r="263" spans="1:11" x14ac:dyDescent="0.3">
      <c r="A263" t="s">
        <v>527</v>
      </c>
      <c r="B263">
        <v>3705.86</v>
      </c>
      <c r="C263" t="s">
        <v>29</v>
      </c>
      <c r="D263">
        <v>36</v>
      </c>
      <c r="E263">
        <v>73.47</v>
      </c>
      <c r="F263" t="s">
        <v>99</v>
      </c>
      <c r="G263">
        <v>2</v>
      </c>
      <c r="H263">
        <v>40.799999999999997</v>
      </c>
      <c r="I263" t="s">
        <v>164</v>
      </c>
      <c r="J263">
        <v>10</v>
      </c>
      <c r="K263">
        <v>97.94</v>
      </c>
    </row>
    <row r="264" spans="1:11" s="40" customFormat="1" x14ac:dyDescent="0.3">
      <c r="A264" s="41" t="s">
        <v>976</v>
      </c>
      <c r="B264" s="40">
        <f>D263*E264+G263*H264+J263*K264</f>
        <v>3705.8584027125999</v>
      </c>
      <c r="E264" s="40">
        <v>73.469311399999995</v>
      </c>
      <c r="H264" s="40">
        <v>40.80101944154999</v>
      </c>
      <c r="K264" s="40">
        <v>97.936115342949989</v>
      </c>
    </row>
    <row r="265" spans="1:11" x14ac:dyDescent="0.3">
      <c r="A265" t="s">
        <v>526</v>
      </c>
      <c r="B265">
        <v>6414.78</v>
      </c>
      <c r="C265" t="s">
        <v>57</v>
      </c>
      <c r="D265">
        <v>36</v>
      </c>
      <c r="E265">
        <v>146.91999999999999</v>
      </c>
      <c r="F265" t="s">
        <v>119</v>
      </c>
      <c r="G265">
        <v>2</v>
      </c>
      <c r="H265">
        <v>97.94</v>
      </c>
      <c r="I265" t="s">
        <v>137</v>
      </c>
      <c r="J265">
        <v>38</v>
      </c>
      <c r="K265">
        <v>24.47</v>
      </c>
    </row>
    <row r="266" spans="1:11" s="40" customFormat="1" x14ac:dyDescent="0.3">
      <c r="A266" s="41" t="s">
        <v>976</v>
      </c>
      <c r="B266" s="40">
        <f>D265*E266+G265*H266+J265*K266</f>
        <v>6414.7835911905004</v>
      </c>
      <c r="E266" s="40">
        <v>146.9213202</v>
      </c>
      <c r="H266" s="40">
        <v>97.936115342949989</v>
      </c>
      <c r="K266" s="40">
        <v>24.466942981699997</v>
      </c>
    </row>
    <row r="267" spans="1:11" x14ac:dyDescent="0.3">
      <c r="A267" t="s">
        <v>528</v>
      </c>
      <c r="B267">
        <v>6414.78</v>
      </c>
      <c r="C267" t="s">
        <v>57</v>
      </c>
      <c r="D267">
        <v>36</v>
      </c>
      <c r="E267">
        <v>146.91999999999999</v>
      </c>
      <c r="F267" t="s">
        <v>119</v>
      </c>
      <c r="G267">
        <v>2</v>
      </c>
      <c r="H267">
        <v>97.94</v>
      </c>
      <c r="I267" t="s">
        <v>137</v>
      </c>
      <c r="J267">
        <v>38</v>
      </c>
      <c r="K267">
        <v>24.47</v>
      </c>
    </row>
    <row r="268" spans="1:11" s="40" customFormat="1" x14ac:dyDescent="0.3">
      <c r="A268" s="41" t="s">
        <v>976</v>
      </c>
      <c r="B268" s="40">
        <f>D267*E268+G267*H268+J267*K268</f>
        <v>6414.7835911905004</v>
      </c>
      <c r="E268" s="40">
        <v>146.9213202</v>
      </c>
      <c r="H268" s="40">
        <v>97.936115342949989</v>
      </c>
      <c r="K268" s="40">
        <v>24.466942981699997</v>
      </c>
    </row>
    <row r="269" spans="1:11" x14ac:dyDescent="0.3">
      <c r="A269" t="s">
        <v>529</v>
      </c>
      <c r="B269">
        <v>4358.5200000000004</v>
      </c>
      <c r="C269" t="s">
        <v>31</v>
      </c>
      <c r="D269">
        <v>36</v>
      </c>
      <c r="E269">
        <v>89.8</v>
      </c>
      <c r="F269" t="s">
        <v>110</v>
      </c>
      <c r="G269">
        <v>2</v>
      </c>
      <c r="H269">
        <v>97.94</v>
      </c>
      <c r="I269" t="s">
        <v>137</v>
      </c>
      <c r="J269">
        <v>38</v>
      </c>
      <c r="K269">
        <v>24.47</v>
      </c>
    </row>
    <row r="270" spans="1:11" s="40" customFormat="1" x14ac:dyDescent="0.3">
      <c r="A270" s="41" t="s">
        <v>976</v>
      </c>
      <c r="B270" s="40">
        <f>D269*E270+G269*H270+J269*K270</f>
        <v>4358.5228327904997</v>
      </c>
      <c r="E270" s="40">
        <v>89.802965799999996</v>
      </c>
      <c r="H270" s="40">
        <v>97.936115342949989</v>
      </c>
      <c r="K270" s="40">
        <v>24.466942981699997</v>
      </c>
    </row>
    <row r="271" spans="1:11" x14ac:dyDescent="0.3">
      <c r="A271" t="s">
        <v>530</v>
      </c>
      <c r="B271">
        <v>3200.24</v>
      </c>
      <c r="C271" t="s">
        <v>31</v>
      </c>
      <c r="D271">
        <v>34</v>
      </c>
      <c r="E271">
        <v>89.8</v>
      </c>
      <c r="F271" t="s">
        <v>74</v>
      </c>
      <c r="G271">
        <v>2</v>
      </c>
      <c r="H271">
        <v>73.47</v>
      </c>
    </row>
    <row r="272" spans="1:11" s="40" customFormat="1" x14ac:dyDescent="0.3">
      <c r="A272" s="41" t="s">
        <v>976</v>
      </c>
      <c r="B272" s="40">
        <f>D271*E272+G271*H272+J271*K272</f>
        <v>3200.2394599999998</v>
      </c>
      <c r="E272" s="40">
        <v>89.802965799999996</v>
      </c>
      <c r="H272" s="40">
        <v>73.469311399999995</v>
      </c>
    </row>
    <row r="273" spans="1:8" x14ac:dyDescent="0.3">
      <c r="A273" t="s">
        <v>531</v>
      </c>
      <c r="B273">
        <v>3200.24</v>
      </c>
      <c r="C273" t="s">
        <v>31</v>
      </c>
      <c r="D273">
        <v>34</v>
      </c>
      <c r="E273">
        <v>89.8</v>
      </c>
      <c r="F273" t="s">
        <v>74</v>
      </c>
      <c r="G273">
        <v>2</v>
      </c>
      <c r="H273">
        <v>73.47</v>
      </c>
    </row>
    <row r="274" spans="1:8" s="40" customFormat="1" x14ac:dyDescent="0.3">
      <c r="A274" s="41" t="s">
        <v>976</v>
      </c>
      <c r="B274" s="40">
        <f>D273*E274+G273*H274+J273*K274</f>
        <v>3200.2394599999998</v>
      </c>
      <c r="E274" s="40">
        <v>89.802965799999996</v>
      </c>
      <c r="H274" s="40">
        <v>73.469311399999995</v>
      </c>
    </row>
    <row r="275" spans="1:8" x14ac:dyDescent="0.3">
      <c r="A275" t="s">
        <v>532</v>
      </c>
      <c r="B275">
        <v>3648.57</v>
      </c>
      <c r="C275" t="s">
        <v>69</v>
      </c>
      <c r="D275">
        <v>33</v>
      </c>
      <c r="E275">
        <v>106.11</v>
      </c>
      <c r="F275" t="s">
        <v>74</v>
      </c>
      <c r="G275">
        <v>2</v>
      </c>
      <c r="H275">
        <v>73.47</v>
      </c>
    </row>
    <row r="276" spans="1:8" s="40" customFormat="1" x14ac:dyDescent="0.3">
      <c r="A276" s="41" t="s">
        <v>976</v>
      </c>
      <c r="B276" s="40">
        <f>D275*E276+G275*H276+J275*K276</f>
        <v>3648.5702183499993</v>
      </c>
      <c r="E276" s="40">
        <v>106.11004834999999</v>
      </c>
      <c r="H276" s="40">
        <v>73.469311399999995</v>
      </c>
    </row>
    <row r="277" spans="1:8" x14ac:dyDescent="0.3">
      <c r="A277" t="s">
        <v>533</v>
      </c>
      <c r="B277">
        <v>3615.9</v>
      </c>
      <c r="C277" t="s">
        <v>69</v>
      </c>
      <c r="D277">
        <v>33</v>
      </c>
      <c r="E277">
        <v>106.11</v>
      </c>
      <c r="F277" t="s">
        <v>89</v>
      </c>
      <c r="G277">
        <v>2</v>
      </c>
      <c r="H277">
        <v>57.14</v>
      </c>
    </row>
    <row r="278" spans="1:8" s="40" customFormat="1" x14ac:dyDescent="0.3">
      <c r="A278" s="41" t="s">
        <v>976</v>
      </c>
      <c r="B278" s="40">
        <f>D277*E278+G277*H278+J277*K278</f>
        <v>3615.9016736499993</v>
      </c>
      <c r="E278" s="40">
        <v>106.11004834999999</v>
      </c>
      <c r="H278" s="40">
        <v>57.135039049999996</v>
      </c>
    </row>
    <row r="279" spans="1:8" x14ac:dyDescent="0.3">
      <c r="A279" t="s">
        <v>534</v>
      </c>
      <c r="B279">
        <v>3020.63</v>
      </c>
      <c r="C279" t="s">
        <v>31</v>
      </c>
      <c r="D279">
        <v>32</v>
      </c>
      <c r="E279">
        <v>89.8</v>
      </c>
      <c r="F279" t="s">
        <v>74</v>
      </c>
      <c r="G279">
        <v>2</v>
      </c>
      <c r="H279">
        <v>73.47</v>
      </c>
    </row>
    <row r="280" spans="1:8" s="40" customFormat="1" x14ac:dyDescent="0.3">
      <c r="A280" s="41" t="s">
        <v>976</v>
      </c>
      <c r="B280" s="40">
        <f>D279*E280+G279*H280+J279*K280</f>
        <v>3020.6335283999997</v>
      </c>
      <c r="E280" s="40">
        <v>89.802965799999996</v>
      </c>
      <c r="H280" s="40">
        <v>73.469311399999995</v>
      </c>
    </row>
    <row r="281" spans="1:8" x14ac:dyDescent="0.3">
      <c r="A281" t="s">
        <v>535</v>
      </c>
      <c r="B281">
        <v>3020.63</v>
      </c>
      <c r="C281" t="s">
        <v>31</v>
      </c>
      <c r="D281">
        <v>32</v>
      </c>
      <c r="E281">
        <v>89.8</v>
      </c>
      <c r="F281" t="s">
        <v>74</v>
      </c>
      <c r="G281">
        <v>2</v>
      </c>
      <c r="H281">
        <v>73.47</v>
      </c>
    </row>
    <row r="282" spans="1:8" s="40" customFormat="1" x14ac:dyDescent="0.3">
      <c r="A282" s="41" t="s">
        <v>976</v>
      </c>
      <c r="B282" s="40">
        <f>D281*E282+G281*H282+J281*K282</f>
        <v>3020.6335283999997</v>
      </c>
      <c r="E282" s="40">
        <v>89.802965799999996</v>
      </c>
      <c r="H282" s="40">
        <v>73.469311399999995</v>
      </c>
    </row>
    <row r="283" spans="1:8" x14ac:dyDescent="0.3">
      <c r="A283" t="s">
        <v>536</v>
      </c>
      <c r="B283">
        <v>3020.63</v>
      </c>
      <c r="C283" t="s">
        <v>31</v>
      </c>
      <c r="D283">
        <v>32</v>
      </c>
      <c r="E283">
        <v>89.8</v>
      </c>
      <c r="F283" t="s">
        <v>74</v>
      </c>
      <c r="G283">
        <v>2</v>
      </c>
      <c r="H283">
        <v>73.47</v>
      </c>
    </row>
    <row r="284" spans="1:8" s="40" customFormat="1" x14ac:dyDescent="0.3">
      <c r="A284" s="41" t="s">
        <v>976</v>
      </c>
      <c r="B284" s="40">
        <f>D283*E284+G283*H284+J283*K284</f>
        <v>3020.6335283999997</v>
      </c>
      <c r="E284" s="40">
        <v>89.802965799999996</v>
      </c>
      <c r="H284" s="40">
        <v>73.469311399999995</v>
      </c>
    </row>
    <row r="285" spans="1:8" x14ac:dyDescent="0.3">
      <c r="A285" t="s">
        <v>537</v>
      </c>
      <c r="B285">
        <v>1860.99</v>
      </c>
      <c r="C285" t="s">
        <v>27</v>
      </c>
      <c r="D285">
        <v>30</v>
      </c>
      <c r="E285">
        <v>57.14</v>
      </c>
      <c r="F285" t="s">
        <v>72</v>
      </c>
      <c r="G285">
        <v>2</v>
      </c>
      <c r="H285">
        <v>73.47</v>
      </c>
    </row>
    <row r="286" spans="1:8" s="40" customFormat="1" x14ac:dyDescent="0.3">
      <c r="A286" s="41" t="s">
        <v>976</v>
      </c>
      <c r="B286" s="40">
        <f>D285*E286+G285*H286+J285*K286</f>
        <v>1860.9897942999999</v>
      </c>
      <c r="E286" s="40">
        <v>57.135039049999996</v>
      </c>
      <c r="H286" s="40">
        <v>73.469311399999995</v>
      </c>
    </row>
    <row r="287" spans="1:8" x14ac:dyDescent="0.3">
      <c r="A287" t="s">
        <v>539</v>
      </c>
      <c r="B287">
        <v>2351.02</v>
      </c>
      <c r="C287" t="s">
        <v>65</v>
      </c>
      <c r="D287">
        <v>30</v>
      </c>
      <c r="E287">
        <v>73.47</v>
      </c>
      <c r="F287" t="s">
        <v>72</v>
      </c>
      <c r="G287">
        <v>2</v>
      </c>
      <c r="H287">
        <v>73.47</v>
      </c>
    </row>
    <row r="288" spans="1:8" s="40" customFormat="1" x14ac:dyDescent="0.3">
      <c r="A288" s="41" t="s">
        <v>976</v>
      </c>
      <c r="B288" s="40">
        <f>D287*E288+G287*H288+J287*K288</f>
        <v>2351.0179647999998</v>
      </c>
      <c r="E288" s="40">
        <v>73.469311399999995</v>
      </c>
      <c r="H288" s="40">
        <v>73.469311399999995</v>
      </c>
    </row>
    <row r="289" spans="1:8" x14ac:dyDescent="0.3">
      <c r="A289" t="s">
        <v>540</v>
      </c>
      <c r="B289">
        <v>1860.99</v>
      </c>
      <c r="C289" t="s">
        <v>27</v>
      </c>
      <c r="D289">
        <v>30</v>
      </c>
      <c r="E289">
        <v>57.14</v>
      </c>
      <c r="F289" t="s">
        <v>72</v>
      </c>
      <c r="G289">
        <v>2</v>
      </c>
      <c r="H289">
        <v>73.47</v>
      </c>
    </row>
    <row r="290" spans="1:8" s="40" customFormat="1" x14ac:dyDescent="0.3">
      <c r="A290" s="41" t="s">
        <v>976</v>
      </c>
      <c r="B290" s="40">
        <f>D289*E290+G289*H290+J289*K290</f>
        <v>1860.9897942999999</v>
      </c>
      <c r="E290" s="40">
        <v>57.135039049999996</v>
      </c>
      <c r="H290" s="40">
        <v>73.469311399999995</v>
      </c>
    </row>
    <row r="291" spans="1:8" x14ac:dyDescent="0.3">
      <c r="A291" t="s">
        <v>538</v>
      </c>
      <c r="B291">
        <v>1860.99</v>
      </c>
      <c r="C291" t="s">
        <v>27</v>
      </c>
      <c r="D291">
        <v>30</v>
      </c>
      <c r="E291">
        <v>57.14</v>
      </c>
      <c r="F291" t="s">
        <v>72</v>
      </c>
      <c r="G291">
        <v>2</v>
      </c>
      <c r="H291">
        <v>73.47</v>
      </c>
    </row>
    <row r="292" spans="1:8" s="40" customFormat="1" x14ac:dyDescent="0.3">
      <c r="A292" s="41" t="s">
        <v>976</v>
      </c>
      <c r="B292" s="40">
        <f>D291*E292+G291*H292+J291*K292</f>
        <v>1860.9897942999999</v>
      </c>
      <c r="E292" s="40">
        <v>57.135039049999996</v>
      </c>
      <c r="H292" s="40">
        <v>73.469311399999995</v>
      </c>
    </row>
    <row r="293" spans="1:8" x14ac:dyDescent="0.3">
      <c r="A293" t="s">
        <v>541</v>
      </c>
      <c r="B293">
        <v>2351.02</v>
      </c>
      <c r="C293" t="s">
        <v>29</v>
      </c>
      <c r="D293">
        <v>30</v>
      </c>
      <c r="E293">
        <v>73.47</v>
      </c>
      <c r="F293" t="s">
        <v>74</v>
      </c>
      <c r="G293">
        <v>2</v>
      </c>
      <c r="H293">
        <v>73.47</v>
      </c>
    </row>
    <row r="294" spans="1:8" s="40" customFormat="1" x14ac:dyDescent="0.3">
      <c r="A294" s="41" t="s">
        <v>976</v>
      </c>
      <c r="B294" s="40">
        <f>D293*E294+G293*H294+J293*K294</f>
        <v>2351.0179647999998</v>
      </c>
      <c r="E294" s="40">
        <v>73.469311399999995</v>
      </c>
      <c r="H294" s="40">
        <v>73.469311399999995</v>
      </c>
    </row>
    <row r="295" spans="1:8" x14ac:dyDescent="0.3">
      <c r="A295" t="s">
        <v>542</v>
      </c>
      <c r="B295">
        <v>2841.03</v>
      </c>
      <c r="C295" t="s">
        <v>31</v>
      </c>
      <c r="D295">
        <v>30</v>
      </c>
      <c r="E295">
        <v>89.8</v>
      </c>
      <c r="F295" t="s">
        <v>74</v>
      </c>
      <c r="G295">
        <v>2</v>
      </c>
      <c r="H295">
        <v>73.47</v>
      </c>
    </row>
    <row r="296" spans="1:8" s="40" customFormat="1" x14ac:dyDescent="0.3">
      <c r="A296" s="41" t="s">
        <v>976</v>
      </c>
      <c r="B296" s="40">
        <f>D295*E296+G295*H296+J295*K296</f>
        <v>2841.0275967999996</v>
      </c>
      <c r="E296" s="40">
        <v>89.802965799999996</v>
      </c>
      <c r="H296" s="40">
        <v>73.469311399999995</v>
      </c>
    </row>
    <row r="297" spans="1:8" x14ac:dyDescent="0.3">
      <c r="A297" t="s">
        <v>543</v>
      </c>
      <c r="B297">
        <v>2841.03</v>
      </c>
      <c r="C297" t="s">
        <v>31</v>
      </c>
      <c r="D297">
        <v>30</v>
      </c>
      <c r="E297">
        <v>89.8</v>
      </c>
      <c r="F297" t="s">
        <v>74</v>
      </c>
      <c r="G297">
        <v>2</v>
      </c>
      <c r="H297">
        <v>73.47</v>
      </c>
    </row>
    <row r="298" spans="1:8" s="40" customFormat="1" x14ac:dyDescent="0.3">
      <c r="A298" s="41" t="s">
        <v>976</v>
      </c>
      <c r="B298" s="40">
        <f>D297*E298+G297*H298+J297*K298</f>
        <v>2841.0275967999996</v>
      </c>
      <c r="E298" s="40">
        <v>89.802965799999996</v>
      </c>
      <c r="H298" s="40">
        <v>73.469311399999995</v>
      </c>
    </row>
    <row r="299" spans="1:8" x14ac:dyDescent="0.3">
      <c r="A299" t="s">
        <v>544</v>
      </c>
      <c r="B299">
        <v>3330.24</v>
      </c>
      <c r="C299" t="s">
        <v>69</v>
      </c>
      <c r="D299">
        <v>30</v>
      </c>
      <c r="E299">
        <v>106.11</v>
      </c>
      <c r="F299" t="s">
        <v>74</v>
      </c>
      <c r="G299">
        <v>2</v>
      </c>
      <c r="H299">
        <v>73.47</v>
      </c>
    </row>
    <row r="300" spans="1:8" s="40" customFormat="1" x14ac:dyDescent="0.3">
      <c r="A300" s="41" t="s">
        <v>976</v>
      </c>
      <c r="B300" s="40">
        <f>D299*E300+G299*H300+J299*K300</f>
        <v>3330.2400732999995</v>
      </c>
      <c r="E300" s="40">
        <v>106.11004834999999</v>
      </c>
      <c r="H300" s="40">
        <v>73.469311399999995</v>
      </c>
    </row>
    <row r="301" spans="1:8" x14ac:dyDescent="0.3">
      <c r="A301" t="s">
        <v>545</v>
      </c>
      <c r="B301">
        <v>2841.03</v>
      </c>
      <c r="C301" t="s">
        <v>31</v>
      </c>
      <c r="D301">
        <v>30</v>
      </c>
      <c r="E301">
        <v>89.8</v>
      </c>
      <c r="F301" t="s">
        <v>74</v>
      </c>
      <c r="G301">
        <v>2</v>
      </c>
      <c r="H301">
        <v>73.47</v>
      </c>
    </row>
    <row r="302" spans="1:8" s="40" customFormat="1" x14ac:dyDescent="0.3">
      <c r="A302" s="41" t="s">
        <v>976</v>
      </c>
      <c r="B302" s="40">
        <f>D301*E302+G301*H302+J301*K302</f>
        <v>2841.0275967999996</v>
      </c>
      <c r="E302" s="40">
        <v>89.802965799999996</v>
      </c>
      <c r="H302" s="40">
        <v>73.469311399999995</v>
      </c>
    </row>
    <row r="303" spans="1:8" x14ac:dyDescent="0.3">
      <c r="A303" t="s">
        <v>547</v>
      </c>
      <c r="B303">
        <v>3966.87</v>
      </c>
      <c r="C303" t="s">
        <v>33</v>
      </c>
      <c r="D303">
        <v>30</v>
      </c>
      <c r="E303">
        <v>122.44</v>
      </c>
      <c r="F303" t="s">
        <v>79</v>
      </c>
      <c r="G303">
        <v>2</v>
      </c>
      <c r="H303">
        <v>146.87</v>
      </c>
    </row>
    <row r="304" spans="1:8" s="40" customFormat="1" x14ac:dyDescent="0.3">
      <c r="A304" s="41" t="s">
        <v>976</v>
      </c>
      <c r="B304" s="40">
        <f>D303*E304+G303*H304+J303*K304</f>
        <v>3966.8657582000005</v>
      </c>
      <c r="E304" s="40">
        <v>122.43752325000001</v>
      </c>
      <c r="H304" s="40">
        <v>146.87003034999998</v>
      </c>
    </row>
    <row r="305" spans="1:8" x14ac:dyDescent="0.3">
      <c r="A305" t="s">
        <v>546</v>
      </c>
      <c r="B305">
        <v>2841.03</v>
      </c>
      <c r="C305" t="s">
        <v>31</v>
      </c>
      <c r="D305">
        <v>30</v>
      </c>
      <c r="E305">
        <v>89.8</v>
      </c>
      <c r="F305" t="s">
        <v>74</v>
      </c>
      <c r="G305">
        <v>2</v>
      </c>
      <c r="H305">
        <v>73.47</v>
      </c>
    </row>
    <row r="306" spans="1:8" s="40" customFormat="1" x14ac:dyDescent="0.3">
      <c r="A306" s="41" t="s">
        <v>976</v>
      </c>
      <c r="B306" s="40">
        <f>D305*E306+G305*H306+J305*K306</f>
        <v>2841.0275967999996</v>
      </c>
      <c r="E306" s="40">
        <v>89.802965799999996</v>
      </c>
      <c r="H306" s="40">
        <v>73.469311399999995</v>
      </c>
    </row>
    <row r="307" spans="1:8" x14ac:dyDescent="0.3">
      <c r="A307" t="s">
        <v>548</v>
      </c>
      <c r="B307">
        <v>3966.87</v>
      </c>
      <c r="C307" t="s">
        <v>33</v>
      </c>
      <c r="D307">
        <v>30</v>
      </c>
      <c r="E307">
        <v>122.44</v>
      </c>
      <c r="F307" t="s">
        <v>79</v>
      </c>
      <c r="G307">
        <v>2</v>
      </c>
      <c r="H307">
        <v>146.87</v>
      </c>
    </row>
    <row r="308" spans="1:8" s="40" customFormat="1" x14ac:dyDescent="0.3">
      <c r="A308" s="41" t="s">
        <v>976</v>
      </c>
      <c r="B308" s="40">
        <f>D307*E308+G307*H308+J307*K308</f>
        <v>3966.8657582000005</v>
      </c>
      <c r="E308" s="40">
        <v>122.43752325000001</v>
      </c>
      <c r="H308" s="40">
        <v>146.87003034999998</v>
      </c>
    </row>
    <row r="309" spans="1:8" x14ac:dyDescent="0.3">
      <c r="A309" t="s">
        <v>549</v>
      </c>
      <c r="B309">
        <v>4456.58</v>
      </c>
      <c r="C309" t="s">
        <v>35</v>
      </c>
      <c r="D309">
        <v>30</v>
      </c>
      <c r="E309">
        <v>138.76</v>
      </c>
      <c r="F309" t="s">
        <v>79</v>
      </c>
      <c r="G309">
        <v>2</v>
      </c>
      <c r="H309">
        <v>146.87</v>
      </c>
    </row>
    <row r="310" spans="1:8" s="40" customFormat="1" x14ac:dyDescent="0.3">
      <c r="A310" s="41" t="s">
        <v>976</v>
      </c>
      <c r="B310" s="40">
        <f>D309*E310+G309*H310+J309*K310</f>
        <v>4456.5787742000002</v>
      </c>
      <c r="E310" s="40">
        <v>138.76129045000002</v>
      </c>
      <c r="H310" s="40">
        <v>146.87003034999998</v>
      </c>
    </row>
    <row r="311" spans="1:8" x14ac:dyDescent="0.3">
      <c r="A311" t="s">
        <v>550</v>
      </c>
      <c r="B311">
        <v>3085.33</v>
      </c>
      <c r="C311" t="s">
        <v>43</v>
      </c>
      <c r="D311">
        <v>30</v>
      </c>
      <c r="E311">
        <v>97.95</v>
      </c>
      <c r="F311" t="s">
        <v>74</v>
      </c>
      <c r="G311">
        <v>2</v>
      </c>
      <c r="H311">
        <v>73.47</v>
      </c>
    </row>
    <row r="312" spans="1:8" s="40" customFormat="1" x14ac:dyDescent="0.3">
      <c r="A312" s="41" t="s">
        <v>976</v>
      </c>
      <c r="B312" s="40">
        <f>D311*E312+G311*H312+J311*K312</f>
        <v>3085.3279497999993</v>
      </c>
      <c r="E312" s="40">
        <v>97.946310899999986</v>
      </c>
      <c r="H312" s="40">
        <v>73.469311399999995</v>
      </c>
    </row>
    <row r="313" spans="1:8" x14ac:dyDescent="0.3">
      <c r="A313" t="s">
        <v>551</v>
      </c>
      <c r="B313">
        <v>3085.33</v>
      </c>
      <c r="C313" t="s">
        <v>43</v>
      </c>
      <c r="D313">
        <v>30</v>
      </c>
      <c r="E313">
        <v>97.95</v>
      </c>
      <c r="F313" t="s">
        <v>74</v>
      </c>
      <c r="G313">
        <v>2</v>
      </c>
      <c r="H313">
        <v>73.47</v>
      </c>
    </row>
    <row r="314" spans="1:8" s="40" customFormat="1" x14ac:dyDescent="0.3">
      <c r="A314" s="41" t="s">
        <v>976</v>
      </c>
      <c r="B314" s="40">
        <f>D313*E314+G313*H314+J313*K314</f>
        <v>3085.3279497999993</v>
      </c>
      <c r="E314" s="40">
        <v>97.946310899999986</v>
      </c>
      <c r="H314" s="40">
        <v>73.469311399999995</v>
      </c>
    </row>
    <row r="315" spans="1:8" x14ac:dyDescent="0.3">
      <c r="A315" t="s">
        <v>552</v>
      </c>
      <c r="B315">
        <v>5191.2</v>
      </c>
      <c r="C315" t="s">
        <v>47</v>
      </c>
      <c r="D315">
        <v>30</v>
      </c>
      <c r="E315">
        <v>163.25</v>
      </c>
      <c r="F315" t="s">
        <v>79</v>
      </c>
      <c r="G315">
        <v>2</v>
      </c>
      <c r="H315">
        <v>146.87</v>
      </c>
    </row>
    <row r="316" spans="1:8" s="40" customFormat="1" x14ac:dyDescent="0.3">
      <c r="A316" s="41" t="s">
        <v>976</v>
      </c>
      <c r="B316" s="40">
        <f>D315*E316+G315*H316+J315*K316</f>
        <v>5191.2039137000002</v>
      </c>
      <c r="E316" s="40">
        <v>163.2487951</v>
      </c>
      <c r="H316" s="40">
        <v>146.87003034999998</v>
      </c>
    </row>
    <row r="317" spans="1:8" x14ac:dyDescent="0.3">
      <c r="A317" t="s">
        <v>553</v>
      </c>
      <c r="B317">
        <v>2318.35</v>
      </c>
      <c r="C317" t="s">
        <v>65</v>
      </c>
      <c r="D317">
        <v>30</v>
      </c>
      <c r="E317">
        <v>73.47</v>
      </c>
      <c r="F317" t="s">
        <v>87</v>
      </c>
      <c r="G317">
        <v>2</v>
      </c>
      <c r="H317">
        <v>57.14</v>
      </c>
    </row>
    <row r="318" spans="1:8" s="40" customFormat="1" x14ac:dyDescent="0.3">
      <c r="A318" s="41" t="s">
        <v>976</v>
      </c>
      <c r="B318" s="40">
        <f>D317*E318+G317*H318+J317*K318</f>
        <v>2318.3494200999999</v>
      </c>
      <c r="E318" s="40">
        <v>73.469311399999995</v>
      </c>
      <c r="H318" s="40">
        <v>57.135039049999996</v>
      </c>
    </row>
    <row r="319" spans="1:8" x14ac:dyDescent="0.3">
      <c r="A319" t="s">
        <v>554</v>
      </c>
      <c r="B319">
        <v>3917.93</v>
      </c>
      <c r="C319" t="s">
        <v>53</v>
      </c>
      <c r="D319">
        <v>30</v>
      </c>
      <c r="E319">
        <v>130.6</v>
      </c>
    </row>
    <row r="320" spans="1:8" s="40" customFormat="1" x14ac:dyDescent="0.3">
      <c r="A320" s="41" t="s">
        <v>976</v>
      </c>
      <c r="B320" s="40">
        <f>D319*E320+G319*H320+J319*K320</f>
        <v>3917.92659</v>
      </c>
      <c r="E320" s="40">
        <v>130.597553</v>
      </c>
    </row>
    <row r="321" spans="1:11" x14ac:dyDescent="0.3">
      <c r="A321" t="s">
        <v>555</v>
      </c>
      <c r="B321">
        <v>2318.35</v>
      </c>
      <c r="C321" t="s">
        <v>29</v>
      </c>
      <c r="D321">
        <v>30</v>
      </c>
      <c r="E321">
        <v>73.47</v>
      </c>
      <c r="F321" t="s">
        <v>89</v>
      </c>
      <c r="G321">
        <v>2</v>
      </c>
      <c r="H321">
        <v>57.14</v>
      </c>
    </row>
    <row r="322" spans="1:11" s="40" customFormat="1" x14ac:dyDescent="0.3">
      <c r="A322" s="41" t="s">
        <v>976</v>
      </c>
      <c r="B322" s="40">
        <f>D321*E322+G321*H322+J321*K322</f>
        <v>2318.3494200999999</v>
      </c>
      <c r="E322" s="40">
        <v>73.469311399999995</v>
      </c>
      <c r="H322" s="40">
        <v>57.135039049999996</v>
      </c>
    </row>
    <row r="323" spans="1:11" x14ac:dyDescent="0.3">
      <c r="A323" t="s">
        <v>556</v>
      </c>
      <c r="B323">
        <v>3118.02</v>
      </c>
      <c r="C323" t="s">
        <v>69</v>
      </c>
      <c r="D323">
        <v>28</v>
      </c>
      <c r="E323">
        <v>106.11</v>
      </c>
      <c r="F323" t="s">
        <v>74</v>
      </c>
      <c r="G323">
        <v>2</v>
      </c>
      <c r="H323">
        <v>73.47</v>
      </c>
    </row>
    <row r="324" spans="1:11" s="40" customFormat="1" x14ac:dyDescent="0.3">
      <c r="A324" s="41" t="s">
        <v>976</v>
      </c>
      <c r="B324" s="40">
        <f>D323*E324+G323*H324+J323*K324</f>
        <v>3118.0199765999996</v>
      </c>
      <c r="E324" s="40">
        <v>106.11004834999999</v>
      </c>
      <c r="H324" s="40">
        <v>73.469311399999995</v>
      </c>
    </row>
    <row r="325" spans="1:11" x14ac:dyDescent="0.3">
      <c r="A325" t="s">
        <v>557</v>
      </c>
      <c r="B325">
        <v>2661.42</v>
      </c>
      <c r="C325" t="s">
        <v>31</v>
      </c>
      <c r="D325">
        <v>28</v>
      </c>
      <c r="E325">
        <v>89.8</v>
      </c>
      <c r="F325" t="s">
        <v>74</v>
      </c>
      <c r="G325">
        <v>2</v>
      </c>
      <c r="H325">
        <v>73.47</v>
      </c>
    </row>
    <row r="326" spans="1:11" s="40" customFormat="1" x14ac:dyDescent="0.3">
      <c r="A326" s="41" t="s">
        <v>976</v>
      </c>
      <c r="B326" s="40">
        <f>D325*E326+G325*H326+J325*K326</f>
        <v>2661.4216651999996</v>
      </c>
      <c r="E326" s="40">
        <v>89.802965799999996</v>
      </c>
      <c r="H326" s="40">
        <v>73.469311399999995</v>
      </c>
    </row>
    <row r="327" spans="1:11" x14ac:dyDescent="0.3">
      <c r="A327" t="s">
        <v>559</v>
      </c>
      <c r="B327">
        <v>2661.42</v>
      </c>
      <c r="C327" t="s">
        <v>31</v>
      </c>
      <c r="D327">
        <v>28</v>
      </c>
      <c r="E327">
        <v>89.8</v>
      </c>
      <c r="F327" t="s">
        <v>74</v>
      </c>
      <c r="G327">
        <v>2</v>
      </c>
      <c r="H327">
        <v>73.47</v>
      </c>
    </row>
    <row r="328" spans="1:11" s="40" customFormat="1" x14ac:dyDescent="0.3">
      <c r="A328" s="41" t="s">
        <v>976</v>
      </c>
      <c r="B328" s="40">
        <f>D327*E328+G327*H328+J327*K328</f>
        <v>2661.4216651999996</v>
      </c>
      <c r="E328" s="40">
        <v>89.802965799999996</v>
      </c>
      <c r="H328" s="40">
        <v>73.469311399999995</v>
      </c>
    </row>
    <row r="329" spans="1:11" x14ac:dyDescent="0.3">
      <c r="A329" t="s">
        <v>558</v>
      </c>
      <c r="B329">
        <v>2514.48</v>
      </c>
      <c r="C329" t="s">
        <v>31</v>
      </c>
      <c r="D329">
        <v>28</v>
      </c>
      <c r="E329">
        <v>89.8</v>
      </c>
    </row>
    <row r="330" spans="1:11" s="40" customFormat="1" x14ac:dyDescent="0.3">
      <c r="A330" s="41" t="s">
        <v>976</v>
      </c>
      <c r="B330" s="40">
        <f>D329*E330+G329*H330+J329*K330</f>
        <v>2514.4830423999997</v>
      </c>
      <c r="E330" s="40">
        <v>89.802965799999996</v>
      </c>
    </row>
    <row r="331" spans="1:11" x14ac:dyDescent="0.3">
      <c r="A331" t="s">
        <v>560</v>
      </c>
      <c r="B331">
        <v>4700.8999999999996</v>
      </c>
      <c r="C331" t="s">
        <v>57</v>
      </c>
      <c r="D331">
        <v>26</v>
      </c>
      <c r="E331">
        <v>146.91999999999999</v>
      </c>
      <c r="F331" t="s">
        <v>119</v>
      </c>
      <c r="G331">
        <v>2</v>
      </c>
      <c r="H331">
        <v>97.94</v>
      </c>
      <c r="I331" t="s">
        <v>137</v>
      </c>
      <c r="J331">
        <v>28</v>
      </c>
      <c r="K331">
        <v>24.47</v>
      </c>
    </row>
    <row r="332" spans="1:11" s="40" customFormat="1" x14ac:dyDescent="0.3">
      <c r="A332" s="41" t="s">
        <v>976</v>
      </c>
      <c r="B332" s="40">
        <f>D331*E332+G331*H332+J331*K332</f>
        <v>4700.9009593735</v>
      </c>
      <c r="E332" s="40">
        <v>146.9213202</v>
      </c>
      <c r="H332" s="40">
        <v>97.936115342949989</v>
      </c>
      <c r="K332" s="40">
        <v>24.466942981699997</v>
      </c>
    </row>
    <row r="333" spans="1:11" x14ac:dyDescent="0.3">
      <c r="A333" t="s">
        <v>561</v>
      </c>
      <c r="B333">
        <v>3281.28</v>
      </c>
      <c r="C333" t="s">
        <v>53</v>
      </c>
      <c r="D333">
        <v>24</v>
      </c>
      <c r="E333">
        <v>130.6</v>
      </c>
      <c r="F333" t="s">
        <v>81</v>
      </c>
      <c r="G333">
        <v>2</v>
      </c>
      <c r="H333">
        <v>73.47</v>
      </c>
    </row>
    <row r="334" spans="1:11" s="40" customFormat="1" x14ac:dyDescent="0.3">
      <c r="A334" s="41" t="s">
        <v>976</v>
      </c>
      <c r="B334" s="40">
        <f>D333*E334+G333*H334+J333*K334</f>
        <v>3281.2798948</v>
      </c>
      <c r="E334" s="40">
        <v>130.597553</v>
      </c>
      <c r="H334" s="40">
        <v>73.469311399999995</v>
      </c>
    </row>
    <row r="335" spans="1:11" x14ac:dyDescent="0.3">
      <c r="A335" t="s">
        <v>563</v>
      </c>
      <c r="B335">
        <v>3281.28</v>
      </c>
      <c r="C335" t="s">
        <v>53</v>
      </c>
      <c r="D335">
        <v>24</v>
      </c>
      <c r="E335">
        <v>130.6</v>
      </c>
      <c r="F335" t="s">
        <v>81</v>
      </c>
      <c r="G335">
        <v>2</v>
      </c>
      <c r="H335">
        <v>73.47</v>
      </c>
    </row>
    <row r="336" spans="1:11" s="40" customFormat="1" x14ac:dyDescent="0.3">
      <c r="A336" s="41" t="s">
        <v>976</v>
      </c>
      <c r="B336" s="40">
        <f>D335*E336+G335*H336+J335*K336</f>
        <v>3281.2798948</v>
      </c>
      <c r="E336" s="40">
        <v>130.597553</v>
      </c>
      <c r="H336" s="40">
        <v>73.469311399999995</v>
      </c>
    </row>
    <row r="337" spans="1:8" x14ac:dyDescent="0.3">
      <c r="A337" t="s">
        <v>562</v>
      </c>
      <c r="B337">
        <v>3673.05</v>
      </c>
      <c r="C337" t="s">
        <v>57</v>
      </c>
      <c r="D337">
        <v>24</v>
      </c>
      <c r="E337">
        <v>146.91999999999999</v>
      </c>
      <c r="F337" t="s">
        <v>83</v>
      </c>
      <c r="G337">
        <v>2</v>
      </c>
      <c r="H337">
        <v>73.47</v>
      </c>
    </row>
    <row r="338" spans="1:8" s="40" customFormat="1" x14ac:dyDescent="0.3">
      <c r="A338" s="41" t="s">
        <v>976</v>
      </c>
      <c r="B338" s="40">
        <f>D337*E338+G337*H338+J337*K338</f>
        <v>3673.0503076</v>
      </c>
      <c r="E338" s="40">
        <v>146.9213202</v>
      </c>
      <c r="H338" s="40">
        <v>73.469311399999995</v>
      </c>
    </row>
    <row r="339" spans="1:8" x14ac:dyDescent="0.3">
      <c r="A339" t="s">
        <v>565</v>
      </c>
      <c r="B339">
        <v>4211.71</v>
      </c>
      <c r="C339" t="s">
        <v>59</v>
      </c>
      <c r="D339">
        <v>24</v>
      </c>
      <c r="E339">
        <v>163.25</v>
      </c>
      <c r="F339" t="s">
        <v>85</v>
      </c>
      <c r="G339">
        <v>2</v>
      </c>
      <c r="H339">
        <v>146.87</v>
      </c>
    </row>
    <row r="340" spans="1:8" s="40" customFormat="1" x14ac:dyDescent="0.3">
      <c r="A340" s="41" t="s">
        <v>976</v>
      </c>
      <c r="B340" s="40">
        <f>D339*E340+G339*H340+J339*K340</f>
        <v>4211.7111430999994</v>
      </c>
      <c r="E340" s="40">
        <v>163.2487951</v>
      </c>
      <c r="H340" s="40">
        <v>146.87003034999998</v>
      </c>
    </row>
    <row r="341" spans="1:8" x14ac:dyDescent="0.3">
      <c r="A341" t="s">
        <v>564</v>
      </c>
      <c r="B341">
        <v>3673.05</v>
      </c>
      <c r="C341" t="s">
        <v>57</v>
      </c>
      <c r="D341">
        <v>24</v>
      </c>
      <c r="E341">
        <v>146.91999999999999</v>
      </c>
      <c r="F341" t="s">
        <v>83</v>
      </c>
      <c r="G341">
        <v>2</v>
      </c>
      <c r="H341">
        <v>73.47</v>
      </c>
    </row>
    <row r="342" spans="1:8" s="40" customFormat="1" x14ac:dyDescent="0.3">
      <c r="A342" s="41" t="s">
        <v>976</v>
      </c>
      <c r="B342" s="40">
        <f>D341*E342+G341*H342+J341*K342</f>
        <v>3673.0503076</v>
      </c>
      <c r="E342" s="40">
        <v>146.9213202</v>
      </c>
      <c r="H342" s="40">
        <v>73.469311399999995</v>
      </c>
    </row>
    <row r="343" spans="1:8" x14ac:dyDescent="0.3">
      <c r="A343" t="s">
        <v>570</v>
      </c>
      <c r="B343">
        <v>4211.71</v>
      </c>
      <c r="C343" t="s">
        <v>59</v>
      </c>
      <c r="D343">
        <v>24</v>
      </c>
      <c r="E343">
        <v>163.25</v>
      </c>
      <c r="F343" t="s">
        <v>85</v>
      </c>
      <c r="G343">
        <v>2</v>
      </c>
      <c r="H343">
        <v>146.87</v>
      </c>
    </row>
    <row r="344" spans="1:8" s="40" customFormat="1" x14ac:dyDescent="0.3">
      <c r="A344" s="41" t="s">
        <v>976</v>
      </c>
      <c r="B344" s="40">
        <f>D343*E344+G343*H344+J343*K344</f>
        <v>4211.7111430999994</v>
      </c>
      <c r="E344" s="40">
        <v>163.2487951</v>
      </c>
      <c r="H344" s="40">
        <v>146.87003034999998</v>
      </c>
    </row>
    <row r="345" spans="1:8" x14ac:dyDescent="0.3">
      <c r="A345" t="s">
        <v>566</v>
      </c>
      <c r="B345">
        <v>4211.71</v>
      </c>
      <c r="C345" t="s">
        <v>59</v>
      </c>
      <c r="D345">
        <v>24</v>
      </c>
      <c r="E345">
        <v>163.25</v>
      </c>
      <c r="F345" t="s">
        <v>85</v>
      </c>
      <c r="G345">
        <v>2</v>
      </c>
      <c r="H345">
        <v>146.87</v>
      </c>
    </row>
    <row r="346" spans="1:8" s="40" customFormat="1" x14ac:dyDescent="0.3">
      <c r="A346" s="41" t="s">
        <v>976</v>
      </c>
      <c r="B346" s="40">
        <f>D345*E346+G345*H346+J345*K346</f>
        <v>4211.7111430999994</v>
      </c>
      <c r="E346" s="40">
        <v>163.2487951</v>
      </c>
      <c r="H346" s="40">
        <v>146.87003034999998</v>
      </c>
    </row>
    <row r="347" spans="1:8" x14ac:dyDescent="0.3">
      <c r="A347" t="s">
        <v>568</v>
      </c>
      <c r="B347">
        <v>5191.18</v>
      </c>
      <c r="C347" t="s">
        <v>61</v>
      </c>
      <c r="D347">
        <v>24</v>
      </c>
      <c r="E347">
        <v>204.06</v>
      </c>
      <c r="F347" t="s">
        <v>85</v>
      </c>
      <c r="G347">
        <v>2</v>
      </c>
      <c r="H347">
        <v>146.87</v>
      </c>
    </row>
    <row r="348" spans="1:8" s="40" customFormat="1" x14ac:dyDescent="0.3">
      <c r="A348" s="41" t="s">
        <v>976</v>
      </c>
      <c r="B348" s="40">
        <f>D347*E348+G347*H348+J347*K348</f>
        <v>5191.1816675</v>
      </c>
      <c r="E348" s="40">
        <v>204.06006694999999</v>
      </c>
      <c r="H348" s="40">
        <v>146.87003034999998</v>
      </c>
    </row>
    <row r="349" spans="1:8" x14ac:dyDescent="0.3">
      <c r="A349" t="s">
        <v>572</v>
      </c>
      <c r="B349">
        <v>1518.18</v>
      </c>
      <c r="C349" t="s">
        <v>27</v>
      </c>
      <c r="D349">
        <v>24</v>
      </c>
      <c r="E349">
        <v>57.14</v>
      </c>
      <c r="F349" t="s">
        <v>72</v>
      </c>
      <c r="G349">
        <v>2</v>
      </c>
      <c r="H349">
        <v>73.47</v>
      </c>
    </row>
    <row r="350" spans="1:8" s="40" customFormat="1" x14ac:dyDescent="0.3">
      <c r="A350" s="41" t="s">
        <v>976</v>
      </c>
      <c r="B350" s="40">
        <f>D349*E350+G349*H350+J349*K350</f>
        <v>1518.17956</v>
      </c>
      <c r="E350" s="40">
        <v>57.135039049999996</v>
      </c>
      <c r="H350" s="40">
        <v>73.469311399999995</v>
      </c>
    </row>
    <row r="351" spans="1:8" x14ac:dyDescent="0.3">
      <c r="A351" t="s">
        <v>571</v>
      </c>
      <c r="B351">
        <v>1126.1600000000001</v>
      </c>
      <c r="C351" t="s">
        <v>24</v>
      </c>
      <c r="D351">
        <v>24</v>
      </c>
      <c r="E351">
        <v>40.799999999999997</v>
      </c>
      <c r="F351" t="s">
        <v>72</v>
      </c>
      <c r="G351">
        <v>2</v>
      </c>
      <c r="H351">
        <v>73.47</v>
      </c>
    </row>
    <row r="352" spans="1:8" s="40" customFormat="1" x14ac:dyDescent="0.3">
      <c r="A352" s="41" t="s">
        <v>976</v>
      </c>
      <c r="B352" s="40">
        <f>D351*E352+G351*H352+J351*K352</f>
        <v>1126.1570236</v>
      </c>
      <c r="E352" s="40">
        <v>40.800766699999997</v>
      </c>
      <c r="H352" s="40">
        <v>73.469311399999995</v>
      </c>
    </row>
    <row r="353" spans="1:8" x14ac:dyDescent="0.3">
      <c r="A353" t="s">
        <v>574</v>
      </c>
      <c r="B353">
        <v>1910.2</v>
      </c>
      <c r="C353" t="s">
        <v>65</v>
      </c>
      <c r="D353">
        <v>24</v>
      </c>
      <c r="E353">
        <v>73.47</v>
      </c>
      <c r="F353" t="s">
        <v>72</v>
      </c>
      <c r="G353">
        <v>2</v>
      </c>
      <c r="H353">
        <v>73.47</v>
      </c>
    </row>
    <row r="354" spans="1:8" s="40" customFormat="1" x14ac:dyDescent="0.3">
      <c r="A354" s="41" t="s">
        <v>976</v>
      </c>
      <c r="B354" s="40">
        <f>D353*E354+G353*H354+J353*K354</f>
        <v>1910.2020964000001</v>
      </c>
      <c r="E354" s="40">
        <v>73.469311399999995</v>
      </c>
      <c r="H354" s="40">
        <v>73.469311399999995</v>
      </c>
    </row>
    <row r="355" spans="1:8" x14ac:dyDescent="0.3">
      <c r="A355" t="s">
        <v>576</v>
      </c>
      <c r="B355">
        <v>1518.18</v>
      </c>
      <c r="C355" t="s">
        <v>27</v>
      </c>
      <c r="D355">
        <v>24</v>
      </c>
      <c r="E355">
        <v>57.14</v>
      </c>
      <c r="F355" t="s">
        <v>72</v>
      </c>
      <c r="G355">
        <v>2</v>
      </c>
      <c r="H355">
        <v>73.47</v>
      </c>
    </row>
    <row r="356" spans="1:8" s="40" customFormat="1" x14ac:dyDescent="0.3">
      <c r="A356" s="41" t="s">
        <v>976</v>
      </c>
      <c r="B356" s="40">
        <f>D355*E356+G355*H356+J355*K356</f>
        <v>1518.17956</v>
      </c>
      <c r="E356" s="40">
        <v>57.135039049999996</v>
      </c>
      <c r="H356" s="40">
        <v>73.469311399999995</v>
      </c>
    </row>
    <row r="357" spans="1:8" x14ac:dyDescent="0.3">
      <c r="A357" t="s">
        <v>573</v>
      </c>
      <c r="B357">
        <v>1518.18</v>
      </c>
      <c r="C357" t="s">
        <v>27</v>
      </c>
      <c r="D357">
        <v>24</v>
      </c>
      <c r="E357">
        <v>57.14</v>
      </c>
      <c r="F357" t="s">
        <v>72</v>
      </c>
      <c r="G357">
        <v>2</v>
      </c>
      <c r="H357">
        <v>73.47</v>
      </c>
    </row>
    <row r="358" spans="1:8" s="40" customFormat="1" x14ac:dyDescent="0.3">
      <c r="A358" s="41" t="s">
        <v>976</v>
      </c>
      <c r="B358" s="40">
        <f>D357*E358+G357*H358+J357*K358</f>
        <v>1518.17956</v>
      </c>
      <c r="E358" s="40">
        <v>57.135039049999996</v>
      </c>
      <c r="H358" s="40">
        <v>73.469311399999995</v>
      </c>
    </row>
    <row r="359" spans="1:8" x14ac:dyDescent="0.3">
      <c r="A359" t="s">
        <v>575</v>
      </c>
      <c r="B359">
        <v>1518.18</v>
      </c>
      <c r="C359" t="s">
        <v>27</v>
      </c>
      <c r="D359">
        <v>24</v>
      </c>
      <c r="E359">
        <v>57.14</v>
      </c>
      <c r="F359" t="s">
        <v>72</v>
      </c>
      <c r="G359">
        <v>2</v>
      </c>
      <c r="H359">
        <v>73.47</v>
      </c>
    </row>
    <row r="360" spans="1:8" s="40" customFormat="1" x14ac:dyDescent="0.3">
      <c r="A360" s="41" t="s">
        <v>976</v>
      </c>
      <c r="B360" s="40">
        <f>D359*E360+G359*H360+J359*K360</f>
        <v>1518.17956</v>
      </c>
      <c r="E360" s="40">
        <v>57.135039049999996</v>
      </c>
      <c r="H360" s="40">
        <v>73.469311399999995</v>
      </c>
    </row>
    <row r="361" spans="1:8" x14ac:dyDescent="0.3">
      <c r="A361" t="s">
        <v>577</v>
      </c>
      <c r="B361">
        <v>1910.2</v>
      </c>
      <c r="C361" t="s">
        <v>65</v>
      </c>
      <c r="D361">
        <v>24</v>
      </c>
      <c r="E361">
        <v>73.47</v>
      </c>
      <c r="F361" t="s">
        <v>72</v>
      </c>
      <c r="G361">
        <v>2</v>
      </c>
      <c r="H361">
        <v>73.47</v>
      </c>
    </row>
    <row r="362" spans="1:8" s="40" customFormat="1" x14ac:dyDescent="0.3">
      <c r="A362" s="41" t="s">
        <v>976</v>
      </c>
      <c r="B362" s="40">
        <f>D361*E362+G361*H362+J361*K362</f>
        <v>1910.2020964000001</v>
      </c>
      <c r="E362" s="40">
        <v>73.469311399999995</v>
      </c>
      <c r="H362" s="40">
        <v>73.469311399999995</v>
      </c>
    </row>
    <row r="363" spans="1:8" x14ac:dyDescent="0.3">
      <c r="A363" t="s">
        <v>578</v>
      </c>
      <c r="B363">
        <v>1518.18</v>
      </c>
      <c r="C363" t="s">
        <v>27</v>
      </c>
      <c r="D363">
        <v>24</v>
      </c>
      <c r="E363">
        <v>57.14</v>
      </c>
      <c r="F363" t="s">
        <v>72</v>
      </c>
      <c r="G363">
        <v>2</v>
      </c>
      <c r="H363">
        <v>73.47</v>
      </c>
    </row>
    <row r="364" spans="1:8" s="40" customFormat="1" x14ac:dyDescent="0.3">
      <c r="A364" s="41" t="s">
        <v>976</v>
      </c>
      <c r="B364" s="40">
        <f>D363*E364+G363*H364+J363*K364</f>
        <v>1518.17956</v>
      </c>
      <c r="E364" s="40">
        <v>57.135039049999996</v>
      </c>
      <c r="H364" s="40">
        <v>73.469311399999995</v>
      </c>
    </row>
    <row r="365" spans="1:8" x14ac:dyDescent="0.3">
      <c r="A365" t="s">
        <v>581</v>
      </c>
      <c r="B365">
        <v>1910.2</v>
      </c>
      <c r="C365" t="s">
        <v>65</v>
      </c>
      <c r="D365">
        <v>24</v>
      </c>
      <c r="E365">
        <v>73.47</v>
      </c>
      <c r="F365" t="s">
        <v>72</v>
      </c>
      <c r="G365">
        <v>2</v>
      </c>
      <c r="H365">
        <v>73.47</v>
      </c>
    </row>
    <row r="366" spans="1:8" s="40" customFormat="1" x14ac:dyDescent="0.3">
      <c r="A366" s="41" t="s">
        <v>976</v>
      </c>
      <c r="B366" s="40">
        <f>D365*E366+G365*H366+J365*K366</f>
        <v>1910.2020964000001</v>
      </c>
      <c r="E366" s="40">
        <v>73.469311399999995</v>
      </c>
      <c r="H366" s="40">
        <v>73.469311399999995</v>
      </c>
    </row>
    <row r="367" spans="1:8" x14ac:dyDescent="0.3">
      <c r="A367" t="s">
        <v>579</v>
      </c>
      <c r="B367">
        <v>1518.18</v>
      </c>
      <c r="C367" t="s">
        <v>27</v>
      </c>
      <c r="D367">
        <v>24</v>
      </c>
      <c r="E367">
        <v>57.14</v>
      </c>
      <c r="F367" t="s">
        <v>72</v>
      </c>
      <c r="G367">
        <v>2</v>
      </c>
      <c r="H367">
        <v>73.47</v>
      </c>
    </row>
    <row r="368" spans="1:8" s="40" customFormat="1" x14ac:dyDescent="0.3">
      <c r="A368" s="41" t="s">
        <v>976</v>
      </c>
      <c r="B368" s="40">
        <f>D367*E368+G367*H368+J367*K368</f>
        <v>1518.17956</v>
      </c>
      <c r="E368" s="40">
        <v>57.135039049999996</v>
      </c>
      <c r="H368" s="40">
        <v>73.469311399999995</v>
      </c>
    </row>
    <row r="369" spans="1:8" x14ac:dyDescent="0.3">
      <c r="A369" t="s">
        <v>580</v>
      </c>
      <c r="B369">
        <v>1518.18</v>
      </c>
      <c r="C369" t="s">
        <v>27</v>
      </c>
      <c r="D369">
        <v>24</v>
      </c>
      <c r="E369">
        <v>57.14</v>
      </c>
      <c r="F369" t="s">
        <v>72</v>
      </c>
      <c r="G369">
        <v>2</v>
      </c>
      <c r="H369">
        <v>73.47</v>
      </c>
    </row>
    <row r="370" spans="1:8" s="40" customFormat="1" x14ac:dyDescent="0.3">
      <c r="A370" s="41" t="s">
        <v>976</v>
      </c>
      <c r="B370" s="40">
        <f>D369*E370+G369*H370+J369*K370</f>
        <v>1518.17956</v>
      </c>
      <c r="E370" s="40">
        <v>57.135039049999996</v>
      </c>
      <c r="H370" s="40">
        <v>73.469311399999995</v>
      </c>
    </row>
    <row r="371" spans="1:8" x14ac:dyDescent="0.3">
      <c r="A371" t="s">
        <v>582</v>
      </c>
      <c r="B371">
        <v>1518.18</v>
      </c>
      <c r="C371" t="s">
        <v>27</v>
      </c>
      <c r="D371">
        <v>24</v>
      </c>
      <c r="E371">
        <v>57.14</v>
      </c>
      <c r="F371" t="s">
        <v>72</v>
      </c>
      <c r="G371">
        <v>2</v>
      </c>
      <c r="H371">
        <v>73.47</v>
      </c>
    </row>
    <row r="372" spans="1:8" s="40" customFormat="1" x14ac:dyDescent="0.3">
      <c r="A372" s="41" t="s">
        <v>976</v>
      </c>
      <c r="B372" s="40">
        <f>D371*E372+G371*H372+J371*K372</f>
        <v>1518.17956</v>
      </c>
      <c r="E372" s="40">
        <v>57.135039049999996</v>
      </c>
      <c r="H372" s="40">
        <v>73.469311399999995</v>
      </c>
    </row>
    <row r="373" spans="1:8" x14ac:dyDescent="0.3">
      <c r="A373" t="s">
        <v>583</v>
      </c>
      <c r="B373">
        <v>1518.18</v>
      </c>
      <c r="C373" t="s">
        <v>27</v>
      </c>
      <c r="D373">
        <v>24</v>
      </c>
      <c r="E373">
        <v>57.14</v>
      </c>
      <c r="F373" t="s">
        <v>72</v>
      </c>
      <c r="G373">
        <v>2</v>
      </c>
      <c r="H373">
        <v>73.47</v>
      </c>
    </row>
    <row r="374" spans="1:8" s="40" customFormat="1" x14ac:dyDescent="0.3">
      <c r="A374" s="41" t="s">
        <v>976</v>
      </c>
      <c r="B374" s="40">
        <f>D373*E374+G373*H374+J373*K374</f>
        <v>1518.17956</v>
      </c>
      <c r="E374" s="40">
        <v>57.135039049999996</v>
      </c>
      <c r="H374" s="40">
        <v>73.469311399999995</v>
      </c>
    </row>
    <row r="375" spans="1:8" x14ac:dyDescent="0.3">
      <c r="A375" t="s">
        <v>601</v>
      </c>
      <c r="B375">
        <v>1910.2</v>
      </c>
      <c r="C375" t="s">
        <v>29</v>
      </c>
      <c r="D375">
        <v>24</v>
      </c>
      <c r="E375">
        <v>73.47</v>
      </c>
      <c r="F375" t="s">
        <v>74</v>
      </c>
      <c r="G375">
        <v>2</v>
      </c>
      <c r="H375">
        <v>73.47</v>
      </c>
    </row>
    <row r="376" spans="1:8" s="40" customFormat="1" x14ac:dyDescent="0.3">
      <c r="A376" s="41" t="s">
        <v>976</v>
      </c>
      <c r="B376" s="40">
        <f>D375*E376+G375*H376+J375*K376</f>
        <v>1910.2020964000001</v>
      </c>
      <c r="E376" s="40">
        <v>73.469311399999995</v>
      </c>
      <c r="H376" s="40">
        <v>73.469311399999995</v>
      </c>
    </row>
    <row r="377" spans="1:8" x14ac:dyDescent="0.3">
      <c r="A377" t="s">
        <v>584</v>
      </c>
      <c r="B377">
        <v>1910.2</v>
      </c>
      <c r="C377" t="s">
        <v>29</v>
      </c>
      <c r="D377">
        <v>24</v>
      </c>
      <c r="E377">
        <v>73.47</v>
      </c>
      <c r="F377" t="s">
        <v>74</v>
      </c>
      <c r="G377">
        <v>2</v>
      </c>
      <c r="H377">
        <v>73.47</v>
      </c>
    </row>
    <row r="378" spans="1:8" s="40" customFormat="1" x14ac:dyDescent="0.3">
      <c r="A378" s="41" t="s">
        <v>976</v>
      </c>
      <c r="B378" s="40">
        <f>D377*E378+G377*H378+J377*K378</f>
        <v>1910.2020964000001</v>
      </c>
      <c r="E378" s="40">
        <v>73.469311399999995</v>
      </c>
      <c r="H378" s="40">
        <v>73.469311399999995</v>
      </c>
    </row>
    <row r="379" spans="1:8" x14ac:dyDescent="0.3">
      <c r="A379" t="s">
        <v>585</v>
      </c>
      <c r="B379">
        <v>1910.2</v>
      </c>
      <c r="C379" t="s">
        <v>29</v>
      </c>
      <c r="D379">
        <v>24</v>
      </c>
      <c r="E379">
        <v>73.47</v>
      </c>
      <c r="F379" t="s">
        <v>74</v>
      </c>
      <c r="G379">
        <v>2</v>
      </c>
      <c r="H379">
        <v>73.47</v>
      </c>
    </row>
    <row r="380" spans="1:8" s="40" customFormat="1" x14ac:dyDescent="0.3">
      <c r="A380" s="41" t="s">
        <v>976</v>
      </c>
      <c r="B380" s="40">
        <f>D379*E380+G379*H380+J379*K380</f>
        <v>1910.2020964000001</v>
      </c>
      <c r="E380" s="40">
        <v>73.469311399999995</v>
      </c>
      <c r="H380" s="40">
        <v>73.469311399999995</v>
      </c>
    </row>
    <row r="381" spans="1:8" x14ac:dyDescent="0.3">
      <c r="A381" t="s">
        <v>586</v>
      </c>
      <c r="B381">
        <v>2302.21</v>
      </c>
      <c r="C381" t="s">
        <v>67</v>
      </c>
      <c r="D381">
        <v>24</v>
      </c>
      <c r="E381">
        <v>89.8</v>
      </c>
      <c r="F381" t="s">
        <v>74</v>
      </c>
      <c r="G381">
        <v>2</v>
      </c>
      <c r="H381">
        <v>73.47</v>
      </c>
    </row>
    <row r="382" spans="1:8" s="40" customFormat="1" x14ac:dyDescent="0.3">
      <c r="A382" s="41" t="s">
        <v>976</v>
      </c>
      <c r="B382" s="40">
        <f>D381*E382+G381*H382+J381*K382</f>
        <v>2302.2098019999999</v>
      </c>
      <c r="E382" s="40">
        <v>89.802965799999996</v>
      </c>
      <c r="H382" s="40">
        <v>73.469311399999995</v>
      </c>
    </row>
    <row r="383" spans="1:8" x14ac:dyDescent="0.3">
      <c r="A383" t="s">
        <v>602</v>
      </c>
      <c r="B383">
        <v>2302.21</v>
      </c>
      <c r="C383" t="s">
        <v>67</v>
      </c>
      <c r="D383">
        <v>24</v>
      </c>
      <c r="E383">
        <v>89.8</v>
      </c>
      <c r="F383" t="s">
        <v>74</v>
      </c>
      <c r="G383">
        <v>2</v>
      </c>
      <c r="H383">
        <v>73.47</v>
      </c>
    </row>
    <row r="384" spans="1:8" s="40" customFormat="1" x14ac:dyDescent="0.3">
      <c r="A384" s="41" t="s">
        <v>976</v>
      </c>
      <c r="B384" s="40">
        <f>D383*E384+G383*H384+J383*K384</f>
        <v>2302.2098019999999</v>
      </c>
      <c r="E384" s="40">
        <v>89.802965799999996</v>
      </c>
      <c r="H384" s="40">
        <v>73.469311399999995</v>
      </c>
    </row>
    <row r="385" spans="1:8" x14ac:dyDescent="0.3">
      <c r="A385" t="s">
        <v>587</v>
      </c>
      <c r="B385">
        <v>1910.2</v>
      </c>
      <c r="C385" t="s">
        <v>29</v>
      </c>
      <c r="D385">
        <v>24</v>
      </c>
      <c r="E385">
        <v>73.47</v>
      </c>
      <c r="F385" t="s">
        <v>74</v>
      </c>
      <c r="G385">
        <v>2</v>
      </c>
      <c r="H385">
        <v>73.47</v>
      </c>
    </row>
    <row r="386" spans="1:8" s="40" customFormat="1" x14ac:dyDescent="0.3">
      <c r="A386" s="41" t="s">
        <v>976</v>
      </c>
      <c r="B386" s="40">
        <f>D385*E386+G385*H386+J385*K386</f>
        <v>1910.2020964000001</v>
      </c>
      <c r="E386" s="40">
        <v>73.469311399999995</v>
      </c>
      <c r="H386" s="40">
        <v>73.469311399999995</v>
      </c>
    </row>
    <row r="387" spans="1:8" x14ac:dyDescent="0.3">
      <c r="A387" t="s">
        <v>588</v>
      </c>
      <c r="B387">
        <v>2302.21</v>
      </c>
      <c r="C387" t="s">
        <v>67</v>
      </c>
      <c r="D387">
        <v>24</v>
      </c>
      <c r="E387">
        <v>89.8</v>
      </c>
      <c r="F387" t="s">
        <v>74</v>
      </c>
      <c r="G387">
        <v>2</v>
      </c>
      <c r="H387">
        <v>73.47</v>
      </c>
    </row>
    <row r="388" spans="1:8" s="40" customFormat="1" x14ac:dyDescent="0.3">
      <c r="A388" s="41" t="s">
        <v>976</v>
      </c>
      <c r="B388" s="40">
        <f>D387*E388+G387*H388+J387*K388</f>
        <v>2302.2098019999999</v>
      </c>
      <c r="E388" s="40">
        <v>89.802965799999996</v>
      </c>
      <c r="H388" s="40">
        <v>73.469311399999995</v>
      </c>
    </row>
    <row r="389" spans="1:8" x14ac:dyDescent="0.3">
      <c r="A389" t="s">
        <v>589</v>
      </c>
      <c r="B389">
        <v>1910.2</v>
      </c>
      <c r="C389" t="s">
        <v>29</v>
      </c>
      <c r="D389">
        <v>24</v>
      </c>
      <c r="E389">
        <v>73.47</v>
      </c>
      <c r="F389" t="s">
        <v>74</v>
      </c>
      <c r="G389">
        <v>2</v>
      </c>
      <c r="H389">
        <v>73.47</v>
      </c>
    </row>
    <row r="390" spans="1:8" s="40" customFormat="1" x14ac:dyDescent="0.3">
      <c r="A390" s="41" t="s">
        <v>976</v>
      </c>
      <c r="B390" s="40">
        <f>D389*E390+G389*H390+J389*K390</f>
        <v>1910.2020964000001</v>
      </c>
      <c r="E390" s="40">
        <v>73.469311399999995</v>
      </c>
      <c r="H390" s="40">
        <v>73.469311399999995</v>
      </c>
    </row>
    <row r="391" spans="1:8" x14ac:dyDescent="0.3">
      <c r="A391" t="s">
        <v>591</v>
      </c>
      <c r="B391">
        <v>1910.2</v>
      </c>
      <c r="C391" t="s">
        <v>29</v>
      </c>
      <c r="D391">
        <v>24</v>
      </c>
      <c r="E391">
        <v>73.47</v>
      </c>
      <c r="F391" t="s">
        <v>74</v>
      </c>
      <c r="G391">
        <v>2</v>
      </c>
      <c r="H391">
        <v>73.47</v>
      </c>
    </row>
    <row r="392" spans="1:8" s="40" customFormat="1" x14ac:dyDescent="0.3">
      <c r="A392" s="41" t="s">
        <v>976</v>
      </c>
      <c r="B392" s="40">
        <f>D391*E392+G391*H392+J391*K392</f>
        <v>1910.2020964000001</v>
      </c>
      <c r="E392" s="40">
        <v>73.469311399999995</v>
      </c>
      <c r="H392" s="40">
        <v>73.469311399999995</v>
      </c>
    </row>
    <row r="393" spans="1:8" x14ac:dyDescent="0.3">
      <c r="A393" t="s">
        <v>590</v>
      </c>
      <c r="B393">
        <v>1910.2</v>
      </c>
      <c r="C393" t="s">
        <v>29</v>
      </c>
      <c r="D393">
        <v>24</v>
      </c>
      <c r="E393">
        <v>73.47</v>
      </c>
      <c r="F393" t="s">
        <v>74</v>
      </c>
      <c r="G393">
        <v>2</v>
      </c>
      <c r="H393">
        <v>73.47</v>
      </c>
    </row>
    <row r="394" spans="1:8" s="40" customFormat="1" x14ac:dyDescent="0.3">
      <c r="A394" s="41" t="s">
        <v>976</v>
      </c>
      <c r="B394" s="40">
        <f>D393*E394+G393*H394+J393*K394</f>
        <v>1910.2020964000001</v>
      </c>
      <c r="E394" s="40">
        <v>73.469311399999995</v>
      </c>
      <c r="H394" s="40">
        <v>73.469311399999995</v>
      </c>
    </row>
    <row r="395" spans="1:8" x14ac:dyDescent="0.3">
      <c r="A395" t="s">
        <v>592</v>
      </c>
      <c r="B395">
        <v>2302.21</v>
      </c>
      <c r="C395" t="s">
        <v>67</v>
      </c>
      <c r="D395">
        <v>24</v>
      </c>
      <c r="E395">
        <v>89.8</v>
      </c>
      <c r="F395" t="s">
        <v>74</v>
      </c>
      <c r="G395">
        <v>2</v>
      </c>
      <c r="H395">
        <v>73.47</v>
      </c>
    </row>
    <row r="396" spans="1:8" s="40" customFormat="1" x14ac:dyDescent="0.3">
      <c r="A396" s="41" t="s">
        <v>976</v>
      </c>
      <c r="B396" s="40">
        <f>D395*E396+G395*H396+J395*K396</f>
        <v>2302.2098019999999</v>
      </c>
      <c r="E396" s="40">
        <v>89.802965799999996</v>
      </c>
      <c r="H396" s="40">
        <v>73.469311399999995</v>
      </c>
    </row>
    <row r="397" spans="1:8" x14ac:dyDescent="0.3">
      <c r="A397" t="s">
        <v>593</v>
      </c>
      <c r="B397">
        <v>1910.2</v>
      </c>
      <c r="C397" t="s">
        <v>29</v>
      </c>
      <c r="D397">
        <v>24</v>
      </c>
      <c r="E397">
        <v>73.47</v>
      </c>
      <c r="F397" t="s">
        <v>74</v>
      </c>
      <c r="G397">
        <v>2</v>
      </c>
      <c r="H397">
        <v>73.47</v>
      </c>
    </row>
    <row r="398" spans="1:8" s="40" customFormat="1" x14ac:dyDescent="0.3">
      <c r="A398" s="41" t="s">
        <v>976</v>
      </c>
      <c r="B398" s="40">
        <f>D397*E398+G397*H398+J397*K398</f>
        <v>1910.2020964000001</v>
      </c>
      <c r="E398" s="40">
        <v>73.469311399999995</v>
      </c>
      <c r="H398" s="40">
        <v>73.469311399999995</v>
      </c>
    </row>
    <row r="399" spans="1:8" x14ac:dyDescent="0.3">
      <c r="A399" t="s">
        <v>595</v>
      </c>
      <c r="B399">
        <v>2302.21</v>
      </c>
      <c r="C399" t="s">
        <v>31</v>
      </c>
      <c r="D399">
        <v>24</v>
      </c>
      <c r="E399">
        <v>89.8</v>
      </c>
      <c r="F399" t="s">
        <v>74</v>
      </c>
      <c r="G399">
        <v>2</v>
      </c>
      <c r="H399">
        <v>73.47</v>
      </c>
    </row>
    <row r="400" spans="1:8" s="40" customFormat="1" x14ac:dyDescent="0.3">
      <c r="A400" s="41" t="s">
        <v>976</v>
      </c>
      <c r="B400" s="40">
        <f>D399*E400+G399*H400+J399*K400</f>
        <v>2302.2098019999999</v>
      </c>
      <c r="E400" s="40">
        <v>89.802965799999996</v>
      </c>
      <c r="H400" s="40">
        <v>73.469311399999995</v>
      </c>
    </row>
    <row r="401" spans="1:8" x14ac:dyDescent="0.3">
      <c r="A401" t="s">
        <v>594</v>
      </c>
      <c r="B401">
        <v>2693.58</v>
      </c>
      <c r="C401" t="s">
        <v>69</v>
      </c>
      <c r="D401">
        <v>24</v>
      </c>
      <c r="E401">
        <v>106.11</v>
      </c>
      <c r="F401" t="s">
        <v>74</v>
      </c>
      <c r="G401">
        <v>2</v>
      </c>
      <c r="H401">
        <v>73.47</v>
      </c>
    </row>
    <row r="402" spans="1:8" s="40" customFormat="1" x14ac:dyDescent="0.3">
      <c r="A402" s="41" t="s">
        <v>976</v>
      </c>
      <c r="B402" s="40">
        <f>D401*E402+G401*H402+J401*K402</f>
        <v>2693.5797831999994</v>
      </c>
      <c r="E402" s="40">
        <v>106.11004834999999</v>
      </c>
      <c r="H402" s="40">
        <v>73.469311399999995</v>
      </c>
    </row>
    <row r="403" spans="1:8" x14ac:dyDescent="0.3">
      <c r="A403" t="s">
        <v>596</v>
      </c>
      <c r="B403">
        <v>2302.21</v>
      </c>
      <c r="C403" t="s">
        <v>31</v>
      </c>
      <c r="D403">
        <v>24</v>
      </c>
      <c r="E403">
        <v>89.8</v>
      </c>
      <c r="F403" t="s">
        <v>74</v>
      </c>
      <c r="G403">
        <v>2</v>
      </c>
      <c r="H403">
        <v>73.47</v>
      </c>
    </row>
    <row r="404" spans="1:8" s="40" customFormat="1" x14ac:dyDescent="0.3">
      <c r="A404" s="41" t="s">
        <v>976</v>
      </c>
      <c r="B404" s="40">
        <f>D403*E404+G403*H404+J403*K404</f>
        <v>2302.2098019999999</v>
      </c>
      <c r="E404" s="40">
        <v>89.802965799999996</v>
      </c>
      <c r="H404" s="40">
        <v>73.469311399999995</v>
      </c>
    </row>
    <row r="405" spans="1:8" x14ac:dyDescent="0.3">
      <c r="A405" t="s">
        <v>598</v>
      </c>
      <c r="B405">
        <v>2693.58</v>
      </c>
      <c r="C405" t="s">
        <v>69</v>
      </c>
      <c r="D405">
        <v>24</v>
      </c>
      <c r="E405">
        <v>106.11</v>
      </c>
      <c r="F405" t="s">
        <v>74</v>
      </c>
      <c r="G405">
        <v>2</v>
      </c>
      <c r="H405">
        <v>73.47</v>
      </c>
    </row>
    <row r="406" spans="1:8" s="40" customFormat="1" x14ac:dyDescent="0.3">
      <c r="A406" s="41" t="s">
        <v>976</v>
      </c>
      <c r="B406" s="40">
        <f>D405*E406+G405*H406+J405*K406</f>
        <v>2693.5797831999994</v>
      </c>
      <c r="E406" s="40">
        <v>106.11004834999999</v>
      </c>
      <c r="H406" s="40">
        <v>73.469311399999995</v>
      </c>
    </row>
    <row r="407" spans="1:8" x14ac:dyDescent="0.3">
      <c r="A407" t="s">
        <v>597</v>
      </c>
      <c r="B407">
        <v>2302.21</v>
      </c>
      <c r="C407" t="s">
        <v>31</v>
      </c>
      <c r="D407">
        <v>24</v>
      </c>
      <c r="E407">
        <v>89.8</v>
      </c>
      <c r="F407" t="s">
        <v>74</v>
      </c>
      <c r="G407">
        <v>2</v>
      </c>
      <c r="H407">
        <v>73.47</v>
      </c>
    </row>
    <row r="408" spans="1:8" s="40" customFormat="1" x14ac:dyDescent="0.3">
      <c r="A408" s="41" t="s">
        <v>976</v>
      </c>
      <c r="B408" s="40">
        <f>D407*E408+G407*H408+J407*K408</f>
        <v>2302.2098019999999</v>
      </c>
      <c r="E408" s="40">
        <v>89.802965799999996</v>
      </c>
      <c r="H408" s="40">
        <v>73.469311399999995</v>
      </c>
    </row>
    <row r="409" spans="1:8" x14ac:dyDescent="0.3">
      <c r="A409" t="s">
        <v>599</v>
      </c>
      <c r="B409">
        <v>2302.21</v>
      </c>
      <c r="C409" t="s">
        <v>31</v>
      </c>
      <c r="D409">
        <v>24</v>
      </c>
      <c r="E409">
        <v>89.8</v>
      </c>
      <c r="F409" t="s">
        <v>74</v>
      </c>
      <c r="G409">
        <v>2</v>
      </c>
      <c r="H409">
        <v>73.47</v>
      </c>
    </row>
    <row r="410" spans="1:8" s="40" customFormat="1" x14ac:dyDescent="0.3">
      <c r="A410" s="41" t="s">
        <v>976</v>
      </c>
      <c r="B410" s="40">
        <f>D409*E410+G409*H410+J409*K410</f>
        <v>2302.2098019999999</v>
      </c>
      <c r="E410" s="40">
        <v>89.802965799999996</v>
      </c>
      <c r="H410" s="40">
        <v>73.469311399999995</v>
      </c>
    </row>
    <row r="411" spans="1:8" x14ac:dyDescent="0.3">
      <c r="A411" t="s">
        <v>605</v>
      </c>
      <c r="B411">
        <v>2693.58</v>
      </c>
      <c r="C411" t="s">
        <v>69</v>
      </c>
      <c r="D411">
        <v>24</v>
      </c>
      <c r="E411">
        <v>106.11</v>
      </c>
      <c r="F411" t="s">
        <v>74</v>
      </c>
      <c r="G411">
        <v>2</v>
      </c>
      <c r="H411">
        <v>73.47</v>
      </c>
    </row>
    <row r="412" spans="1:8" s="40" customFormat="1" x14ac:dyDescent="0.3">
      <c r="A412" s="41" t="s">
        <v>976</v>
      </c>
      <c r="B412" s="40">
        <f>D411*E412+G411*H412+J411*K412</f>
        <v>2693.5797831999994</v>
      </c>
      <c r="E412" s="40">
        <v>106.11004834999999</v>
      </c>
      <c r="H412" s="40">
        <v>73.469311399999995</v>
      </c>
    </row>
    <row r="413" spans="1:8" x14ac:dyDescent="0.3">
      <c r="A413" t="s">
        <v>604</v>
      </c>
      <c r="B413">
        <v>2302.21</v>
      </c>
      <c r="C413" t="s">
        <v>31</v>
      </c>
      <c r="D413">
        <v>24</v>
      </c>
      <c r="E413">
        <v>89.8</v>
      </c>
      <c r="F413" t="s">
        <v>74</v>
      </c>
      <c r="G413">
        <v>2</v>
      </c>
      <c r="H413">
        <v>73.47</v>
      </c>
    </row>
    <row r="414" spans="1:8" s="40" customFormat="1" x14ac:dyDescent="0.3">
      <c r="A414" s="41" t="s">
        <v>976</v>
      </c>
      <c r="B414" s="40">
        <f>D413*E414+G413*H414+J413*K414</f>
        <v>2302.2098019999999</v>
      </c>
      <c r="E414" s="40">
        <v>89.802965799999996</v>
      </c>
      <c r="H414" s="40">
        <v>73.469311399999995</v>
      </c>
    </row>
    <row r="415" spans="1:8" x14ac:dyDescent="0.3">
      <c r="A415" t="s">
        <v>607</v>
      </c>
      <c r="B415">
        <v>2302.21</v>
      </c>
      <c r="C415" t="s">
        <v>31</v>
      </c>
      <c r="D415">
        <v>24</v>
      </c>
      <c r="E415">
        <v>89.8</v>
      </c>
      <c r="F415" t="s">
        <v>74</v>
      </c>
      <c r="G415">
        <v>2</v>
      </c>
      <c r="H415">
        <v>73.47</v>
      </c>
    </row>
    <row r="416" spans="1:8" s="40" customFormat="1" x14ac:dyDescent="0.3">
      <c r="A416" s="41" t="s">
        <v>976</v>
      </c>
      <c r="B416" s="40">
        <f>D415*E416+G415*H416+J415*K416</f>
        <v>2302.2098019999999</v>
      </c>
      <c r="E416" s="40">
        <v>89.802965799999996</v>
      </c>
      <c r="H416" s="40">
        <v>73.469311399999995</v>
      </c>
    </row>
    <row r="417" spans="1:8" x14ac:dyDescent="0.3">
      <c r="A417" t="s">
        <v>606</v>
      </c>
      <c r="B417">
        <v>2693.58</v>
      </c>
      <c r="C417" t="s">
        <v>69</v>
      </c>
      <c r="D417">
        <v>24</v>
      </c>
      <c r="E417">
        <v>106.11</v>
      </c>
      <c r="F417" t="s">
        <v>74</v>
      </c>
      <c r="G417">
        <v>2</v>
      </c>
      <c r="H417">
        <v>73.47</v>
      </c>
    </row>
    <row r="418" spans="1:8" s="40" customFormat="1" x14ac:dyDescent="0.3">
      <c r="A418" s="41" t="s">
        <v>976</v>
      </c>
      <c r="B418" s="40">
        <f>D417*E418+G417*H418+J417*K418</f>
        <v>2693.5797831999994</v>
      </c>
      <c r="E418" s="40">
        <v>106.11004834999999</v>
      </c>
      <c r="H418" s="40">
        <v>73.469311399999995</v>
      </c>
    </row>
    <row r="419" spans="1:8" x14ac:dyDescent="0.3">
      <c r="A419" t="s">
        <v>603</v>
      </c>
      <c r="B419">
        <v>2693.58</v>
      </c>
      <c r="C419" t="s">
        <v>69</v>
      </c>
      <c r="D419">
        <v>24</v>
      </c>
      <c r="E419">
        <v>106.11</v>
      </c>
      <c r="F419" t="s">
        <v>74</v>
      </c>
      <c r="G419">
        <v>2</v>
      </c>
      <c r="H419">
        <v>73.47</v>
      </c>
    </row>
    <row r="420" spans="1:8" s="40" customFormat="1" x14ac:dyDescent="0.3">
      <c r="A420" s="41" t="s">
        <v>976</v>
      </c>
      <c r="B420" s="40">
        <f>D419*E420+G419*H420+J419*K420</f>
        <v>2693.5797831999994</v>
      </c>
      <c r="E420" s="40">
        <v>106.11004834999999</v>
      </c>
      <c r="H420" s="40">
        <v>73.469311399999995</v>
      </c>
    </row>
    <row r="421" spans="1:8" x14ac:dyDescent="0.3">
      <c r="A421" t="s">
        <v>600</v>
      </c>
      <c r="B421">
        <v>2302.21</v>
      </c>
      <c r="C421" t="s">
        <v>31</v>
      </c>
      <c r="D421">
        <v>24</v>
      </c>
      <c r="E421">
        <v>89.8</v>
      </c>
      <c r="F421" t="s">
        <v>74</v>
      </c>
      <c r="G421">
        <v>2</v>
      </c>
      <c r="H421">
        <v>73.47</v>
      </c>
    </row>
    <row r="422" spans="1:8" s="40" customFormat="1" x14ac:dyDescent="0.3">
      <c r="A422" s="41" t="s">
        <v>976</v>
      </c>
      <c r="B422" s="40">
        <f>D421*E422+G421*H422+J421*K422</f>
        <v>2302.2098019999999</v>
      </c>
      <c r="E422" s="40">
        <v>89.802965799999996</v>
      </c>
      <c r="H422" s="40">
        <v>73.469311399999995</v>
      </c>
    </row>
    <row r="423" spans="1:8" x14ac:dyDescent="0.3">
      <c r="A423" t="s">
        <v>615</v>
      </c>
      <c r="B423">
        <v>2693.58</v>
      </c>
      <c r="C423" t="s">
        <v>69</v>
      </c>
      <c r="D423">
        <v>24</v>
      </c>
      <c r="E423">
        <v>106.11</v>
      </c>
      <c r="F423" t="s">
        <v>74</v>
      </c>
      <c r="G423">
        <v>2</v>
      </c>
      <c r="H423">
        <v>73.47</v>
      </c>
    </row>
    <row r="424" spans="1:8" s="40" customFormat="1" x14ac:dyDescent="0.3">
      <c r="A424" s="41" t="s">
        <v>976</v>
      </c>
      <c r="B424" s="40">
        <f>D423*E424+G423*H424+J423*K424</f>
        <v>2693.5797831999994</v>
      </c>
      <c r="E424" s="40">
        <v>106.11004834999999</v>
      </c>
      <c r="H424" s="40">
        <v>73.469311399999995</v>
      </c>
    </row>
    <row r="425" spans="1:8" x14ac:dyDescent="0.3">
      <c r="A425" t="s">
        <v>610</v>
      </c>
      <c r="B425">
        <v>2302.21</v>
      </c>
      <c r="C425" t="s">
        <v>31</v>
      </c>
      <c r="D425">
        <v>24</v>
      </c>
      <c r="E425">
        <v>89.8</v>
      </c>
      <c r="F425" t="s">
        <v>74</v>
      </c>
      <c r="G425">
        <v>2</v>
      </c>
      <c r="H425">
        <v>73.47</v>
      </c>
    </row>
    <row r="426" spans="1:8" s="40" customFormat="1" x14ac:dyDescent="0.3">
      <c r="A426" s="41" t="s">
        <v>976</v>
      </c>
      <c r="B426" s="40">
        <f>D425*E426+G425*H426+J425*K426</f>
        <v>2302.2098019999999</v>
      </c>
      <c r="E426" s="40">
        <v>89.802965799999996</v>
      </c>
      <c r="H426" s="40">
        <v>73.469311399999995</v>
      </c>
    </row>
    <row r="427" spans="1:8" x14ac:dyDescent="0.3">
      <c r="A427" t="s">
        <v>608</v>
      </c>
      <c r="B427">
        <v>2302.21</v>
      </c>
      <c r="C427" t="s">
        <v>31</v>
      </c>
      <c r="D427">
        <v>24</v>
      </c>
      <c r="E427">
        <v>89.8</v>
      </c>
      <c r="F427" t="s">
        <v>74</v>
      </c>
      <c r="G427">
        <v>2</v>
      </c>
      <c r="H427">
        <v>73.47</v>
      </c>
    </row>
    <row r="428" spans="1:8" s="40" customFormat="1" x14ac:dyDescent="0.3">
      <c r="A428" s="41" t="s">
        <v>976</v>
      </c>
      <c r="B428" s="40">
        <f>D427*E428+G427*H428+J427*K428</f>
        <v>2302.2098019999999</v>
      </c>
      <c r="E428" s="40">
        <v>89.802965799999996</v>
      </c>
      <c r="H428" s="40">
        <v>73.469311399999995</v>
      </c>
    </row>
    <row r="429" spans="1:8" x14ac:dyDescent="0.3">
      <c r="A429" t="s">
        <v>612</v>
      </c>
      <c r="B429">
        <v>2693.58</v>
      </c>
      <c r="C429" t="s">
        <v>69</v>
      </c>
      <c r="D429">
        <v>24</v>
      </c>
      <c r="E429">
        <v>106.11</v>
      </c>
      <c r="F429" t="s">
        <v>74</v>
      </c>
      <c r="G429">
        <v>2</v>
      </c>
      <c r="H429">
        <v>73.47</v>
      </c>
    </row>
    <row r="430" spans="1:8" s="40" customFormat="1" x14ac:dyDescent="0.3">
      <c r="A430" s="41" t="s">
        <v>976</v>
      </c>
      <c r="B430" s="40">
        <f>D429*E430+G429*H430+J429*K430</f>
        <v>2693.5797831999994</v>
      </c>
      <c r="E430" s="40">
        <v>106.11004834999999</v>
      </c>
      <c r="H430" s="40">
        <v>73.469311399999995</v>
      </c>
    </row>
    <row r="431" spans="1:8" x14ac:dyDescent="0.3">
      <c r="A431" t="s">
        <v>609</v>
      </c>
      <c r="B431">
        <v>2302.21</v>
      </c>
      <c r="C431" t="s">
        <v>31</v>
      </c>
      <c r="D431">
        <v>24</v>
      </c>
      <c r="E431">
        <v>89.8</v>
      </c>
      <c r="F431" t="s">
        <v>74</v>
      </c>
      <c r="G431">
        <v>2</v>
      </c>
      <c r="H431">
        <v>73.47</v>
      </c>
    </row>
    <row r="432" spans="1:8" s="40" customFormat="1" x14ac:dyDescent="0.3">
      <c r="A432" s="41" t="s">
        <v>976</v>
      </c>
      <c r="B432" s="40">
        <f>D431*E432+G431*H432+J431*K432</f>
        <v>2302.2098019999999</v>
      </c>
      <c r="E432" s="40">
        <v>89.802965799999996</v>
      </c>
      <c r="H432" s="40">
        <v>73.469311399999995</v>
      </c>
    </row>
    <row r="433" spans="1:8" x14ac:dyDescent="0.3">
      <c r="A433" t="s">
        <v>613</v>
      </c>
      <c r="B433">
        <v>2693.58</v>
      </c>
      <c r="C433" t="s">
        <v>69</v>
      </c>
      <c r="D433">
        <v>24</v>
      </c>
      <c r="E433">
        <v>106.11</v>
      </c>
      <c r="F433" t="s">
        <v>74</v>
      </c>
      <c r="G433">
        <v>2</v>
      </c>
      <c r="H433">
        <v>73.47</v>
      </c>
    </row>
    <row r="434" spans="1:8" s="40" customFormat="1" x14ac:dyDescent="0.3">
      <c r="A434" s="41" t="s">
        <v>976</v>
      </c>
      <c r="B434" s="40">
        <f>D433*E434+G433*H434+J433*K434</f>
        <v>2693.5797831999994</v>
      </c>
      <c r="E434" s="40">
        <v>106.11004834999999</v>
      </c>
      <c r="H434" s="40">
        <v>73.469311399999995</v>
      </c>
    </row>
    <row r="435" spans="1:8" x14ac:dyDescent="0.3">
      <c r="A435" t="s">
        <v>614</v>
      </c>
      <c r="B435">
        <v>2302.21</v>
      </c>
      <c r="C435" t="s">
        <v>31</v>
      </c>
      <c r="D435">
        <v>24</v>
      </c>
      <c r="E435">
        <v>89.8</v>
      </c>
      <c r="F435" t="s">
        <v>74</v>
      </c>
      <c r="G435">
        <v>2</v>
      </c>
      <c r="H435">
        <v>73.47</v>
      </c>
    </row>
    <row r="436" spans="1:8" s="40" customFormat="1" x14ac:dyDescent="0.3">
      <c r="A436" s="41" t="s">
        <v>976</v>
      </c>
      <c r="B436" s="40">
        <f>D435*E436+G435*H436+J435*K436</f>
        <v>2302.2098019999999</v>
      </c>
      <c r="E436" s="40">
        <v>89.802965799999996</v>
      </c>
      <c r="H436" s="40">
        <v>73.469311399999995</v>
      </c>
    </row>
    <row r="437" spans="1:8" x14ac:dyDescent="0.3">
      <c r="A437" t="s">
        <v>611</v>
      </c>
      <c r="B437">
        <v>2693.58</v>
      </c>
      <c r="C437" t="s">
        <v>69</v>
      </c>
      <c r="D437">
        <v>24</v>
      </c>
      <c r="E437">
        <v>106.11</v>
      </c>
      <c r="F437" t="s">
        <v>74</v>
      </c>
      <c r="G437">
        <v>2</v>
      </c>
      <c r="H437">
        <v>73.47</v>
      </c>
    </row>
    <row r="438" spans="1:8" s="40" customFormat="1" x14ac:dyDescent="0.3">
      <c r="A438" s="41" t="s">
        <v>976</v>
      </c>
      <c r="B438" s="40">
        <f>D437*E438+G437*H438+J437*K438</f>
        <v>2693.5797831999994</v>
      </c>
      <c r="E438" s="40">
        <v>106.11004834999999</v>
      </c>
      <c r="H438" s="40">
        <v>73.469311399999995</v>
      </c>
    </row>
    <row r="439" spans="1:8" x14ac:dyDescent="0.3">
      <c r="A439" t="s">
        <v>616</v>
      </c>
      <c r="B439">
        <v>2302.21</v>
      </c>
      <c r="C439" t="s">
        <v>31</v>
      </c>
      <c r="D439">
        <v>24</v>
      </c>
      <c r="E439">
        <v>89.8</v>
      </c>
      <c r="F439" t="s">
        <v>74</v>
      </c>
      <c r="G439">
        <v>2</v>
      </c>
      <c r="H439">
        <v>73.47</v>
      </c>
    </row>
    <row r="440" spans="1:8" s="40" customFormat="1" x14ac:dyDescent="0.3">
      <c r="A440" s="41" t="s">
        <v>976</v>
      </c>
      <c r="B440" s="40">
        <f>D439*E440+G439*H440+J439*K440</f>
        <v>2302.2098019999999</v>
      </c>
      <c r="E440" s="40">
        <v>89.802965799999996</v>
      </c>
      <c r="H440" s="40">
        <v>73.469311399999995</v>
      </c>
    </row>
    <row r="441" spans="1:8" x14ac:dyDescent="0.3">
      <c r="A441" t="s">
        <v>622</v>
      </c>
      <c r="B441">
        <v>2693.58</v>
      </c>
      <c r="C441" t="s">
        <v>69</v>
      </c>
      <c r="D441">
        <v>24</v>
      </c>
      <c r="E441">
        <v>106.11</v>
      </c>
      <c r="F441" t="s">
        <v>74</v>
      </c>
      <c r="G441">
        <v>2</v>
      </c>
      <c r="H441">
        <v>73.47</v>
      </c>
    </row>
    <row r="442" spans="1:8" s="40" customFormat="1" x14ac:dyDescent="0.3">
      <c r="A442" s="41" t="s">
        <v>976</v>
      </c>
      <c r="B442" s="40">
        <f>D441*E442+G441*H442+J441*K442</f>
        <v>2693.5797831999994</v>
      </c>
      <c r="E442" s="40">
        <v>106.11004834999999</v>
      </c>
      <c r="H442" s="40">
        <v>73.469311399999995</v>
      </c>
    </row>
    <row r="443" spans="1:8" x14ac:dyDescent="0.3">
      <c r="A443" t="s">
        <v>618</v>
      </c>
      <c r="B443">
        <v>2302.21</v>
      </c>
      <c r="C443" t="s">
        <v>31</v>
      </c>
      <c r="D443">
        <v>24</v>
      </c>
      <c r="E443">
        <v>89.8</v>
      </c>
      <c r="F443" t="s">
        <v>74</v>
      </c>
      <c r="G443">
        <v>2</v>
      </c>
      <c r="H443">
        <v>73.47</v>
      </c>
    </row>
    <row r="444" spans="1:8" s="40" customFormat="1" x14ac:dyDescent="0.3">
      <c r="A444" s="41" t="s">
        <v>976</v>
      </c>
      <c r="B444" s="40">
        <f>D443*E444+G443*H444+J443*K444</f>
        <v>2302.2098019999999</v>
      </c>
      <c r="E444" s="40">
        <v>89.802965799999996</v>
      </c>
      <c r="H444" s="40">
        <v>73.469311399999995</v>
      </c>
    </row>
    <row r="445" spans="1:8" x14ac:dyDescent="0.3">
      <c r="A445" t="s">
        <v>623</v>
      </c>
      <c r="B445">
        <v>2693.58</v>
      </c>
      <c r="C445" t="s">
        <v>69</v>
      </c>
      <c r="D445">
        <v>24</v>
      </c>
      <c r="E445">
        <v>106.11</v>
      </c>
      <c r="F445" t="s">
        <v>74</v>
      </c>
      <c r="G445">
        <v>2</v>
      </c>
      <c r="H445">
        <v>73.47</v>
      </c>
    </row>
    <row r="446" spans="1:8" s="40" customFormat="1" x14ac:dyDescent="0.3">
      <c r="A446" s="41" t="s">
        <v>976</v>
      </c>
      <c r="B446" s="40">
        <f>D445*E446+G445*H446+J445*K446</f>
        <v>2693.5797831999994</v>
      </c>
      <c r="E446" s="40">
        <v>106.11004834999999</v>
      </c>
      <c r="H446" s="40">
        <v>73.469311399999995</v>
      </c>
    </row>
    <row r="447" spans="1:8" x14ac:dyDescent="0.3">
      <c r="A447" t="s">
        <v>617</v>
      </c>
      <c r="B447">
        <v>2302.21</v>
      </c>
      <c r="C447" t="s">
        <v>31</v>
      </c>
      <c r="D447">
        <v>24</v>
      </c>
      <c r="E447">
        <v>89.8</v>
      </c>
      <c r="F447" t="s">
        <v>74</v>
      </c>
      <c r="G447">
        <v>2</v>
      </c>
      <c r="H447">
        <v>73.47</v>
      </c>
    </row>
    <row r="448" spans="1:8" s="40" customFormat="1" x14ac:dyDescent="0.3">
      <c r="A448" s="41" t="s">
        <v>976</v>
      </c>
      <c r="B448" s="40">
        <f>D447*E448+G447*H448+J447*K448</f>
        <v>2302.2098019999999</v>
      </c>
      <c r="E448" s="40">
        <v>89.802965799999996</v>
      </c>
      <c r="H448" s="40">
        <v>73.469311399999995</v>
      </c>
    </row>
    <row r="449" spans="1:8" x14ac:dyDescent="0.3">
      <c r="A449" t="s">
        <v>621</v>
      </c>
      <c r="B449">
        <v>2693.58</v>
      </c>
      <c r="C449" t="s">
        <v>69</v>
      </c>
      <c r="D449">
        <v>24</v>
      </c>
      <c r="E449">
        <v>106.11</v>
      </c>
      <c r="F449" t="s">
        <v>74</v>
      </c>
      <c r="G449">
        <v>2</v>
      </c>
      <c r="H449">
        <v>73.47</v>
      </c>
    </row>
    <row r="450" spans="1:8" s="40" customFormat="1" x14ac:dyDescent="0.3">
      <c r="A450" s="41" t="s">
        <v>976</v>
      </c>
      <c r="B450" s="40">
        <f>D449*E450+G449*H450+J449*K450</f>
        <v>2693.5797831999994</v>
      </c>
      <c r="E450" s="40">
        <v>106.11004834999999</v>
      </c>
      <c r="H450" s="40">
        <v>73.469311399999995</v>
      </c>
    </row>
    <row r="451" spans="1:8" x14ac:dyDescent="0.3">
      <c r="A451" t="s">
        <v>620</v>
      </c>
      <c r="B451">
        <v>2302.21</v>
      </c>
      <c r="C451" t="s">
        <v>31</v>
      </c>
      <c r="D451">
        <v>24</v>
      </c>
      <c r="E451">
        <v>89.8</v>
      </c>
      <c r="F451" t="s">
        <v>74</v>
      </c>
      <c r="G451">
        <v>2</v>
      </c>
      <c r="H451">
        <v>73.47</v>
      </c>
    </row>
    <row r="452" spans="1:8" s="40" customFormat="1" x14ac:dyDescent="0.3">
      <c r="A452" s="41" t="s">
        <v>976</v>
      </c>
      <c r="B452" s="40">
        <f>D451*E452+G451*H452+J451*K452</f>
        <v>2302.2098019999999</v>
      </c>
      <c r="E452" s="40">
        <v>89.802965799999996</v>
      </c>
      <c r="H452" s="40">
        <v>73.469311399999995</v>
      </c>
    </row>
    <row r="453" spans="1:8" x14ac:dyDescent="0.3">
      <c r="A453" t="s">
        <v>619</v>
      </c>
      <c r="B453">
        <v>2693.58</v>
      </c>
      <c r="C453" t="s">
        <v>69</v>
      </c>
      <c r="D453">
        <v>24</v>
      </c>
      <c r="E453">
        <v>106.11</v>
      </c>
      <c r="F453" t="s">
        <v>74</v>
      </c>
      <c r="G453">
        <v>2</v>
      </c>
      <c r="H453">
        <v>73.47</v>
      </c>
    </row>
    <row r="454" spans="1:8" s="40" customFormat="1" x14ac:dyDescent="0.3">
      <c r="A454" s="41" t="s">
        <v>976</v>
      </c>
      <c r="B454" s="40">
        <f>D453*E454+G453*H454+J453*K454</f>
        <v>2693.5797831999994</v>
      </c>
      <c r="E454" s="40">
        <v>106.11004834999999</v>
      </c>
      <c r="H454" s="40">
        <v>73.469311399999995</v>
      </c>
    </row>
    <row r="455" spans="1:8" x14ac:dyDescent="0.3">
      <c r="A455" t="s">
        <v>624</v>
      </c>
      <c r="B455">
        <v>3624.01</v>
      </c>
      <c r="C455" t="s">
        <v>35</v>
      </c>
      <c r="D455">
        <v>24</v>
      </c>
      <c r="E455">
        <v>138.76</v>
      </c>
      <c r="F455" t="s">
        <v>79</v>
      </c>
      <c r="G455">
        <v>2</v>
      </c>
      <c r="H455">
        <v>146.87</v>
      </c>
    </row>
    <row r="456" spans="1:8" s="40" customFormat="1" x14ac:dyDescent="0.3">
      <c r="A456" s="41" t="s">
        <v>976</v>
      </c>
      <c r="B456" s="40">
        <f>D455*E456+G455*H456+J455*K456</f>
        <v>3624.0110315000002</v>
      </c>
      <c r="E456" s="40">
        <v>138.76129045000002</v>
      </c>
      <c r="H456" s="40">
        <v>146.87003034999998</v>
      </c>
    </row>
    <row r="457" spans="1:8" x14ac:dyDescent="0.3">
      <c r="A457" t="s">
        <v>625</v>
      </c>
      <c r="B457">
        <v>3624.01</v>
      </c>
      <c r="C457" t="s">
        <v>35</v>
      </c>
      <c r="D457">
        <v>24</v>
      </c>
      <c r="E457">
        <v>138.76</v>
      </c>
      <c r="F457" t="s">
        <v>79</v>
      </c>
      <c r="G457">
        <v>2</v>
      </c>
      <c r="H457">
        <v>146.87</v>
      </c>
    </row>
    <row r="458" spans="1:8" s="40" customFormat="1" x14ac:dyDescent="0.3">
      <c r="A458" s="41" t="s">
        <v>976</v>
      </c>
      <c r="B458" s="40">
        <f>D457*E458+G457*H458+J457*K458</f>
        <v>3624.0110315000002</v>
      </c>
      <c r="E458" s="40">
        <v>138.76129045000002</v>
      </c>
      <c r="H458" s="40">
        <v>146.87003034999998</v>
      </c>
    </row>
    <row r="459" spans="1:8" x14ac:dyDescent="0.3">
      <c r="A459" t="s">
        <v>626</v>
      </c>
      <c r="B459">
        <v>3624.01</v>
      </c>
      <c r="C459" t="s">
        <v>35</v>
      </c>
      <c r="D459">
        <v>24</v>
      </c>
      <c r="E459">
        <v>138.76</v>
      </c>
      <c r="F459" t="s">
        <v>79</v>
      </c>
      <c r="G459">
        <v>2</v>
      </c>
      <c r="H459">
        <v>146.87</v>
      </c>
    </row>
    <row r="460" spans="1:8" s="40" customFormat="1" x14ac:dyDescent="0.3">
      <c r="A460" s="41" t="s">
        <v>976</v>
      </c>
      <c r="B460" s="40">
        <f>D459*E460+G459*H460+J459*K460</f>
        <v>3624.0110315000002</v>
      </c>
      <c r="E460" s="40">
        <v>138.76129045000002</v>
      </c>
      <c r="H460" s="40">
        <v>146.87003034999998</v>
      </c>
    </row>
    <row r="461" spans="1:8" x14ac:dyDescent="0.3">
      <c r="A461" t="s">
        <v>630</v>
      </c>
      <c r="B461">
        <v>2497.65</v>
      </c>
      <c r="C461" t="s">
        <v>43</v>
      </c>
      <c r="D461">
        <v>24</v>
      </c>
      <c r="E461">
        <v>97.95</v>
      </c>
      <c r="F461" t="s">
        <v>74</v>
      </c>
      <c r="G461">
        <v>2</v>
      </c>
      <c r="H461">
        <v>73.47</v>
      </c>
    </row>
    <row r="462" spans="1:8" s="40" customFormat="1" x14ac:dyDescent="0.3">
      <c r="A462" s="41" t="s">
        <v>976</v>
      </c>
      <c r="B462" s="40">
        <f>D461*E462+G461*H462+J461*K462</f>
        <v>2497.6500843999997</v>
      </c>
      <c r="E462" s="40">
        <v>97.946310899999986</v>
      </c>
      <c r="H462" s="40">
        <v>73.469311399999995</v>
      </c>
    </row>
    <row r="463" spans="1:8" x14ac:dyDescent="0.3">
      <c r="A463" t="s">
        <v>629</v>
      </c>
      <c r="B463">
        <v>3624.01</v>
      </c>
      <c r="C463" t="s">
        <v>35</v>
      </c>
      <c r="D463">
        <v>24</v>
      </c>
      <c r="E463">
        <v>138.76</v>
      </c>
      <c r="F463" t="s">
        <v>79</v>
      </c>
      <c r="G463">
        <v>2</v>
      </c>
      <c r="H463">
        <v>146.87</v>
      </c>
    </row>
    <row r="464" spans="1:8" s="40" customFormat="1" x14ac:dyDescent="0.3">
      <c r="A464" s="41" t="s">
        <v>976</v>
      </c>
      <c r="B464" s="40">
        <f>D463*E464+G463*H464+J463*K464</f>
        <v>3624.0110315000002</v>
      </c>
      <c r="E464" s="40">
        <v>138.76129045000002</v>
      </c>
      <c r="H464" s="40">
        <v>146.87003034999998</v>
      </c>
    </row>
    <row r="465" spans="1:8" x14ac:dyDescent="0.3">
      <c r="A465" t="s">
        <v>627</v>
      </c>
      <c r="B465">
        <v>2497.65</v>
      </c>
      <c r="C465" t="s">
        <v>43</v>
      </c>
      <c r="D465">
        <v>24</v>
      </c>
      <c r="E465">
        <v>97.95</v>
      </c>
      <c r="F465" t="s">
        <v>74</v>
      </c>
      <c r="G465">
        <v>2</v>
      </c>
      <c r="H465">
        <v>73.47</v>
      </c>
    </row>
    <row r="466" spans="1:8" s="40" customFormat="1" x14ac:dyDescent="0.3">
      <c r="A466" s="41" t="s">
        <v>976</v>
      </c>
      <c r="B466" s="40">
        <f>D465*E466+G465*H466+J465*K466</f>
        <v>2497.6500843999997</v>
      </c>
      <c r="E466" s="40">
        <v>97.946310899999986</v>
      </c>
      <c r="H466" s="40">
        <v>73.469311399999995</v>
      </c>
    </row>
    <row r="467" spans="1:8" x14ac:dyDescent="0.3">
      <c r="A467" t="s">
        <v>631</v>
      </c>
      <c r="B467">
        <v>2497.65</v>
      </c>
      <c r="C467" t="s">
        <v>43</v>
      </c>
      <c r="D467">
        <v>24</v>
      </c>
      <c r="E467">
        <v>97.95</v>
      </c>
      <c r="F467" t="s">
        <v>74</v>
      </c>
      <c r="G467">
        <v>2</v>
      </c>
      <c r="H467">
        <v>73.47</v>
      </c>
    </row>
    <row r="468" spans="1:8" s="40" customFormat="1" x14ac:dyDescent="0.3">
      <c r="A468" s="41" t="s">
        <v>976</v>
      </c>
      <c r="B468" s="40">
        <f>D467*E468+G467*H468+J467*K468</f>
        <v>2497.6500843999997</v>
      </c>
      <c r="E468" s="40">
        <v>97.946310899999986</v>
      </c>
      <c r="H468" s="40">
        <v>73.469311399999995</v>
      </c>
    </row>
    <row r="469" spans="1:8" x14ac:dyDescent="0.3">
      <c r="A469" t="s">
        <v>628</v>
      </c>
      <c r="B469">
        <v>4211.71</v>
      </c>
      <c r="C469" t="s">
        <v>47</v>
      </c>
      <c r="D469">
        <v>24</v>
      </c>
      <c r="E469">
        <v>163.25</v>
      </c>
      <c r="F469" t="s">
        <v>79</v>
      </c>
      <c r="G469">
        <v>2</v>
      </c>
      <c r="H469">
        <v>146.87</v>
      </c>
    </row>
    <row r="470" spans="1:8" s="40" customFormat="1" x14ac:dyDescent="0.3">
      <c r="A470" s="41" t="s">
        <v>976</v>
      </c>
      <c r="B470" s="40">
        <f>D469*E470+G469*H470+J469*K470</f>
        <v>4211.7111430999994</v>
      </c>
      <c r="E470" s="40">
        <v>163.2487951</v>
      </c>
      <c r="H470" s="40">
        <v>146.87003034999998</v>
      </c>
    </row>
    <row r="471" spans="1:8" x14ac:dyDescent="0.3">
      <c r="A471" t="s">
        <v>632</v>
      </c>
      <c r="B471">
        <v>4211.71</v>
      </c>
      <c r="C471" t="s">
        <v>47</v>
      </c>
      <c r="D471">
        <v>24</v>
      </c>
      <c r="E471">
        <v>163.25</v>
      </c>
      <c r="F471" t="s">
        <v>79</v>
      </c>
      <c r="G471">
        <v>2</v>
      </c>
      <c r="H471">
        <v>146.87</v>
      </c>
    </row>
    <row r="472" spans="1:8" s="40" customFormat="1" x14ac:dyDescent="0.3">
      <c r="A472" s="41" t="s">
        <v>976</v>
      </c>
      <c r="B472" s="40">
        <f>D471*E472+G471*H472+J471*K472</f>
        <v>4211.7111430999994</v>
      </c>
      <c r="E472" s="40">
        <v>163.2487951</v>
      </c>
      <c r="H472" s="40">
        <v>146.87003034999998</v>
      </c>
    </row>
    <row r="473" spans="1:8" x14ac:dyDescent="0.3">
      <c r="A473" t="s">
        <v>634</v>
      </c>
      <c r="B473">
        <v>1877.53</v>
      </c>
      <c r="C473" t="s">
        <v>29</v>
      </c>
      <c r="D473">
        <v>24</v>
      </c>
      <c r="E473">
        <v>73.47</v>
      </c>
      <c r="F473" t="s">
        <v>89</v>
      </c>
      <c r="G473">
        <v>2</v>
      </c>
      <c r="H473">
        <v>57.14</v>
      </c>
    </row>
    <row r="474" spans="1:8" s="40" customFormat="1" x14ac:dyDescent="0.3">
      <c r="A474" s="41" t="s">
        <v>976</v>
      </c>
      <c r="B474" s="40">
        <f>D473*E474+G473*H474+J473*K474</f>
        <v>1877.5335517000001</v>
      </c>
      <c r="E474" s="40">
        <v>73.469311399999995</v>
      </c>
      <c r="H474" s="40">
        <v>57.135039049999996</v>
      </c>
    </row>
    <row r="475" spans="1:8" x14ac:dyDescent="0.3">
      <c r="A475" t="s">
        <v>633</v>
      </c>
      <c r="B475">
        <v>2269.54</v>
      </c>
      <c r="C475" t="s">
        <v>31</v>
      </c>
      <c r="D475">
        <v>24</v>
      </c>
      <c r="E475">
        <v>89.8</v>
      </c>
      <c r="F475" t="s">
        <v>89</v>
      </c>
      <c r="G475">
        <v>2</v>
      </c>
      <c r="H475">
        <v>57.14</v>
      </c>
    </row>
    <row r="476" spans="1:8" s="40" customFormat="1" x14ac:dyDescent="0.3">
      <c r="A476" s="41" t="s">
        <v>976</v>
      </c>
      <c r="B476" s="40">
        <f>D475*E476+G475*H476+J475*K476</f>
        <v>2269.5412572999999</v>
      </c>
      <c r="E476" s="40">
        <v>89.802965799999996</v>
      </c>
      <c r="H476" s="40">
        <v>57.135039049999996</v>
      </c>
    </row>
    <row r="477" spans="1:8" x14ac:dyDescent="0.3">
      <c r="A477" t="s">
        <v>636</v>
      </c>
      <c r="B477">
        <v>2269.54</v>
      </c>
      <c r="C477" t="s">
        <v>31</v>
      </c>
      <c r="D477">
        <v>24</v>
      </c>
      <c r="E477">
        <v>89.8</v>
      </c>
      <c r="F477" t="s">
        <v>89</v>
      </c>
      <c r="G477">
        <v>2</v>
      </c>
      <c r="H477">
        <v>57.14</v>
      </c>
    </row>
    <row r="478" spans="1:8" s="40" customFormat="1" x14ac:dyDescent="0.3">
      <c r="A478" s="41" t="s">
        <v>976</v>
      </c>
      <c r="B478" s="40">
        <f>D477*E478+G477*H478+J477*K478</f>
        <v>2269.5412572999999</v>
      </c>
      <c r="E478" s="40">
        <v>89.802965799999996</v>
      </c>
      <c r="H478" s="40">
        <v>57.135039049999996</v>
      </c>
    </row>
    <row r="479" spans="1:8" x14ac:dyDescent="0.3">
      <c r="A479" t="s">
        <v>637</v>
      </c>
      <c r="B479">
        <v>2024.15</v>
      </c>
      <c r="C479" t="s">
        <v>41</v>
      </c>
      <c r="D479">
        <v>24</v>
      </c>
      <c r="E479">
        <v>79.58</v>
      </c>
      <c r="F479" t="s">
        <v>89</v>
      </c>
      <c r="G479">
        <v>2</v>
      </c>
      <c r="H479">
        <v>57.14</v>
      </c>
    </row>
    <row r="480" spans="1:8" s="40" customFormat="1" x14ac:dyDescent="0.3">
      <c r="A480" s="41" t="s">
        <v>976</v>
      </c>
      <c r="B480" s="40">
        <f>D479*E480+G479*H480+J479*K480</f>
        <v>2024.1508405000002</v>
      </c>
      <c r="E480" s="40">
        <v>79.578365099999999</v>
      </c>
      <c r="H480" s="40">
        <v>57.135039049999996</v>
      </c>
    </row>
    <row r="481" spans="1:11" x14ac:dyDescent="0.3">
      <c r="A481" t="s">
        <v>635</v>
      </c>
      <c r="B481">
        <v>2269.54</v>
      </c>
      <c r="C481" t="s">
        <v>31</v>
      </c>
      <c r="D481">
        <v>24</v>
      </c>
      <c r="E481">
        <v>89.8</v>
      </c>
      <c r="F481" t="s">
        <v>89</v>
      </c>
      <c r="G481">
        <v>2</v>
      </c>
      <c r="H481">
        <v>57.14</v>
      </c>
    </row>
    <row r="482" spans="1:11" s="40" customFormat="1" x14ac:dyDescent="0.3">
      <c r="A482" s="41" t="s">
        <v>976</v>
      </c>
      <c r="B482" s="40">
        <f>D481*E482+G481*H482+J481*K482</f>
        <v>2269.5412572999999</v>
      </c>
      <c r="E482" s="40">
        <v>89.802965799999996</v>
      </c>
      <c r="H482" s="40">
        <v>57.135039049999996</v>
      </c>
    </row>
    <row r="483" spans="1:11" x14ac:dyDescent="0.3">
      <c r="A483" t="s">
        <v>638</v>
      </c>
      <c r="B483">
        <v>979.22</v>
      </c>
      <c r="C483" t="s">
        <v>24</v>
      </c>
      <c r="D483">
        <v>24</v>
      </c>
      <c r="E483">
        <v>40.799999999999997</v>
      </c>
    </row>
    <row r="484" spans="1:11" s="40" customFormat="1" x14ac:dyDescent="0.3">
      <c r="A484" s="41" t="s">
        <v>976</v>
      </c>
      <c r="B484" s="40">
        <f>D483*E484+G483*H484+J483*K484</f>
        <v>979.21840079999993</v>
      </c>
      <c r="E484" s="40">
        <v>40.800766699999997</v>
      </c>
    </row>
    <row r="485" spans="1:11" x14ac:dyDescent="0.3">
      <c r="A485" t="s">
        <v>640</v>
      </c>
      <c r="B485">
        <v>2155.27</v>
      </c>
      <c r="C485" t="s">
        <v>31</v>
      </c>
      <c r="D485">
        <v>24</v>
      </c>
      <c r="E485">
        <v>89.8</v>
      </c>
    </row>
    <row r="486" spans="1:11" s="40" customFormat="1" x14ac:dyDescent="0.3">
      <c r="A486" s="41" t="s">
        <v>976</v>
      </c>
      <c r="B486" s="40">
        <f>D485*E486+G485*H486+J485*K486</f>
        <v>2155.2711792</v>
      </c>
      <c r="E486" s="40">
        <v>89.802965799999996</v>
      </c>
    </row>
    <row r="487" spans="1:11" x14ac:dyDescent="0.3">
      <c r="A487" t="s">
        <v>639</v>
      </c>
      <c r="B487">
        <v>1371.24</v>
      </c>
      <c r="C487" t="s">
        <v>27</v>
      </c>
      <c r="D487">
        <v>24</v>
      </c>
      <c r="E487">
        <v>57.14</v>
      </c>
    </row>
    <row r="488" spans="1:11" s="40" customFormat="1" x14ac:dyDescent="0.3">
      <c r="A488" s="41" t="s">
        <v>976</v>
      </c>
      <c r="B488" s="40">
        <f>D487*E488+G487*H488+J487*K488</f>
        <v>1371.2409372</v>
      </c>
      <c r="E488" s="40">
        <v>57.135039049999996</v>
      </c>
    </row>
    <row r="489" spans="1:11" x14ac:dyDescent="0.3">
      <c r="A489" t="s">
        <v>642</v>
      </c>
      <c r="B489">
        <v>1452.84</v>
      </c>
      <c r="C489" t="s">
        <v>27</v>
      </c>
      <c r="D489">
        <v>24</v>
      </c>
      <c r="E489">
        <v>57.14</v>
      </c>
      <c r="F489" t="s">
        <v>99</v>
      </c>
      <c r="G489">
        <v>2</v>
      </c>
      <c r="H489">
        <v>40.799999999999997</v>
      </c>
    </row>
    <row r="490" spans="1:11" s="40" customFormat="1" x14ac:dyDescent="0.3">
      <c r="A490" s="41" t="s">
        <v>976</v>
      </c>
      <c r="B490" s="40">
        <f>D489*E490+G489*H490+J489*K490</f>
        <v>1452.8429760831</v>
      </c>
      <c r="E490" s="40">
        <v>57.135039049999996</v>
      </c>
      <c r="H490" s="40">
        <v>40.80101944154999</v>
      </c>
    </row>
    <row r="491" spans="1:11" x14ac:dyDescent="0.3">
      <c r="A491" t="s">
        <v>641</v>
      </c>
      <c r="B491">
        <v>4358.12</v>
      </c>
      <c r="C491" t="s">
        <v>57</v>
      </c>
      <c r="D491">
        <v>24</v>
      </c>
      <c r="E491">
        <v>146.91999999999999</v>
      </c>
      <c r="F491" t="s">
        <v>119</v>
      </c>
      <c r="G491">
        <v>2</v>
      </c>
      <c r="H491">
        <v>97.94</v>
      </c>
      <c r="I491" t="s">
        <v>137</v>
      </c>
      <c r="J491">
        <v>26</v>
      </c>
      <c r="K491">
        <v>24.47</v>
      </c>
    </row>
    <row r="492" spans="1:11" s="40" customFormat="1" x14ac:dyDescent="0.3">
      <c r="A492" s="41" t="s">
        <v>976</v>
      </c>
      <c r="B492" s="40">
        <f>D491*E492+G491*H492+J491*K492</f>
        <v>4358.1244330100999</v>
      </c>
      <c r="E492" s="40">
        <v>146.9213202</v>
      </c>
      <c r="H492" s="40">
        <v>97.936115342949989</v>
      </c>
      <c r="K492" s="40">
        <v>24.466942981699997</v>
      </c>
    </row>
    <row r="493" spans="1:11" x14ac:dyDescent="0.3">
      <c r="A493" t="s">
        <v>643</v>
      </c>
      <c r="B493">
        <v>4358.12</v>
      </c>
      <c r="C493" t="s">
        <v>57</v>
      </c>
      <c r="D493">
        <v>24</v>
      </c>
      <c r="E493">
        <v>146.91999999999999</v>
      </c>
      <c r="F493" t="s">
        <v>119</v>
      </c>
      <c r="G493">
        <v>2</v>
      </c>
      <c r="H493">
        <v>97.94</v>
      </c>
      <c r="I493" t="s">
        <v>137</v>
      </c>
      <c r="J493">
        <v>26</v>
      </c>
      <c r="K493">
        <v>24.47</v>
      </c>
    </row>
    <row r="494" spans="1:11" s="40" customFormat="1" x14ac:dyDescent="0.3">
      <c r="A494" s="41" t="s">
        <v>976</v>
      </c>
      <c r="B494" s="40">
        <f>D493*E494+G493*H494+J493*K494</f>
        <v>4358.1244330100999</v>
      </c>
      <c r="E494" s="40">
        <v>146.9213202</v>
      </c>
      <c r="H494" s="40">
        <v>97.936115342949989</v>
      </c>
      <c r="K494" s="40">
        <v>24.466942981699997</v>
      </c>
    </row>
    <row r="495" spans="1:11" x14ac:dyDescent="0.3">
      <c r="A495" t="s">
        <v>644</v>
      </c>
      <c r="B495">
        <v>2987.28</v>
      </c>
      <c r="C495" t="s">
        <v>31</v>
      </c>
      <c r="D495">
        <v>24</v>
      </c>
      <c r="E495">
        <v>89.8</v>
      </c>
      <c r="F495" t="s">
        <v>110</v>
      </c>
      <c r="G495">
        <v>2</v>
      </c>
      <c r="H495">
        <v>97.94</v>
      </c>
      <c r="I495" t="s">
        <v>137</v>
      </c>
      <c r="J495">
        <v>26</v>
      </c>
      <c r="K495">
        <v>24.47</v>
      </c>
    </row>
    <row r="496" spans="1:11" s="40" customFormat="1" x14ac:dyDescent="0.3">
      <c r="A496" s="41" t="s">
        <v>976</v>
      </c>
      <c r="B496" s="40">
        <f>D495*E496+G495*H496+J495*K496</f>
        <v>2987.2839274100997</v>
      </c>
      <c r="E496" s="40">
        <v>89.802965799999996</v>
      </c>
      <c r="H496" s="40">
        <v>97.936115342949989</v>
      </c>
      <c r="K496" s="40">
        <v>24.466942981699997</v>
      </c>
    </row>
    <row r="497" spans="1:11" x14ac:dyDescent="0.3">
      <c r="A497" t="s">
        <v>646</v>
      </c>
      <c r="B497">
        <v>2987.28</v>
      </c>
      <c r="C497" t="s">
        <v>31</v>
      </c>
      <c r="D497">
        <v>24</v>
      </c>
      <c r="E497">
        <v>89.8</v>
      </c>
      <c r="F497" t="s">
        <v>110</v>
      </c>
      <c r="G497">
        <v>2</v>
      </c>
      <c r="H497">
        <v>97.94</v>
      </c>
      <c r="I497" t="s">
        <v>137</v>
      </c>
      <c r="J497">
        <v>26</v>
      </c>
      <c r="K497">
        <v>24.47</v>
      </c>
    </row>
    <row r="498" spans="1:11" s="40" customFormat="1" x14ac:dyDescent="0.3">
      <c r="A498" s="41" t="s">
        <v>976</v>
      </c>
      <c r="B498" s="40">
        <f>D497*E498+G497*H498+J497*K498</f>
        <v>2987.2839274100997</v>
      </c>
      <c r="E498" s="40">
        <v>89.802965799999996</v>
      </c>
      <c r="H498" s="40">
        <v>97.936115342949989</v>
      </c>
      <c r="K498" s="40">
        <v>24.466942981699997</v>
      </c>
    </row>
    <row r="499" spans="1:11" x14ac:dyDescent="0.3">
      <c r="A499" t="s">
        <v>649</v>
      </c>
      <c r="B499">
        <v>1763.26</v>
      </c>
      <c r="C499" t="s">
        <v>65</v>
      </c>
      <c r="D499">
        <v>22</v>
      </c>
      <c r="E499">
        <v>73.47</v>
      </c>
      <c r="F499" t="s">
        <v>72</v>
      </c>
      <c r="G499">
        <v>2</v>
      </c>
      <c r="H499">
        <v>73.47</v>
      </c>
    </row>
    <row r="500" spans="1:11" s="40" customFormat="1" x14ac:dyDescent="0.3">
      <c r="A500" s="41" t="s">
        <v>976</v>
      </c>
      <c r="B500" s="40">
        <f>D499*E500+G499*H500+J499*K500</f>
        <v>1763.2634736</v>
      </c>
      <c r="E500" s="40">
        <v>73.469311399999995</v>
      </c>
      <c r="H500" s="40">
        <v>73.469311399999995</v>
      </c>
    </row>
    <row r="501" spans="1:11" x14ac:dyDescent="0.3">
      <c r="A501" t="s">
        <v>645</v>
      </c>
      <c r="B501">
        <v>2987.28</v>
      </c>
      <c r="C501" t="s">
        <v>31</v>
      </c>
      <c r="D501">
        <v>24</v>
      </c>
      <c r="E501">
        <v>89.8</v>
      </c>
      <c r="F501" t="s">
        <v>110</v>
      </c>
      <c r="G501">
        <v>2</v>
      </c>
      <c r="H501">
        <v>97.94</v>
      </c>
      <c r="I501" t="s">
        <v>137</v>
      </c>
      <c r="J501">
        <v>26</v>
      </c>
      <c r="K501">
        <v>24.47</v>
      </c>
    </row>
    <row r="502" spans="1:11" s="40" customFormat="1" x14ac:dyDescent="0.3">
      <c r="A502" s="41" t="s">
        <v>976</v>
      </c>
      <c r="B502" s="40">
        <f>D501*E502+G501*H502+J501*K502</f>
        <v>2987.2839274100997</v>
      </c>
      <c r="E502" s="40">
        <v>89.802965799999996</v>
      </c>
      <c r="H502" s="40">
        <v>97.936115342949989</v>
      </c>
      <c r="K502" s="40">
        <v>24.466942981699997</v>
      </c>
    </row>
    <row r="503" spans="1:11" x14ac:dyDescent="0.3">
      <c r="A503" t="s">
        <v>648</v>
      </c>
      <c r="B503">
        <v>2122.6</v>
      </c>
      <c r="C503" t="s">
        <v>31</v>
      </c>
      <c r="D503">
        <v>22</v>
      </c>
      <c r="E503">
        <v>89.8</v>
      </c>
      <c r="F503" t="s">
        <v>74</v>
      </c>
      <c r="G503">
        <v>2</v>
      </c>
      <c r="H503">
        <v>73.47</v>
      </c>
    </row>
    <row r="504" spans="1:11" s="40" customFormat="1" x14ac:dyDescent="0.3">
      <c r="A504" s="41" t="s">
        <v>976</v>
      </c>
      <c r="B504" s="40">
        <f>D503*E504+G503*H504+J503*K504</f>
        <v>2122.6038703999998</v>
      </c>
      <c r="E504" s="40">
        <v>89.802965799999996</v>
      </c>
      <c r="H504" s="40">
        <v>73.469311399999995</v>
      </c>
    </row>
    <row r="505" spans="1:11" x14ac:dyDescent="0.3">
      <c r="A505" t="s">
        <v>647</v>
      </c>
      <c r="B505">
        <v>2987.28</v>
      </c>
      <c r="C505" t="s">
        <v>31</v>
      </c>
      <c r="D505">
        <v>24</v>
      </c>
      <c r="E505">
        <v>89.8</v>
      </c>
      <c r="F505" t="s">
        <v>110</v>
      </c>
      <c r="G505">
        <v>2</v>
      </c>
      <c r="H505">
        <v>97.94</v>
      </c>
      <c r="I505" t="s">
        <v>137</v>
      </c>
      <c r="J505">
        <v>26</v>
      </c>
      <c r="K505">
        <v>24.47</v>
      </c>
    </row>
    <row r="506" spans="1:11" s="40" customFormat="1" x14ac:dyDescent="0.3">
      <c r="A506" s="41" t="s">
        <v>976</v>
      </c>
      <c r="B506" s="40">
        <f>D505*E506+G505*H506+J505*K506</f>
        <v>2987.2839274100997</v>
      </c>
      <c r="E506" s="40">
        <v>89.802965799999996</v>
      </c>
      <c r="H506" s="40">
        <v>97.936115342949989</v>
      </c>
      <c r="K506" s="40">
        <v>24.466942981699997</v>
      </c>
    </row>
    <row r="507" spans="1:11" x14ac:dyDescent="0.3">
      <c r="A507" t="s">
        <v>650</v>
      </c>
      <c r="B507">
        <v>2032.8</v>
      </c>
      <c r="C507" t="s">
        <v>31</v>
      </c>
      <c r="D507">
        <v>21</v>
      </c>
      <c r="E507">
        <v>89.8</v>
      </c>
      <c r="F507" t="s">
        <v>74</v>
      </c>
      <c r="G507">
        <v>2</v>
      </c>
      <c r="H507">
        <v>73.47</v>
      </c>
    </row>
    <row r="508" spans="1:11" s="40" customFormat="1" x14ac:dyDescent="0.3">
      <c r="A508" s="41" t="s">
        <v>976</v>
      </c>
      <c r="B508" s="40">
        <f>D507*E508+G507*H508+J507*K508</f>
        <v>2032.8009046</v>
      </c>
      <c r="E508" s="40">
        <v>89.802965799999996</v>
      </c>
      <c r="H508" s="40">
        <v>73.469311399999995</v>
      </c>
    </row>
    <row r="509" spans="1:11" x14ac:dyDescent="0.3">
      <c r="A509" t="s">
        <v>651</v>
      </c>
      <c r="B509">
        <v>3085.37</v>
      </c>
      <c r="C509" t="s">
        <v>57</v>
      </c>
      <c r="D509">
        <v>20</v>
      </c>
      <c r="E509">
        <v>146.91999999999999</v>
      </c>
      <c r="F509" t="s">
        <v>83</v>
      </c>
      <c r="G509">
        <v>2</v>
      </c>
      <c r="H509">
        <v>73.47</v>
      </c>
    </row>
    <row r="510" spans="1:11" s="40" customFormat="1" x14ac:dyDescent="0.3">
      <c r="A510" s="41" t="s">
        <v>976</v>
      </c>
      <c r="B510" s="40">
        <f>D509*E510+G509*H510+J509*K510</f>
        <v>3085.3650267999997</v>
      </c>
      <c r="E510" s="40">
        <v>146.9213202</v>
      </c>
      <c r="H510" s="40">
        <v>73.469311399999995</v>
      </c>
    </row>
    <row r="511" spans="1:11" x14ac:dyDescent="0.3">
      <c r="A511" t="s">
        <v>652</v>
      </c>
      <c r="B511">
        <v>1289.6400000000001</v>
      </c>
      <c r="C511" t="s">
        <v>27</v>
      </c>
      <c r="D511">
        <v>20</v>
      </c>
      <c r="E511">
        <v>57.14</v>
      </c>
      <c r="F511" t="s">
        <v>72</v>
      </c>
      <c r="G511">
        <v>2</v>
      </c>
      <c r="H511">
        <v>73.47</v>
      </c>
    </row>
    <row r="512" spans="1:11" s="40" customFormat="1" x14ac:dyDescent="0.3">
      <c r="A512" s="41" t="s">
        <v>976</v>
      </c>
      <c r="B512" s="40">
        <f>D511*E512+G511*H512+J511*K512</f>
        <v>1289.6394038000001</v>
      </c>
      <c r="E512" s="40">
        <v>57.135039049999996</v>
      </c>
      <c r="H512" s="40">
        <v>73.469311399999995</v>
      </c>
    </row>
    <row r="513" spans="1:8" x14ac:dyDescent="0.3">
      <c r="A513" t="s">
        <v>655</v>
      </c>
      <c r="B513">
        <v>1289.6400000000001</v>
      </c>
      <c r="C513" t="s">
        <v>27</v>
      </c>
      <c r="D513">
        <v>20</v>
      </c>
      <c r="E513">
        <v>57.14</v>
      </c>
      <c r="F513" t="s">
        <v>72</v>
      </c>
      <c r="G513">
        <v>2</v>
      </c>
      <c r="H513">
        <v>73.47</v>
      </c>
    </row>
    <row r="514" spans="1:8" s="40" customFormat="1" x14ac:dyDescent="0.3">
      <c r="A514" s="41" t="s">
        <v>976</v>
      </c>
      <c r="B514" s="40">
        <f>D513*E514+G513*H514+J513*K514</f>
        <v>1289.6394038000001</v>
      </c>
      <c r="E514" s="40">
        <v>57.135039049999996</v>
      </c>
      <c r="H514" s="40">
        <v>73.469311399999995</v>
      </c>
    </row>
    <row r="515" spans="1:8" x14ac:dyDescent="0.3">
      <c r="A515" t="s">
        <v>654</v>
      </c>
      <c r="B515">
        <v>1289.6400000000001</v>
      </c>
      <c r="C515" t="s">
        <v>27</v>
      </c>
      <c r="D515">
        <v>20</v>
      </c>
      <c r="E515">
        <v>57.14</v>
      </c>
      <c r="F515" t="s">
        <v>72</v>
      </c>
      <c r="G515">
        <v>2</v>
      </c>
      <c r="H515">
        <v>73.47</v>
      </c>
    </row>
    <row r="516" spans="1:8" s="40" customFormat="1" x14ac:dyDescent="0.3">
      <c r="A516" s="41" t="s">
        <v>976</v>
      </c>
      <c r="B516" s="40">
        <f>D515*E516+G515*H516+J515*K516</f>
        <v>1289.6394038000001</v>
      </c>
      <c r="E516" s="40">
        <v>57.135039049999996</v>
      </c>
      <c r="H516" s="40">
        <v>73.469311399999995</v>
      </c>
    </row>
    <row r="517" spans="1:8" x14ac:dyDescent="0.3">
      <c r="A517" t="s">
        <v>656</v>
      </c>
      <c r="B517">
        <v>1289.6400000000001</v>
      </c>
      <c r="C517" t="s">
        <v>27</v>
      </c>
      <c r="D517">
        <v>20</v>
      </c>
      <c r="E517">
        <v>57.14</v>
      </c>
      <c r="F517" t="s">
        <v>72</v>
      </c>
      <c r="G517">
        <v>2</v>
      </c>
      <c r="H517">
        <v>73.47</v>
      </c>
    </row>
    <row r="518" spans="1:8" s="40" customFormat="1" x14ac:dyDescent="0.3">
      <c r="A518" s="41" t="s">
        <v>976</v>
      </c>
      <c r="B518" s="40">
        <f>D517*E518+G517*H518+J517*K518</f>
        <v>1289.6394038000001</v>
      </c>
      <c r="E518" s="40">
        <v>57.135039049999996</v>
      </c>
      <c r="H518" s="40">
        <v>73.469311399999995</v>
      </c>
    </row>
    <row r="519" spans="1:8" x14ac:dyDescent="0.3">
      <c r="A519" t="s">
        <v>653</v>
      </c>
      <c r="B519">
        <v>1616.32</v>
      </c>
      <c r="C519" t="s">
        <v>65</v>
      </c>
      <c r="D519">
        <v>20</v>
      </c>
      <c r="E519">
        <v>73.47</v>
      </c>
      <c r="F519" t="s">
        <v>72</v>
      </c>
      <c r="G519">
        <v>2</v>
      </c>
      <c r="H519">
        <v>73.47</v>
      </c>
    </row>
    <row r="520" spans="1:8" s="40" customFormat="1" x14ac:dyDescent="0.3">
      <c r="A520" s="41" t="s">
        <v>976</v>
      </c>
      <c r="B520" s="40">
        <f>D519*E520+G519*H520+J519*K520</f>
        <v>1616.3248507999999</v>
      </c>
      <c r="E520" s="40">
        <v>73.469311399999995</v>
      </c>
      <c r="H520" s="40">
        <v>73.469311399999995</v>
      </c>
    </row>
    <row r="521" spans="1:8" x14ac:dyDescent="0.3">
      <c r="A521" t="s">
        <v>657</v>
      </c>
      <c r="B521">
        <v>1289.6400000000001</v>
      </c>
      <c r="C521" t="s">
        <v>27</v>
      </c>
      <c r="D521">
        <v>20</v>
      </c>
      <c r="E521">
        <v>57.14</v>
      </c>
      <c r="F521" t="s">
        <v>72</v>
      </c>
      <c r="G521">
        <v>2</v>
      </c>
      <c r="H521">
        <v>73.47</v>
      </c>
    </row>
    <row r="522" spans="1:8" s="40" customFormat="1" x14ac:dyDescent="0.3">
      <c r="A522" s="41" t="s">
        <v>976</v>
      </c>
      <c r="B522" s="40">
        <f>D521*E522+G521*H522+J521*K522</f>
        <v>1289.6394038000001</v>
      </c>
      <c r="E522" s="40">
        <v>57.135039049999996</v>
      </c>
      <c r="H522" s="40">
        <v>73.469311399999995</v>
      </c>
    </row>
    <row r="523" spans="1:8" x14ac:dyDescent="0.3">
      <c r="A523" t="s">
        <v>658</v>
      </c>
      <c r="B523">
        <v>1289.6400000000001</v>
      </c>
      <c r="C523" t="s">
        <v>27</v>
      </c>
      <c r="D523">
        <v>20</v>
      </c>
      <c r="E523">
        <v>57.14</v>
      </c>
      <c r="F523" t="s">
        <v>72</v>
      </c>
      <c r="G523">
        <v>2</v>
      </c>
      <c r="H523">
        <v>73.47</v>
      </c>
    </row>
    <row r="524" spans="1:8" s="40" customFormat="1" x14ac:dyDescent="0.3">
      <c r="A524" s="41" t="s">
        <v>976</v>
      </c>
      <c r="B524" s="40">
        <f>D523*E524+G523*H524+J523*K524</f>
        <v>1289.6394038000001</v>
      </c>
      <c r="E524" s="40">
        <v>57.135039049999996</v>
      </c>
      <c r="H524" s="40">
        <v>73.469311399999995</v>
      </c>
    </row>
    <row r="525" spans="1:8" x14ac:dyDescent="0.3">
      <c r="A525" t="s">
        <v>659</v>
      </c>
      <c r="B525">
        <v>1616.32</v>
      </c>
      <c r="C525" t="s">
        <v>29</v>
      </c>
      <c r="D525">
        <v>20</v>
      </c>
      <c r="E525">
        <v>73.47</v>
      </c>
      <c r="F525" t="s">
        <v>74</v>
      </c>
      <c r="G525">
        <v>2</v>
      </c>
      <c r="H525">
        <v>73.47</v>
      </c>
    </row>
    <row r="526" spans="1:8" s="40" customFormat="1" x14ac:dyDescent="0.3">
      <c r="A526" s="41" t="s">
        <v>976</v>
      </c>
      <c r="B526" s="40">
        <f>D525*E526+G525*H526+J525*K526</f>
        <v>1616.3248507999999</v>
      </c>
      <c r="E526" s="40">
        <v>73.469311399999995</v>
      </c>
      <c r="H526" s="40">
        <v>73.469311399999995</v>
      </c>
    </row>
    <row r="527" spans="1:8" x14ac:dyDescent="0.3">
      <c r="A527" t="s">
        <v>660</v>
      </c>
      <c r="B527">
        <v>1616.32</v>
      </c>
      <c r="C527" t="s">
        <v>29</v>
      </c>
      <c r="D527">
        <v>20</v>
      </c>
      <c r="E527">
        <v>73.47</v>
      </c>
      <c r="F527" t="s">
        <v>74</v>
      </c>
      <c r="G527">
        <v>2</v>
      </c>
      <c r="H527">
        <v>73.47</v>
      </c>
    </row>
    <row r="528" spans="1:8" s="40" customFormat="1" x14ac:dyDescent="0.3">
      <c r="A528" s="41" t="s">
        <v>976</v>
      </c>
      <c r="B528" s="40">
        <f>D527*E528+G527*H528+J527*K528</f>
        <v>1616.3248507999999</v>
      </c>
      <c r="E528" s="40">
        <v>73.469311399999995</v>
      </c>
      <c r="H528" s="40">
        <v>73.469311399999995</v>
      </c>
    </row>
    <row r="529" spans="1:11" x14ac:dyDescent="0.3">
      <c r="A529" t="s">
        <v>661</v>
      </c>
      <c r="B529">
        <v>2432.6799999999998</v>
      </c>
      <c r="C529" t="s">
        <v>31</v>
      </c>
      <c r="D529">
        <v>20</v>
      </c>
      <c r="E529">
        <v>89.8</v>
      </c>
      <c r="F529" t="s">
        <v>74</v>
      </c>
      <c r="G529">
        <v>2</v>
      </c>
      <c r="H529">
        <v>73.47</v>
      </c>
      <c r="I529" t="s">
        <v>150</v>
      </c>
      <c r="J529">
        <v>5</v>
      </c>
      <c r="K529">
        <v>97.94</v>
      </c>
    </row>
    <row r="530" spans="1:11" s="40" customFormat="1" x14ac:dyDescent="0.3">
      <c r="A530" s="41" t="s">
        <v>976</v>
      </c>
      <c r="B530" s="40">
        <f>D529*E530+G529*H530+J529*K530</f>
        <v>2432.67851551475</v>
      </c>
      <c r="E530" s="40">
        <v>89.802965799999996</v>
      </c>
      <c r="H530" s="40">
        <v>73.469311399999995</v>
      </c>
      <c r="K530" s="40">
        <v>97.936115342949989</v>
      </c>
    </row>
    <row r="531" spans="1:11" x14ac:dyDescent="0.3">
      <c r="A531" t="s">
        <v>662</v>
      </c>
      <c r="B531">
        <v>1943</v>
      </c>
      <c r="C531" t="s">
        <v>31</v>
      </c>
      <c r="D531">
        <v>20</v>
      </c>
      <c r="E531">
        <v>89.8</v>
      </c>
      <c r="F531" t="s">
        <v>74</v>
      </c>
      <c r="G531">
        <v>2</v>
      </c>
      <c r="H531">
        <v>73.47</v>
      </c>
    </row>
    <row r="532" spans="1:11" s="40" customFormat="1" x14ac:dyDescent="0.3">
      <c r="A532" s="41" t="s">
        <v>976</v>
      </c>
      <c r="B532" s="40">
        <f>D531*E532+G531*H532+J531*K532</f>
        <v>1942.9979387999999</v>
      </c>
      <c r="E532" s="40">
        <v>89.802965799999996</v>
      </c>
      <c r="H532" s="40">
        <v>73.469311399999995</v>
      </c>
    </row>
    <row r="533" spans="1:11" x14ac:dyDescent="0.3">
      <c r="A533" t="s">
        <v>663</v>
      </c>
      <c r="B533">
        <v>4815.4799999999996</v>
      </c>
      <c r="C533" t="s">
        <v>69</v>
      </c>
      <c r="D533">
        <v>20</v>
      </c>
      <c r="E533">
        <v>106.11</v>
      </c>
      <c r="F533" t="s">
        <v>74</v>
      </c>
      <c r="G533">
        <v>2</v>
      </c>
      <c r="H533">
        <v>73.47</v>
      </c>
      <c r="I533" t="s">
        <v>160</v>
      </c>
      <c r="J533">
        <v>26</v>
      </c>
      <c r="K533">
        <v>97.94</v>
      </c>
    </row>
    <row r="534" spans="1:11" s="40" customFormat="1" x14ac:dyDescent="0.3">
      <c r="A534" s="41" t="s">
        <v>976</v>
      </c>
      <c r="B534" s="40">
        <f>D533*E534+G533*H534+J533*K534</f>
        <v>4815.4785887167</v>
      </c>
      <c r="E534" s="40">
        <v>106.11004834999999</v>
      </c>
      <c r="H534" s="40">
        <v>73.469311399999995</v>
      </c>
      <c r="K534" s="40">
        <v>97.936115342949989</v>
      </c>
    </row>
    <row r="535" spans="1:11" x14ac:dyDescent="0.3">
      <c r="A535" t="s">
        <v>664</v>
      </c>
      <c r="B535">
        <v>1943</v>
      </c>
      <c r="C535" t="s">
        <v>31</v>
      </c>
      <c r="D535">
        <v>20</v>
      </c>
      <c r="E535">
        <v>89.8</v>
      </c>
      <c r="F535" t="s">
        <v>74</v>
      </c>
      <c r="G535">
        <v>2</v>
      </c>
      <c r="H535">
        <v>73.47</v>
      </c>
    </row>
    <row r="536" spans="1:11" s="40" customFormat="1" x14ac:dyDescent="0.3">
      <c r="A536" s="41" t="s">
        <v>976</v>
      </c>
      <c r="B536" s="40">
        <f>D535*E536+G535*H536+J535*K536</f>
        <v>1942.9979387999999</v>
      </c>
      <c r="E536" s="40">
        <v>89.802965799999996</v>
      </c>
      <c r="H536" s="40">
        <v>73.469311399999995</v>
      </c>
    </row>
    <row r="537" spans="1:11" x14ac:dyDescent="0.3">
      <c r="A537" t="s">
        <v>666</v>
      </c>
      <c r="B537">
        <v>1943</v>
      </c>
      <c r="C537" t="s">
        <v>31</v>
      </c>
      <c r="D537">
        <v>20</v>
      </c>
      <c r="E537">
        <v>89.8</v>
      </c>
      <c r="F537" t="s">
        <v>74</v>
      </c>
      <c r="G537">
        <v>2</v>
      </c>
      <c r="H537">
        <v>73.47</v>
      </c>
    </row>
    <row r="538" spans="1:11" s="40" customFormat="1" x14ac:dyDescent="0.3">
      <c r="A538" s="41" t="s">
        <v>976</v>
      </c>
      <c r="B538" s="40">
        <f>D537*E538+G537*H538+J537*K538</f>
        <v>1942.9979387999999</v>
      </c>
      <c r="E538" s="40">
        <v>89.802965799999996</v>
      </c>
      <c r="H538" s="40">
        <v>73.469311399999995</v>
      </c>
    </row>
    <row r="539" spans="1:11" x14ac:dyDescent="0.3">
      <c r="A539" t="s">
        <v>665</v>
      </c>
      <c r="B539">
        <v>2269.14</v>
      </c>
      <c r="C539" t="s">
        <v>69</v>
      </c>
      <c r="D539">
        <v>20</v>
      </c>
      <c r="E539">
        <v>106.11</v>
      </c>
      <c r="F539" t="s">
        <v>74</v>
      </c>
      <c r="G539">
        <v>2</v>
      </c>
      <c r="H539">
        <v>73.47</v>
      </c>
    </row>
    <row r="540" spans="1:11" s="40" customFormat="1" x14ac:dyDescent="0.3">
      <c r="A540" s="41" t="s">
        <v>976</v>
      </c>
      <c r="B540" s="40">
        <f>D539*E540+G539*H540+J539*K540</f>
        <v>2269.1395897999996</v>
      </c>
      <c r="E540" s="40">
        <v>106.11004834999999</v>
      </c>
      <c r="H540" s="40">
        <v>73.469311399999995</v>
      </c>
    </row>
    <row r="541" spans="1:11" x14ac:dyDescent="0.3">
      <c r="A541" t="s">
        <v>668</v>
      </c>
      <c r="B541">
        <v>2269.14</v>
      </c>
      <c r="C541" t="s">
        <v>69</v>
      </c>
      <c r="D541">
        <v>20</v>
      </c>
      <c r="E541">
        <v>106.11</v>
      </c>
      <c r="F541" t="s">
        <v>74</v>
      </c>
      <c r="G541">
        <v>2</v>
      </c>
      <c r="H541">
        <v>73.47</v>
      </c>
    </row>
    <row r="542" spans="1:11" s="40" customFormat="1" x14ac:dyDescent="0.3">
      <c r="A542" s="41" t="s">
        <v>976</v>
      </c>
      <c r="B542" s="40">
        <f>D541*E542+G541*H542+J541*K542</f>
        <v>2269.1395897999996</v>
      </c>
      <c r="E542" s="40">
        <v>106.11004834999999</v>
      </c>
      <c r="H542" s="40">
        <v>73.469311399999995</v>
      </c>
    </row>
    <row r="543" spans="1:11" x14ac:dyDescent="0.3">
      <c r="A543" t="s">
        <v>667</v>
      </c>
      <c r="B543">
        <v>1943</v>
      </c>
      <c r="C543" t="s">
        <v>31</v>
      </c>
      <c r="D543">
        <v>20</v>
      </c>
      <c r="E543">
        <v>89.8</v>
      </c>
      <c r="F543" t="s">
        <v>74</v>
      </c>
      <c r="G543">
        <v>2</v>
      </c>
      <c r="H543">
        <v>73.47</v>
      </c>
    </row>
    <row r="544" spans="1:11" s="40" customFormat="1" x14ac:dyDescent="0.3">
      <c r="A544" s="41" t="s">
        <v>976</v>
      </c>
      <c r="B544" s="40">
        <f>D543*E544+G543*H544+J543*K544</f>
        <v>1942.9979387999999</v>
      </c>
      <c r="E544" s="40">
        <v>89.802965799999996</v>
      </c>
      <c r="H544" s="40">
        <v>73.469311399999995</v>
      </c>
    </row>
    <row r="545" spans="1:8" x14ac:dyDescent="0.3">
      <c r="A545" t="s">
        <v>669</v>
      </c>
      <c r="B545">
        <v>1943</v>
      </c>
      <c r="C545" t="s">
        <v>31</v>
      </c>
      <c r="D545">
        <v>20</v>
      </c>
      <c r="E545">
        <v>89.8</v>
      </c>
      <c r="F545" t="s">
        <v>74</v>
      </c>
      <c r="G545">
        <v>2</v>
      </c>
      <c r="H545">
        <v>73.47</v>
      </c>
    </row>
    <row r="546" spans="1:8" s="40" customFormat="1" x14ac:dyDescent="0.3">
      <c r="A546" s="41" t="s">
        <v>976</v>
      </c>
      <c r="B546" s="40">
        <f>D545*E546+G545*H546+J545*K546</f>
        <v>1942.9979387999999</v>
      </c>
      <c r="E546" s="40">
        <v>89.802965799999996</v>
      </c>
      <c r="H546" s="40">
        <v>73.469311399999995</v>
      </c>
    </row>
    <row r="547" spans="1:8" x14ac:dyDescent="0.3">
      <c r="A547" t="s">
        <v>670</v>
      </c>
      <c r="B547">
        <v>1943</v>
      </c>
      <c r="C547" t="s">
        <v>31</v>
      </c>
      <c r="D547">
        <v>20</v>
      </c>
      <c r="E547">
        <v>89.8</v>
      </c>
      <c r="F547" t="s">
        <v>74</v>
      </c>
      <c r="G547">
        <v>2</v>
      </c>
      <c r="H547">
        <v>73.47</v>
      </c>
    </row>
    <row r="548" spans="1:8" s="40" customFormat="1" x14ac:dyDescent="0.3">
      <c r="A548" s="41" t="s">
        <v>976</v>
      </c>
      <c r="B548" s="40">
        <f>D547*E548+G547*H548+J547*K548</f>
        <v>1942.9979387999999</v>
      </c>
      <c r="E548" s="40">
        <v>89.802965799999996</v>
      </c>
      <c r="H548" s="40">
        <v>73.469311399999995</v>
      </c>
    </row>
    <row r="549" spans="1:8" x14ac:dyDescent="0.3">
      <c r="A549" t="s">
        <v>671</v>
      </c>
      <c r="B549">
        <v>1943</v>
      </c>
      <c r="C549" t="s">
        <v>31</v>
      </c>
      <c r="D549">
        <v>20</v>
      </c>
      <c r="E549">
        <v>89.8</v>
      </c>
      <c r="F549" t="s">
        <v>74</v>
      </c>
      <c r="G549">
        <v>2</v>
      </c>
      <c r="H549">
        <v>73.47</v>
      </c>
    </row>
    <row r="550" spans="1:8" s="40" customFormat="1" x14ac:dyDescent="0.3">
      <c r="A550" s="41" t="s">
        <v>976</v>
      </c>
      <c r="B550" s="40">
        <f>D549*E550+G549*H550+J549*K550</f>
        <v>1942.9979387999999</v>
      </c>
      <c r="E550" s="40">
        <v>89.802965799999996</v>
      </c>
      <c r="H550" s="40">
        <v>73.469311399999995</v>
      </c>
    </row>
    <row r="551" spans="1:8" x14ac:dyDescent="0.3">
      <c r="A551" t="s">
        <v>672</v>
      </c>
      <c r="B551">
        <v>2269.14</v>
      </c>
      <c r="C551" t="s">
        <v>69</v>
      </c>
      <c r="D551">
        <v>20</v>
      </c>
      <c r="E551">
        <v>106.11</v>
      </c>
      <c r="F551" t="s">
        <v>74</v>
      </c>
      <c r="G551">
        <v>2</v>
      </c>
      <c r="H551">
        <v>73.47</v>
      </c>
    </row>
    <row r="552" spans="1:8" s="40" customFormat="1" x14ac:dyDescent="0.3">
      <c r="A552" s="41" t="s">
        <v>976</v>
      </c>
      <c r="B552" s="40">
        <f>D551*E552+G551*H552+J551*K552</f>
        <v>2269.1395897999996</v>
      </c>
      <c r="E552" s="40">
        <v>106.11004834999999</v>
      </c>
      <c r="H552" s="40">
        <v>73.469311399999995</v>
      </c>
    </row>
    <row r="553" spans="1:8" x14ac:dyDescent="0.3">
      <c r="A553" t="s">
        <v>674</v>
      </c>
      <c r="B553">
        <v>1943</v>
      </c>
      <c r="C553" t="s">
        <v>31</v>
      </c>
      <c r="D553">
        <v>20</v>
      </c>
      <c r="E553">
        <v>89.8</v>
      </c>
      <c r="F553" t="s">
        <v>74</v>
      </c>
      <c r="G553">
        <v>2</v>
      </c>
      <c r="H553">
        <v>73.47</v>
      </c>
    </row>
    <row r="554" spans="1:8" s="40" customFormat="1" x14ac:dyDescent="0.3">
      <c r="A554" s="41" t="s">
        <v>976</v>
      </c>
      <c r="B554" s="40">
        <f>D553*E554+G553*H554+J553*K554</f>
        <v>1942.9979387999999</v>
      </c>
      <c r="E554" s="40">
        <v>89.802965799999996</v>
      </c>
      <c r="H554" s="40">
        <v>73.469311399999995</v>
      </c>
    </row>
    <row r="555" spans="1:8" x14ac:dyDescent="0.3">
      <c r="A555" t="s">
        <v>673</v>
      </c>
      <c r="B555">
        <v>1943</v>
      </c>
      <c r="C555" t="s">
        <v>31</v>
      </c>
      <c r="D555">
        <v>20</v>
      </c>
      <c r="E555">
        <v>89.8</v>
      </c>
      <c r="F555" t="s">
        <v>74</v>
      </c>
      <c r="G555">
        <v>2</v>
      </c>
      <c r="H555">
        <v>73.47</v>
      </c>
    </row>
    <row r="556" spans="1:8" s="40" customFormat="1" x14ac:dyDescent="0.3">
      <c r="A556" s="41" t="s">
        <v>976</v>
      </c>
      <c r="B556" s="40">
        <f>D555*E556+G555*H556+J555*K556</f>
        <v>1942.9979387999999</v>
      </c>
      <c r="E556" s="40">
        <v>89.802965799999996</v>
      </c>
      <c r="H556" s="40">
        <v>73.469311399999995</v>
      </c>
    </row>
    <row r="557" spans="1:8" x14ac:dyDescent="0.3">
      <c r="A557" t="s">
        <v>676</v>
      </c>
      <c r="B557">
        <v>1943</v>
      </c>
      <c r="C557" t="s">
        <v>31</v>
      </c>
      <c r="D557">
        <v>20</v>
      </c>
      <c r="E557">
        <v>89.8</v>
      </c>
      <c r="F557" t="s">
        <v>74</v>
      </c>
      <c r="G557">
        <v>2</v>
      </c>
      <c r="H557">
        <v>73.47</v>
      </c>
    </row>
    <row r="558" spans="1:8" s="40" customFormat="1" x14ac:dyDescent="0.3">
      <c r="A558" s="41" t="s">
        <v>976</v>
      </c>
      <c r="B558" s="40">
        <f>D557*E558+G557*H558+J557*K558</f>
        <v>1942.9979387999999</v>
      </c>
      <c r="E558" s="40">
        <v>89.802965799999996</v>
      </c>
      <c r="H558" s="40">
        <v>73.469311399999995</v>
      </c>
    </row>
    <row r="559" spans="1:8" x14ac:dyDescent="0.3">
      <c r="A559" t="s">
        <v>675</v>
      </c>
      <c r="B559">
        <v>2269.14</v>
      </c>
      <c r="C559" t="s">
        <v>69</v>
      </c>
      <c r="D559">
        <v>20</v>
      </c>
      <c r="E559">
        <v>106.11</v>
      </c>
      <c r="F559" t="s">
        <v>74</v>
      </c>
      <c r="G559">
        <v>2</v>
      </c>
      <c r="H559">
        <v>73.47</v>
      </c>
    </row>
    <row r="560" spans="1:8" s="40" customFormat="1" x14ac:dyDescent="0.3">
      <c r="A560" s="41" t="s">
        <v>976</v>
      </c>
      <c r="B560" s="40">
        <f>D559*E560+G559*H560+J559*K560</f>
        <v>2269.1395897999996</v>
      </c>
      <c r="E560" s="40">
        <v>106.11004834999999</v>
      </c>
      <c r="H560" s="40">
        <v>73.469311399999995</v>
      </c>
    </row>
    <row r="561" spans="1:11" x14ac:dyDescent="0.3">
      <c r="A561" t="s">
        <v>678</v>
      </c>
      <c r="B561">
        <v>2105.86</v>
      </c>
      <c r="C561" t="s">
        <v>43</v>
      </c>
      <c r="D561">
        <v>20</v>
      </c>
      <c r="E561">
        <v>97.95</v>
      </c>
      <c r="F561" t="s">
        <v>74</v>
      </c>
      <c r="G561">
        <v>2</v>
      </c>
      <c r="H561">
        <v>73.47</v>
      </c>
    </row>
    <row r="562" spans="1:11" s="40" customFormat="1" x14ac:dyDescent="0.3">
      <c r="A562" s="41" t="s">
        <v>976</v>
      </c>
      <c r="B562" s="40">
        <f>D561*E562+G561*H562+J561*K562</f>
        <v>2105.8648407999995</v>
      </c>
      <c r="E562" s="40">
        <v>97.946310899999986</v>
      </c>
      <c r="H562" s="40">
        <v>73.469311399999995</v>
      </c>
    </row>
    <row r="563" spans="1:11" x14ac:dyDescent="0.3">
      <c r="A563" t="s">
        <v>679</v>
      </c>
      <c r="B563">
        <v>1738.51</v>
      </c>
      <c r="C563" t="s">
        <v>41</v>
      </c>
      <c r="D563">
        <v>20</v>
      </c>
      <c r="E563">
        <v>79.58</v>
      </c>
      <c r="F563" t="s">
        <v>74</v>
      </c>
      <c r="G563">
        <v>2</v>
      </c>
      <c r="H563">
        <v>73.47</v>
      </c>
    </row>
    <row r="564" spans="1:11" s="40" customFormat="1" x14ac:dyDescent="0.3">
      <c r="A564" s="41" t="s">
        <v>976</v>
      </c>
      <c r="B564" s="40">
        <f>D563*E564+G563*H564+J563*K564</f>
        <v>1738.5059248</v>
      </c>
      <c r="E564" s="40">
        <v>79.578365099999999</v>
      </c>
      <c r="H564" s="40">
        <v>73.469311399999995</v>
      </c>
    </row>
    <row r="565" spans="1:11" x14ac:dyDescent="0.3">
      <c r="A565" t="s">
        <v>680</v>
      </c>
      <c r="B565">
        <v>1910.33</v>
      </c>
      <c r="C565" t="s">
        <v>31</v>
      </c>
      <c r="D565">
        <v>20</v>
      </c>
      <c r="E565">
        <v>89.8</v>
      </c>
      <c r="F565" t="s">
        <v>89</v>
      </c>
      <c r="G565">
        <v>2</v>
      </c>
      <c r="H565">
        <v>57.14</v>
      </c>
    </row>
    <row r="566" spans="1:11" s="40" customFormat="1" x14ac:dyDescent="0.3">
      <c r="A566" s="41" t="s">
        <v>976</v>
      </c>
      <c r="B566" s="40">
        <f>D565*E566+G565*H566+J565*K566</f>
        <v>1910.3293940999999</v>
      </c>
      <c r="E566" s="40">
        <v>89.802965799999996</v>
      </c>
      <c r="H566" s="40">
        <v>57.135039049999996</v>
      </c>
    </row>
    <row r="567" spans="1:11" x14ac:dyDescent="0.3">
      <c r="A567" t="s">
        <v>681</v>
      </c>
      <c r="B567">
        <v>2530.1999999999998</v>
      </c>
      <c r="C567" t="s">
        <v>31</v>
      </c>
      <c r="D567">
        <v>20</v>
      </c>
      <c r="E567">
        <v>89.8</v>
      </c>
      <c r="F567" t="s">
        <v>110</v>
      </c>
      <c r="G567">
        <v>2</v>
      </c>
      <c r="H567">
        <v>97.94</v>
      </c>
      <c r="I567" t="s">
        <v>137</v>
      </c>
      <c r="J567">
        <v>22</v>
      </c>
      <c r="K567">
        <v>24.47</v>
      </c>
    </row>
    <row r="568" spans="1:11" s="40" customFormat="1" x14ac:dyDescent="0.3">
      <c r="A568" s="41" t="s">
        <v>976</v>
      </c>
      <c r="B568" s="40">
        <f>D567*E568+G567*H568+J567*K568</f>
        <v>2530.2042922832998</v>
      </c>
      <c r="E568" s="40">
        <v>89.802965799999996</v>
      </c>
      <c r="H568" s="40">
        <v>97.936115342949989</v>
      </c>
      <c r="K568" s="40">
        <v>24.466942981699997</v>
      </c>
    </row>
    <row r="569" spans="1:11" x14ac:dyDescent="0.3">
      <c r="A569" t="s">
        <v>685</v>
      </c>
      <c r="B569">
        <v>2791.52</v>
      </c>
      <c r="C569" t="s">
        <v>57</v>
      </c>
      <c r="D569">
        <v>18</v>
      </c>
      <c r="E569">
        <v>146.91999999999999</v>
      </c>
      <c r="F569" t="s">
        <v>83</v>
      </c>
      <c r="G569">
        <v>2</v>
      </c>
      <c r="H569">
        <v>73.47</v>
      </c>
    </row>
    <row r="570" spans="1:11" s="40" customFormat="1" x14ac:dyDescent="0.3">
      <c r="A570" s="41" t="s">
        <v>976</v>
      </c>
      <c r="B570" s="40">
        <f>D569*E570+G569*H570+J569*K570</f>
        <v>2791.5223864</v>
      </c>
      <c r="E570" s="40">
        <v>146.9213202</v>
      </c>
      <c r="H570" s="40">
        <v>73.469311399999995</v>
      </c>
    </row>
    <row r="571" spans="1:11" x14ac:dyDescent="0.3">
      <c r="A571" t="s">
        <v>682</v>
      </c>
      <c r="B571">
        <v>2856.35</v>
      </c>
      <c r="C571" t="s">
        <v>69</v>
      </c>
      <c r="D571">
        <v>20</v>
      </c>
      <c r="E571">
        <v>106.11</v>
      </c>
      <c r="F571" t="s">
        <v>110</v>
      </c>
      <c r="G571">
        <v>2</v>
      </c>
      <c r="H571">
        <v>97.94</v>
      </c>
      <c r="I571" t="s">
        <v>137</v>
      </c>
      <c r="J571">
        <v>22</v>
      </c>
      <c r="K571">
        <v>24.47</v>
      </c>
    </row>
    <row r="572" spans="1:11" s="40" customFormat="1" x14ac:dyDescent="0.3">
      <c r="A572" s="41" t="s">
        <v>976</v>
      </c>
      <c r="B572" s="40">
        <f>D571*E572+G571*H572+J571*K572</f>
        <v>2856.3459432832997</v>
      </c>
      <c r="E572" s="40">
        <v>106.11004834999999</v>
      </c>
      <c r="H572" s="40">
        <v>97.936115342949989</v>
      </c>
      <c r="K572" s="40">
        <v>24.466942981699997</v>
      </c>
    </row>
    <row r="573" spans="1:11" x14ac:dyDescent="0.3">
      <c r="A573" t="s">
        <v>683</v>
      </c>
      <c r="B573">
        <v>2791.52</v>
      </c>
      <c r="C573" t="s">
        <v>57</v>
      </c>
      <c r="D573">
        <v>18</v>
      </c>
      <c r="E573">
        <v>146.91999999999999</v>
      </c>
      <c r="F573" t="s">
        <v>83</v>
      </c>
      <c r="G573">
        <v>2</v>
      </c>
      <c r="H573">
        <v>73.47</v>
      </c>
    </row>
    <row r="574" spans="1:11" s="40" customFormat="1" x14ac:dyDescent="0.3">
      <c r="A574" s="41" t="s">
        <v>976</v>
      </c>
      <c r="B574" s="40">
        <f>D573*E574+G573*H574+J573*K574</f>
        <v>2791.5223864</v>
      </c>
      <c r="E574" s="40">
        <v>146.9213202</v>
      </c>
      <c r="H574" s="40">
        <v>73.469311399999995</v>
      </c>
    </row>
    <row r="575" spans="1:11" x14ac:dyDescent="0.3">
      <c r="A575" t="s">
        <v>684</v>
      </c>
      <c r="B575">
        <v>2530.1999999999998</v>
      </c>
      <c r="C575" t="s">
        <v>31</v>
      </c>
      <c r="D575">
        <v>20</v>
      </c>
      <c r="E575">
        <v>89.8</v>
      </c>
      <c r="F575" t="s">
        <v>110</v>
      </c>
      <c r="G575">
        <v>2</v>
      </c>
      <c r="H575">
        <v>97.94</v>
      </c>
      <c r="I575" t="s">
        <v>137</v>
      </c>
      <c r="J575">
        <v>22</v>
      </c>
      <c r="K575">
        <v>24.47</v>
      </c>
    </row>
    <row r="576" spans="1:11" s="40" customFormat="1" x14ac:dyDescent="0.3">
      <c r="A576" s="41" t="s">
        <v>976</v>
      </c>
      <c r="B576" s="40">
        <f>D575*E576+G575*H576+J575*K576</f>
        <v>2530.2042922832998</v>
      </c>
      <c r="E576" s="40">
        <v>89.802965799999996</v>
      </c>
      <c r="H576" s="40">
        <v>97.936115342949989</v>
      </c>
      <c r="K576" s="40">
        <v>24.466942981699997</v>
      </c>
    </row>
    <row r="577" spans="1:8" x14ac:dyDescent="0.3">
      <c r="A577" t="s">
        <v>686</v>
      </c>
      <c r="B577">
        <v>2791.52</v>
      </c>
      <c r="C577" t="s">
        <v>57</v>
      </c>
      <c r="D577">
        <v>18</v>
      </c>
      <c r="E577">
        <v>146.91999999999999</v>
      </c>
      <c r="F577" t="s">
        <v>83</v>
      </c>
      <c r="G577">
        <v>2</v>
      </c>
      <c r="H577">
        <v>73.47</v>
      </c>
    </row>
    <row r="578" spans="1:8" s="40" customFormat="1" x14ac:dyDescent="0.3">
      <c r="A578" s="41" t="s">
        <v>976</v>
      </c>
      <c r="B578" s="40">
        <f>D577*E578+G577*H578+J577*K578</f>
        <v>2791.5223864</v>
      </c>
      <c r="E578" s="40">
        <v>146.9213202</v>
      </c>
      <c r="H578" s="40">
        <v>73.469311399999995</v>
      </c>
    </row>
    <row r="579" spans="1:8" x14ac:dyDescent="0.3">
      <c r="A579" t="s">
        <v>687</v>
      </c>
      <c r="B579">
        <v>881.35</v>
      </c>
      <c r="C579" t="s">
        <v>24</v>
      </c>
      <c r="D579">
        <v>18</v>
      </c>
      <c r="E579">
        <v>40.799999999999997</v>
      </c>
      <c r="F579" t="s">
        <v>72</v>
      </c>
      <c r="G579">
        <v>2</v>
      </c>
      <c r="H579">
        <v>73.47</v>
      </c>
    </row>
    <row r="580" spans="1:8" s="40" customFormat="1" x14ac:dyDescent="0.3">
      <c r="A580" s="41" t="s">
        <v>976</v>
      </c>
      <c r="B580" s="40">
        <f>D579*E580+G579*H580+J579*K580</f>
        <v>881.35242339999991</v>
      </c>
      <c r="E580" s="40">
        <v>40.800766699999997</v>
      </c>
      <c r="H580" s="40">
        <v>73.469311399999995</v>
      </c>
    </row>
    <row r="581" spans="1:8" x14ac:dyDescent="0.3">
      <c r="A581" t="s">
        <v>688</v>
      </c>
      <c r="B581">
        <v>1175.3699999999999</v>
      </c>
      <c r="C581" t="s">
        <v>27</v>
      </c>
      <c r="D581">
        <v>18</v>
      </c>
      <c r="E581">
        <v>57.14</v>
      </c>
      <c r="F581" t="s">
        <v>72</v>
      </c>
      <c r="G581">
        <v>2</v>
      </c>
      <c r="H581">
        <v>73.47</v>
      </c>
    </row>
    <row r="582" spans="1:8" s="40" customFormat="1" x14ac:dyDescent="0.3">
      <c r="A582" s="41" t="s">
        <v>976</v>
      </c>
      <c r="B582" s="40">
        <f>D581*E582+G581*H582+J581*K582</f>
        <v>1175.3693257</v>
      </c>
      <c r="E582" s="40">
        <v>57.135039049999996</v>
      </c>
      <c r="H582" s="40">
        <v>73.469311399999995</v>
      </c>
    </row>
    <row r="583" spans="1:8" x14ac:dyDescent="0.3">
      <c r="A583" t="s">
        <v>689</v>
      </c>
      <c r="B583">
        <v>1175.3699999999999</v>
      </c>
      <c r="C583" t="s">
        <v>27</v>
      </c>
      <c r="D583">
        <v>18</v>
      </c>
      <c r="E583">
        <v>57.14</v>
      </c>
      <c r="F583" t="s">
        <v>72</v>
      </c>
      <c r="G583">
        <v>2</v>
      </c>
      <c r="H583">
        <v>73.47</v>
      </c>
    </row>
    <row r="584" spans="1:8" s="40" customFormat="1" x14ac:dyDescent="0.3">
      <c r="A584" s="41" t="s">
        <v>976</v>
      </c>
      <c r="B584" s="40">
        <f>D583*E584+G583*H584+J583*K584</f>
        <v>1175.3693257</v>
      </c>
      <c r="E584" s="40">
        <v>57.135039049999996</v>
      </c>
      <c r="H584" s="40">
        <v>73.469311399999995</v>
      </c>
    </row>
    <row r="585" spans="1:8" x14ac:dyDescent="0.3">
      <c r="A585" t="s">
        <v>691</v>
      </c>
      <c r="B585">
        <v>1175.3699999999999</v>
      </c>
      <c r="C585" t="s">
        <v>27</v>
      </c>
      <c r="D585">
        <v>18</v>
      </c>
      <c r="E585">
        <v>57.14</v>
      </c>
      <c r="F585" t="s">
        <v>72</v>
      </c>
      <c r="G585">
        <v>2</v>
      </c>
      <c r="H585">
        <v>73.47</v>
      </c>
    </row>
    <row r="586" spans="1:8" s="40" customFormat="1" x14ac:dyDescent="0.3">
      <c r="A586" s="41" t="s">
        <v>976</v>
      </c>
      <c r="B586" s="40">
        <f>D585*E586+G585*H586+J585*K586</f>
        <v>1175.3693257</v>
      </c>
      <c r="E586" s="40">
        <v>57.135039049999996</v>
      </c>
      <c r="H586" s="40">
        <v>73.469311399999995</v>
      </c>
    </row>
    <row r="587" spans="1:8" x14ac:dyDescent="0.3">
      <c r="A587" t="s">
        <v>690</v>
      </c>
      <c r="B587">
        <v>1175.3699999999999</v>
      </c>
      <c r="C587" t="s">
        <v>27</v>
      </c>
      <c r="D587">
        <v>18</v>
      </c>
      <c r="E587">
        <v>57.14</v>
      </c>
      <c r="F587" t="s">
        <v>72</v>
      </c>
      <c r="G587">
        <v>2</v>
      </c>
      <c r="H587">
        <v>73.47</v>
      </c>
    </row>
    <row r="588" spans="1:8" s="40" customFormat="1" x14ac:dyDescent="0.3">
      <c r="A588" s="41" t="s">
        <v>976</v>
      </c>
      <c r="B588" s="40">
        <f>D587*E588+G587*H588+J587*K588</f>
        <v>1175.3693257</v>
      </c>
      <c r="E588" s="40">
        <v>57.135039049999996</v>
      </c>
      <c r="H588" s="40">
        <v>73.469311399999995</v>
      </c>
    </row>
    <row r="589" spans="1:8" x14ac:dyDescent="0.3">
      <c r="A589" t="s">
        <v>692</v>
      </c>
      <c r="B589">
        <v>1469.39</v>
      </c>
      <c r="C589" t="s">
        <v>65</v>
      </c>
      <c r="D589">
        <v>18</v>
      </c>
      <c r="E589">
        <v>73.47</v>
      </c>
      <c r="F589" t="s">
        <v>72</v>
      </c>
      <c r="G589">
        <v>2</v>
      </c>
      <c r="H589">
        <v>73.47</v>
      </c>
    </row>
    <row r="590" spans="1:8" s="40" customFormat="1" x14ac:dyDescent="0.3">
      <c r="A590" s="41" t="s">
        <v>976</v>
      </c>
      <c r="B590" s="40">
        <f>D589*E590+G589*H590+J589*K590</f>
        <v>1469.3862280000001</v>
      </c>
      <c r="E590" s="40">
        <v>73.469311399999995</v>
      </c>
      <c r="H590" s="40">
        <v>73.469311399999995</v>
      </c>
    </row>
    <row r="591" spans="1:8" x14ac:dyDescent="0.3">
      <c r="A591" t="s">
        <v>693</v>
      </c>
      <c r="B591">
        <v>1175.3699999999999</v>
      </c>
      <c r="C591" t="s">
        <v>27</v>
      </c>
      <c r="D591">
        <v>18</v>
      </c>
      <c r="E591">
        <v>57.14</v>
      </c>
      <c r="F591" t="s">
        <v>72</v>
      </c>
      <c r="G591">
        <v>2</v>
      </c>
      <c r="H591">
        <v>73.47</v>
      </c>
    </row>
    <row r="592" spans="1:8" s="40" customFormat="1" x14ac:dyDescent="0.3">
      <c r="A592" s="41" t="s">
        <v>976</v>
      </c>
      <c r="B592" s="40">
        <f>D591*E592+G591*H592+J591*K592</f>
        <v>1175.3693257</v>
      </c>
      <c r="E592" s="40">
        <v>57.135039049999996</v>
      </c>
      <c r="H592" s="40">
        <v>73.469311399999995</v>
      </c>
    </row>
    <row r="593" spans="1:8" x14ac:dyDescent="0.3">
      <c r="A593" t="s">
        <v>694</v>
      </c>
      <c r="B593">
        <v>1469.39</v>
      </c>
      <c r="C593" t="s">
        <v>29</v>
      </c>
      <c r="D593">
        <v>18</v>
      </c>
      <c r="E593">
        <v>73.47</v>
      </c>
      <c r="F593" t="s">
        <v>74</v>
      </c>
      <c r="G593">
        <v>2</v>
      </c>
      <c r="H593">
        <v>73.47</v>
      </c>
    </row>
    <row r="594" spans="1:8" s="40" customFormat="1" x14ac:dyDescent="0.3">
      <c r="A594" s="41" t="s">
        <v>976</v>
      </c>
      <c r="B594" s="40">
        <f>D593*E594+G593*H594+J593*K594</f>
        <v>1469.3862280000001</v>
      </c>
      <c r="E594" s="40">
        <v>73.469311399999995</v>
      </c>
      <c r="H594" s="40">
        <v>73.469311399999995</v>
      </c>
    </row>
    <row r="595" spans="1:8" x14ac:dyDescent="0.3">
      <c r="A595" t="s">
        <v>696</v>
      </c>
      <c r="B595">
        <v>1469.39</v>
      </c>
      <c r="C595" t="s">
        <v>29</v>
      </c>
      <c r="D595">
        <v>18</v>
      </c>
      <c r="E595">
        <v>73.47</v>
      </c>
      <c r="F595" t="s">
        <v>74</v>
      </c>
      <c r="G595">
        <v>2</v>
      </c>
      <c r="H595">
        <v>73.47</v>
      </c>
    </row>
    <row r="596" spans="1:8" s="40" customFormat="1" x14ac:dyDescent="0.3">
      <c r="A596" s="41" t="s">
        <v>976</v>
      </c>
      <c r="B596" s="40">
        <f>D595*E596+G595*H596+J595*K596</f>
        <v>1469.3862280000001</v>
      </c>
      <c r="E596" s="40">
        <v>73.469311399999995</v>
      </c>
      <c r="H596" s="40">
        <v>73.469311399999995</v>
      </c>
    </row>
    <row r="597" spans="1:8" x14ac:dyDescent="0.3">
      <c r="A597" t="s">
        <v>695</v>
      </c>
      <c r="B597">
        <v>1469.39</v>
      </c>
      <c r="C597" t="s">
        <v>29</v>
      </c>
      <c r="D597">
        <v>18</v>
      </c>
      <c r="E597">
        <v>73.47</v>
      </c>
      <c r="F597" t="s">
        <v>74</v>
      </c>
      <c r="G597">
        <v>2</v>
      </c>
      <c r="H597">
        <v>73.47</v>
      </c>
    </row>
    <row r="598" spans="1:8" s="40" customFormat="1" x14ac:dyDescent="0.3">
      <c r="A598" s="41" t="s">
        <v>976</v>
      </c>
      <c r="B598" s="40">
        <f>D597*E598+G597*H598+J597*K598</f>
        <v>1469.3862280000001</v>
      </c>
      <c r="E598" s="40">
        <v>73.469311399999995</v>
      </c>
      <c r="H598" s="40">
        <v>73.469311399999995</v>
      </c>
    </row>
    <row r="599" spans="1:8" x14ac:dyDescent="0.3">
      <c r="A599" t="s">
        <v>697</v>
      </c>
      <c r="B599">
        <v>1763.39</v>
      </c>
      <c r="C599" t="s">
        <v>31</v>
      </c>
      <c r="D599">
        <v>18</v>
      </c>
      <c r="E599">
        <v>89.8</v>
      </c>
      <c r="F599" t="s">
        <v>74</v>
      </c>
      <c r="G599">
        <v>2</v>
      </c>
      <c r="H599">
        <v>73.47</v>
      </c>
    </row>
    <row r="600" spans="1:8" s="40" customFormat="1" x14ac:dyDescent="0.3">
      <c r="A600" s="41" t="s">
        <v>976</v>
      </c>
      <c r="B600" s="40">
        <f>D599*E600+G599*H600+J599*K600</f>
        <v>1763.3920072000001</v>
      </c>
      <c r="E600" s="40">
        <v>89.802965799999996</v>
      </c>
      <c r="H600" s="40">
        <v>73.469311399999995</v>
      </c>
    </row>
    <row r="601" spans="1:8" x14ac:dyDescent="0.3">
      <c r="A601" t="s">
        <v>699</v>
      </c>
      <c r="B601">
        <v>1763.39</v>
      </c>
      <c r="C601" t="s">
        <v>31</v>
      </c>
      <c r="D601">
        <v>18</v>
      </c>
      <c r="E601">
        <v>89.8</v>
      </c>
      <c r="F601" t="s">
        <v>74</v>
      </c>
      <c r="G601">
        <v>2</v>
      </c>
      <c r="H601">
        <v>73.47</v>
      </c>
    </row>
    <row r="602" spans="1:8" s="40" customFormat="1" x14ac:dyDescent="0.3">
      <c r="A602" s="41" t="s">
        <v>976</v>
      </c>
      <c r="B602" s="40">
        <f>D601*E602+G601*H602+J601*K602</f>
        <v>1763.3920072000001</v>
      </c>
      <c r="E602" s="40">
        <v>89.802965799999996</v>
      </c>
      <c r="H602" s="40">
        <v>73.469311399999995</v>
      </c>
    </row>
    <row r="603" spans="1:8" x14ac:dyDescent="0.3">
      <c r="A603" t="s">
        <v>698</v>
      </c>
      <c r="B603">
        <v>1763.39</v>
      </c>
      <c r="C603" t="s">
        <v>31</v>
      </c>
      <c r="D603">
        <v>18</v>
      </c>
      <c r="E603">
        <v>89.8</v>
      </c>
      <c r="F603" t="s">
        <v>74</v>
      </c>
      <c r="G603">
        <v>2</v>
      </c>
      <c r="H603">
        <v>73.47</v>
      </c>
    </row>
    <row r="604" spans="1:8" s="40" customFormat="1" x14ac:dyDescent="0.3">
      <c r="A604" s="41" t="s">
        <v>976</v>
      </c>
      <c r="B604" s="40">
        <f>D603*E604+G603*H604+J603*K604</f>
        <v>1763.3920072000001</v>
      </c>
      <c r="E604" s="40">
        <v>89.802965799999996</v>
      </c>
      <c r="H604" s="40">
        <v>73.469311399999995</v>
      </c>
    </row>
    <row r="605" spans="1:8" x14ac:dyDescent="0.3">
      <c r="A605" t="s">
        <v>700</v>
      </c>
      <c r="B605">
        <v>1763.39</v>
      </c>
      <c r="C605" t="s">
        <v>31</v>
      </c>
      <c r="D605">
        <v>18</v>
      </c>
      <c r="E605">
        <v>89.8</v>
      </c>
      <c r="F605" t="s">
        <v>74</v>
      </c>
      <c r="G605">
        <v>2</v>
      </c>
      <c r="H605">
        <v>73.47</v>
      </c>
    </row>
    <row r="606" spans="1:8" s="40" customFormat="1" x14ac:dyDescent="0.3">
      <c r="A606" s="41" t="s">
        <v>976</v>
      </c>
      <c r="B606" s="40">
        <f>D605*E606+G605*H606+J605*K606</f>
        <v>1763.3920072000001</v>
      </c>
      <c r="E606" s="40">
        <v>89.802965799999996</v>
      </c>
      <c r="H606" s="40">
        <v>73.469311399999995</v>
      </c>
    </row>
    <row r="607" spans="1:8" x14ac:dyDescent="0.3">
      <c r="A607" t="s">
        <v>701</v>
      </c>
      <c r="B607">
        <v>1763.39</v>
      </c>
      <c r="C607" t="s">
        <v>31</v>
      </c>
      <c r="D607">
        <v>18</v>
      </c>
      <c r="E607">
        <v>89.8</v>
      </c>
      <c r="F607" t="s">
        <v>74</v>
      </c>
      <c r="G607">
        <v>2</v>
      </c>
      <c r="H607">
        <v>73.47</v>
      </c>
    </row>
    <row r="608" spans="1:8" s="40" customFormat="1" x14ac:dyDescent="0.3">
      <c r="A608" s="41" t="s">
        <v>976</v>
      </c>
      <c r="B608" s="40">
        <f>D607*E608+G607*H608+J607*K608</f>
        <v>1763.3920072000001</v>
      </c>
      <c r="E608" s="40">
        <v>89.802965799999996</v>
      </c>
      <c r="H608" s="40">
        <v>73.469311399999995</v>
      </c>
    </row>
    <row r="609" spans="1:8" x14ac:dyDescent="0.3">
      <c r="A609" t="s">
        <v>702</v>
      </c>
      <c r="B609">
        <v>1763.39</v>
      </c>
      <c r="C609" t="s">
        <v>31</v>
      </c>
      <c r="D609">
        <v>18</v>
      </c>
      <c r="E609">
        <v>89.8</v>
      </c>
      <c r="F609" t="s">
        <v>74</v>
      </c>
      <c r="G609">
        <v>2</v>
      </c>
      <c r="H609">
        <v>73.47</v>
      </c>
    </row>
    <row r="610" spans="1:8" s="40" customFormat="1" x14ac:dyDescent="0.3">
      <c r="A610" s="41" t="s">
        <v>976</v>
      </c>
      <c r="B610" s="40">
        <f>D609*E610+G609*H610+J609*K610</f>
        <v>1763.3920072000001</v>
      </c>
      <c r="E610" s="40">
        <v>89.802965799999996</v>
      </c>
      <c r="H610" s="40">
        <v>73.469311399999995</v>
      </c>
    </row>
    <row r="611" spans="1:8" x14ac:dyDescent="0.3">
      <c r="A611" t="s">
        <v>704</v>
      </c>
      <c r="B611">
        <v>1763.39</v>
      </c>
      <c r="C611" t="s">
        <v>31</v>
      </c>
      <c r="D611">
        <v>18</v>
      </c>
      <c r="E611">
        <v>89.8</v>
      </c>
      <c r="F611" t="s">
        <v>74</v>
      </c>
      <c r="G611">
        <v>2</v>
      </c>
      <c r="H611">
        <v>73.47</v>
      </c>
    </row>
    <row r="612" spans="1:8" s="40" customFormat="1" x14ac:dyDescent="0.3">
      <c r="A612" s="41" t="s">
        <v>976</v>
      </c>
      <c r="B612" s="40">
        <f>D611*E612+G611*H612+J611*K612</f>
        <v>1763.3920072000001</v>
      </c>
      <c r="E612" s="40">
        <v>89.802965799999996</v>
      </c>
      <c r="H612" s="40">
        <v>73.469311399999995</v>
      </c>
    </row>
    <row r="613" spans="1:8" x14ac:dyDescent="0.3">
      <c r="A613" t="s">
        <v>706</v>
      </c>
      <c r="B613">
        <v>1763.39</v>
      </c>
      <c r="C613" t="s">
        <v>31</v>
      </c>
      <c r="D613">
        <v>18</v>
      </c>
      <c r="E613">
        <v>89.8</v>
      </c>
      <c r="F613" t="s">
        <v>74</v>
      </c>
      <c r="G613">
        <v>2</v>
      </c>
      <c r="H613">
        <v>73.47</v>
      </c>
    </row>
    <row r="614" spans="1:8" s="40" customFormat="1" x14ac:dyDescent="0.3">
      <c r="A614" s="41" t="s">
        <v>976</v>
      </c>
      <c r="B614" s="40">
        <f>D613*E614+G613*H614+J613*K614</f>
        <v>1763.3920072000001</v>
      </c>
      <c r="E614" s="40">
        <v>89.802965799999996</v>
      </c>
      <c r="H614" s="40">
        <v>73.469311399999995</v>
      </c>
    </row>
    <row r="615" spans="1:8" x14ac:dyDescent="0.3">
      <c r="A615" t="s">
        <v>707</v>
      </c>
      <c r="B615">
        <v>1763.39</v>
      </c>
      <c r="C615" t="s">
        <v>31</v>
      </c>
      <c r="D615">
        <v>18</v>
      </c>
      <c r="E615">
        <v>89.8</v>
      </c>
      <c r="F615" t="s">
        <v>74</v>
      </c>
      <c r="G615">
        <v>2</v>
      </c>
      <c r="H615">
        <v>73.47</v>
      </c>
    </row>
    <row r="616" spans="1:8" s="40" customFormat="1" x14ac:dyDescent="0.3">
      <c r="A616" s="41" t="s">
        <v>976</v>
      </c>
      <c r="B616" s="40">
        <f>D615*E616+G615*H616+J615*K616</f>
        <v>1763.3920072000001</v>
      </c>
      <c r="E616" s="40">
        <v>89.802965799999996</v>
      </c>
      <c r="H616" s="40">
        <v>73.469311399999995</v>
      </c>
    </row>
    <row r="617" spans="1:8" x14ac:dyDescent="0.3">
      <c r="A617" t="s">
        <v>705</v>
      </c>
      <c r="B617">
        <v>1763.39</v>
      </c>
      <c r="C617" t="s">
        <v>31</v>
      </c>
      <c r="D617">
        <v>18</v>
      </c>
      <c r="E617">
        <v>89.8</v>
      </c>
      <c r="F617" t="s">
        <v>74</v>
      </c>
      <c r="G617">
        <v>2</v>
      </c>
      <c r="H617">
        <v>73.47</v>
      </c>
    </row>
    <row r="618" spans="1:8" s="40" customFormat="1" x14ac:dyDescent="0.3">
      <c r="A618" s="41" t="s">
        <v>976</v>
      </c>
      <c r="B618" s="40">
        <f>D617*E618+G617*H618+J617*K618</f>
        <v>1763.3920072000001</v>
      </c>
      <c r="E618" s="40">
        <v>89.802965799999996</v>
      </c>
      <c r="H618" s="40">
        <v>73.469311399999995</v>
      </c>
    </row>
    <row r="619" spans="1:8" x14ac:dyDescent="0.3">
      <c r="A619" t="s">
        <v>708</v>
      </c>
      <c r="B619">
        <v>2056.92</v>
      </c>
      <c r="C619" t="s">
        <v>69</v>
      </c>
      <c r="D619">
        <v>18</v>
      </c>
      <c r="E619">
        <v>106.11</v>
      </c>
      <c r="F619" t="s">
        <v>74</v>
      </c>
      <c r="G619">
        <v>2</v>
      </c>
      <c r="H619">
        <v>73.47</v>
      </c>
    </row>
    <row r="620" spans="1:8" s="40" customFormat="1" x14ac:dyDescent="0.3">
      <c r="A620" s="41" t="s">
        <v>976</v>
      </c>
      <c r="B620" s="40">
        <f>D619*E620+G619*H620+J619*K620</f>
        <v>2056.9194930999997</v>
      </c>
      <c r="E620" s="40">
        <v>106.11004834999999</v>
      </c>
      <c r="H620" s="40">
        <v>73.469311399999995</v>
      </c>
    </row>
    <row r="621" spans="1:8" x14ac:dyDescent="0.3">
      <c r="A621" t="s">
        <v>709</v>
      </c>
      <c r="B621">
        <v>1763.39</v>
      </c>
      <c r="C621" t="s">
        <v>31</v>
      </c>
      <c r="D621">
        <v>18</v>
      </c>
      <c r="E621">
        <v>89.8</v>
      </c>
      <c r="F621" t="s">
        <v>74</v>
      </c>
      <c r="G621">
        <v>2</v>
      </c>
      <c r="H621">
        <v>73.47</v>
      </c>
    </row>
    <row r="622" spans="1:8" s="40" customFormat="1" x14ac:dyDescent="0.3">
      <c r="A622" s="41" t="s">
        <v>976</v>
      </c>
      <c r="B622" s="40">
        <f>D621*E622+G621*H622+J621*K622</f>
        <v>1763.3920072000001</v>
      </c>
      <c r="E622" s="40">
        <v>89.802965799999996</v>
      </c>
      <c r="H622" s="40">
        <v>73.469311399999995</v>
      </c>
    </row>
    <row r="623" spans="1:8" x14ac:dyDescent="0.3">
      <c r="A623" t="s">
        <v>710</v>
      </c>
      <c r="B623">
        <v>1909.97</v>
      </c>
      <c r="C623" t="s">
        <v>43</v>
      </c>
      <c r="D623">
        <v>18</v>
      </c>
      <c r="E623">
        <v>97.95</v>
      </c>
      <c r="F623" t="s">
        <v>74</v>
      </c>
      <c r="G623">
        <v>2</v>
      </c>
      <c r="H623">
        <v>73.47</v>
      </c>
    </row>
    <row r="624" spans="1:8" s="40" customFormat="1" x14ac:dyDescent="0.3">
      <c r="A624" s="41" t="s">
        <v>976</v>
      </c>
      <c r="B624" s="40">
        <f>D623*E624+G623*H624+J623*K624</f>
        <v>1909.9722189999998</v>
      </c>
      <c r="E624" s="40">
        <v>97.946310899999986</v>
      </c>
      <c r="H624" s="40">
        <v>73.469311399999995</v>
      </c>
    </row>
    <row r="625" spans="1:11" x14ac:dyDescent="0.3">
      <c r="A625" t="s">
        <v>711</v>
      </c>
      <c r="B625">
        <v>1763.39</v>
      </c>
      <c r="C625" t="s">
        <v>31</v>
      </c>
      <c r="D625">
        <v>18</v>
      </c>
      <c r="E625">
        <v>89.8</v>
      </c>
      <c r="F625" t="s">
        <v>74</v>
      </c>
      <c r="G625">
        <v>2</v>
      </c>
      <c r="H625">
        <v>73.47</v>
      </c>
    </row>
    <row r="626" spans="1:11" s="40" customFormat="1" x14ac:dyDescent="0.3">
      <c r="A626" s="41" t="s">
        <v>976</v>
      </c>
      <c r="B626" s="40">
        <f>D625*E626+G625*H626+J625*K626</f>
        <v>1763.3920072000001</v>
      </c>
      <c r="E626" s="40">
        <v>89.802965799999996</v>
      </c>
      <c r="H626" s="40">
        <v>73.469311399999995</v>
      </c>
    </row>
    <row r="627" spans="1:11" x14ac:dyDescent="0.3">
      <c r="A627" t="s">
        <v>712</v>
      </c>
      <c r="B627">
        <v>1909.97</v>
      </c>
      <c r="C627" t="s">
        <v>43</v>
      </c>
      <c r="D627">
        <v>18</v>
      </c>
      <c r="E627">
        <v>97.95</v>
      </c>
      <c r="F627" t="s">
        <v>74</v>
      </c>
      <c r="G627">
        <v>2</v>
      </c>
      <c r="H627">
        <v>73.47</v>
      </c>
    </row>
    <row r="628" spans="1:11" s="40" customFormat="1" x14ac:dyDescent="0.3">
      <c r="A628" s="41" t="s">
        <v>976</v>
      </c>
      <c r="B628" s="40">
        <f>D627*E628+G627*H628+J627*K628</f>
        <v>1909.9722189999998</v>
      </c>
      <c r="E628" s="40">
        <v>97.946310899999986</v>
      </c>
      <c r="H628" s="40">
        <v>73.469311399999995</v>
      </c>
    </row>
    <row r="629" spans="1:11" x14ac:dyDescent="0.3">
      <c r="A629" t="s">
        <v>715</v>
      </c>
      <c r="B629">
        <v>1909.97</v>
      </c>
      <c r="C629" t="s">
        <v>43</v>
      </c>
      <c r="D629">
        <v>18</v>
      </c>
      <c r="E629">
        <v>97.95</v>
      </c>
      <c r="F629" t="s">
        <v>74</v>
      </c>
      <c r="G629">
        <v>2</v>
      </c>
      <c r="H629">
        <v>73.47</v>
      </c>
    </row>
    <row r="630" spans="1:11" s="40" customFormat="1" x14ac:dyDescent="0.3">
      <c r="A630" s="41" t="s">
        <v>976</v>
      </c>
      <c r="B630" s="40">
        <f>D629*E630+G629*H630+J629*K630</f>
        <v>1909.9722189999998</v>
      </c>
      <c r="E630" s="40">
        <v>97.946310899999986</v>
      </c>
      <c r="H630" s="40">
        <v>73.469311399999995</v>
      </c>
    </row>
    <row r="631" spans="1:11" x14ac:dyDescent="0.3">
      <c r="A631" t="s">
        <v>714</v>
      </c>
      <c r="B631">
        <v>1436.72</v>
      </c>
      <c r="C631" t="s">
        <v>29</v>
      </c>
      <c r="D631">
        <v>18</v>
      </c>
      <c r="E631">
        <v>73.47</v>
      </c>
      <c r="F631" t="s">
        <v>89</v>
      </c>
      <c r="G631">
        <v>2</v>
      </c>
      <c r="H631">
        <v>57.14</v>
      </c>
    </row>
    <row r="632" spans="1:11" s="40" customFormat="1" x14ac:dyDescent="0.3">
      <c r="A632" s="41" t="s">
        <v>976</v>
      </c>
      <c r="B632" s="40">
        <f>D631*E632+G631*H632+J631*K632</f>
        <v>1436.7176833000001</v>
      </c>
      <c r="E632" s="40">
        <v>73.469311399999995</v>
      </c>
      <c r="H632" s="40">
        <v>57.135039049999996</v>
      </c>
    </row>
    <row r="633" spans="1:11" x14ac:dyDescent="0.3">
      <c r="A633" t="s">
        <v>713</v>
      </c>
      <c r="B633">
        <v>1730.72</v>
      </c>
      <c r="C633" t="s">
        <v>31</v>
      </c>
      <c r="D633">
        <v>18</v>
      </c>
      <c r="E633">
        <v>89.8</v>
      </c>
      <c r="F633" t="s">
        <v>89</v>
      </c>
      <c r="G633">
        <v>2</v>
      </c>
      <c r="H633">
        <v>57.14</v>
      </c>
    </row>
    <row r="634" spans="1:11" s="40" customFormat="1" x14ac:dyDescent="0.3">
      <c r="A634" s="41" t="s">
        <v>976</v>
      </c>
      <c r="B634" s="40">
        <f>D633*E634+G633*H634+J633*K634</f>
        <v>1730.7234625000001</v>
      </c>
      <c r="E634" s="40">
        <v>89.802965799999996</v>
      </c>
      <c r="H634" s="40">
        <v>57.135039049999996</v>
      </c>
    </row>
    <row r="635" spans="1:11" x14ac:dyDescent="0.3">
      <c r="A635" t="s">
        <v>716</v>
      </c>
      <c r="B635">
        <v>734.41</v>
      </c>
      <c r="C635" t="s">
        <v>24</v>
      </c>
      <c r="D635">
        <v>18</v>
      </c>
      <c r="E635">
        <v>40.799999999999997</v>
      </c>
    </row>
    <row r="636" spans="1:11" s="40" customFormat="1" x14ac:dyDescent="0.3">
      <c r="A636" s="41" t="s">
        <v>976</v>
      </c>
      <c r="B636" s="40">
        <f>D635*E636+G635*H636+J635*K636</f>
        <v>734.41380059999995</v>
      </c>
      <c r="E636" s="40">
        <v>40.800766699999997</v>
      </c>
    </row>
    <row r="637" spans="1:11" x14ac:dyDescent="0.3">
      <c r="A637" t="s">
        <v>717</v>
      </c>
      <c r="B637">
        <v>1322.45</v>
      </c>
      <c r="C637" t="s">
        <v>65</v>
      </c>
      <c r="D637">
        <v>18</v>
      </c>
      <c r="E637">
        <v>73.47</v>
      </c>
    </row>
    <row r="638" spans="1:11" s="40" customFormat="1" x14ac:dyDescent="0.3">
      <c r="A638" s="41" t="s">
        <v>976</v>
      </c>
      <c r="B638" s="40">
        <f>D637*E638+G637*H638+J637*K638</f>
        <v>1322.4476052</v>
      </c>
      <c r="E638" s="40">
        <v>73.469311399999995</v>
      </c>
    </row>
    <row r="639" spans="1:11" x14ac:dyDescent="0.3">
      <c r="A639" t="s">
        <v>719</v>
      </c>
      <c r="B639">
        <v>2301.66</v>
      </c>
      <c r="C639" t="s">
        <v>31</v>
      </c>
      <c r="D639">
        <v>18</v>
      </c>
      <c r="E639">
        <v>89.8</v>
      </c>
      <c r="F639" t="s">
        <v>110</v>
      </c>
      <c r="G639">
        <v>2</v>
      </c>
      <c r="H639">
        <v>97.94</v>
      </c>
      <c r="I639" t="s">
        <v>137</v>
      </c>
      <c r="J639">
        <v>20</v>
      </c>
      <c r="K639">
        <v>24.47</v>
      </c>
    </row>
    <row r="640" spans="1:11" s="40" customFormat="1" x14ac:dyDescent="0.3">
      <c r="A640" s="41" t="s">
        <v>976</v>
      </c>
      <c r="B640" s="40">
        <f>D639*E640+G639*H640+J639*K640</f>
        <v>2301.6644747198998</v>
      </c>
      <c r="E640" s="40">
        <v>89.802965799999996</v>
      </c>
      <c r="H640" s="40">
        <v>97.936115342949989</v>
      </c>
      <c r="K640" s="40">
        <v>24.466942981699997</v>
      </c>
    </row>
    <row r="641" spans="1:11" x14ac:dyDescent="0.3">
      <c r="A641" t="s">
        <v>718</v>
      </c>
      <c r="B641">
        <v>2595.19</v>
      </c>
      <c r="C641" t="s">
        <v>69</v>
      </c>
      <c r="D641">
        <v>18</v>
      </c>
      <c r="E641">
        <v>106.11</v>
      </c>
      <c r="F641" t="s">
        <v>110</v>
      </c>
      <c r="G641">
        <v>2</v>
      </c>
      <c r="H641">
        <v>97.94</v>
      </c>
      <c r="I641" t="s">
        <v>137</v>
      </c>
      <c r="J641">
        <v>20</v>
      </c>
      <c r="K641">
        <v>24.47</v>
      </c>
    </row>
    <row r="642" spans="1:11" s="40" customFormat="1" x14ac:dyDescent="0.3">
      <c r="A642" s="41" t="s">
        <v>976</v>
      </c>
      <c r="B642" s="40">
        <f>D641*E642+G641*H642+J641*K642</f>
        <v>2595.1919606198999</v>
      </c>
      <c r="E642" s="40">
        <v>106.11004834999999</v>
      </c>
      <c r="H642" s="40">
        <v>97.936115342949989</v>
      </c>
      <c r="K642" s="40">
        <v>24.466942981699997</v>
      </c>
    </row>
    <row r="643" spans="1:11" x14ac:dyDescent="0.3">
      <c r="A643" t="s">
        <v>721</v>
      </c>
      <c r="B643">
        <v>2301.66</v>
      </c>
      <c r="C643" t="s">
        <v>31</v>
      </c>
      <c r="D643">
        <v>18</v>
      </c>
      <c r="E643">
        <v>89.8</v>
      </c>
      <c r="F643" t="s">
        <v>110</v>
      </c>
      <c r="G643">
        <v>2</v>
      </c>
      <c r="H643">
        <v>97.94</v>
      </c>
      <c r="I643" t="s">
        <v>137</v>
      </c>
      <c r="J643">
        <v>20</v>
      </c>
      <c r="K643">
        <v>24.47</v>
      </c>
    </row>
    <row r="644" spans="1:11" s="40" customFormat="1" x14ac:dyDescent="0.3">
      <c r="A644" s="41" t="s">
        <v>976</v>
      </c>
      <c r="B644" s="40">
        <f>D643*E644+G643*H644+J643*K644</f>
        <v>2301.6644747198998</v>
      </c>
      <c r="E644" s="40">
        <v>89.802965799999996</v>
      </c>
      <c r="H644" s="40">
        <v>97.936115342949989</v>
      </c>
      <c r="K644" s="40">
        <v>24.466942981699997</v>
      </c>
    </row>
    <row r="645" spans="1:11" x14ac:dyDescent="0.3">
      <c r="A645" t="s">
        <v>722</v>
      </c>
      <c r="B645">
        <v>2497.6799999999998</v>
      </c>
      <c r="C645" t="s">
        <v>57</v>
      </c>
      <c r="D645">
        <v>16</v>
      </c>
      <c r="E645">
        <v>146.91999999999999</v>
      </c>
      <c r="F645" t="s">
        <v>83</v>
      </c>
      <c r="G645">
        <v>2</v>
      </c>
      <c r="H645">
        <v>73.47</v>
      </c>
    </row>
    <row r="646" spans="1:11" s="40" customFormat="1" x14ac:dyDescent="0.3">
      <c r="A646" s="41" t="s">
        <v>976</v>
      </c>
      <c r="B646" s="40">
        <f>D645*E646+G645*H646+J645*K646</f>
        <v>2497.6797459999998</v>
      </c>
      <c r="E646" s="40">
        <v>146.9213202</v>
      </c>
      <c r="H646" s="40">
        <v>73.469311399999995</v>
      </c>
    </row>
    <row r="647" spans="1:11" x14ac:dyDescent="0.3">
      <c r="A647" t="s">
        <v>723</v>
      </c>
      <c r="B647">
        <v>2497.6799999999998</v>
      </c>
      <c r="C647" t="s">
        <v>57</v>
      </c>
      <c r="D647">
        <v>16</v>
      </c>
      <c r="E647">
        <v>146.91999999999999</v>
      </c>
      <c r="F647" t="s">
        <v>83</v>
      </c>
      <c r="G647">
        <v>2</v>
      </c>
      <c r="H647">
        <v>73.47</v>
      </c>
    </row>
    <row r="648" spans="1:11" s="40" customFormat="1" x14ac:dyDescent="0.3">
      <c r="A648" s="41" t="s">
        <v>976</v>
      </c>
      <c r="B648" s="40">
        <f>D647*E648+G647*H648+J647*K648</f>
        <v>2497.6797459999998</v>
      </c>
      <c r="E648" s="40">
        <v>146.9213202</v>
      </c>
      <c r="H648" s="40">
        <v>73.469311399999995</v>
      </c>
    </row>
    <row r="649" spans="1:11" x14ac:dyDescent="0.3">
      <c r="A649" t="s">
        <v>724</v>
      </c>
      <c r="B649">
        <v>799.75</v>
      </c>
      <c r="C649" t="s">
        <v>24</v>
      </c>
      <c r="D649">
        <v>16</v>
      </c>
      <c r="E649">
        <v>40.799999999999997</v>
      </c>
      <c r="F649" t="s">
        <v>72</v>
      </c>
      <c r="G649">
        <v>2</v>
      </c>
      <c r="H649">
        <v>73.47</v>
      </c>
    </row>
    <row r="650" spans="1:11" s="40" customFormat="1" x14ac:dyDescent="0.3">
      <c r="A650" s="41" t="s">
        <v>976</v>
      </c>
      <c r="B650" s="40">
        <f>D649*E650+G649*H650+J649*K650</f>
        <v>799.75088999999991</v>
      </c>
      <c r="E650" s="40">
        <v>40.800766699999997</v>
      </c>
      <c r="H650" s="40">
        <v>73.469311399999995</v>
      </c>
    </row>
    <row r="651" spans="1:11" x14ac:dyDescent="0.3">
      <c r="A651" t="s">
        <v>726</v>
      </c>
      <c r="B651">
        <v>1061.0999999999999</v>
      </c>
      <c r="C651" t="s">
        <v>27</v>
      </c>
      <c r="D651">
        <v>16</v>
      </c>
      <c r="E651">
        <v>57.14</v>
      </c>
      <c r="F651" t="s">
        <v>72</v>
      </c>
      <c r="G651">
        <v>2</v>
      </c>
      <c r="H651">
        <v>73.47</v>
      </c>
    </row>
    <row r="652" spans="1:11" s="40" customFormat="1" x14ac:dyDescent="0.3">
      <c r="A652" s="41" t="s">
        <v>976</v>
      </c>
      <c r="B652" s="40">
        <f>D651*E652+G651*H652+J651*K652</f>
        <v>1061.0992475999999</v>
      </c>
      <c r="E652" s="40">
        <v>57.135039049999996</v>
      </c>
      <c r="H652" s="40">
        <v>73.469311399999995</v>
      </c>
    </row>
    <row r="653" spans="1:11" x14ac:dyDescent="0.3">
      <c r="A653" t="s">
        <v>725</v>
      </c>
      <c r="B653">
        <v>1061.0999999999999</v>
      </c>
      <c r="C653" t="s">
        <v>27</v>
      </c>
      <c r="D653">
        <v>16</v>
      </c>
      <c r="E653">
        <v>57.14</v>
      </c>
      <c r="F653" t="s">
        <v>72</v>
      </c>
      <c r="G653">
        <v>2</v>
      </c>
      <c r="H653">
        <v>73.47</v>
      </c>
    </row>
    <row r="654" spans="1:11" s="40" customFormat="1" x14ac:dyDescent="0.3">
      <c r="A654" s="41" t="s">
        <v>976</v>
      </c>
      <c r="B654" s="40">
        <f>D653*E654+G653*H654+J653*K654</f>
        <v>1061.0992475999999</v>
      </c>
      <c r="E654" s="40">
        <v>57.135039049999996</v>
      </c>
      <c r="H654" s="40">
        <v>73.469311399999995</v>
      </c>
    </row>
    <row r="655" spans="1:11" x14ac:dyDescent="0.3">
      <c r="A655" t="s">
        <v>727</v>
      </c>
      <c r="B655">
        <v>1061.0999999999999</v>
      </c>
      <c r="C655" t="s">
        <v>27</v>
      </c>
      <c r="D655">
        <v>16</v>
      </c>
      <c r="E655">
        <v>57.14</v>
      </c>
      <c r="F655" t="s">
        <v>72</v>
      </c>
      <c r="G655">
        <v>2</v>
      </c>
      <c r="H655">
        <v>73.47</v>
      </c>
    </row>
    <row r="656" spans="1:11" s="40" customFormat="1" x14ac:dyDescent="0.3">
      <c r="A656" s="41" t="s">
        <v>976</v>
      </c>
      <c r="B656" s="40">
        <f>D655*E656+G655*H656+J655*K656</f>
        <v>1061.0992475999999</v>
      </c>
      <c r="E656" s="40">
        <v>57.135039049999996</v>
      </c>
      <c r="H656" s="40">
        <v>73.469311399999995</v>
      </c>
    </row>
    <row r="657" spans="1:8" x14ac:dyDescent="0.3">
      <c r="A657" t="s">
        <v>728</v>
      </c>
      <c r="B657">
        <v>1061.0999999999999</v>
      </c>
      <c r="C657" t="s">
        <v>27</v>
      </c>
      <c r="D657">
        <v>16</v>
      </c>
      <c r="E657">
        <v>57.14</v>
      </c>
      <c r="F657" t="s">
        <v>72</v>
      </c>
      <c r="G657">
        <v>2</v>
      </c>
      <c r="H657">
        <v>73.47</v>
      </c>
    </row>
    <row r="658" spans="1:8" s="40" customFormat="1" x14ac:dyDescent="0.3">
      <c r="A658" s="41" t="s">
        <v>976</v>
      </c>
      <c r="B658" s="40">
        <f>D657*E658+G657*H658+J657*K658</f>
        <v>1061.0992475999999</v>
      </c>
      <c r="E658" s="40">
        <v>57.135039049999996</v>
      </c>
      <c r="H658" s="40">
        <v>73.469311399999995</v>
      </c>
    </row>
    <row r="659" spans="1:8" x14ac:dyDescent="0.3">
      <c r="A659" t="s">
        <v>730</v>
      </c>
      <c r="B659">
        <v>1322.45</v>
      </c>
      <c r="C659" t="s">
        <v>65</v>
      </c>
      <c r="D659">
        <v>16</v>
      </c>
      <c r="E659">
        <v>73.47</v>
      </c>
      <c r="F659" t="s">
        <v>72</v>
      </c>
      <c r="G659">
        <v>2</v>
      </c>
      <c r="H659">
        <v>73.47</v>
      </c>
    </row>
    <row r="660" spans="1:8" s="40" customFormat="1" x14ac:dyDescent="0.3">
      <c r="A660" s="41" t="s">
        <v>976</v>
      </c>
      <c r="B660" s="40">
        <f>D659*E660+G659*H660+J659*K660</f>
        <v>1322.4476052</v>
      </c>
      <c r="E660" s="40">
        <v>73.469311399999995</v>
      </c>
      <c r="H660" s="40">
        <v>73.469311399999995</v>
      </c>
    </row>
    <row r="661" spans="1:8" x14ac:dyDescent="0.3">
      <c r="A661" t="s">
        <v>729</v>
      </c>
      <c r="B661">
        <v>1061.0999999999999</v>
      </c>
      <c r="C661" t="s">
        <v>27</v>
      </c>
      <c r="D661">
        <v>16</v>
      </c>
      <c r="E661">
        <v>57.14</v>
      </c>
      <c r="F661" t="s">
        <v>72</v>
      </c>
      <c r="G661">
        <v>2</v>
      </c>
      <c r="H661">
        <v>73.47</v>
      </c>
    </row>
    <row r="662" spans="1:8" s="40" customFormat="1" x14ac:dyDescent="0.3">
      <c r="A662" s="41" t="s">
        <v>976</v>
      </c>
      <c r="B662" s="40">
        <f>D661*E662+G661*H662+J661*K662</f>
        <v>1061.0992475999999</v>
      </c>
      <c r="E662" s="40">
        <v>57.135039049999996</v>
      </c>
      <c r="H662" s="40">
        <v>73.469311399999995</v>
      </c>
    </row>
    <row r="663" spans="1:8" x14ac:dyDescent="0.3">
      <c r="A663" t="s">
        <v>731</v>
      </c>
      <c r="B663">
        <v>1322.45</v>
      </c>
      <c r="C663" t="s">
        <v>29</v>
      </c>
      <c r="D663">
        <v>16</v>
      </c>
      <c r="E663">
        <v>73.47</v>
      </c>
      <c r="F663" t="s">
        <v>74</v>
      </c>
      <c r="G663">
        <v>2</v>
      </c>
      <c r="H663">
        <v>73.47</v>
      </c>
    </row>
    <row r="664" spans="1:8" s="40" customFormat="1" x14ac:dyDescent="0.3">
      <c r="A664" s="41" t="s">
        <v>976</v>
      </c>
      <c r="B664" s="40">
        <f>D663*E664+G663*H664+J663*K664</f>
        <v>1322.4476052</v>
      </c>
      <c r="E664" s="40">
        <v>73.469311399999995</v>
      </c>
      <c r="H664" s="40">
        <v>73.469311399999995</v>
      </c>
    </row>
    <row r="665" spans="1:8" x14ac:dyDescent="0.3">
      <c r="A665" t="s">
        <v>732</v>
      </c>
      <c r="B665">
        <v>1583.79</v>
      </c>
      <c r="C665" t="s">
        <v>31</v>
      </c>
      <c r="D665">
        <v>16</v>
      </c>
      <c r="E665">
        <v>89.8</v>
      </c>
      <c r="F665" t="s">
        <v>74</v>
      </c>
      <c r="G665">
        <v>2</v>
      </c>
      <c r="H665">
        <v>73.47</v>
      </c>
    </row>
    <row r="666" spans="1:8" s="40" customFormat="1" x14ac:dyDescent="0.3">
      <c r="A666" s="41" t="s">
        <v>976</v>
      </c>
      <c r="B666" s="40">
        <f>D665*E666+G665*H666+J665*K666</f>
        <v>1583.7860756</v>
      </c>
      <c r="E666" s="40">
        <v>89.802965799999996</v>
      </c>
      <c r="H666" s="40">
        <v>73.469311399999995</v>
      </c>
    </row>
    <row r="667" spans="1:8" x14ac:dyDescent="0.3">
      <c r="A667" t="s">
        <v>733</v>
      </c>
      <c r="B667">
        <v>1844.7</v>
      </c>
      <c r="C667" t="s">
        <v>69</v>
      </c>
      <c r="D667">
        <v>16</v>
      </c>
      <c r="E667">
        <v>106.11</v>
      </c>
      <c r="F667" t="s">
        <v>74</v>
      </c>
      <c r="G667">
        <v>2</v>
      </c>
      <c r="H667">
        <v>73.47</v>
      </c>
    </row>
    <row r="668" spans="1:8" s="40" customFormat="1" x14ac:dyDescent="0.3">
      <c r="A668" s="41" t="s">
        <v>976</v>
      </c>
      <c r="B668" s="40">
        <f>D667*E668+G667*H668+J667*K668</f>
        <v>1844.6993963999998</v>
      </c>
      <c r="E668" s="40">
        <v>106.11004834999999</v>
      </c>
      <c r="H668" s="40">
        <v>73.469311399999995</v>
      </c>
    </row>
    <row r="669" spans="1:8" x14ac:dyDescent="0.3">
      <c r="A669" t="s">
        <v>735</v>
      </c>
      <c r="B669">
        <v>1583.79</v>
      </c>
      <c r="C669" t="s">
        <v>31</v>
      </c>
      <c r="D669">
        <v>16</v>
      </c>
      <c r="E669">
        <v>89.8</v>
      </c>
      <c r="F669" t="s">
        <v>74</v>
      </c>
      <c r="G669">
        <v>2</v>
      </c>
      <c r="H669">
        <v>73.47</v>
      </c>
    </row>
    <row r="670" spans="1:8" s="40" customFormat="1" x14ac:dyDescent="0.3">
      <c r="A670" s="41" t="s">
        <v>976</v>
      </c>
      <c r="B670" s="40">
        <f>D669*E670+G669*H670+J669*K670</f>
        <v>1583.7860756</v>
      </c>
      <c r="E670" s="40">
        <v>89.802965799999996</v>
      </c>
      <c r="H670" s="40">
        <v>73.469311399999995</v>
      </c>
    </row>
    <row r="671" spans="1:8" x14ac:dyDescent="0.3">
      <c r="A671" t="s">
        <v>734</v>
      </c>
      <c r="B671">
        <v>1583.79</v>
      </c>
      <c r="C671" t="s">
        <v>31</v>
      </c>
      <c r="D671">
        <v>16</v>
      </c>
      <c r="E671">
        <v>89.8</v>
      </c>
      <c r="F671" t="s">
        <v>74</v>
      </c>
      <c r="G671">
        <v>2</v>
      </c>
      <c r="H671">
        <v>73.47</v>
      </c>
    </row>
    <row r="672" spans="1:8" s="40" customFormat="1" x14ac:dyDescent="0.3">
      <c r="A672" s="41" t="s">
        <v>976</v>
      </c>
      <c r="B672" s="40">
        <f>D671*E672+G671*H672+J671*K672</f>
        <v>1583.7860756</v>
      </c>
      <c r="E672" s="40">
        <v>89.802965799999996</v>
      </c>
      <c r="H672" s="40">
        <v>73.469311399999995</v>
      </c>
    </row>
    <row r="673" spans="1:8" x14ac:dyDescent="0.3">
      <c r="A673" t="s">
        <v>736</v>
      </c>
      <c r="B673">
        <v>1583.79</v>
      </c>
      <c r="C673" t="s">
        <v>31</v>
      </c>
      <c r="D673">
        <v>16</v>
      </c>
      <c r="E673">
        <v>89.8</v>
      </c>
      <c r="F673" t="s">
        <v>74</v>
      </c>
      <c r="G673">
        <v>2</v>
      </c>
      <c r="H673">
        <v>73.47</v>
      </c>
    </row>
    <row r="674" spans="1:8" s="40" customFormat="1" x14ac:dyDescent="0.3">
      <c r="A674" s="41" t="s">
        <v>976</v>
      </c>
      <c r="B674" s="40">
        <f>D673*E674+G673*H674+J673*K674</f>
        <v>1583.7860756</v>
      </c>
      <c r="E674" s="40">
        <v>89.802965799999996</v>
      </c>
      <c r="H674" s="40">
        <v>73.469311399999995</v>
      </c>
    </row>
    <row r="675" spans="1:8" x14ac:dyDescent="0.3">
      <c r="A675" t="s">
        <v>738</v>
      </c>
      <c r="B675">
        <v>1844.7</v>
      </c>
      <c r="C675" t="s">
        <v>69</v>
      </c>
      <c r="D675">
        <v>16</v>
      </c>
      <c r="E675">
        <v>106.11</v>
      </c>
      <c r="F675" t="s">
        <v>74</v>
      </c>
      <c r="G675">
        <v>2</v>
      </c>
      <c r="H675">
        <v>73.47</v>
      </c>
    </row>
    <row r="676" spans="1:8" s="40" customFormat="1" x14ac:dyDescent="0.3">
      <c r="A676" s="41" t="s">
        <v>976</v>
      </c>
      <c r="B676" s="40">
        <f>D675*E676+G675*H676+J675*K676</f>
        <v>1844.6993963999998</v>
      </c>
      <c r="E676" s="40">
        <v>106.11004834999999</v>
      </c>
      <c r="H676" s="40">
        <v>73.469311399999995</v>
      </c>
    </row>
    <row r="677" spans="1:8" x14ac:dyDescent="0.3">
      <c r="A677" t="s">
        <v>737</v>
      </c>
      <c r="B677">
        <v>1583.79</v>
      </c>
      <c r="C677" t="s">
        <v>31</v>
      </c>
      <c r="D677">
        <v>16</v>
      </c>
      <c r="E677">
        <v>89.8</v>
      </c>
      <c r="F677" t="s">
        <v>74</v>
      </c>
      <c r="G677">
        <v>2</v>
      </c>
      <c r="H677">
        <v>73.47</v>
      </c>
    </row>
    <row r="678" spans="1:8" s="40" customFormat="1" x14ac:dyDescent="0.3">
      <c r="A678" s="41" t="s">
        <v>976</v>
      </c>
      <c r="B678" s="40">
        <f>D677*E678+G677*H678+J677*K678</f>
        <v>1583.7860756</v>
      </c>
      <c r="E678" s="40">
        <v>89.802965799999996</v>
      </c>
      <c r="H678" s="40">
        <v>73.469311399999995</v>
      </c>
    </row>
    <row r="679" spans="1:8" x14ac:dyDescent="0.3">
      <c r="A679" t="s">
        <v>739</v>
      </c>
      <c r="B679">
        <v>1583.79</v>
      </c>
      <c r="C679" t="s">
        <v>31</v>
      </c>
      <c r="D679">
        <v>16</v>
      </c>
      <c r="E679">
        <v>89.8</v>
      </c>
      <c r="F679" t="s">
        <v>74</v>
      </c>
      <c r="G679">
        <v>2</v>
      </c>
      <c r="H679">
        <v>73.47</v>
      </c>
    </row>
    <row r="680" spans="1:8" s="40" customFormat="1" x14ac:dyDescent="0.3">
      <c r="A680" s="41" t="s">
        <v>976</v>
      </c>
      <c r="B680" s="40">
        <f>D679*E680+G679*H680+J679*K680</f>
        <v>1583.7860756</v>
      </c>
      <c r="E680" s="40">
        <v>89.802965799999996</v>
      </c>
      <c r="H680" s="40">
        <v>73.469311399999995</v>
      </c>
    </row>
    <row r="681" spans="1:8" x14ac:dyDescent="0.3">
      <c r="A681" t="s">
        <v>740</v>
      </c>
      <c r="B681">
        <v>1844.7</v>
      </c>
      <c r="C681" t="s">
        <v>69</v>
      </c>
      <c r="D681">
        <v>16</v>
      </c>
      <c r="E681">
        <v>106.11</v>
      </c>
      <c r="F681" t="s">
        <v>74</v>
      </c>
      <c r="G681">
        <v>2</v>
      </c>
      <c r="H681">
        <v>73.47</v>
      </c>
    </row>
    <row r="682" spans="1:8" s="40" customFormat="1" x14ac:dyDescent="0.3">
      <c r="A682" s="41" t="s">
        <v>976</v>
      </c>
      <c r="B682" s="40">
        <f>D681*E682+G681*H682+J681*K682</f>
        <v>1844.6993963999998</v>
      </c>
      <c r="E682" s="40">
        <v>106.11004834999999</v>
      </c>
      <c r="H682" s="40">
        <v>73.469311399999995</v>
      </c>
    </row>
    <row r="683" spans="1:8" x14ac:dyDescent="0.3">
      <c r="A683" t="s">
        <v>741</v>
      </c>
      <c r="B683">
        <v>1583.79</v>
      </c>
      <c r="C683" t="s">
        <v>31</v>
      </c>
      <c r="D683">
        <v>16</v>
      </c>
      <c r="E683">
        <v>89.8</v>
      </c>
      <c r="F683" t="s">
        <v>74</v>
      </c>
      <c r="G683">
        <v>2</v>
      </c>
      <c r="H683">
        <v>73.47</v>
      </c>
    </row>
    <row r="684" spans="1:8" s="40" customFormat="1" x14ac:dyDescent="0.3">
      <c r="A684" s="41" t="s">
        <v>976</v>
      </c>
      <c r="B684" s="40">
        <f>D683*E684+G683*H684+J683*K684</f>
        <v>1583.7860756</v>
      </c>
      <c r="E684" s="40">
        <v>89.802965799999996</v>
      </c>
      <c r="H684" s="40">
        <v>73.469311399999995</v>
      </c>
    </row>
    <row r="685" spans="1:8" x14ac:dyDescent="0.3">
      <c r="A685" t="s">
        <v>743</v>
      </c>
      <c r="B685">
        <v>1714.08</v>
      </c>
      <c r="C685" t="s">
        <v>43</v>
      </c>
      <c r="D685">
        <v>16</v>
      </c>
      <c r="E685">
        <v>97.95</v>
      </c>
      <c r="F685" t="s">
        <v>74</v>
      </c>
      <c r="G685">
        <v>2</v>
      </c>
      <c r="H685">
        <v>73.47</v>
      </c>
    </row>
    <row r="686" spans="1:8" s="40" customFormat="1" x14ac:dyDescent="0.3">
      <c r="A686" s="41" t="s">
        <v>976</v>
      </c>
      <c r="B686" s="40">
        <f>D685*E686+G685*H686+J685*K686</f>
        <v>1714.0795971999999</v>
      </c>
      <c r="E686" s="40">
        <v>97.946310899999986</v>
      </c>
      <c r="H686" s="40">
        <v>73.469311399999995</v>
      </c>
    </row>
    <row r="687" spans="1:8" x14ac:dyDescent="0.3">
      <c r="A687" t="s">
        <v>742</v>
      </c>
      <c r="B687">
        <v>1844.7</v>
      </c>
      <c r="C687" t="s">
        <v>69</v>
      </c>
      <c r="D687">
        <v>16</v>
      </c>
      <c r="E687">
        <v>106.11</v>
      </c>
      <c r="F687" t="s">
        <v>74</v>
      </c>
      <c r="G687">
        <v>2</v>
      </c>
      <c r="H687">
        <v>73.47</v>
      </c>
    </row>
    <row r="688" spans="1:8" s="40" customFormat="1" x14ac:dyDescent="0.3">
      <c r="A688" s="41" t="s">
        <v>976</v>
      </c>
      <c r="B688" s="40">
        <f>D687*E688+G687*H688+J687*K688</f>
        <v>1844.6993963999998</v>
      </c>
      <c r="E688" s="40">
        <v>106.11004834999999</v>
      </c>
      <c r="H688" s="40">
        <v>73.469311399999995</v>
      </c>
    </row>
    <row r="689" spans="1:11" x14ac:dyDescent="0.3">
      <c r="A689" t="s">
        <v>744</v>
      </c>
      <c r="B689">
        <v>1175.51</v>
      </c>
      <c r="C689" t="s">
        <v>29</v>
      </c>
      <c r="D689">
        <v>16</v>
      </c>
      <c r="E689">
        <v>73.47</v>
      </c>
    </row>
    <row r="690" spans="1:11" s="40" customFormat="1" x14ac:dyDescent="0.3">
      <c r="A690" s="41" t="s">
        <v>976</v>
      </c>
      <c r="B690" s="40">
        <f>D689*E690+G689*H690+J689*K690</f>
        <v>1175.5089823999999</v>
      </c>
      <c r="E690" s="40">
        <v>73.469311399999995</v>
      </c>
    </row>
    <row r="691" spans="1:11" x14ac:dyDescent="0.3">
      <c r="A691" t="s">
        <v>746</v>
      </c>
      <c r="B691">
        <v>1697.76</v>
      </c>
      <c r="C691" t="s">
        <v>69</v>
      </c>
      <c r="D691">
        <v>16</v>
      </c>
      <c r="E691">
        <v>106.11</v>
      </c>
    </row>
    <row r="692" spans="1:11" s="40" customFormat="1" x14ac:dyDescent="0.3">
      <c r="A692" s="41" t="s">
        <v>976</v>
      </c>
      <c r="B692" s="40">
        <f>D691*E692+G691*H692+J691*K692</f>
        <v>1697.7607735999998</v>
      </c>
      <c r="E692" s="40">
        <v>106.11004834999999</v>
      </c>
    </row>
    <row r="693" spans="1:11" x14ac:dyDescent="0.3">
      <c r="A693" t="s">
        <v>747</v>
      </c>
      <c r="B693">
        <v>1779.36</v>
      </c>
      <c r="C693" t="s">
        <v>69</v>
      </c>
      <c r="D693">
        <v>16</v>
      </c>
      <c r="E693">
        <v>106.11</v>
      </c>
      <c r="F693" t="s">
        <v>99</v>
      </c>
      <c r="G693">
        <v>2</v>
      </c>
      <c r="H693">
        <v>40.799999999999997</v>
      </c>
    </row>
    <row r="694" spans="1:11" s="40" customFormat="1" x14ac:dyDescent="0.3">
      <c r="A694" s="41" t="s">
        <v>976</v>
      </c>
      <c r="B694" s="40">
        <f>D693*E694+G693*H694+J693*K694</f>
        <v>1779.3628124830998</v>
      </c>
      <c r="E694" s="40">
        <v>106.11004834999999</v>
      </c>
      <c r="H694" s="40">
        <v>40.80101944154999</v>
      </c>
    </row>
    <row r="695" spans="1:11" x14ac:dyDescent="0.3">
      <c r="A695" t="s">
        <v>748</v>
      </c>
      <c r="B695">
        <v>2073.12</v>
      </c>
      <c r="C695" t="s">
        <v>31</v>
      </c>
      <c r="D695">
        <v>16</v>
      </c>
      <c r="E695">
        <v>89.8</v>
      </c>
      <c r="F695" t="s">
        <v>110</v>
      </c>
      <c r="G695">
        <v>2</v>
      </c>
      <c r="H695">
        <v>97.94</v>
      </c>
      <c r="I695" t="s">
        <v>137</v>
      </c>
      <c r="J695">
        <v>18</v>
      </c>
      <c r="K695">
        <v>24.47</v>
      </c>
    </row>
    <row r="696" spans="1:11" s="40" customFormat="1" x14ac:dyDescent="0.3">
      <c r="A696" s="41" t="s">
        <v>976</v>
      </c>
      <c r="B696" s="40">
        <f>D695*E696+G695*H696+J695*K696</f>
        <v>2073.1246571564998</v>
      </c>
      <c r="E696" s="40">
        <v>89.802965799999996</v>
      </c>
      <c r="H696" s="40">
        <v>97.936115342949989</v>
      </c>
      <c r="K696" s="40">
        <v>24.466942981699997</v>
      </c>
    </row>
    <row r="697" spans="1:11" x14ac:dyDescent="0.3">
      <c r="A697" t="s">
        <v>749</v>
      </c>
      <c r="B697">
        <v>2334.04</v>
      </c>
      <c r="C697" t="s">
        <v>69</v>
      </c>
      <c r="D697">
        <v>16</v>
      </c>
      <c r="E697">
        <v>106.11</v>
      </c>
      <c r="F697" t="s">
        <v>110</v>
      </c>
      <c r="G697">
        <v>2</v>
      </c>
      <c r="H697">
        <v>97.94</v>
      </c>
      <c r="I697" t="s">
        <v>137</v>
      </c>
      <c r="J697">
        <v>18</v>
      </c>
      <c r="K697">
        <v>24.47</v>
      </c>
    </row>
    <row r="698" spans="1:11" s="40" customFormat="1" x14ac:dyDescent="0.3">
      <c r="A698" s="41" t="s">
        <v>976</v>
      </c>
      <c r="B698" s="40">
        <f>D697*E698+G697*H698+J697*K698</f>
        <v>2334.0379779564996</v>
      </c>
      <c r="E698" s="40">
        <v>106.11004834999999</v>
      </c>
      <c r="H698" s="40">
        <v>97.936115342949989</v>
      </c>
      <c r="K698" s="40">
        <v>24.466942981699997</v>
      </c>
    </row>
    <row r="699" spans="1:11" x14ac:dyDescent="0.3">
      <c r="A699" t="s">
        <v>751</v>
      </c>
      <c r="B699">
        <v>1248.98</v>
      </c>
      <c r="C699" t="s">
        <v>65</v>
      </c>
      <c r="D699">
        <v>15</v>
      </c>
      <c r="E699">
        <v>73.47</v>
      </c>
      <c r="F699" t="s">
        <v>72</v>
      </c>
      <c r="G699">
        <v>2</v>
      </c>
      <c r="H699">
        <v>73.47</v>
      </c>
    </row>
    <row r="700" spans="1:11" s="40" customFormat="1" x14ac:dyDescent="0.3">
      <c r="A700" s="41" t="s">
        <v>976</v>
      </c>
      <c r="B700" s="40">
        <f>D699*E700+G699*H700+J699*K700</f>
        <v>1248.9782938000001</v>
      </c>
      <c r="E700" s="40">
        <v>73.469311399999995</v>
      </c>
      <c r="H700" s="40">
        <v>73.469311399999995</v>
      </c>
    </row>
    <row r="701" spans="1:11" x14ac:dyDescent="0.3">
      <c r="A701" t="s">
        <v>750</v>
      </c>
      <c r="B701">
        <v>1248.98</v>
      </c>
      <c r="C701" t="s">
        <v>65</v>
      </c>
      <c r="D701">
        <v>15</v>
      </c>
      <c r="E701">
        <v>73.47</v>
      </c>
      <c r="F701" t="s">
        <v>72</v>
      </c>
      <c r="G701">
        <v>2</v>
      </c>
      <c r="H701">
        <v>73.47</v>
      </c>
    </row>
    <row r="702" spans="1:11" s="40" customFormat="1" x14ac:dyDescent="0.3">
      <c r="A702" s="41" t="s">
        <v>976</v>
      </c>
      <c r="B702" s="40">
        <f>D701*E702+G701*H702+J701*K702</f>
        <v>1248.9782938000001</v>
      </c>
      <c r="E702" s="40">
        <v>73.469311399999995</v>
      </c>
      <c r="H702" s="40">
        <v>73.469311399999995</v>
      </c>
    </row>
    <row r="703" spans="1:11" x14ac:dyDescent="0.3">
      <c r="A703" t="s">
        <v>752</v>
      </c>
      <c r="B703">
        <v>1003.96</v>
      </c>
      <c r="C703" t="s">
        <v>27</v>
      </c>
      <c r="D703">
        <v>15</v>
      </c>
      <c r="E703">
        <v>57.14</v>
      </c>
      <c r="F703" t="s">
        <v>72</v>
      </c>
      <c r="G703">
        <v>2</v>
      </c>
      <c r="H703">
        <v>73.47</v>
      </c>
    </row>
    <row r="704" spans="1:11" s="40" customFormat="1" x14ac:dyDescent="0.3">
      <c r="A704" s="41" t="s">
        <v>976</v>
      </c>
      <c r="B704" s="40">
        <f>D703*E704+G703*H704+J703*K704</f>
        <v>1003.9642085499999</v>
      </c>
      <c r="E704" s="40">
        <v>57.135039049999996</v>
      </c>
      <c r="H704" s="40">
        <v>73.469311399999995</v>
      </c>
    </row>
    <row r="705" spans="1:8" x14ac:dyDescent="0.3">
      <c r="A705" t="s">
        <v>756</v>
      </c>
      <c r="B705">
        <v>1248.98</v>
      </c>
      <c r="C705" t="s">
        <v>65</v>
      </c>
      <c r="D705">
        <v>15</v>
      </c>
      <c r="E705">
        <v>73.47</v>
      </c>
      <c r="F705" t="s">
        <v>72</v>
      </c>
      <c r="G705">
        <v>2</v>
      </c>
      <c r="H705">
        <v>73.47</v>
      </c>
    </row>
    <row r="706" spans="1:8" s="40" customFormat="1" x14ac:dyDescent="0.3">
      <c r="A706" s="41" t="s">
        <v>976</v>
      </c>
      <c r="B706" s="40">
        <f>D705*E706+G705*H706+J705*K706</f>
        <v>1248.9782938000001</v>
      </c>
      <c r="E706" s="40">
        <v>73.469311399999995</v>
      </c>
      <c r="H706" s="40">
        <v>73.469311399999995</v>
      </c>
    </row>
    <row r="707" spans="1:8" x14ac:dyDescent="0.3">
      <c r="A707" t="s">
        <v>753</v>
      </c>
      <c r="B707">
        <v>1003.96</v>
      </c>
      <c r="C707" t="s">
        <v>27</v>
      </c>
      <c r="D707">
        <v>15</v>
      </c>
      <c r="E707">
        <v>57.14</v>
      </c>
      <c r="F707" t="s">
        <v>72</v>
      </c>
      <c r="G707">
        <v>2</v>
      </c>
      <c r="H707">
        <v>73.47</v>
      </c>
    </row>
    <row r="708" spans="1:8" s="40" customFormat="1" x14ac:dyDescent="0.3">
      <c r="A708" s="41" t="s">
        <v>976</v>
      </c>
      <c r="B708" s="40">
        <f>D707*E708+G707*H708+J707*K708</f>
        <v>1003.9642085499999</v>
      </c>
      <c r="E708" s="40">
        <v>57.135039049999996</v>
      </c>
      <c r="H708" s="40">
        <v>73.469311399999995</v>
      </c>
    </row>
    <row r="709" spans="1:8" x14ac:dyDescent="0.3">
      <c r="A709" t="s">
        <v>754</v>
      </c>
      <c r="B709">
        <v>1493.98</v>
      </c>
      <c r="C709" t="s">
        <v>31</v>
      </c>
      <c r="D709">
        <v>15</v>
      </c>
      <c r="E709">
        <v>89.8</v>
      </c>
      <c r="F709" t="s">
        <v>74</v>
      </c>
      <c r="G709">
        <v>2</v>
      </c>
      <c r="H709">
        <v>73.47</v>
      </c>
    </row>
    <row r="710" spans="1:8" s="40" customFormat="1" x14ac:dyDescent="0.3">
      <c r="A710" s="41" t="s">
        <v>976</v>
      </c>
      <c r="B710" s="40">
        <f>D709*E710+G709*H710+J709*K710</f>
        <v>1493.9831098</v>
      </c>
      <c r="E710" s="40">
        <v>89.802965799999996</v>
      </c>
      <c r="H710" s="40">
        <v>73.469311399999995</v>
      </c>
    </row>
    <row r="711" spans="1:8" x14ac:dyDescent="0.3">
      <c r="A711" t="s">
        <v>755</v>
      </c>
      <c r="B711">
        <v>1003.96</v>
      </c>
      <c r="C711" t="s">
        <v>27</v>
      </c>
      <c r="D711">
        <v>15</v>
      </c>
      <c r="E711">
        <v>57.14</v>
      </c>
      <c r="F711" t="s">
        <v>72</v>
      </c>
      <c r="G711">
        <v>2</v>
      </c>
      <c r="H711">
        <v>73.47</v>
      </c>
    </row>
    <row r="712" spans="1:8" s="40" customFormat="1" x14ac:dyDescent="0.3">
      <c r="A712" s="41" t="s">
        <v>976</v>
      </c>
      <c r="B712" s="40">
        <f>D711*E712+G711*H712+J711*K712</f>
        <v>1003.9642085499999</v>
      </c>
      <c r="E712" s="40">
        <v>57.135039049999996</v>
      </c>
      <c r="H712" s="40">
        <v>73.469311399999995</v>
      </c>
    </row>
    <row r="713" spans="1:8" x14ac:dyDescent="0.3">
      <c r="A713" t="s">
        <v>757</v>
      </c>
      <c r="B713">
        <v>1738.59</v>
      </c>
      <c r="C713" t="s">
        <v>69</v>
      </c>
      <c r="D713">
        <v>15</v>
      </c>
      <c r="E713">
        <v>106.11</v>
      </c>
      <c r="F713" t="s">
        <v>74</v>
      </c>
      <c r="G713">
        <v>2</v>
      </c>
      <c r="H713">
        <v>73.47</v>
      </c>
    </row>
    <row r="714" spans="1:8" s="40" customFormat="1" x14ac:dyDescent="0.3">
      <c r="A714" s="41" t="s">
        <v>976</v>
      </c>
      <c r="B714" s="40">
        <f>D713*E714+G713*H714+J713*K714</f>
        <v>1738.5893480499999</v>
      </c>
      <c r="E714" s="40">
        <v>106.11004834999999</v>
      </c>
      <c r="H714" s="40">
        <v>73.469311399999995</v>
      </c>
    </row>
    <row r="715" spans="1:8" x14ac:dyDescent="0.3">
      <c r="A715" t="s">
        <v>759</v>
      </c>
      <c r="B715">
        <v>1493.98</v>
      </c>
      <c r="C715" t="s">
        <v>31</v>
      </c>
      <c r="D715">
        <v>15</v>
      </c>
      <c r="E715">
        <v>89.8</v>
      </c>
      <c r="F715" t="s">
        <v>74</v>
      </c>
      <c r="G715">
        <v>2</v>
      </c>
      <c r="H715">
        <v>73.47</v>
      </c>
    </row>
    <row r="716" spans="1:8" s="40" customFormat="1" x14ac:dyDescent="0.3">
      <c r="A716" s="41" t="s">
        <v>976</v>
      </c>
      <c r="B716" s="40">
        <f>D715*E716+G715*H716+J715*K716</f>
        <v>1493.9831098</v>
      </c>
      <c r="E716" s="40">
        <v>89.802965799999996</v>
      </c>
      <c r="H716" s="40">
        <v>73.469311399999995</v>
      </c>
    </row>
    <row r="717" spans="1:8" x14ac:dyDescent="0.3">
      <c r="A717" t="s">
        <v>758</v>
      </c>
      <c r="B717">
        <v>1493.98</v>
      </c>
      <c r="C717" t="s">
        <v>31</v>
      </c>
      <c r="D717">
        <v>15</v>
      </c>
      <c r="E717">
        <v>89.8</v>
      </c>
      <c r="F717" t="s">
        <v>74</v>
      </c>
      <c r="G717">
        <v>2</v>
      </c>
      <c r="H717">
        <v>73.47</v>
      </c>
    </row>
    <row r="718" spans="1:8" s="40" customFormat="1" x14ac:dyDescent="0.3">
      <c r="A718" s="41" t="s">
        <v>976</v>
      </c>
      <c r="B718" s="40">
        <f>D717*E718+G717*H718+J717*K718</f>
        <v>1493.9831098</v>
      </c>
      <c r="E718" s="40">
        <v>89.802965799999996</v>
      </c>
      <c r="H718" s="40">
        <v>73.469311399999995</v>
      </c>
    </row>
    <row r="719" spans="1:8" x14ac:dyDescent="0.3">
      <c r="A719" t="s">
        <v>760</v>
      </c>
      <c r="B719">
        <v>857.03</v>
      </c>
      <c r="C719" t="s">
        <v>27</v>
      </c>
      <c r="D719">
        <v>15</v>
      </c>
      <c r="E719">
        <v>57.14</v>
      </c>
    </row>
    <row r="720" spans="1:8" s="40" customFormat="1" x14ac:dyDescent="0.3">
      <c r="A720" s="41" t="s">
        <v>976</v>
      </c>
      <c r="B720" s="40">
        <f>D719*E720+G719*H720+J719*K720</f>
        <v>857.02558574999989</v>
      </c>
      <c r="E720" s="40">
        <v>57.135039049999996</v>
      </c>
    </row>
    <row r="721" spans="1:8" x14ac:dyDescent="0.3">
      <c r="A721" t="s">
        <v>761</v>
      </c>
      <c r="B721">
        <v>2203.84</v>
      </c>
      <c r="C721" t="s">
        <v>57</v>
      </c>
      <c r="D721">
        <v>14</v>
      </c>
      <c r="E721">
        <v>146.91999999999999</v>
      </c>
      <c r="F721" t="s">
        <v>83</v>
      </c>
      <c r="G721">
        <v>2</v>
      </c>
      <c r="H721">
        <v>73.47</v>
      </c>
    </row>
    <row r="722" spans="1:8" s="40" customFormat="1" x14ac:dyDescent="0.3">
      <c r="A722" s="41" t="s">
        <v>976</v>
      </c>
      <c r="B722" s="40">
        <f>D721*E722+G721*H722+J721*K722</f>
        <v>2203.8371055999996</v>
      </c>
      <c r="E722" s="40">
        <v>146.9213202</v>
      </c>
      <c r="H722" s="40">
        <v>73.469311399999995</v>
      </c>
    </row>
    <row r="723" spans="1:8" x14ac:dyDescent="0.3">
      <c r="A723" t="s">
        <v>763</v>
      </c>
      <c r="B723">
        <v>1175.51</v>
      </c>
      <c r="C723" t="s">
        <v>65</v>
      </c>
      <c r="D723">
        <v>14</v>
      </c>
      <c r="E723">
        <v>73.47</v>
      </c>
      <c r="F723" t="s">
        <v>72</v>
      </c>
      <c r="G723">
        <v>2</v>
      </c>
      <c r="H723">
        <v>73.47</v>
      </c>
    </row>
    <row r="724" spans="1:8" s="40" customFormat="1" x14ac:dyDescent="0.3">
      <c r="A724" s="41" t="s">
        <v>976</v>
      </c>
      <c r="B724" s="40">
        <f>D723*E724+G723*H724+J723*K724</f>
        <v>1175.5089823999999</v>
      </c>
      <c r="E724" s="40">
        <v>73.469311399999995</v>
      </c>
      <c r="H724" s="40">
        <v>73.469311399999995</v>
      </c>
    </row>
    <row r="725" spans="1:8" x14ac:dyDescent="0.3">
      <c r="A725" t="s">
        <v>762</v>
      </c>
      <c r="B725">
        <v>946.83</v>
      </c>
      <c r="C725" t="s">
        <v>27</v>
      </c>
      <c r="D725">
        <v>14</v>
      </c>
      <c r="E725">
        <v>57.14</v>
      </c>
      <c r="F725" t="s">
        <v>72</v>
      </c>
      <c r="G725">
        <v>2</v>
      </c>
      <c r="H725">
        <v>73.47</v>
      </c>
    </row>
    <row r="726" spans="1:8" s="40" customFormat="1" x14ac:dyDescent="0.3">
      <c r="A726" s="41" t="s">
        <v>976</v>
      </c>
      <c r="B726" s="40">
        <f>D725*E726+G725*H726+J725*K726</f>
        <v>946.82916949999992</v>
      </c>
      <c r="E726" s="40">
        <v>57.135039049999996</v>
      </c>
      <c r="H726" s="40">
        <v>73.469311399999995</v>
      </c>
    </row>
    <row r="727" spans="1:8" x14ac:dyDescent="0.3">
      <c r="A727" t="s">
        <v>764</v>
      </c>
      <c r="B727">
        <v>946.83</v>
      </c>
      <c r="C727" t="s">
        <v>27</v>
      </c>
      <c r="D727">
        <v>14</v>
      </c>
      <c r="E727">
        <v>57.14</v>
      </c>
      <c r="F727" t="s">
        <v>72</v>
      </c>
      <c r="G727">
        <v>2</v>
      </c>
      <c r="H727">
        <v>73.47</v>
      </c>
    </row>
    <row r="728" spans="1:8" s="40" customFormat="1" x14ac:dyDescent="0.3">
      <c r="A728" s="41" t="s">
        <v>976</v>
      </c>
      <c r="B728" s="40">
        <f>D727*E728+G727*H728+J727*K728</f>
        <v>946.82916949999992</v>
      </c>
      <c r="E728" s="40">
        <v>57.135039049999996</v>
      </c>
      <c r="H728" s="40">
        <v>73.469311399999995</v>
      </c>
    </row>
    <row r="729" spans="1:8" x14ac:dyDescent="0.3">
      <c r="A729" t="s">
        <v>765</v>
      </c>
      <c r="B729">
        <v>1175.51</v>
      </c>
      <c r="C729" t="s">
        <v>65</v>
      </c>
      <c r="D729">
        <v>14</v>
      </c>
      <c r="E729">
        <v>73.47</v>
      </c>
      <c r="F729" t="s">
        <v>72</v>
      </c>
      <c r="G729">
        <v>2</v>
      </c>
      <c r="H729">
        <v>73.47</v>
      </c>
    </row>
    <row r="730" spans="1:8" s="40" customFormat="1" x14ac:dyDescent="0.3">
      <c r="A730" s="41" t="s">
        <v>976</v>
      </c>
      <c r="B730" s="40">
        <f>D729*E730+G729*H730+J729*K730</f>
        <v>1175.5089823999999</v>
      </c>
      <c r="E730" s="40">
        <v>73.469311399999995</v>
      </c>
      <c r="H730" s="40">
        <v>73.469311399999995</v>
      </c>
    </row>
    <row r="731" spans="1:8" x14ac:dyDescent="0.3">
      <c r="A731" t="s">
        <v>766</v>
      </c>
      <c r="B731">
        <v>946.83</v>
      </c>
      <c r="C731" t="s">
        <v>27</v>
      </c>
      <c r="D731">
        <v>14</v>
      </c>
      <c r="E731">
        <v>57.14</v>
      </c>
      <c r="F731" t="s">
        <v>72</v>
      </c>
      <c r="G731">
        <v>2</v>
      </c>
      <c r="H731">
        <v>73.47</v>
      </c>
    </row>
    <row r="732" spans="1:8" s="40" customFormat="1" x14ac:dyDescent="0.3">
      <c r="A732" s="41" t="s">
        <v>976</v>
      </c>
      <c r="B732" s="40">
        <f>D731*E732+G731*H732+J731*K732</f>
        <v>946.82916949999992</v>
      </c>
      <c r="E732" s="40">
        <v>57.135039049999996</v>
      </c>
      <c r="H732" s="40">
        <v>73.469311399999995</v>
      </c>
    </row>
    <row r="733" spans="1:8" x14ac:dyDescent="0.3">
      <c r="A733" t="s">
        <v>767</v>
      </c>
      <c r="B733">
        <v>946.83</v>
      </c>
      <c r="C733" t="s">
        <v>27</v>
      </c>
      <c r="D733">
        <v>14</v>
      </c>
      <c r="E733">
        <v>57.14</v>
      </c>
      <c r="F733" t="s">
        <v>72</v>
      </c>
      <c r="G733">
        <v>2</v>
      </c>
      <c r="H733">
        <v>73.47</v>
      </c>
    </row>
    <row r="734" spans="1:8" s="40" customFormat="1" x14ac:dyDescent="0.3">
      <c r="A734" s="41" t="s">
        <v>976</v>
      </c>
      <c r="B734" s="40">
        <f>D733*E734+G733*H734+J733*K734</f>
        <v>946.82916949999992</v>
      </c>
      <c r="E734" s="40">
        <v>57.135039049999996</v>
      </c>
      <c r="H734" s="40">
        <v>73.469311399999995</v>
      </c>
    </row>
    <row r="735" spans="1:8" x14ac:dyDescent="0.3">
      <c r="A735" t="s">
        <v>768</v>
      </c>
      <c r="B735">
        <v>1404.18</v>
      </c>
      <c r="C735" t="s">
        <v>31</v>
      </c>
      <c r="D735">
        <v>14</v>
      </c>
      <c r="E735">
        <v>89.8</v>
      </c>
      <c r="F735" t="s">
        <v>74</v>
      </c>
      <c r="G735">
        <v>2</v>
      </c>
      <c r="H735">
        <v>73.47</v>
      </c>
    </row>
    <row r="736" spans="1:8" s="40" customFormat="1" x14ac:dyDescent="0.3">
      <c r="A736" s="41" t="s">
        <v>976</v>
      </c>
      <c r="B736" s="40">
        <f>D735*E736+G735*H736+J735*K736</f>
        <v>1404.1801439999999</v>
      </c>
      <c r="E736" s="40">
        <v>89.802965799999996</v>
      </c>
      <c r="H736" s="40">
        <v>73.469311399999995</v>
      </c>
    </row>
    <row r="737" spans="1:8" x14ac:dyDescent="0.3">
      <c r="A737" t="s">
        <v>770</v>
      </c>
      <c r="B737">
        <v>1404.18</v>
      </c>
      <c r="C737" t="s">
        <v>31</v>
      </c>
      <c r="D737">
        <v>14</v>
      </c>
      <c r="E737">
        <v>89.8</v>
      </c>
      <c r="F737" t="s">
        <v>74</v>
      </c>
      <c r="G737">
        <v>2</v>
      </c>
      <c r="H737">
        <v>73.47</v>
      </c>
    </row>
    <row r="738" spans="1:8" s="40" customFormat="1" x14ac:dyDescent="0.3">
      <c r="A738" s="41" t="s">
        <v>976</v>
      </c>
      <c r="B738" s="40">
        <f>D737*E738+G737*H738+J737*K738</f>
        <v>1404.1801439999999</v>
      </c>
      <c r="E738" s="40">
        <v>89.802965799999996</v>
      </c>
      <c r="H738" s="40">
        <v>73.469311399999995</v>
      </c>
    </row>
    <row r="739" spans="1:8" x14ac:dyDescent="0.3">
      <c r="A739" t="s">
        <v>769</v>
      </c>
      <c r="B739">
        <v>1404.18</v>
      </c>
      <c r="C739" t="s">
        <v>31</v>
      </c>
      <c r="D739">
        <v>14</v>
      </c>
      <c r="E739">
        <v>89.8</v>
      </c>
      <c r="F739" t="s">
        <v>74</v>
      </c>
      <c r="G739">
        <v>2</v>
      </c>
      <c r="H739">
        <v>73.47</v>
      </c>
    </row>
    <row r="740" spans="1:8" s="40" customFormat="1" x14ac:dyDescent="0.3">
      <c r="A740" s="41" t="s">
        <v>976</v>
      </c>
      <c r="B740" s="40">
        <f>D739*E740+G739*H740+J739*K740</f>
        <v>1404.1801439999999</v>
      </c>
      <c r="E740" s="40">
        <v>89.802965799999996</v>
      </c>
      <c r="H740" s="40">
        <v>73.469311399999995</v>
      </c>
    </row>
    <row r="741" spans="1:8" x14ac:dyDescent="0.3">
      <c r="A741" t="s">
        <v>771</v>
      </c>
      <c r="B741">
        <v>1404.18</v>
      </c>
      <c r="C741" t="s">
        <v>31</v>
      </c>
      <c r="D741">
        <v>14</v>
      </c>
      <c r="E741">
        <v>89.8</v>
      </c>
      <c r="F741" t="s">
        <v>74</v>
      </c>
      <c r="G741">
        <v>2</v>
      </c>
      <c r="H741">
        <v>73.47</v>
      </c>
    </row>
    <row r="742" spans="1:8" s="40" customFormat="1" x14ac:dyDescent="0.3">
      <c r="A742" s="41" t="s">
        <v>976</v>
      </c>
      <c r="B742" s="40">
        <f>D741*E742+G741*H742+J741*K742</f>
        <v>1404.1801439999999</v>
      </c>
      <c r="E742" s="40">
        <v>89.802965799999996</v>
      </c>
      <c r="H742" s="40">
        <v>73.469311399999995</v>
      </c>
    </row>
    <row r="743" spans="1:8" x14ac:dyDescent="0.3">
      <c r="A743" t="s">
        <v>772</v>
      </c>
      <c r="B743">
        <v>1404.18</v>
      </c>
      <c r="C743" t="s">
        <v>31</v>
      </c>
      <c r="D743">
        <v>14</v>
      </c>
      <c r="E743">
        <v>89.8</v>
      </c>
      <c r="F743" t="s">
        <v>74</v>
      </c>
      <c r="G743">
        <v>2</v>
      </c>
      <c r="H743">
        <v>73.47</v>
      </c>
    </row>
    <row r="744" spans="1:8" s="40" customFormat="1" x14ac:dyDescent="0.3">
      <c r="A744" s="41" t="s">
        <v>976</v>
      </c>
      <c r="B744" s="40">
        <f>D743*E744+G743*H744+J743*K744</f>
        <v>1404.1801439999999</v>
      </c>
      <c r="E744" s="40">
        <v>89.802965799999996</v>
      </c>
      <c r="H744" s="40">
        <v>73.469311399999995</v>
      </c>
    </row>
    <row r="745" spans="1:8" x14ac:dyDescent="0.3">
      <c r="A745" t="s">
        <v>773</v>
      </c>
      <c r="B745">
        <v>1404.18</v>
      </c>
      <c r="C745" t="s">
        <v>31</v>
      </c>
      <c r="D745">
        <v>14</v>
      </c>
      <c r="E745">
        <v>89.8</v>
      </c>
      <c r="F745" t="s">
        <v>74</v>
      </c>
      <c r="G745">
        <v>2</v>
      </c>
      <c r="H745">
        <v>73.47</v>
      </c>
    </row>
    <row r="746" spans="1:8" s="40" customFormat="1" x14ac:dyDescent="0.3">
      <c r="A746" s="41" t="s">
        <v>976</v>
      </c>
      <c r="B746" s="40">
        <f>D745*E746+G745*H746+J745*K746</f>
        <v>1404.1801439999999</v>
      </c>
      <c r="E746" s="40">
        <v>89.802965799999996</v>
      </c>
      <c r="H746" s="40">
        <v>73.469311399999995</v>
      </c>
    </row>
    <row r="747" spans="1:8" x14ac:dyDescent="0.3">
      <c r="A747" t="s">
        <v>774</v>
      </c>
      <c r="B747">
        <v>1404.18</v>
      </c>
      <c r="C747" t="s">
        <v>31</v>
      </c>
      <c r="D747">
        <v>14</v>
      </c>
      <c r="E747">
        <v>89.8</v>
      </c>
      <c r="F747" t="s">
        <v>74</v>
      </c>
      <c r="G747">
        <v>2</v>
      </c>
      <c r="H747">
        <v>73.47</v>
      </c>
    </row>
    <row r="748" spans="1:8" s="40" customFormat="1" x14ac:dyDescent="0.3">
      <c r="A748" s="41" t="s">
        <v>976</v>
      </c>
      <c r="B748" s="40">
        <f>D747*E748+G747*H748+J747*K748</f>
        <v>1404.1801439999999</v>
      </c>
      <c r="E748" s="40">
        <v>89.802965799999996</v>
      </c>
      <c r="H748" s="40">
        <v>73.469311399999995</v>
      </c>
    </row>
    <row r="749" spans="1:8" x14ac:dyDescent="0.3">
      <c r="A749" t="s">
        <v>775</v>
      </c>
      <c r="B749">
        <v>1404.18</v>
      </c>
      <c r="C749" t="s">
        <v>31</v>
      </c>
      <c r="D749">
        <v>14</v>
      </c>
      <c r="E749">
        <v>89.8</v>
      </c>
      <c r="F749" t="s">
        <v>74</v>
      </c>
      <c r="G749">
        <v>2</v>
      </c>
      <c r="H749">
        <v>73.47</v>
      </c>
    </row>
    <row r="750" spans="1:8" s="40" customFormat="1" x14ac:dyDescent="0.3">
      <c r="A750" s="41" t="s">
        <v>976</v>
      </c>
      <c r="B750" s="40">
        <f>D749*E750+G749*H750+J749*K750</f>
        <v>1404.1801439999999</v>
      </c>
      <c r="E750" s="40">
        <v>89.802965799999996</v>
      </c>
      <c r="H750" s="40">
        <v>73.469311399999995</v>
      </c>
    </row>
    <row r="751" spans="1:8" x14ac:dyDescent="0.3">
      <c r="A751" t="s">
        <v>776</v>
      </c>
      <c r="B751">
        <v>1404.18</v>
      </c>
      <c r="C751" t="s">
        <v>31</v>
      </c>
      <c r="D751">
        <v>14</v>
      </c>
      <c r="E751">
        <v>89.8</v>
      </c>
      <c r="F751" t="s">
        <v>74</v>
      </c>
      <c r="G751">
        <v>2</v>
      </c>
      <c r="H751">
        <v>73.47</v>
      </c>
    </row>
    <row r="752" spans="1:8" s="40" customFormat="1" x14ac:dyDescent="0.3">
      <c r="A752" s="41" t="s">
        <v>976</v>
      </c>
      <c r="B752" s="40">
        <f>D751*E752+G751*H752+J751*K752</f>
        <v>1404.1801439999999</v>
      </c>
      <c r="E752" s="40">
        <v>89.802965799999996</v>
      </c>
      <c r="H752" s="40">
        <v>73.469311399999995</v>
      </c>
    </row>
    <row r="753" spans="1:8" x14ac:dyDescent="0.3">
      <c r="A753" t="s">
        <v>777</v>
      </c>
      <c r="B753">
        <v>1404.18</v>
      </c>
      <c r="C753" t="s">
        <v>31</v>
      </c>
      <c r="D753">
        <v>14</v>
      </c>
      <c r="E753">
        <v>89.8</v>
      </c>
      <c r="F753" t="s">
        <v>74</v>
      </c>
      <c r="G753">
        <v>2</v>
      </c>
      <c r="H753">
        <v>73.47</v>
      </c>
    </row>
    <row r="754" spans="1:8" s="40" customFormat="1" x14ac:dyDescent="0.3">
      <c r="A754" s="41" t="s">
        <v>976</v>
      </c>
      <c r="B754" s="40">
        <f>D753*E754+G753*H754+J753*K754</f>
        <v>1404.1801439999999</v>
      </c>
      <c r="E754" s="40">
        <v>89.802965799999996</v>
      </c>
      <c r="H754" s="40">
        <v>73.469311399999995</v>
      </c>
    </row>
    <row r="755" spans="1:8" x14ac:dyDescent="0.3">
      <c r="A755" t="s">
        <v>778</v>
      </c>
      <c r="B755">
        <v>1404.18</v>
      </c>
      <c r="C755" t="s">
        <v>31</v>
      </c>
      <c r="D755">
        <v>14</v>
      </c>
      <c r="E755">
        <v>89.8</v>
      </c>
      <c r="F755" t="s">
        <v>74</v>
      </c>
      <c r="G755">
        <v>2</v>
      </c>
      <c r="H755">
        <v>73.47</v>
      </c>
    </row>
    <row r="756" spans="1:8" s="40" customFormat="1" x14ac:dyDescent="0.3">
      <c r="A756" s="41" t="s">
        <v>976</v>
      </c>
      <c r="B756" s="40">
        <f>D755*E756+G755*H756+J755*K756</f>
        <v>1404.1801439999999</v>
      </c>
      <c r="E756" s="40">
        <v>89.802965799999996</v>
      </c>
      <c r="H756" s="40">
        <v>73.469311399999995</v>
      </c>
    </row>
    <row r="757" spans="1:8" x14ac:dyDescent="0.3">
      <c r="A757" t="s">
        <v>779</v>
      </c>
      <c r="B757">
        <v>1404.18</v>
      </c>
      <c r="C757" t="s">
        <v>31</v>
      </c>
      <c r="D757">
        <v>14</v>
      </c>
      <c r="E757">
        <v>89.8</v>
      </c>
      <c r="F757" t="s">
        <v>74</v>
      </c>
      <c r="G757">
        <v>2</v>
      </c>
      <c r="H757">
        <v>73.47</v>
      </c>
    </row>
    <row r="758" spans="1:8" s="40" customFormat="1" x14ac:dyDescent="0.3">
      <c r="A758" s="41" t="s">
        <v>976</v>
      </c>
      <c r="B758" s="40">
        <f>D757*E758+G757*H758+J757*K758</f>
        <v>1404.1801439999999</v>
      </c>
      <c r="E758" s="40">
        <v>89.802965799999996</v>
      </c>
      <c r="H758" s="40">
        <v>73.469311399999995</v>
      </c>
    </row>
    <row r="759" spans="1:8" x14ac:dyDescent="0.3">
      <c r="A759" t="s">
        <v>780</v>
      </c>
      <c r="B759">
        <v>914.16</v>
      </c>
      <c r="C759" t="s">
        <v>27</v>
      </c>
      <c r="D759">
        <v>14</v>
      </c>
      <c r="E759">
        <v>57.14</v>
      </c>
      <c r="F759" t="s">
        <v>87</v>
      </c>
      <c r="G759">
        <v>2</v>
      </c>
      <c r="H759">
        <v>57.14</v>
      </c>
    </row>
    <row r="760" spans="1:8" s="40" customFormat="1" x14ac:dyDescent="0.3">
      <c r="A760" s="41" t="s">
        <v>976</v>
      </c>
      <c r="B760" s="40">
        <f>D759*E760+G759*H760+J759*K760</f>
        <v>914.16062479999994</v>
      </c>
      <c r="E760" s="40">
        <v>57.135039049999996</v>
      </c>
      <c r="H760" s="40">
        <v>57.135039049999996</v>
      </c>
    </row>
    <row r="761" spans="1:8" x14ac:dyDescent="0.3">
      <c r="A761" t="s">
        <v>781</v>
      </c>
      <c r="B761">
        <v>1371.51</v>
      </c>
      <c r="C761" t="s">
        <v>31</v>
      </c>
      <c r="D761">
        <v>14</v>
      </c>
      <c r="E761">
        <v>89.8</v>
      </c>
      <c r="F761" t="s">
        <v>89</v>
      </c>
      <c r="G761">
        <v>2</v>
      </c>
      <c r="H761">
        <v>57.14</v>
      </c>
    </row>
    <row r="762" spans="1:8" s="40" customFormat="1" x14ac:dyDescent="0.3">
      <c r="A762" s="41" t="s">
        <v>976</v>
      </c>
      <c r="B762" s="40">
        <f>D761*E762+G761*H762+J761*K762</f>
        <v>1371.5115992999999</v>
      </c>
      <c r="E762" s="40">
        <v>89.802965799999996</v>
      </c>
      <c r="H762" s="40">
        <v>57.135039049999996</v>
      </c>
    </row>
    <row r="763" spans="1:8" x14ac:dyDescent="0.3">
      <c r="A763" t="s">
        <v>782</v>
      </c>
      <c r="B763">
        <v>889.69</v>
      </c>
      <c r="C763" t="s">
        <v>27</v>
      </c>
      <c r="D763">
        <v>13</v>
      </c>
      <c r="E763">
        <v>57.14</v>
      </c>
      <c r="F763" t="s">
        <v>72</v>
      </c>
      <c r="G763">
        <v>2</v>
      </c>
      <c r="H763">
        <v>73.47</v>
      </c>
    </row>
    <row r="764" spans="1:8" s="40" customFormat="1" x14ac:dyDescent="0.3">
      <c r="A764" s="41" t="s">
        <v>976</v>
      </c>
      <c r="B764" s="40">
        <f>D763*E764+G763*H764+J763*K764</f>
        <v>889.69413044999988</v>
      </c>
      <c r="E764" s="40">
        <v>57.135039049999996</v>
      </c>
      <c r="H764" s="40">
        <v>73.469311399999995</v>
      </c>
    </row>
    <row r="765" spans="1:8" x14ac:dyDescent="0.3">
      <c r="A765" t="s">
        <v>783</v>
      </c>
      <c r="B765">
        <v>1281.71</v>
      </c>
      <c r="C765" t="s">
        <v>67</v>
      </c>
      <c r="D765">
        <v>13</v>
      </c>
      <c r="E765">
        <v>89.8</v>
      </c>
      <c r="F765" t="s">
        <v>89</v>
      </c>
      <c r="G765">
        <v>2</v>
      </c>
      <c r="H765">
        <v>57.14</v>
      </c>
    </row>
    <row r="766" spans="1:8" s="40" customFormat="1" x14ac:dyDescent="0.3">
      <c r="A766" s="41" t="s">
        <v>976</v>
      </c>
      <c r="B766" s="40">
        <f>D765*E766+G765*H766+J765*K766</f>
        <v>1281.7086335000001</v>
      </c>
      <c r="E766" s="40">
        <v>89.802965799999996</v>
      </c>
      <c r="H766" s="40">
        <v>57.135039049999996</v>
      </c>
    </row>
    <row r="767" spans="1:8" x14ac:dyDescent="0.3">
      <c r="A767" t="s">
        <v>784</v>
      </c>
      <c r="B767">
        <v>742.76</v>
      </c>
      <c r="C767" t="s">
        <v>27</v>
      </c>
      <c r="D767">
        <v>13</v>
      </c>
      <c r="E767">
        <v>57.14</v>
      </c>
    </row>
    <row r="768" spans="1:8" s="40" customFormat="1" x14ac:dyDescent="0.3">
      <c r="A768" s="41" t="s">
        <v>976</v>
      </c>
      <c r="B768" s="40">
        <f>D767*E768+G767*H768+J767*K768</f>
        <v>742.75550764999991</v>
      </c>
      <c r="E768" s="40">
        <v>57.135039049999996</v>
      </c>
    </row>
    <row r="769" spans="1:8" x14ac:dyDescent="0.3">
      <c r="A769" t="s">
        <v>785</v>
      </c>
      <c r="B769">
        <v>1909.99</v>
      </c>
      <c r="C769" t="s">
        <v>57</v>
      </c>
      <c r="D769">
        <v>12</v>
      </c>
      <c r="E769">
        <v>146.91999999999999</v>
      </c>
      <c r="F769" t="s">
        <v>83</v>
      </c>
      <c r="G769">
        <v>2</v>
      </c>
      <c r="H769">
        <v>73.47</v>
      </c>
    </row>
    <row r="770" spans="1:8" s="40" customFormat="1" x14ac:dyDescent="0.3">
      <c r="A770" s="41" t="s">
        <v>976</v>
      </c>
      <c r="B770" s="40">
        <f>D769*E770+G769*H770+J769*K770</f>
        <v>1909.9944652000001</v>
      </c>
      <c r="E770" s="40">
        <v>146.9213202</v>
      </c>
      <c r="H770" s="40">
        <v>73.469311399999995</v>
      </c>
    </row>
    <row r="771" spans="1:8" x14ac:dyDescent="0.3">
      <c r="A771" t="s">
        <v>786</v>
      </c>
      <c r="B771">
        <v>1714.11</v>
      </c>
      <c r="C771" t="s">
        <v>53</v>
      </c>
      <c r="D771">
        <v>12</v>
      </c>
      <c r="E771">
        <v>130.6</v>
      </c>
      <c r="F771" t="s">
        <v>81</v>
      </c>
      <c r="G771">
        <v>2</v>
      </c>
      <c r="H771">
        <v>73.47</v>
      </c>
    </row>
    <row r="772" spans="1:8" s="40" customFormat="1" x14ac:dyDescent="0.3">
      <c r="A772" s="41" t="s">
        <v>976</v>
      </c>
      <c r="B772" s="40">
        <f>D771*E772+G771*H772+J771*K772</f>
        <v>1714.1092588000001</v>
      </c>
      <c r="E772" s="40">
        <v>130.597553</v>
      </c>
      <c r="H772" s="40">
        <v>73.469311399999995</v>
      </c>
    </row>
    <row r="773" spans="1:8" x14ac:dyDescent="0.3">
      <c r="A773" t="s">
        <v>787</v>
      </c>
      <c r="B773">
        <v>1909.99</v>
      </c>
      <c r="C773" t="s">
        <v>57</v>
      </c>
      <c r="D773">
        <v>12</v>
      </c>
      <c r="E773">
        <v>146.91999999999999</v>
      </c>
      <c r="F773" t="s">
        <v>83</v>
      </c>
      <c r="G773">
        <v>2</v>
      </c>
      <c r="H773">
        <v>73.47</v>
      </c>
    </row>
    <row r="774" spans="1:8" s="40" customFormat="1" x14ac:dyDescent="0.3">
      <c r="A774" s="41" t="s">
        <v>976</v>
      </c>
      <c r="B774" s="40">
        <f>D773*E774+G773*H774+J773*K774</f>
        <v>1909.9944652000001</v>
      </c>
      <c r="E774" s="40">
        <v>146.9213202</v>
      </c>
      <c r="H774" s="40">
        <v>73.469311399999995</v>
      </c>
    </row>
    <row r="775" spans="1:8" x14ac:dyDescent="0.3">
      <c r="A775" t="s">
        <v>788</v>
      </c>
      <c r="B775">
        <v>1909.99</v>
      </c>
      <c r="C775" t="s">
        <v>57</v>
      </c>
      <c r="D775">
        <v>12</v>
      </c>
      <c r="E775">
        <v>146.91999999999999</v>
      </c>
      <c r="F775" t="s">
        <v>83</v>
      </c>
      <c r="G775">
        <v>2</v>
      </c>
      <c r="H775">
        <v>73.47</v>
      </c>
    </row>
    <row r="776" spans="1:8" s="40" customFormat="1" x14ac:dyDescent="0.3">
      <c r="A776" s="41" t="s">
        <v>976</v>
      </c>
      <c r="B776" s="40">
        <f>D775*E776+G775*H776+J775*K776</f>
        <v>1909.9944652000001</v>
      </c>
      <c r="E776" s="40">
        <v>146.9213202</v>
      </c>
      <c r="H776" s="40">
        <v>73.469311399999995</v>
      </c>
    </row>
    <row r="777" spans="1:8" x14ac:dyDescent="0.3">
      <c r="A777" t="s">
        <v>789</v>
      </c>
      <c r="B777">
        <v>1909.99</v>
      </c>
      <c r="C777" t="s">
        <v>57</v>
      </c>
      <c r="D777">
        <v>12</v>
      </c>
      <c r="E777">
        <v>146.91999999999999</v>
      </c>
      <c r="F777" t="s">
        <v>83</v>
      </c>
      <c r="G777">
        <v>2</v>
      </c>
      <c r="H777">
        <v>73.47</v>
      </c>
    </row>
    <row r="778" spans="1:8" s="40" customFormat="1" x14ac:dyDescent="0.3">
      <c r="A778" s="41" t="s">
        <v>976</v>
      </c>
      <c r="B778" s="40">
        <f>D777*E778+G777*H778+J777*K778</f>
        <v>1909.9944652000001</v>
      </c>
      <c r="E778" s="40">
        <v>146.9213202</v>
      </c>
      <c r="H778" s="40">
        <v>73.469311399999995</v>
      </c>
    </row>
    <row r="779" spans="1:8" x14ac:dyDescent="0.3">
      <c r="A779" t="s">
        <v>790</v>
      </c>
      <c r="B779">
        <v>2252.73</v>
      </c>
      <c r="C779" t="s">
        <v>59</v>
      </c>
      <c r="D779">
        <v>12</v>
      </c>
      <c r="E779">
        <v>163.25</v>
      </c>
      <c r="F779" t="s">
        <v>85</v>
      </c>
      <c r="G779">
        <v>2</v>
      </c>
      <c r="H779">
        <v>146.87</v>
      </c>
    </row>
    <row r="780" spans="1:8" s="40" customFormat="1" x14ac:dyDescent="0.3">
      <c r="A780" s="41" t="s">
        <v>976</v>
      </c>
      <c r="B780" s="40">
        <f>D779*E780+G779*H780+J779*K780</f>
        <v>2252.7256018999997</v>
      </c>
      <c r="E780" s="40">
        <v>163.2487951</v>
      </c>
      <c r="H780" s="40">
        <v>146.87003034999998</v>
      </c>
    </row>
    <row r="781" spans="1:8" x14ac:dyDescent="0.3">
      <c r="A781" t="s">
        <v>792</v>
      </c>
      <c r="B781">
        <v>636.54999999999995</v>
      </c>
      <c r="C781" t="s">
        <v>24</v>
      </c>
      <c r="D781">
        <v>12</v>
      </c>
      <c r="E781">
        <v>40.799999999999997</v>
      </c>
      <c r="F781" t="s">
        <v>72</v>
      </c>
      <c r="G781">
        <v>2</v>
      </c>
      <c r="H781">
        <v>73.47</v>
      </c>
    </row>
    <row r="782" spans="1:8" s="40" customFormat="1" x14ac:dyDescent="0.3">
      <c r="A782" s="41" t="s">
        <v>976</v>
      </c>
      <c r="B782" s="40">
        <f>D781*E782+G781*H782+J781*K782</f>
        <v>636.54782319999993</v>
      </c>
      <c r="E782" s="40">
        <v>40.800766699999997</v>
      </c>
      <c r="H782" s="40">
        <v>73.469311399999995</v>
      </c>
    </row>
    <row r="783" spans="1:8" x14ac:dyDescent="0.3">
      <c r="A783" t="s">
        <v>791</v>
      </c>
      <c r="B783">
        <v>2252.73</v>
      </c>
      <c r="C783" t="s">
        <v>59</v>
      </c>
      <c r="D783">
        <v>12</v>
      </c>
      <c r="E783">
        <v>163.25</v>
      </c>
      <c r="F783" t="s">
        <v>85</v>
      </c>
      <c r="G783">
        <v>2</v>
      </c>
      <c r="H783">
        <v>146.87</v>
      </c>
    </row>
    <row r="784" spans="1:8" s="40" customFormat="1" x14ac:dyDescent="0.3">
      <c r="A784" s="41" t="s">
        <v>976</v>
      </c>
      <c r="B784" s="40">
        <f>D783*E784+G783*H784+J783*K784</f>
        <v>2252.7256018999997</v>
      </c>
      <c r="E784" s="40">
        <v>163.2487951</v>
      </c>
      <c r="H784" s="40">
        <v>146.87003034999998</v>
      </c>
    </row>
    <row r="785" spans="1:11" x14ac:dyDescent="0.3">
      <c r="A785" t="s">
        <v>793</v>
      </c>
      <c r="B785">
        <v>636.54999999999995</v>
      </c>
      <c r="C785" t="s">
        <v>24</v>
      </c>
      <c r="D785">
        <v>12</v>
      </c>
      <c r="E785">
        <v>40.799999999999997</v>
      </c>
      <c r="F785" t="s">
        <v>72</v>
      </c>
      <c r="G785">
        <v>2</v>
      </c>
      <c r="H785">
        <v>73.47</v>
      </c>
    </row>
    <row r="786" spans="1:11" s="40" customFormat="1" x14ac:dyDescent="0.3">
      <c r="A786" s="41" t="s">
        <v>976</v>
      </c>
      <c r="B786" s="40">
        <f>D785*E786+G785*H786+J785*K786</f>
        <v>636.54782319999993</v>
      </c>
      <c r="E786" s="40">
        <v>40.800766699999997</v>
      </c>
      <c r="H786" s="40">
        <v>73.469311399999995</v>
      </c>
    </row>
    <row r="787" spans="1:11" x14ac:dyDescent="0.3">
      <c r="A787" t="s">
        <v>794</v>
      </c>
      <c r="B787">
        <v>636.54999999999995</v>
      </c>
      <c r="C787" t="s">
        <v>24</v>
      </c>
      <c r="D787">
        <v>12</v>
      </c>
      <c r="E787">
        <v>40.799999999999997</v>
      </c>
      <c r="F787" t="s">
        <v>72</v>
      </c>
      <c r="G787">
        <v>2</v>
      </c>
      <c r="H787">
        <v>73.47</v>
      </c>
    </row>
    <row r="788" spans="1:11" s="40" customFormat="1" x14ac:dyDescent="0.3">
      <c r="A788" s="41" t="s">
        <v>976</v>
      </c>
      <c r="B788" s="40">
        <f>D787*E788+G787*H788+J787*K788</f>
        <v>636.54782319999993</v>
      </c>
      <c r="E788" s="40">
        <v>40.800766699999997</v>
      </c>
      <c r="H788" s="40">
        <v>73.469311399999995</v>
      </c>
    </row>
    <row r="789" spans="1:11" x14ac:dyDescent="0.3">
      <c r="A789" t="s">
        <v>795</v>
      </c>
      <c r="B789">
        <v>1616.05</v>
      </c>
      <c r="C789" t="s">
        <v>27</v>
      </c>
      <c r="D789">
        <v>12</v>
      </c>
      <c r="E789">
        <v>57.14</v>
      </c>
      <c r="F789" t="s">
        <v>72</v>
      </c>
      <c r="G789">
        <v>2</v>
      </c>
      <c r="H789">
        <v>73.47</v>
      </c>
      <c r="I789" t="s">
        <v>160</v>
      </c>
      <c r="J789">
        <v>8</v>
      </c>
      <c r="K789">
        <v>97.94</v>
      </c>
    </row>
    <row r="790" spans="1:11" s="40" customFormat="1" x14ac:dyDescent="0.3">
      <c r="A790" s="41" t="s">
        <v>976</v>
      </c>
      <c r="B790" s="40">
        <f>D789*E790+G789*H790+J789*K790</f>
        <v>1616.0480141435999</v>
      </c>
      <c r="E790" s="40">
        <v>57.135039049999996</v>
      </c>
      <c r="H790" s="40">
        <v>73.469311399999995</v>
      </c>
      <c r="K790" s="40">
        <v>97.936115342949989</v>
      </c>
    </row>
    <row r="791" spans="1:11" x14ac:dyDescent="0.3">
      <c r="A791" t="s">
        <v>796</v>
      </c>
      <c r="B791">
        <v>832.56</v>
      </c>
      <c r="C791" t="s">
        <v>27</v>
      </c>
      <c r="D791">
        <v>12</v>
      </c>
      <c r="E791">
        <v>57.14</v>
      </c>
      <c r="F791" t="s">
        <v>72</v>
      </c>
      <c r="G791">
        <v>2</v>
      </c>
      <c r="H791">
        <v>73.47</v>
      </c>
    </row>
    <row r="792" spans="1:11" s="40" customFormat="1" x14ac:dyDescent="0.3">
      <c r="A792" s="41" t="s">
        <v>976</v>
      </c>
      <c r="B792" s="40">
        <f>D791*E792+G791*H792+J791*K792</f>
        <v>832.55909139999994</v>
      </c>
      <c r="E792" s="40">
        <v>57.135039049999996</v>
      </c>
      <c r="H792" s="40">
        <v>73.469311399999995</v>
      </c>
    </row>
    <row r="793" spans="1:11" x14ac:dyDescent="0.3">
      <c r="A793" t="s">
        <v>797</v>
      </c>
      <c r="B793">
        <v>1028.57</v>
      </c>
      <c r="C793" t="s">
        <v>65</v>
      </c>
      <c r="D793">
        <v>12</v>
      </c>
      <c r="E793">
        <v>73.47</v>
      </c>
      <c r="F793" t="s">
        <v>72</v>
      </c>
      <c r="G793">
        <v>2</v>
      </c>
      <c r="H793">
        <v>73.47</v>
      </c>
    </row>
    <row r="794" spans="1:11" s="40" customFormat="1" x14ac:dyDescent="0.3">
      <c r="A794" s="41" t="s">
        <v>976</v>
      </c>
      <c r="B794" s="40">
        <f>D793*E794+G793*H794+J793*K794</f>
        <v>1028.5703596000001</v>
      </c>
      <c r="E794" s="40">
        <v>73.469311399999995</v>
      </c>
      <c r="H794" s="40">
        <v>73.469311399999995</v>
      </c>
    </row>
    <row r="795" spans="1:11" x14ac:dyDescent="0.3">
      <c r="A795" t="s">
        <v>798</v>
      </c>
      <c r="B795">
        <v>832.56</v>
      </c>
      <c r="C795" t="s">
        <v>27</v>
      </c>
      <c r="D795">
        <v>12</v>
      </c>
      <c r="E795">
        <v>57.14</v>
      </c>
      <c r="F795" t="s">
        <v>72</v>
      </c>
      <c r="G795">
        <v>2</v>
      </c>
      <c r="H795">
        <v>73.47</v>
      </c>
    </row>
    <row r="796" spans="1:11" s="40" customFormat="1" x14ac:dyDescent="0.3">
      <c r="A796" s="41" t="s">
        <v>976</v>
      </c>
      <c r="B796" s="40">
        <f>D795*E796+G795*H796+J795*K796</f>
        <v>832.55909139999994</v>
      </c>
      <c r="E796" s="40">
        <v>57.135039049999996</v>
      </c>
      <c r="H796" s="40">
        <v>73.469311399999995</v>
      </c>
    </row>
    <row r="797" spans="1:11" x14ac:dyDescent="0.3">
      <c r="A797" t="s">
        <v>800</v>
      </c>
      <c r="B797">
        <v>1028.57</v>
      </c>
      <c r="C797" t="s">
        <v>65</v>
      </c>
      <c r="D797">
        <v>12</v>
      </c>
      <c r="E797">
        <v>73.47</v>
      </c>
      <c r="F797" t="s">
        <v>72</v>
      </c>
      <c r="G797">
        <v>2</v>
      </c>
      <c r="H797">
        <v>73.47</v>
      </c>
    </row>
    <row r="798" spans="1:11" s="40" customFormat="1" x14ac:dyDescent="0.3">
      <c r="A798" s="41" t="s">
        <v>976</v>
      </c>
      <c r="B798" s="40">
        <f>D797*E798+G797*H798+J797*K798</f>
        <v>1028.5703596000001</v>
      </c>
      <c r="E798" s="40">
        <v>73.469311399999995</v>
      </c>
      <c r="H798" s="40">
        <v>73.469311399999995</v>
      </c>
    </row>
    <row r="799" spans="1:11" x14ac:dyDescent="0.3">
      <c r="A799" t="s">
        <v>799</v>
      </c>
      <c r="B799">
        <v>832.56</v>
      </c>
      <c r="C799" t="s">
        <v>27</v>
      </c>
      <c r="D799">
        <v>12</v>
      </c>
      <c r="E799">
        <v>57.14</v>
      </c>
      <c r="F799" t="s">
        <v>72</v>
      </c>
      <c r="G799">
        <v>2</v>
      </c>
      <c r="H799">
        <v>73.47</v>
      </c>
    </row>
    <row r="800" spans="1:11" s="40" customFormat="1" x14ac:dyDescent="0.3">
      <c r="A800" s="41" t="s">
        <v>976</v>
      </c>
      <c r="B800" s="40">
        <f>D799*E800+G799*H800+J799*K800</f>
        <v>832.55909139999994</v>
      </c>
      <c r="E800" s="40">
        <v>57.135039049999996</v>
      </c>
      <c r="H800" s="40">
        <v>73.469311399999995</v>
      </c>
    </row>
    <row r="801" spans="1:8" x14ac:dyDescent="0.3">
      <c r="A801" t="s">
        <v>801</v>
      </c>
      <c r="B801">
        <v>1028.57</v>
      </c>
      <c r="C801" t="s">
        <v>65</v>
      </c>
      <c r="D801">
        <v>12</v>
      </c>
      <c r="E801">
        <v>73.47</v>
      </c>
      <c r="F801" t="s">
        <v>72</v>
      </c>
      <c r="G801">
        <v>2</v>
      </c>
      <c r="H801">
        <v>73.47</v>
      </c>
    </row>
    <row r="802" spans="1:8" s="40" customFormat="1" x14ac:dyDescent="0.3">
      <c r="A802" s="41" t="s">
        <v>976</v>
      </c>
      <c r="B802" s="40">
        <f>D801*E802+G801*H802+J801*K802</f>
        <v>1028.5703596000001</v>
      </c>
      <c r="E802" s="40">
        <v>73.469311399999995</v>
      </c>
      <c r="H802" s="40">
        <v>73.469311399999995</v>
      </c>
    </row>
    <row r="803" spans="1:8" x14ac:dyDescent="0.3">
      <c r="A803" t="s">
        <v>802</v>
      </c>
      <c r="B803">
        <v>832.56</v>
      </c>
      <c r="C803" t="s">
        <v>27</v>
      </c>
      <c r="D803">
        <v>12</v>
      </c>
      <c r="E803">
        <v>57.14</v>
      </c>
      <c r="F803" t="s">
        <v>72</v>
      </c>
      <c r="G803">
        <v>2</v>
      </c>
      <c r="H803">
        <v>73.47</v>
      </c>
    </row>
    <row r="804" spans="1:8" s="40" customFormat="1" x14ac:dyDescent="0.3">
      <c r="A804" s="41" t="s">
        <v>976</v>
      </c>
      <c r="B804" s="40">
        <f>D803*E804+G803*H804+J803*K804</f>
        <v>832.55909139999994</v>
      </c>
      <c r="E804" s="40">
        <v>57.135039049999996</v>
      </c>
      <c r="H804" s="40">
        <v>73.469311399999995</v>
      </c>
    </row>
    <row r="805" spans="1:8" x14ac:dyDescent="0.3">
      <c r="A805" t="s">
        <v>803</v>
      </c>
      <c r="B805">
        <v>832.56</v>
      </c>
      <c r="C805" t="s">
        <v>27</v>
      </c>
      <c r="D805">
        <v>12</v>
      </c>
      <c r="E805">
        <v>57.14</v>
      </c>
      <c r="F805" t="s">
        <v>72</v>
      </c>
      <c r="G805">
        <v>2</v>
      </c>
      <c r="H805">
        <v>73.47</v>
      </c>
    </row>
    <row r="806" spans="1:8" s="40" customFormat="1" x14ac:dyDescent="0.3">
      <c r="A806" s="41" t="s">
        <v>976</v>
      </c>
      <c r="B806" s="40">
        <f>D805*E806+G805*H806+J805*K806</f>
        <v>832.55909139999994</v>
      </c>
      <c r="E806" s="40">
        <v>57.135039049999996</v>
      </c>
      <c r="H806" s="40">
        <v>73.469311399999995</v>
      </c>
    </row>
    <row r="807" spans="1:8" x14ac:dyDescent="0.3">
      <c r="A807" t="s">
        <v>804</v>
      </c>
      <c r="B807">
        <v>1028.57</v>
      </c>
      <c r="C807" t="s">
        <v>65</v>
      </c>
      <c r="D807">
        <v>12</v>
      </c>
      <c r="E807">
        <v>73.47</v>
      </c>
      <c r="F807" t="s">
        <v>72</v>
      </c>
      <c r="G807">
        <v>2</v>
      </c>
      <c r="H807">
        <v>73.47</v>
      </c>
    </row>
    <row r="808" spans="1:8" s="40" customFormat="1" x14ac:dyDescent="0.3">
      <c r="A808" s="41" t="s">
        <v>976</v>
      </c>
      <c r="B808" s="40">
        <f>D807*E808+G807*H808+J807*K808</f>
        <v>1028.5703596000001</v>
      </c>
      <c r="E808" s="40">
        <v>73.469311399999995</v>
      </c>
      <c r="H808" s="40">
        <v>73.469311399999995</v>
      </c>
    </row>
    <row r="809" spans="1:8" x14ac:dyDescent="0.3">
      <c r="A809" t="s">
        <v>805</v>
      </c>
      <c r="B809">
        <v>832.56</v>
      </c>
      <c r="C809" t="s">
        <v>27</v>
      </c>
      <c r="D809">
        <v>12</v>
      </c>
      <c r="E809">
        <v>57.14</v>
      </c>
      <c r="F809" t="s">
        <v>72</v>
      </c>
      <c r="G809">
        <v>2</v>
      </c>
      <c r="H809">
        <v>73.47</v>
      </c>
    </row>
    <row r="810" spans="1:8" s="40" customFormat="1" x14ac:dyDescent="0.3">
      <c r="A810" s="41" t="s">
        <v>976</v>
      </c>
      <c r="B810" s="40">
        <f>D809*E810+G809*H810+J809*K810</f>
        <v>832.55909139999994</v>
      </c>
      <c r="E810" s="40">
        <v>57.135039049999996</v>
      </c>
      <c r="H810" s="40">
        <v>73.469311399999995</v>
      </c>
    </row>
    <row r="811" spans="1:8" x14ac:dyDescent="0.3">
      <c r="A811" t="s">
        <v>806</v>
      </c>
      <c r="B811">
        <v>832.56</v>
      </c>
      <c r="C811" t="s">
        <v>27</v>
      </c>
      <c r="D811">
        <v>12</v>
      </c>
      <c r="E811">
        <v>57.14</v>
      </c>
      <c r="F811" t="s">
        <v>72</v>
      </c>
      <c r="G811">
        <v>2</v>
      </c>
      <c r="H811">
        <v>73.47</v>
      </c>
    </row>
    <row r="812" spans="1:8" s="40" customFormat="1" x14ac:dyDescent="0.3">
      <c r="A812" s="41" t="s">
        <v>976</v>
      </c>
      <c r="B812" s="40">
        <f>D811*E812+G811*H812+J811*K812</f>
        <v>832.55909139999994</v>
      </c>
      <c r="E812" s="40">
        <v>57.135039049999996</v>
      </c>
      <c r="H812" s="40">
        <v>73.469311399999995</v>
      </c>
    </row>
    <row r="813" spans="1:8" x14ac:dyDescent="0.3">
      <c r="A813" t="s">
        <v>808</v>
      </c>
      <c r="B813">
        <v>1028.57</v>
      </c>
      <c r="C813" t="s">
        <v>65</v>
      </c>
      <c r="D813">
        <v>12</v>
      </c>
      <c r="E813">
        <v>73.47</v>
      </c>
      <c r="F813" t="s">
        <v>72</v>
      </c>
      <c r="G813">
        <v>2</v>
      </c>
      <c r="H813">
        <v>73.47</v>
      </c>
    </row>
    <row r="814" spans="1:8" s="40" customFormat="1" x14ac:dyDescent="0.3">
      <c r="A814" s="41" t="s">
        <v>976</v>
      </c>
      <c r="B814" s="40">
        <f>D813*E814+G813*H814+J813*K814</f>
        <v>1028.5703596000001</v>
      </c>
      <c r="E814" s="40">
        <v>73.469311399999995</v>
      </c>
      <c r="H814" s="40">
        <v>73.469311399999995</v>
      </c>
    </row>
    <row r="815" spans="1:8" x14ac:dyDescent="0.3">
      <c r="A815" t="s">
        <v>807</v>
      </c>
      <c r="B815">
        <v>832.56</v>
      </c>
      <c r="C815" t="s">
        <v>27</v>
      </c>
      <c r="D815">
        <v>12</v>
      </c>
      <c r="E815">
        <v>57.14</v>
      </c>
      <c r="F815" t="s">
        <v>72</v>
      </c>
      <c r="G815">
        <v>2</v>
      </c>
      <c r="H815">
        <v>73.47</v>
      </c>
    </row>
    <row r="816" spans="1:8" s="40" customFormat="1" x14ac:dyDescent="0.3">
      <c r="A816" s="41" t="s">
        <v>976</v>
      </c>
      <c r="B816" s="40">
        <f>D815*E816+G815*H816+J815*K816</f>
        <v>832.55909139999994</v>
      </c>
      <c r="E816" s="40">
        <v>57.135039049999996</v>
      </c>
      <c r="H816" s="40">
        <v>73.469311399999995</v>
      </c>
    </row>
    <row r="817" spans="1:11" x14ac:dyDescent="0.3">
      <c r="A817" t="s">
        <v>809</v>
      </c>
      <c r="B817">
        <v>1028.57</v>
      </c>
      <c r="C817" t="s">
        <v>65</v>
      </c>
      <c r="D817">
        <v>12</v>
      </c>
      <c r="E817">
        <v>73.47</v>
      </c>
      <c r="F817" t="s">
        <v>72</v>
      </c>
      <c r="G817">
        <v>2</v>
      </c>
      <c r="H817">
        <v>73.47</v>
      </c>
    </row>
    <row r="818" spans="1:11" s="40" customFormat="1" x14ac:dyDescent="0.3">
      <c r="A818" s="41" t="s">
        <v>976</v>
      </c>
      <c r="B818" s="40">
        <f>D817*E818+G817*H818+J817*K818</f>
        <v>1028.5703596000001</v>
      </c>
      <c r="E818" s="40">
        <v>73.469311399999995</v>
      </c>
      <c r="H818" s="40">
        <v>73.469311399999995</v>
      </c>
    </row>
    <row r="819" spans="1:11" x14ac:dyDescent="0.3">
      <c r="A819" t="s">
        <v>810</v>
      </c>
      <c r="B819">
        <v>832.56</v>
      </c>
      <c r="C819" t="s">
        <v>27</v>
      </c>
      <c r="D819">
        <v>12</v>
      </c>
      <c r="E819">
        <v>57.14</v>
      </c>
      <c r="F819" t="s">
        <v>72</v>
      </c>
      <c r="G819">
        <v>2</v>
      </c>
      <c r="H819">
        <v>73.47</v>
      </c>
    </row>
    <row r="820" spans="1:11" s="40" customFormat="1" x14ac:dyDescent="0.3">
      <c r="A820" s="41" t="s">
        <v>976</v>
      </c>
      <c r="B820" s="40">
        <f>D819*E820+G819*H820+J819*K820</f>
        <v>832.55909139999994</v>
      </c>
      <c r="E820" s="40">
        <v>57.135039049999996</v>
      </c>
      <c r="H820" s="40">
        <v>73.469311399999995</v>
      </c>
    </row>
    <row r="821" spans="1:11" x14ac:dyDescent="0.3">
      <c r="A821" t="s">
        <v>811</v>
      </c>
      <c r="B821">
        <v>1028.57</v>
      </c>
      <c r="C821" t="s">
        <v>65</v>
      </c>
      <c r="D821">
        <v>12</v>
      </c>
      <c r="E821">
        <v>73.47</v>
      </c>
      <c r="F821" t="s">
        <v>72</v>
      </c>
      <c r="G821">
        <v>2</v>
      </c>
      <c r="H821">
        <v>73.47</v>
      </c>
    </row>
    <row r="822" spans="1:11" s="40" customFormat="1" x14ac:dyDescent="0.3">
      <c r="A822" s="41" t="s">
        <v>976</v>
      </c>
      <c r="B822" s="40">
        <f>D821*E822+G821*H822+J821*K822</f>
        <v>1028.5703596000001</v>
      </c>
      <c r="E822" s="40">
        <v>73.469311399999995</v>
      </c>
      <c r="H822" s="40">
        <v>73.469311399999995</v>
      </c>
    </row>
    <row r="823" spans="1:11" x14ac:dyDescent="0.3">
      <c r="A823" t="s">
        <v>812</v>
      </c>
      <c r="B823">
        <v>1126.51</v>
      </c>
      <c r="C823" t="s">
        <v>29</v>
      </c>
      <c r="D823">
        <v>12</v>
      </c>
      <c r="E823">
        <v>73.47</v>
      </c>
      <c r="F823" t="s">
        <v>74</v>
      </c>
      <c r="G823">
        <v>2</v>
      </c>
      <c r="H823">
        <v>73.47</v>
      </c>
      <c r="I823" t="s">
        <v>164</v>
      </c>
      <c r="J823">
        <v>1</v>
      </c>
      <c r="K823">
        <v>97.94</v>
      </c>
    </row>
    <row r="824" spans="1:11" s="40" customFormat="1" x14ac:dyDescent="0.3">
      <c r="A824" s="41" t="s">
        <v>976</v>
      </c>
      <c r="B824" s="40">
        <f>D823*E824+G823*H824+J823*K824</f>
        <v>1126.50647494295</v>
      </c>
      <c r="E824" s="40">
        <v>73.469311399999995</v>
      </c>
      <c r="H824" s="40">
        <v>73.469311399999995</v>
      </c>
      <c r="K824" s="40">
        <v>97.936115342949989</v>
      </c>
    </row>
    <row r="825" spans="1:11" x14ac:dyDescent="0.3">
      <c r="A825" t="s">
        <v>813</v>
      </c>
      <c r="B825">
        <v>1028.57</v>
      </c>
      <c r="C825" t="s">
        <v>29</v>
      </c>
      <c r="D825">
        <v>12</v>
      </c>
      <c r="E825">
        <v>73.47</v>
      </c>
      <c r="F825" t="s">
        <v>74</v>
      </c>
      <c r="G825">
        <v>2</v>
      </c>
      <c r="H825">
        <v>73.47</v>
      </c>
    </row>
    <row r="826" spans="1:11" s="40" customFormat="1" x14ac:dyDescent="0.3">
      <c r="A826" s="41" t="s">
        <v>976</v>
      </c>
      <c r="B826" s="40">
        <f>D825*E826+G825*H826+J825*K826</f>
        <v>1028.5703596000001</v>
      </c>
      <c r="E826" s="40">
        <v>73.469311399999995</v>
      </c>
      <c r="H826" s="40">
        <v>73.469311399999995</v>
      </c>
    </row>
    <row r="827" spans="1:11" x14ac:dyDescent="0.3">
      <c r="A827" t="s">
        <v>814</v>
      </c>
      <c r="B827">
        <v>1224.57</v>
      </c>
      <c r="C827" t="s">
        <v>67</v>
      </c>
      <c r="D827">
        <v>12</v>
      </c>
      <c r="E827">
        <v>89.8</v>
      </c>
      <c r="F827" t="s">
        <v>74</v>
      </c>
      <c r="G827">
        <v>2</v>
      </c>
      <c r="H827">
        <v>73.47</v>
      </c>
    </row>
    <row r="828" spans="1:11" s="40" customFormat="1" x14ac:dyDescent="0.3">
      <c r="A828" s="41" t="s">
        <v>976</v>
      </c>
      <c r="B828" s="40">
        <f>D827*E828+G827*H828+J827*K828</f>
        <v>1224.5742124000001</v>
      </c>
      <c r="E828" s="40">
        <v>89.802965799999996</v>
      </c>
      <c r="H828" s="40">
        <v>73.469311399999995</v>
      </c>
    </row>
    <row r="829" spans="1:11" x14ac:dyDescent="0.3">
      <c r="A829" t="s">
        <v>816</v>
      </c>
      <c r="B829">
        <v>1028.57</v>
      </c>
      <c r="C829" t="s">
        <v>29</v>
      </c>
      <c r="D829">
        <v>12</v>
      </c>
      <c r="E829">
        <v>73.47</v>
      </c>
      <c r="F829" t="s">
        <v>74</v>
      </c>
      <c r="G829">
        <v>2</v>
      </c>
      <c r="H829">
        <v>73.47</v>
      </c>
    </row>
    <row r="830" spans="1:11" s="40" customFormat="1" x14ac:dyDescent="0.3">
      <c r="A830" s="41" t="s">
        <v>976</v>
      </c>
      <c r="B830" s="40">
        <f>D829*E830+G829*H830+J829*K830</f>
        <v>1028.5703596000001</v>
      </c>
      <c r="E830" s="40">
        <v>73.469311399999995</v>
      </c>
      <c r="H830" s="40">
        <v>73.469311399999995</v>
      </c>
    </row>
    <row r="831" spans="1:11" x14ac:dyDescent="0.3">
      <c r="A831" t="s">
        <v>815</v>
      </c>
      <c r="B831">
        <v>1028.57</v>
      </c>
      <c r="C831" t="s">
        <v>29</v>
      </c>
      <c r="D831">
        <v>12</v>
      </c>
      <c r="E831">
        <v>73.47</v>
      </c>
      <c r="F831" t="s">
        <v>74</v>
      </c>
      <c r="G831">
        <v>2</v>
      </c>
      <c r="H831">
        <v>73.47</v>
      </c>
    </row>
    <row r="832" spans="1:11" s="40" customFormat="1" x14ac:dyDescent="0.3">
      <c r="A832" s="41" t="s">
        <v>976</v>
      </c>
      <c r="B832" s="40">
        <f>D831*E832+G831*H832+J831*K832</f>
        <v>1028.5703596000001</v>
      </c>
      <c r="E832" s="40">
        <v>73.469311399999995</v>
      </c>
      <c r="H832" s="40">
        <v>73.469311399999995</v>
      </c>
    </row>
    <row r="833" spans="1:11" x14ac:dyDescent="0.3">
      <c r="A833" t="s">
        <v>817</v>
      </c>
      <c r="B833">
        <v>1028.57</v>
      </c>
      <c r="C833" t="s">
        <v>29</v>
      </c>
      <c r="D833">
        <v>12</v>
      </c>
      <c r="E833">
        <v>73.47</v>
      </c>
      <c r="F833" t="s">
        <v>74</v>
      </c>
      <c r="G833">
        <v>2</v>
      </c>
      <c r="H833">
        <v>73.47</v>
      </c>
    </row>
    <row r="834" spans="1:11" s="40" customFormat="1" x14ac:dyDescent="0.3">
      <c r="A834" s="41" t="s">
        <v>976</v>
      </c>
      <c r="B834" s="40">
        <f>D833*E834+G833*H834+J833*K834</f>
        <v>1028.5703596000001</v>
      </c>
      <c r="E834" s="40">
        <v>73.469311399999995</v>
      </c>
      <c r="H834" s="40">
        <v>73.469311399999995</v>
      </c>
    </row>
    <row r="835" spans="1:11" x14ac:dyDescent="0.3">
      <c r="A835" t="s">
        <v>818</v>
      </c>
      <c r="B835">
        <v>1028.57</v>
      </c>
      <c r="C835" t="s">
        <v>29</v>
      </c>
      <c r="D835">
        <v>12</v>
      </c>
      <c r="E835">
        <v>73.47</v>
      </c>
      <c r="F835" t="s">
        <v>74</v>
      </c>
      <c r="G835">
        <v>2</v>
      </c>
      <c r="H835">
        <v>73.47</v>
      </c>
    </row>
    <row r="836" spans="1:11" s="40" customFormat="1" x14ac:dyDescent="0.3">
      <c r="A836" s="41" t="s">
        <v>976</v>
      </c>
      <c r="B836" s="40">
        <f>D835*E836+G835*H836+J835*K836</f>
        <v>1028.5703596000001</v>
      </c>
      <c r="E836" s="40">
        <v>73.469311399999995</v>
      </c>
      <c r="H836" s="40">
        <v>73.469311399999995</v>
      </c>
    </row>
    <row r="837" spans="1:11" x14ac:dyDescent="0.3">
      <c r="A837" t="s">
        <v>819</v>
      </c>
      <c r="B837">
        <v>1028.57</v>
      </c>
      <c r="C837" t="s">
        <v>29</v>
      </c>
      <c r="D837">
        <v>12</v>
      </c>
      <c r="E837">
        <v>73.47</v>
      </c>
      <c r="F837" t="s">
        <v>74</v>
      </c>
      <c r="G837">
        <v>2</v>
      </c>
      <c r="H837">
        <v>73.47</v>
      </c>
    </row>
    <row r="838" spans="1:11" s="40" customFormat="1" x14ac:dyDescent="0.3">
      <c r="A838" s="41" t="s">
        <v>976</v>
      </c>
      <c r="B838" s="40">
        <f>D837*E838+G837*H838+J837*K838</f>
        <v>1028.5703596000001</v>
      </c>
      <c r="E838" s="40">
        <v>73.469311399999995</v>
      </c>
      <c r="H838" s="40">
        <v>73.469311399999995</v>
      </c>
    </row>
    <row r="839" spans="1:11" x14ac:dyDescent="0.3">
      <c r="A839" t="s">
        <v>820</v>
      </c>
      <c r="B839">
        <v>1028.57</v>
      </c>
      <c r="C839" t="s">
        <v>29</v>
      </c>
      <c r="D839">
        <v>12</v>
      </c>
      <c r="E839">
        <v>73.47</v>
      </c>
      <c r="F839" t="s">
        <v>74</v>
      </c>
      <c r="G839">
        <v>2</v>
      </c>
      <c r="H839">
        <v>73.47</v>
      </c>
    </row>
    <row r="840" spans="1:11" s="40" customFormat="1" x14ac:dyDescent="0.3">
      <c r="A840" s="41" t="s">
        <v>976</v>
      </c>
      <c r="B840" s="40">
        <f>D839*E840+G839*H840+J839*K840</f>
        <v>1028.5703596000001</v>
      </c>
      <c r="E840" s="40">
        <v>73.469311399999995</v>
      </c>
      <c r="H840" s="40">
        <v>73.469311399999995</v>
      </c>
    </row>
    <row r="841" spans="1:11" x14ac:dyDescent="0.3">
      <c r="A841" t="s">
        <v>821</v>
      </c>
      <c r="B841">
        <v>1224.57</v>
      </c>
      <c r="C841" t="s">
        <v>67</v>
      </c>
      <c r="D841">
        <v>12</v>
      </c>
      <c r="E841">
        <v>89.8</v>
      </c>
      <c r="F841" t="s">
        <v>74</v>
      </c>
      <c r="G841">
        <v>2</v>
      </c>
      <c r="H841">
        <v>73.47</v>
      </c>
    </row>
    <row r="842" spans="1:11" s="40" customFormat="1" x14ac:dyDescent="0.3">
      <c r="A842" s="41" t="s">
        <v>976</v>
      </c>
      <c r="B842" s="40">
        <f>D841*E842+G841*H842+J841*K842</f>
        <v>1224.5742124000001</v>
      </c>
      <c r="E842" s="40">
        <v>89.802965799999996</v>
      </c>
      <c r="H842" s="40">
        <v>73.469311399999995</v>
      </c>
    </row>
    <row r="843" spans="1:11" x14ac:dyDescent="0.3">
      <c r="A843" t="s">
        <v>822</v>
      </c>
      <c r="B843">
        <v>1028.57</v>
      </c>
      <c r="C843" t="s">
        <v>29</v>
      </c>
      <c r="D843">
        <v>12</v>
      </c>
      <c r="E843">
        <v>73.47</v>
      </c>
      <c r="F843" t="s">
        <v>74</v>
      </c>
      <c r="G843">
        <v>2</v>
      </c>
      <c r="H843">
        <v>73.47</v>
      </c>
    </row>
    <row r="844" spans="1:11" s="40" customFormat="1" x14ac:dyDescent="0.3">
      <c r="A844" s="41" t="s">
        <v>976</v>
      </c>
      <c r="B844" s="40">
        <f>D843*E844+G843*H844+J843*K844</f>
        <v>1028.5703596000001</v>
      </c>
      <c r="E844" s="40">
        <v>73.469311399999995</v>
      </c>
      <c r="H844" s="40">
        <v>73.469311399999995</v>
      </c>
    </row>
    <row r="845" spans="1:11" x14ac:dyDescent="0.3">
      <c r="A845" t="s">
        <v>824</v>
      </c>
      <c r="B845">
        <v>2399.62</v>
      </c>
      <c r="C845" t="s">
        <v>69</v>
      </c>
      <c r="D845">
        <v>12</v>
      </c>
      <c r="E845">
        <v>106.11</v>
      </c>
      <c r="F845" t="s">
        <v>74</v>
      </c>
      <c r="G845">
        <v>2</v>
      </c>
      <c r="H845">
        <v>73.47</v>
      </c>
      <c r="I845" t="s">
        <v>160</v>
      </c>
      <c r="J845">
        <v>10</v>
      </c>
      <c r="K845">
        <v>97.94</v>
      </c>
    </row>
    <row r="846" spans="1:11" s="40" customFormat="1" x14ac:dyDescent="0.3">
      <c r="A846" s="41" t="s">
        <v>976</v>
      </c>
      <c r="B846" s="40">
        <f>D845*E846+G845*H846+J845*K846</f>
        <v>2399.6203564294997</v>
      </c>
      <c r="E846" s="40">
        <v>106.11004834999999</v>
      </c>
      <c r="H846" s="40">
        <v>73.469311399999995</v>
      </c>
      <c r="K846" s="40">
        <v>97.936115342949989</v>
      </c>
    </row>
    <row r="847" spans="1:11" x14ac:dyDescent="0.3">
      <c r="A847" t="s">
        <v>825</v>
      </c>
      <c r="B847">
        <v>1224.57</v>
      </c>
      <c r="C847" t="s">
        <v>31</v>
      </c>
      <c r="D847">
        <v>12</v>
      </c>
      <c r="E847">
        <v>89.8</v>
      </c>
      <c r="F847" t="s">
        <v>74</v>
      </c>
      <c r="G847">
        <v>2</v>
      </c>
      <c r="H847">
        <v>73.47</v>
      </c>
    </row>
    <row r="848" spans="1:11" s="40" customFormat="1" x14ac:dyDescent="0.3">
      <c r="A848" s="41" t="s">
        <v>976</v>
      </c>
      <c r="B848" s="40">
        <f>D847*E848+G847*H848+J847*K848</f>
        <v>1224.5742124000001</v>
      </c>
      <c r="E848" s="40">
        <v>89.802965799999996</v>
      </c>
      <c r="H848" s="40">
        <v>73.469311399999995</v>
      </c>
    </row>
    <row r="849" spans="1:8" x14ac:dyDescent="0.3">
      <c r="A849" t="s">
        <v>826</v>
      </c>
      <c r="B849">
        <v>1420.26</v>
      </c>
      <c r="C849" t="s">
        <v>69</v>
      </c>
      <c r="D849">
        <v>12</v>
      </c>
      <c r="E849">
        <v>106.11</v>
      </c>
      <c r="F849" t="s">
        <v>74</v>
      </c>
      <c r="G849">
        <v>2</v>
      </c>
      <c r="H849">
        <v>73.47</v>
      </c>
    </row>
    <row r="850" spans="1:8" s="40" customFormat="1" x14ac:dyDescent="0.3">
      <c r="A850" s="41" t="s">
        <v>976</v>
      </c>
      <c r="B850" s="40">
        <f>D849*E850+G849*H850+J849*K850</f>
        <v>1420.2592029999998</v>
      </c>
      <c r="E850" s="40">
        <v>106.11004834999999</v>
      </c>
      <c r="H850" s="40">
        <v>73.469311399999995</v>
      </c>
    </row>
    <row r="851" spans="1:8" x14ac:dyDescent="0.3">
      <c r="A851" t="s">
        <v>827</v>
      </c>
      <c r="B851">
        <v>1224.57</v>
      </c>
      <c r="C851" t="s">
        <v>31</v>
      </c>
      <c r="D851">
        <v>12</v>
      </c>
      <c r="E851">
        <v>89.8</v>
      </c>
      <c r="F851" t="s">
        <v>74</v>
      </c>
      <c r="G851">
        <v>2</v>
      </c>
      <c r="H851">
        <v>73.47</v>
      </c>
    </row>
    <row r="852" spans="1:8" s="40" customFormat="1" x14ac:dyDescent="0.3">
      <c r="A852" s="41" t="s">
        <v>976</v>
      </c>
      <c r="B852" s="40">
        <f>D851*E852+G851*H852+J851*K852</f>
        <v>1224.5742124000001</v>
      </c>
      <c r="E852" s="40">
        <v>89.802965799999996</v>
      </c>
      <c r="H852" s="40">
        <v>73.469311399999995</v>
      </c>
    </row>
    <row r="853" spans="1:8" x14ac:dyDescent="0.3">
      <c r="A853" t="s">
        <v>828</v>
      </c>
      <c r="B853">
        <v>1420.26</v>
      </c>
      <c r="C853" t="s">
        <v>69</v>
      </c>
      <c r="D853">
        <v>12</v>
      </c>
      <c r="E853">
        <v>106.11</v>
      </c>
      <c r="F853" t="s">
        <v>74</v>
      </c>
      <c r="G853">
        <v>2</v>
      </c>
      <c r="H853">
        <v>73.47</v>
      </c>
    </row>
    <row r="854" spans="1:8" s="40" customFormat="1" x14ac:dyDescent="0.3">
      <c r="A854" s="41" t="s">
        <v>976</v>
      </c>
      <c r="B854" s="40">
        <f>D853*E854+G853*H854+J853*K854</f>
        <v>1420.2592029999998</v>
      </c>
      <c r="E854" s="40">
        <v>106.11004834999999</v>
      </c>
      <c r="H854" s="40">
        <v>73.469311399999995</v>
      </c>
    </row>
    <row r="855" spans="1:8" x14ac:dyDescent="0.3">
      <c r="A855" t="s">
        <v>830</v>
      </c>
      <c r="B855">
        <v>1224.57</v>
      </c>
      <c r="C855" t="s">
        <v>31</v>
      </c>
      <c r="D855">
        <v>12</v>
      </c>
      <c r="E855">
        <v>89.8</v>
      </c>
      <c r="F855" t="s">
        <v>74</v>
      </c>
      <c r="G855">
        <v>2</v>
      </c>
      <c r="H855">
        <v>73.47</v>
      </c>
    </row>
    <row r="856" spans="1:8" s="40" customFormat="1" x14ac:dyDescent="0.3">
      <c r="A856" s="41" t="s">
        <v>976</v>
      </c>
      <c r="B856" s="40">
        <f>D855*E856+G855*H856+J855*K856</f>
        <v>1224.5742124000001</v>
      </c>
      <c r="E856" s="40">
        <v>89.802965799999996</v>
      </c>
      <c r="H856" s="40">
        <v>73.469311399999995</v>
      </c>
    </row>
    <row r="857" spans="1:8" x14ac:dyDescent="0.3">
      <c r="A857" t="s">
        <v>831</v>
      </c>
      <c r="B857">
        <v>1224.57</v>
      </c>
      <c r="C857" t="s">
        <v>31</v>
      </c>
      <c r="D857">
        <v>12</v>
      </c>
      <c r="E857">
        <v>89.8</v>
      </c>
      <c r="F857" t="s">
        <v>74</v>
      </c>
      <c r="G857">
        <v>2</v>
      </c>
      <c r="H857">
        <v>73.47</v>
      </c>
    </row>
    <row r="858" spans="1:8" s="40" customFormat="1" x14ac:dyDescent="0.3">
      <c r="A858" s="41" t="s">
        <v>976</v>
      </c>
      <c r="B858" s="40">
        <f>D857*E858+G857*H858+J857*K858</f>
        <v>1224.5742124000001</v>
      </c>
      <c r="E858" s="40">
        <v>89.802965799999996</v>
      </c>
      <c r="H858" s="40">
        <v>73.469311399999995</v>
      </c>
    </row>
    <row r="859" spans="1:8" x14ac:dyDescent="0.3">
      <c r="A859" t="s">
        <v>832</v>
      </c>
      <c r="B859">
        <v>1420.26</v>
      </c>
      <c r="C859" t="s">
        <v>69</v>
      </c>
      <c r="D859">
        <v>12</v>
      </c>
      <c r="E859">
        <v>106.11</v>
      </c>
      <c r="F859" t="s">
        <v>74</v>
      </c>
      <c r="G859">
        <v>2</v>
      </c>
      <c r="H859">
        <v>73.47</v>
      </c>
    </row>
    <row r="860" spans="1:8" s="40" customFormat="1" x14ac:dyDescent="0.3">
      <c r="A860" s="41" t="s">
        <v>976</v>
      </c>
      <c r="B860" s="40">
        <f>D859*E860+G859*H860+J859*K860</f>
        <v>1420.2592029999998</v>
      </c>
      <c r="E860" s="40">
        <v>106.11004834999999</v>
      </c>
      <c r="H860" s="40">
        <v>73.469311399999995</v>
      </c>
    </row>
    <row r="861" spans="1:8" x14ac:dyDescent="0.3">
      <c r="A861" t="s">
        <v>829</v>
      </c>
      <c r="B861">
        <v>1224.57</v>
      </c>
      <c r="C861" t="s">
        <v>31</v>
      </c>
      <c r="D861">
        <v>12</v>
      </c>
      <c r="E861">
        <v>89.8</v>
      </c>
      <c r="F861" t="s">
        <v>74</v>
      </c>
      <c r="G861">
        <v>2</v>
      </c>
      <c r="H861">
        <v>73.47</v>
      </c>
    </row>
    <row r="862" spans="1:8" s="40" customFormat="1" x14ac:dyDescent="0.3">
      <c r="A862" s="41" t="s">
        <v>976</v>
      </c>
      <c r="B862" s="40">
        <f>D861*E862+G861*H862+J861*K862</f>
        <v>1224.5742124000001</v>
      </c>
      <c r="E862" s="40">
        <v>89.802965799999996</v>
      </c>
      <c r="H862" s="40">
        <v>73.469311399999995</v>
      </c>
    </row>
    <row r="863" spans="1:8" x14ac:dyDescent="0.3">
      <c r="A863" t="s">
        <v>833</v>
      </c>
      <c r="B863">
        <v>1224.57</v>
      </c>
      <c r="C863" t="s">
        <v>31</v>
      </c>
      <c r="D863">
        <v>12</v>
      </c>
      <c r="E863">
        <v>89.8</v>
      </c>
      <c r="F863" t="s">
        <v>74</v>
      </c>
      <c r="G863">
        <v>2</v>
      </c>
      <c r="H863">
        <v>73.47</v>
      </c>
    </row>
    <row r="864" spans="1:8" s="40" customFormat="1" x14ac:dyDescent="0.3">
      <c r="A864" s="41" t="s">
        <v>976</v>
      </c>
      <c r="B864" s="40">
        <f>D863*E864+G863*H864+J863*K864</f>
        <v>1224.5742124000001</v>
      </c>
      <c r="E864" s="40">
        <v>89.802965799999996</v>
      </c>
      <c r="H864" s="40">
        <v>73.469311399999995</v>
      </c>
    </row>
    <row r="865" spans="1:8" x14ac:dyDescent="0.3">
      <c r="A865" t="s">
        <v>834</v>
      </c>
      <c r="B865">
        <v>1420.26</v>
      </c>
      <c r="C865" t="s">
        <v>69</v>
      </c>
      <c r="D865">
        <v>12</v>
      </c>
      <c r="E865">
        <v>106.11</v>
      </c>
      <c r="F865" t="s">
        <v>74</v>
      </c>
      <c r="G865">
        <v>2</v>
      </c>
      <c r="H865">
        <v>73.47</v>
      </c>
    </row>
    <row r="866" spans="1:8" s="40" customFormat="1" x14ac:dyDescent="0.3">
      <c r="A866" s="41" t="s">
        <v>976</v>
      </c>
      <c r="B866" s="40">
        <f>D865*E866+G865*H866+J865*K866</f>
        <v>1420.2592029999998</v>
      </c>
      <c r="E866" s="40">
        <v>106.11004834999999</v>
      </c>
      <c r="H866" s="40">
        <v>73.469311399999995</v>
      </c>
    </row>
    <row r="867" spans="1:8" x14ac:dyDescent="0.3">
      <c r="A867" t="s">
        <v>835</v>
      </c>
      <c r="B867">
        <v>1224.57</v>
      </c>
      <c r="C867" t="s">
        <v>31</v>
      </c>
      <c r="D867">
        <v>12</v>
      </c>
      <c r="E867">
        <v>89.8</v>
      </c>
      <c r="F867" t="s">
        <v>74</v>
      </c>
      <c r="G867">
        <v>2</v>
      </c>
      <c r="H867">
        <v>73.47</v>
      </c>
    </row>
    <row r="868" spans="1:8" s="40" customFormat="1" x14ac:dyDescent="0.3">
      <c r="A868" s="41" t="s">
        <v>976</v>
      </c>
      <c r="B868" s="40">
        <f>D867*E868+G867*H868+J867*K868</f>
        <v>1224.5742124000001</v>
      </c>
      <c r="E868" s="40">
        <v>89.802965799999996</v>
      </c>
      <c r="H868" s="40">
        <v>73.469311399999995</v>
      </c>
    </row>
    <row r="869" spans="1:8" x14ac:dyDescent="0.3">
      <c r="A869" t="s">
        <v>836</v>
      </c>
      <c r="B869">
        <v>1224.57</v>
      </c>
      <c r="C869" t="s">
        <v>31</v>
      </c>
      <c r="D869">
        <v>12</v>
      </c>
      <c r="E869">
        <v>89.8</v>
      </c>
      <c r="F869" t="s">
        <v>74</v>
      </c>
      <c r="G869">
        <v>2</v>
      </c>
      <c r="H869">
        <v>73.47</v>
      </c>
    </row>
    <row r="870" spans="1:8" s="40" customFormat="1" x14ac:dyDescent="0.3">
      <c r="A870" s="41" t="s">
        <v>976</v>
      </c>
      <c r="B870" s="40">
        <f>D869*E870+G869*H870+J869*K870</f>
        <v>1224.5742124000001</v>
      </c>
      <c r="E870" s="40">
        <v>89.802965799999996</v>
      </c>
      <c r="H870" s="40">
        <v>73.469311399999995</v>
      </c>
    </row>
    <row r="871" spans="1:8" x14ac:dyDescent="0.3">
      <c r="A871" t="s">
        <v>838</v>
      </c>
      <c r="B871">
        <v>1224.57</v>
      </c>
      <c r="C871" t="s">
        <v>31</v>
      </c>
      <c r="D871">
        <v>12</v>
      </c>
      <c r="E871">
        <v>89.8</v>
      </c>
      <c r="F871" t="s">
        <v>74</v>
      </c>
      <c r="G871">
        <v>2</v>
      </c>
      <c r="H871">
        <v>73.47</v>
      </c>
    </row>
    <row r="872" spans="1:8" s="40" customFormat="1" x14ac:dyDescent="0.3">
      <c r="A872" s="41" t="s">
        <v>976</v>
      </c>
      <c r="B872" s="40">
        <f>D871*E872+G871*H872+J871*K872</f>
        <v>1224.5742124000001</v>
      </c>
      <c r="E872" s="40">
        <v>89.802965799999996</v>
      </c>
      <c r="H872" s="40">
        <v>73.469311399999995</v>
      </c>
    </row>
    <row r="873" spans="1:8" x14ac:dyDescent="0.3">
      <c r="A873" t="s">
        <v>837</v>
      </c>
      <c r="B873">
        <v>1224.57</v>
      </c>
      <c r="C873" t="s">
        <v>31</v>
      </c>
      <c r="D873">
        <v>12</v>
      </c>
      <c r="E873">
        <v>89.8</v>
      </c>
      <c r="F873" t="s">
        <v>74</v>
      </c>
      <c r="G873">
        <v>2</v>
      </c>
      <c r="H873">
        <v>73.47</v>
      </c>
    </row>
    <row r="874" spans="1:8" s="40" customFormat="1" x14ac:dyDescent="0.3">
      <c r="A874" s="41" t="s">
        <v>976</v>
      </c>
      <c r="B874" s="40">
        <f>D873*E874+G873*H874+J873*K874</f>
        <v>1224.5742124000001</v>
      </c>
      <c r="E874" s="40">
        <v>89.802965799999996</v>
      </c>
      <c r="H874" s="40">
        <v>73.469311399999995</v>
      </c>
    </row>
    <row r="875" spans="1:8" x14ac:dyDescent="0.3">
      <c r="A875" t="s">
        <v>839</v>
      </c>
      <c r="B875">
        <v>1224.57</v>
      </c>
      <c r="C875" t="s">
        <v>31</v>
      </c>
      <c r="D875">
        <v>12</v>
      </c>
      <c r="E875">
        <v>89.8</v>
      </c>
      <c r="F875" t="s">
        <v>74</v>
      </c>
      <c r="G875">
        <v>2</v>
      </c>
      <c r="H875">
        <v>73.47</v>
      </c>
    </row>
    <row r="876" spans="1:8" s="40" customFormat="1" x14ac:dyDescent="0.3">
      <c r="A876" s="41" t="s">
        <v>976</v>
      </c>
      <c r="B876" s="40">
        <f>D875*E876+G875*H876+J875*K876</f>
        <v>1224.5742124000001</v>
      </c>
      <c r="E876" s="40">
        <v>89.802965799999996</v>
      </c>
      <c r="H876" s="40">
        <v>73.469311399999995</v>
      </c>
    </row>
    <row r="877" spans="1:8" x14ac:dyDescent="0.3">
      <c r="A877" t="s">
        <v>840</v>
      </c>
      <c r="B877">
        <v>1420.26</v>
      </c>
      <c r="C877" t="s">
        <v>69</v>
      </c>
      <c r="D877">
        <v>12</v>
      </c>
      <c r="E877">
        <v>106.11</v>
      </c>
      <c r="F877" t="s">
        <v>74</v>
      </c>
      <c r="G877">
        <v>2</v>
      </c>
      <c r="H877">
        <v>73.47</v>
      </c>
    </row>
    <row r="878" spans="1:8" s="40" customFormat="1" x14ac:dyDescent="0.3">
      <c r="A878" s="41" t="s">
        <v>976</v>
      </c>
      <c r="B878" s="40">
        <f>D877*E878+G877*H878+J877*K878</f>
        <v>1420.2592029999998</v>
      </c>
      <c r="E878" s="40">
        <v>106.11004834999999</v>
      </c>
      <c r="H878" s="40">
        <v>73.469311399999995</v>
      </c>
    </row>
    <row r="879" spans="1:8" x14ac:dyDescent="0.3">
      <c r="A879" t="s">
        <v>962</v>
      </c>
      <c r="B879">
        <v>1224.57</v>
      </c>
      <c r="C879" t="s">
        <v>31</v>
      </c>
      <c r="D879">
        <v>12</v>
      </c>
      <c r="E879">
        <v>89.8</v>
      </c>
      <c r="F879" t="s">
        <v>74</v>
      </c>
      <c r="G879">
        <v>2</v>
      </c>
      <c r="H879">
        <v>73.47</v>
      </c>
    </row>
    <row r="880" spans="1:8" s="40" customFormat="1" x14ac:dyDescent="0.3">
      <c r="A880" s="41" t="s">
        <v>976</v>
      </c>
      <c r="B880" s="40">
        <f>D879*E880+G879*H880+J879*K880</f>
        <v>1224.5742124000001</v>
      </c>
      <c r="E880" s="40">
        <v>89.802965799999996</v>
      </c>
      <c r="H880" s="40">
        <v>73.469311399999995</v>
      </c>
    </row>
    <row r="881" spans="1:8" x14ac:dyDescent="0.3">
      <c r="A881" t="s">
        <v>841</v>
      </c>
      <c r="B881">
        <v>1420.26</v>
      </c>
      <c r="C881" t="s">
        <v>69</v>
      </c>
      <c r="D881">
        <v>12</v>
      </c>
      <c r="E881">
        <v>106.11</v>
      </c>
      <c r="F881" t="s">
        <v>74</v>
      </c>
      <c r="G881">
        <v>2</v>
      </c>
      <c r="H881">
        <v>73.47</v>
      </c>
    </row>
    <row r="882" spans="1:8" s="40" customFormat="1" x14ac:dyDescent="0.3">
      <c r="A882" s="41" t="s">
        <v>976</v>
      </c>
      <c r="B882" s="40">
        <f>D881*E882+G881*H882+J881*K882</f>
        <v>1420.2592029999998</v>
      </c>
      <c r="E882" s="40">
        <v>106.11004834999999</v>
      </c>
      <c r="H882" s="40">
        <v>73.469311399999995</v>
      </c>
    </row>
    <row r="883" spans="1:8" x14ac:dyDescent="0.3">
      <c r="A883" t="s">
        <v>842</v>
      </c>
      <c r="B883">
        <v>1224.57</v>
      </c>
      <c r="C883" t="s">
        <v>31</v>
      </c>
      <c r="D883">
        <v>12</v>
      </c>
      <c r="E883">
        <v>89.8</v>
      </c>
      <c r="F883" t="s">
        <v>74</v>
      </c>
      <c r="G883">
        <v>2</v>
      </c>
      <c r="H883">
        <v>73.47</v>
      </c>
    </row>
    <row r="884" spans="1:8" s="40" customFormat="1" x14ac:dyDescent="0.3">
      <c r="A884" s="41" t="s">
        <v>976</v>
      </c>
      <c r="B884" s="40">
        <f>D883*E884+G883*H884+J883*K884</f>
        <v>1224.5742124000001</v>
      </c>
      <c r="E884" s="40">
        <v>89.802965799999996</v>
      </c>
      <c r="H884" s="40">
        <v>73.469311399999995</v>
      </c>
    </row>
    <row r="885" spans="1:8" x14ac:dyDescent="0.3">
      <c r="A885" t="s">
        <v>843</v>
      </c>
      <c r="B885">
        <v>1224.57</v>
      </c>
      <c r="C885" t="s">
        <v>31</v>
      </c>
      <c r="D885">
        <v>12</v>
      </c>
      <c r="E885">
        <v>89.8</v>
      </c>
      <c r="F885" t="s">
        <v>74</v>
      </c>
      <c r="G885">
        <v>2</v>
      </c>
      <c r="H885">
        <v>73.47</v>
      </c>
    </row>
    <row r="886" spans="1:8" s="40" customFormat="1" x14ac:dyDescent="0.3">
      <c r="A886" s="41" t="s">
        <v>976</v>
      </c>
      <c r="B886" s="40">
        <f>D885*E886+G885*H886+J885*K886</f>
        <v>1224.5742124000001</v>
      </c>
      <c r="E886" s="40">
        <v>89.802965799999996</v>
      </c>
      <c r="H886" s="40">
        <v>73.469311399999995</v>
      </c>
    </row>
    <row r="887" spans="1:8" x14ac:dyDescent="0.3">
      <c r="A887" t="s">
        <v>845</v>
      </c>
      <c r="B887">
        <v>1224.57</v>
      </c>
      <c r="C887" t="s">
        <v>31</v>
      </c>
      <c r="D887">
        <v>12</v>
      </c>
      <c r="E887">
        <v>89.8</v>
      </c>
      <c r="F887" t="s">
        <v>74</v>
      </c>
      <c r="G887">
        <v>2</v>
      </c>
      <c r="H887">
        <v>73.47</v>
      </c>
    </row>
    <row r="888" spans="1:8" s="40" customFormat="1" x14ac:dyDescent="0.3">
      <c r="A888" s="41" t="s">
        <v>976</v>
      </c>
      <c r="B888" s="40">
        <f>D887*E888+G887*H888+J887*K888</f>
        <v>1224.5742124000001</v>
      </c>
      <c r="E888" s="40">
        <v>89.802965799999996</v>
      </c>
      <c r="H888" s="40">
        <v>73.469311399999995</v>
      </c>
    </row>
    <row r="889" spans="1:8" x14ac:dyDescent="0.3">
      <c r="A889" t="s">
        <v>844</v>
      </c>
      <c r="B889">
        <v>1224.57</v>
      </c>
      <c r="C889" t="s">
        <v>31</v>
      </c>
      <c r="D889">
        <v>12</v>
      </c>
      <c r="E889">
        <v>89.8</v>
      </c>
      <c r="F889" t="s">
        <v>74</v>
      </c>
      <c r="G889">
        <v>2</v>
      </c>
      <c r="H889">
        <v>73.47</v>
      </c>
    </row>
    <row r="890" spans="1:8" s="40" customFormat="1" x14ac:dyDescent="0.3">
      <c r="A890" s="41" t="s">
        <v>976</v>
      </c>
      <c r="B890" s="40">
        <f>D889*E890+G889*H890+J889*K890</f>
        <v>1224.5742124000001</v>
      </c>
      <c r="E890" s="40">
        <v>89.802965799999996</v>
      </c>
      <c r="H890" s="40">
        <v>73.469311399999995</v>
      </c>
    </row>
    <row r="891" spans="1:8" x14ac:dyDescent="0.3">
      <c r="A891" t="s">
        <v>846</v>
      </c>
      <c r="B891">
        <v>1224.57</v>
      </c>
      <c r="C891" t="s">
        <v>31</v>
      </c>
      <c r="D891">
        <v>12</v>
      </c>
      <c r="E891">
        <v>89.8</v>
      </c>
      <c r="F891" t="s">
        <v>74</v>
      </c>
      <c r="G891">
        <v>2</v>
      </c>
      <c r="H891">
        <v>73.47</v>
      </c>
    </row>
    <row r="892" spans="1:8" s="40" customFormat="1" x14ac:dyDescent="0.3">
      <c r="A892" s="41" t="s">
        <v>976</v>
      </c>
      <c r="B892" s="40">
        <f>D891*E892+G891*H892+J891*K892</f>
        <v>1224.5742124000001</v>
      </c>
      <c r="E892" s="40">
        <v>89.802965799999996</v>
      </c>
      <c r="H892" s="40">
        <v>73.469311399999995</v>
      </c>
    </row>
    <row r="893" spans="1:8" x14ac:dyDescent="0.3">
      <c r="A893" t="s">
        <v>848</v>
      </c>
      <c r="B893">
        <v>1224.57</v>
      </c>
      <c r="C893" t="s">
        <v>31</v>
      </c>
      <c r="D893">
        <v>12</v>
      </c>
      <c r="E893">
        <v>89.8</v>
      </c>
      <c r="F893" t="s">
        <v>74</v>
      </c>
      <c r="G893">
        <v>2</v>
      </c>
      <c r="H893">
        <v>73.47</v>
      </c>
    </row>
    <row r="894" spans="1:8" s="40" customFormat="1" x14ac:dyDescent="0.3">
      <c r="A894" s="41" t="s">
        <v>976</v>
      </c>
      <c r="B894" s="40">
        <f>D893*E894+G893*H894+J893*K894</f>
        <v>1224.5742124000001</v>
      </c>
      <c r="E894" s="40">
        <v>89.802965799999996</v>
      </c>
      <c r="H894" s="40">
        <v>73.469311399999995</v>
      </c>
    </row>
    <row r="895" spans="1:8" x14ac:dyDescent="0.3">
      <c r="A895" t="s">
        <v>849</v>
      </c>
      <c r="B895">
        <v>1420.26</v>
      </c>
      <c r="C895" t="s">
        <v>69</v>
      </c>
      <c r="D895">
        <v>12</v>
      </c>
      <c r="E895">
        <v>106.11</v>
      </c>
      <c r="F895" t="s">
        <v>74</v>
      </c>
      <c r="G895">
        <v>2</v>
      </c>
      <c r="H895">
        <v>73.47</v>
      </c>
    </row>
    <row r="896" spans="1:8" s="40" customFormat="1" x14ac:dyDescent="0.3">
      <c r="A896" s="41" t="s">
        <v>976</v>
      </c>
      <c r="B896" s="40">
        <f>D895*E896+G895*H896+J895*K896</f>
        <v>1420.2592029999998</v>
      </c>
      <c r="E896" s="40">
        <v>106.11004834999999</v>
      </c>
      <c r="H896" s="40">
        <v>73.469311399999995</v>
      </c>
    </row>
    <row r="897" spans="1:8" x14ac:dyDescent="0.3">
      <c r="A897" t="s">
        <v>850</v>
      </c>
      <c r="B897">
        <v>1224.57</v>
      </c>
      <c r="C897" t="s">
        <v>31</v>
      </c>
      <c r="D897">
        <v>12</v>
      </c>
      <c r="E897">
        <v>89.8</v>
      </c>
      <c r="F897" t="s">
        <v>74</v>
      </c>
      <c r="G897">
        <v>2</v>
      </c>
      <c r="H897">
        <v>73.47</v>
      </c>
    </row>
    <row r="898" spans="1:8" s="40" customFormat="1" x14ac:dyDescent="0.3">
      <c r="A898" s="41" t="s">
        <v>976</v>
      </c>
      <c r="B898" s="40">
        <f>D897*E898+G897*H898+J897*K898</f>
        <v>1224.5742124000001</v>
      </c>
      <c r="E898" s="40">
        <v>89.802965799999996</v>
      </c>
      <c r="H898" s="40">
        <v>73.469311399999995</v>
      </c>
    </row>
    <row r="899" spans="1:8" x14ac:dyDescent="0.3">
      <c r="A899" t="s">
        <v>851</v>
      </c>
      <c r="B899">
        <v>1420.26</v>
      </c>
      <c r="C899" t="s">
        <v>69</v>
      </c>
      <c r="D899">
        <v>12</v>
      </c>
      <c r="E899">
        <v>106.11</v>
      </c>
      <c r="F899" t="s">
        <v>74</v>
      </c>
      <c r="G899">
        <v>2</v>
      </c>
      <c r="H899">
        <v>73.47</v>
      </c>
    </row>
    <row r="900" spans="1:8" s="40" customFormat="1" x14ac:dyDescent="0.3">
      <c r="A900" s="41" t="s">
        <v>976</v>
      </c>
      <c r="B900" s="40">
        <f>D899*E900+G899*H900+J899*K900</f>
        <v>1420.2592029999998</v>
      </c>
      <c r="E900" s="40">
        <v>106.11004834999999</v>
      </c>
      <c r="H900" s="40">
        <v>73.469311399999995</v>
      </c>
    </row>
    <row r="901" spans="1:8" x14ac:dyDescent="0.3">
      <c r="A901" t="s">
        <v>854</v>
      </c>
      <c r="B901">
        <v>1420.26</v>
      </c>
      <c r="C901" t="s">
        <v>69</v>
      </c>
      <c r="D901">
        <v>12</v>
      </c>
      <c r="E901">
        <v>106.11</v>
      </c>
      <c r="F901" t="s">
        <v>74</v>
      </c>
      <c r="G901">
        <v>2</v>
      </c>
      <c r="H901">
        <v>73.47</v>
      </c>
    </row>
    <row r="902" spans="1:8" s="40" customFormat="1" x14ac:dyDescent="0.3">
      <c r="A902" s="41" t="s">
        <v>976</v>
      </c>
      <c r="B902" s="40">
        <f>D901*E902+G901*H902+J901*K902</f>
        <v>1420.2592029999998</v>
      </c>
      <c r="E902" s="40">
        <v>106.11004834999999</v>
      </c>
      <c r="H902" s="40">
        <v>73.469311399999995</v>
      </c>
    </row>
    <row r="903" spans="1:8" x14ac:dyDescent="0.3">
      <c r="A903" t="s">
        <v>853</v>
      </c>
      <c r="B903">
        <v>1224.57</v>
      </c>
      <c r="C903" t="s">
        <v>31</v>
      </c>
      <c r="D903">
        <v>12</v>
      </c>
      <c r="E903">
        <v>89.8</v>
      </c>
      <c r="F903" t="s">
        <v>74</v>
      </c>
      <c r="G903">
        <v>2</v>
      </c>
      <c r="H903">
        <v>73.47</v>
      </c>
    </row>
    <row r="904" spans="1:8" s="40" customFormat="1" x14ac:dyDescent="0.3">
      <c r="A904" s="41" t="s">
        <v>976</v>
      </c>
      <c r="B904" s="40">
        <f>D903*E904+G903*H904+J903*K904</f>
        <v>1224.5742124000001</v>
      </c>
      <c r="E904" s="40">
        <v>89.802965799999996</v>
      </c>
      <c r="H904" s="40">
        <v>73.469311399999995</v>
      </c>
    </row>
    <row r="905" spans="1:8" x14ac:dyDescent="0.3">
      <c r="A905" t="s">
        <v>855</v>
      </c>
      <c r="B905">
        <v>1762.99</v>
      </c>
      <c r="C905" t="s">
        <v>33</v>
      </c>
      <c r="D905">
        <v>12</v>
      </c>
      <c r="E905">
        <v>122.44</v>
      </c>
      <c r="F905" t="s">
        <v>79</v>
      </c>
      <c r="G905">
        <v>2</v>
      </c>
      <c r="H905">
        <v>146.87</v>
      </c>
    </row>
    <row r="906" spans="1:8" s="40" customFormat="1" x14ac:dyDescent="0.3">
      <c r="A906" s="41" t="s">
        <v>976</v>
      </c>
      <c r="B906" s="40">
        <f>D905*E906+G905*H906+J905*K906</f>
        <v>1762.9903397</v>
      </c>
      <c r="E906" s="40">
        <v>122.43752325000001</v>
      </c>
      <c r="H906" s="40">
        <v>146.87003034999998</v>
      </c>
    </row>
    <row r="907" spans="1:8" x14ac:dyDescent="0.3">
      <c r="A907" t="s">
        <v>852</v>
      </c>
      <c r="B907">
        <v>1420.26</v>
      </c>
      <c r="C907" t="s">
        <v>69</v>
      </c>
      <c r="D907">
        <v>12</v>
      </c>
      <c r="E907">
        <v>106.11</v>
      </c>
      <c r="F907" t="s">
        <v>74</v>
      </c>
      <c r="G907">
        <v>2</v>
      </c>
      <c r="H907">
        <v>73.47</v>
      </c>
    </row>
    <row r="908" spans="1:8" s="40" customFormat="1" x14ac:dyDescent="0.3">
      <c r="A908" s="41" t="s">
        <v>976</v>
      </c>
      <c r="B908" s="40">
        <f>D907*E908+G907*H908+J907*K908</f>
        <v>1420.2592029999998</v>
      </c>
      <c r="E908" s="40">
        <v>106.11004834999999</v>
      </c>
      <c r="H908" s="40">
        <v>73.469311399999995</v>
      </c>
    </row>
    <row r="909" spans="1:8" x14ac:dyDescent="0.3">
      <c r="A909" t="s">
        <v>856</v>
      </c>
      <c r="B909">
        <v>1762.99</v>
      </c>
      <c r="C909" t="s">
        <v>33</v>
      </c>
      <c r="D909">
        <v>12</v>
      </c>
      <c r="E909">
        <v>122.44</v>
      </c>
      <c r="F909" t="s">
        <v>79</v>
      </c>
      <c r="G909">
        <v>2</v>
      </c>
      <c r="H909">
        <v>146.87</v>
      </c>
    </row>
    <row r="910" spans="1:8" s="40" customFormat="1" x14ac:dyDescent="0.3">
      <c r="A910" s="41" t="s">
        <v>976</v>
      </c>
      <c r="B910" s="40">
        <f>D909*E910+G909*H910+J909*K910</f>
        <v>1762.9903397</v>
      </c>
      <c r="E910" s="40">
        <v>122.43752325000001</v>
      </c>
      <c r="H910" s="40">
        <v>146.87003034999998</v>
      </c>
    </row>
    <row r="911" spans="1:8" x14ac:dyDescent="0.3">
      <c r="A911" t="s">
        <v>857</v>
      </c>
      <c r="B911">
        <v>1762.99</v>
      </c>
      <c r="C911" t="s">
        <v>33</v>
      </c>
      <c r="D911">
        <v>12</v>
      </c>
      <c r="E911">
        <v>122.44</v>
      </c>
      <c r="F911" t="s">
        <v>79</v>
      </c>
      <c r="G911">
        <v>2</v>
      </c>
      <c r="H911">
        <v>146.87</v>
      </c>
    </row>
    <row r="912" spans="1:8" s="40" customFormat="1" x14ac:dyDescent="0.3">
      <c r="A912" s="41" t="s">
        <v>976</v>
      </c>
      <c r="B912" s="40">
        <f>D911*E912+G911*H912+J911*K912</f>
        <v>1762.9903397</v>
      </c>
      <c r="E912" s="40">
        <v>122.43752325000001</v>
      </c>
      <c r="H912" s="40">
        <v>146.87003034999998</v>
      </c>
    </row>
    <row r="913" spans="1:8" x14ac:dyDescent="0.3">
      <c r="A913" t="s">
        <v>858</v>
      </c>
      <c r="B913">
        <v>1762.99</v>
      </c>
      <c r="C913" t="s">
        <v>33</v>
      </c>
      <c r="D913">
        <v>12</v>
      </c>
      <c r="E913">
        <v>122.44</v>
      </c>
      <c r="F913" t="s">
        <v>79</v>
      </c>
      <c r="G913">
        <v>2</v>
      </c>
      <c r="H913">
        <v>146.87</v>
      </c>
    </row>
    <row r="914" spans="1:8" s="40" customFormat="1" x14ac:dyDescent="0.3">
      <c r="A914" s="41" t="s">
        <v>976</v>
      </c>
      <c r="B914" s="40">
        <f>D913*E914+G913*H914+J913*K914</f>
        <v>1762.9903397</v>
      </c>
      <c r="E914" s="40">
        <v>122.43752325000001</v>
      </c>
      <c r="H914" s="40">
        <v>146.87003034999998</v>
      </c>
    </row>
    <row r="915" spans="1:8" x14ac:dyDescent="0.3">
      <c r="A915" t="s">
        <v>859</v>
      </c>
      <c r="B915">
        <v>1958.88</v>
      </c>
      <c r="C915" t="s">
        <v>35</v>
      </c>
      <c r="D915">
        <v>12</v>
      </c>
      <c r="E915">
        <v>138.76</v>
      </c>
      <c r="F915" t="s">
        <v>79</v>
      </c>
      <c r="G915">
        <v>2</v>
      </c>
      <c r="H915">
        <v>146.87</v>
      </c>
    </row>
    <row r="916" spans="1:8" s="40" customFormat="1" x14ac:dyDescent="0.3">
      <c r="A916" s="41" t="s">
        <v>976</v>
      </c>
      <c r="B916" s="40">
        <f>D915*E916+G915*H916+J915*K916</f>
        <v>1958.8755461000001</v>
      </c>
      <c r="E916" s="40">
        <v>138.76129045000002</v>
      </c>
      <c r="H916" s="40">
        <v>146.87003034999998</v>
      </c>
    </row>
    <row r="917" spans="1:8" x14ac:dyDescent="0.3">
      <c r="A917" t="s">
        <v>860</v>
      </c>
      <c r="B917">
        <v>881.55</v>
      </c>
      <c r="C917" t="s">
        <v>39</v>
      </c>
      <c r="D917">
        <v>12</v>
      </c>
      <c r="E917">
        <v>61.22</v>
      </c>
      <c r="F917" t="s">
        <v>72</v>
      </c>
      <c r="G917">
        <v>2</v>
      </c>
      <c r="H917">
        <v>73.47</v>
      </c>
    </row>
    <row r="918" spans="1:8" s="40" customFormat="1" x14ac:dyDescent="0.3">
      <c r="A918" s="41" t="s">
        <v>976</v>
      </c>
      <c r="B918" s="40">
        <f>D917*E918+G917*H918+J917*K918</f>
        <v>881.54522379999992</v>
      </c>
      <c r="E918" s="40">
        <v>61.217216749999992</v>
      </c>
      <c r="H918" s="40">
        <v>73.469311399999995</v>
      </c>
    </row>
    <row r="919" spans="1:8" x14ac:dyDescent="0.3">
      <c r="A919" t="s">
        <v>862</v>
      </c>
      <c r="B919">
        <v>1322.29</v>
      </c>
      <c r="C919" t="s">
        <v>43</v>
      </c>
      <c r="D919">
        <v>12</v>
      </c>
      <c r="E919">
        <v>97.95</v>
      </c>
      <c r="F919" t="s">
        <v>74</v>
      </c>
      <c r="G919">
        <v>2</v>
      </c>
      <c r="H919">
        <v>73.47</v>
      </c>
    </row>
    <row r="920" spans="1:8" s="40" customFormat="1" x14ac:dyDescent="0.3">
      <c r="A920" s="41" t="s">
        <v>976</v>
      </c>
      <c r="B920" s="40">
        <f>D919*E920+G919*H920+J919*K920</f>
        <v>1322.2943536</v>
      </c>
      <c r="E920" s="40">
        <v>97.946310899999986</v>
      </c>
      <c r="H920" s="40">
        <v>73.469311399999995</v>
      </c>
    </row>
    <row r="921" spans="1:8" x14ac:dyDescent="0.3">
      <c r="A921" t="s">
        <v>861</v>
      </c>
      <c r="B921">
        <v>1322.29</v>
      </c>
      <c r="C921" t="s">
        <v>43</v>
      </c>
      <c r="D921">
        <v>12</v>
      </c>
      <c r="E921">
        <v>97.95</v>
      </c>
      <c r="F921" t="s">
        <v>74</v>
      </c>
      <c r="G921">
        <v>2</v>
      </c>
      <c r="H921">
        <v>73.47</v>
      </c>
    </row>
    <row r="922" spans="1:8" s="40" customFormat="1" x14ac:dyDescent="0.3">
      <c r="A922" s="41" t="s">
        <v>976</v>
      </c>
      <c r="B922" s="40">
        <f>D921*E922+G921*H922+J921*K922</f>
        <v>1322.2943536</v>
      </c>
      <c r="E922" s="40">
        <v>97.946310899999986</v>
      </c>
      <c r="H922" s="40">
        <v>73.469311399999995</v>
      </c>
    </row>
    <row r="923" spans="1:8" x14ac:dyDescent="0.3">
      <c r="A923" t="s">
        <v>863</v>
      </c>
      <c r="B923">
        <v>881.55</v>
      </c>
      <c r="C923" t="s">
        <v>39</v>
      </c>
      <c r="D923">
        <v>12</v>
      </c>
      <c r="E923">
        <v>61.22</v>
      </c>
      <c r="F923" t="s">
        <v>72</v>
      </c>
      <c r="G923">
        <v>2</v>
      </c>
      <c r="H923">
        <v>73.47</v>
      </c>
    </row>
    <row r="924" spans="1:8" s="40" customFormat="1" x14ac:dyDescent="0.3">
      <c r="A924" s="41" t="s">
        <v>976</v>
      </c>
      <c r="B924" s="40">
        <f>D923*E924+G923*H924+J923*K924</f>
        <v>881.54522379999992</v>
      </c>
      <c r="E924" s="40">
        <v>61.217216749999992</v>
      </c>
      <c r="H924" s="40">
        <v>73.469311399999995</v>
      </c>
    </row>
    <row r="925" spans="1:8" x14ac:dyDescent="0.3">
      <c r="A925" t="s">
        <v>864</v>
      </c>
      <c r="B925">
        <v>1322.29</v>
      </c>
      <c r="C925" t="s">
        <v>43</v>
      </c>
      <c r="D925">
        <v>12</v>
      </c>
      <c r="E925">
        <v>97.95</v>
      </c>
      <c r="F925" t="s">
        <v>74</v>
      </c>
      <c r="G925">
        <v>2</v>
      </c>
      <c r="H925">
        <v>73.47</v>
      </c>
    </row>
    <row r="926" spans="1:8" s="40" customFormat="1" x14ac:dyDescent="0.3">
      <c r="A926" s="41" t="s">
        <v>976</v>
      </c>
      <c r="B926" s="40">
        <f>D925*E926+G925*H926+J925*K926</f>
        <v>1322.2943536</v>
      </c>
      <c r="E926" s="40">
        <v>97.946310899999986</v>
      </c>
      <c r="H926" s="40">
        <v>73.469311399999995</v>
      </c>
    </row>
    <row r="927" spans="1:8" x14ac:dyDescent="0.3">
      <c r="A927" t="s">
        <v>865</v>
      </c>
      <c r="B927">
        <v>1322.29</v>
      </c>
      <c r="C927" t="s">
        <v>43</v>
      </c>
      <c r="D927">
        <v>12</v>
      </c>
      <c r="E927">
        <v>97.95</v>
      </c>
      <c r="F927" t="s">
        <v>74</v>
      </c>
      <c r="G927">
        <v>2</v>
      </c>
      <c r="H927">
        <v>73.47</v>
      </c>
    </row>
    <row r="928" spans="1:8" s="40" customFormat="1" x14ac:dyDescent="0.3">
      <c r="A928" s="41" t="s">
        <v>976</v>
      </c>
      <c r="B928" s="40">
        <f>D927*E928+G927*H928+J927*K928</f>
        <v>1322.2943536</v>
      </c>
      <c r="E928" s="40">
        <v>97.946310899999986</v>
      </c>
      <c r="H928" s="40">
        <v>73.469311399999995</v>
      </c>
    </row>
    <row r="929" spans="1:8" x14ac:dyDescent="0.3">
      <c r="A929" t="s">
        <v>963</v>
      </c>
      <c r="B929">
        <v>1322.29</v>
      </c>
      <c r="C929" t="s">
        <v>43</v>
      </c>
      <c r="D929">
        <v>12</v>
      </c>
      <c r="E929">
        <v>97.95</v>
      </c>
      <c r="F929" t="s">
        <v>74</v>
      </c>
      <c r="G929">
        <v>2</v>
      </c>
      <c r="H929">
        <v>73.47</v>
      </c>
    </row>
    <row r="930" spans="1:8" s="40" customFormat="1" x14ac:dyDescent="0.3">
      <c r="A930" s="41" t="s">
        <v>976</v>
      </c>
      <c r="B930" s="40">
        <f>D929*E930+G929*H930+J929*K930</f>
        <v>1322.2943536</v>
      </c>
      <c r="E930" s="40">
        <v>97.946310899999986</v>
      </c>
      <c r="H930" s="40">
        <v>73.469311399999995</v>
      </c>
    </row>
    <row r="931" spans="1:8" x14ac:dyDescent="0.3">
      <c r="A931" t="s">
        <v>866</v>
      </c>
      <c r="B931">
        <v>1322.29</v>
      </c>
      <c r="C931" t="s">
        <v>43</v>
      </c>
      <c r="D931">
        <v>12</v>
      </c>
      <c r="E931">
        <v>97.95</v>
      </c>
      <c r="F931" t="s">
        <v>74</v>
      </c>
      <c r="G931">
        <v>2</v>
      </c>
      <c r="H931">
        <v>73.47</v>
      </c>
    </row>
    <row r="932" spans="1:8" s="40" customFormat="1" x14ac:dyDescent="0.3">
      <c r="A932" s="41" t="s">
        <v>976</v>
      </c>
      <c r="B932" s="40">
        <f>D931*E932+G931*H932+J931*K932</f>
        <v>1322.2943536</v>
      </c>
      <c r="E932" s="40">
        <v>97.946310899999986</v>
      </c>
      <c r="H932" s="40">
        <v>73.469311399999995</v>
      </c>
    </row>
    <row r="933" spans="1:8" x14ac:dyDescent="0.3">
      <c r="A933" t="s">
        <v>867</v>
      </c>
      <c r="B933">
        <v>2252.73</v>
      </c>
      <c r="C933" t="s">
        <v>47</v>
      </c>
      <c r="D933">
        <v>12</v>
      </c>
      <c r="E933">
        <v>163.25</v>
      </c>
      <c r="F933" t="s">
        <v>79</v>
      </c>
      <c r="G933">
        <v>2</v>
      </c>
      <c r="H933">
        <v>146.87</v>
      </c>
    </row>
    <row r="934" spans="1:8" s="40" customFormat="1" x14ac:dyDescent="0.3">
      <c r="A934" s="41" t="s">
        <v>976</v>
      </c>
      <c r="B934" s="40">
        <f>D933*E934+G933*H934+J933*K934</f>
        <v>2252.7256018999997</v>
      </c>
      <c r="E934" s="40">
        <v>163.2487951</v>
      </c>
      <c r="H934" s="40">
        <v>146.87003034999998</v>
      </c>
    </row>
    <row r="935" spans="1:8" x14ac:dyDescent="0.3">
      <c r="A935" t="s">
        <v>869</v>
      </c>
      <c r="B935">
        <v>603.88</v>
      </c>
      <c r="C935" t="s">
        <v>24</v>
      </c>
      <c r="D935">
        <v>12</v>
      </c>
      <c r="E935">
        <v>40.799999999999997</v>
      </c>
      <c r="F935" t="s">
        <v>87</v>
      </c>
      <c r="G935">
        <v>2</v>
      </c>
      <c r="H935">
        <v>57.14</v>
      </c>
    </row>
    <row r="936" spans="1:8" s="40" customFormat="1" x14ac:dyDescent="0.3">
      <c r="A936" s="41" t="s">
        <v>976</v>
      </c>
      <c r="B936" s="40">
        <f>D935*E936+G935*H936+J935*K936</f>
        <v>603.87927849999994</v>
      </c>
      <c r="E936" s="40">
        <v>40.800766699999997</v>
      </c>
      <c r="H936" s="40">
        <v>57.135039049999996</v>
      </c>
    </row>
    <row r="937" spans="1:8" x14ac:dyDescent="0.3">
      <c r="A937" t="s">
        <v>868</v>
      </c>
      <c r="B937">
        <v>799.89</v>
      </c>
      <c r="C937" t="s">
        <v>27</v>
      </c>
      <c r="D937">
        <v>12</v>
      </c>
      <c r="E937">
        <v>57.14</v>
      </c>
      <c r="F937" t="s">
        <v>87</v>
      </c>
      <c r="G937">
        <v>2</v>
      </c>
      <c r="H937">
        <v>57.14</v>
      </c>
    </row>
    <row r="938" spans="1:8" s="40" customFormat="1" x14ac:dyDescent="0.3">
      <c r="A938" s="41" t="s">
        <v>976</v>
      </c>
      <c r="B938" s="40">
        <f>D937*E938+G937*H938+J937*K938</f>
        <v>799.89054669999996</v>
      </c>
      <c r="E938" s="40">
        <v>57.135039049999996</v>
      </c>
      <c r="H938" s="40">
        <v>57.135039049999996</v>
      </c>
    </row>
    <row r="939" spans="1:8" x14ac:dyDescent="0.3">
      <c r="A939" t="s">
        <v>870</v>
      </c>
      <c r="B939">
        <v>995.9</v>
      </c>
      <c r="C939" t="s">
        <v>29</v>
      </c>
      <c r="D939">
        <v>12</v>
      </c>
      <c r="E939">
        <v>73.47</v>
      </c>
      <c r="F939" t="s">
        <v>89</v>
      </c>
      <c r="G939">
        <v>2</v>
      </c>
      <c r="H939">
        <v>57.14</v>
      </c>
    </row>
    <row r="940" spans="1:8" s="40" customFormat="1" x14ac:dyDescent="0.3">
      <c r="A940" s="41" t="s">
        <v>976</v>
      </c>
      <c r="B940" s="40">
        <f>D939*E940+G939*H940+J939*K940</f>
        <v>995.90181489999998</v>
      </c>
      <c r="E940" s="40">
        <v>73.469311399999995</v>
      </c>
      <c r="H940" s="40">
        <v>57.135039049999996</v>
      </c>
    </row>
    <row r="941" spans="1:8" x14ac:dyDescent="0.3">
      <c r="A941" t="s">
        <v>871</v>
      </c>
      <c r="B941">
        <v>1191.9100000000001</v>
      </c>
      <c r="C941" t="s">
        <v>31</v>
      </c>
      <c r="D941">
        <v>12</v>
      </c>
      <c r="E941">
        <v>89.8</v>
      </c>
      <c r="F941" t="s">
        <v>89</v>
      </c>
      <c r="G941">
        <v>2</v>
      </c>
      <c r="H941">
        <v>57.14</v>
      </c>
    </row>
    <row r="942" spans="1:8" s="40" customFormat="1" x14ac:dyDescent="0.3">
      <c r="A942" s="41" t="s">
        <v>976</v>
      </c>
      <c r="B942" s="40">
        <f>D941*E942+G941*H942+J941*K942</f>
        <v>1191.9056677000001</v>
      </c>
      <c r="E942" s="40">
        <v>89.802965799999996</v>
      </c>
      <c r="H942" s="40">
        <v>57.135039049999996</v>
      </c>
    </row>
    <row r="943" spans="1:8" x14ac:dyDescent="0.3">
      <c r="A943" t="s">
        <v>873</v>
      </c>
      <c r="B943">
        <v>1387.59</v>
      </c>
      <c r="C943" t="s">
        <v>69</v>
      </c>
      <c r="D943">
        <v>12</v>
      </c>
      <c r="E943">
        <v>106.11</v>
      </c>
      <c r="F943" t="s">
        <v>89</v>
      </c>
      <c r="G943">
        <v>2</v>
      </c>
      <c r="H943">
        <v>57.14</v>
      </c>
    </row>
    <row r="944" spans="1:8" s="40" customFormat="1" x14ac:dyDescent="0.3">
      <c r="A944" s="41" t="s">
        <v>976</v>
      </c>
      <c r="B944" s="40">
        <f>D943*E944+G943*H944+J943*K944</f>
        <v>1387.5906582999999</v>
      </c>
      <c r="E944" s="40">
        <v>106.11004834999999</v>
      </c>
      <c r="H944" s="40">
        <v>57.135039049999996</v>
      </c>
    </row>
    <row r="945" spans="1:8" x14ac:dyDescent="0.3">
      <c r="A945" t="s">
        <v>872</v>
      </c>
      <c r="B945">
        <v>1191.9100000000001</v>
      </c>
      <c r="C945" t="s">
        <v>31</v>
      </c>
      <c r="D945">
        <v>12</v>
      </c>
      <c r="E945">
        <v>89.8</v>
      </c>
      <c r="F945" t="s">
        <v>89</v>
      </c>
      <c r="G945">
        <v>2</v>
      </c>
      <c r="H945">
        <v>57.14</v>
      </c>
    </row>
    <row r="946" spans="1:8" s="40" customFormat="1" x14ac:dyDescent="0.3">
      <c r="A946" s="41" t="s">
        <v>976</v>
      </c>
      <c r="B946" s="40">
        <f>D945*E946+G945*H946+J945*K946</f>
        <v>1191.9056677000001</v>
      </c>
      <c r="E946" s="40">
        <v>89.802965799999996</v>
      </c>
      <c r="H946" s="40">
        <v>57.135039049999996</v>
      </c>
    </row>
    <row r="947" spans="1:8" x14ac:dyDescent="0.3">
      <c r="A947" t="s">
        <v>874</v>
      </c>
      <c r="B947">
        <v>685.62</v>
      </c>
      <c r="C947" t="s">
        <v>27</v>
      </c>
      <c r="D947">
        <v>12</v>
      </c>
      <c r="E947">
        <v>57.14</v>
      </c>
    </row>
    <row r="948" spans="1:8" s="40" customFormat="1" x14ac:dyDescent="0.3">
      <c r="A948" s="41" t="s">
        <v>976</v>
      </c>
      <c r="B948" s="40">
        <f>D947*E948+G947*H948+J947*K948</f>
        <v>685.62046859999998</v>
      </c>
      <c r="E948" s="40">
        <v>57.135039049999996</v>
      </c>
    </row>
    <row r="949" spans="1:8" x14ac:dyDescent="0.3">
      <c r="A949" t="s">
        <v>875</v>
      </c>
      <c r="B949">
        <v>881.63</v>
      </c>
      <c r="C949" t="s">
        <v>65</v>
      </c>
      <c r="D949">
        <v>12</v>
      </c>
      <c r="E949">
        <v>73.47</v>
      </c>
    </row>
    <row r="950" spans="1:8" s="40" customFormat="1" x14ac:dyDescent="0.3">
      <c r="A950" s="41" t="s">
        <v>976</v>
      </c>
      <c r="B950" s="40">
        <f>D949*E950+G949*H950+J949*K950</f>
        <v>881.6317368</v>
      </c>
      <c r="E950" s="40">
        <v>73.469311399999995</v>
      </c>
    </row>
    <row r="951" spans="1:8" x14ac:dyDescent="0.3">
      <c r="A951" t="s">
        <v>965</v>
      </c>
      <c r="B951">
        <v>685.62</v>
      </c>
      <c r="C951" t="s">
        <v>27</v>
      </c>
      <c r="D951">
        <v>12</v>
      </c>
      <c r="E951">
        <v>57.14</v>
      </c>
    </row>
    <row r="952" spans="1:8" s="40" customFormat="1" x14ac:dyDescent="0.3">
      <c r="A952" s="41" t="s">
        <v>976</v>
      </c>
      <c r="B952" s="40">
        <f>D951*E952+G951*H952+J951*K952</f>
        <v>685.62046859999998</v>
      </c>
      <c r="E952" s="40">
        <v>57.135039049999996</v>
      </c>
    </row>
    <row r="953" spans="1:8" x14ac:dyDescent="0.3">
      <c r="A953" t="s">
        <v>876</v>
      </c>
      <c r="B953">
        <v>685.62</v>
      </c>
      <c r="C953" t="s">
        <v>27</v>
      </c>
      <c r="D953">
        <v>12</v>
      </c>
      <c r="E953">
        <v>57.14</v>
      </c>
    </row>
    <row r="954" spans="1:8" s="40" customFormat="1" x14ac:dyDescent="0.3">
      <c r="A954" s="41" t="s">
        <v>976</v>
      </c>
      <c r="B954" s="40">
        <f>D953*E954+G953*H954+J953*K954</f>
        <v>685.62046859999998</v>
      </c>
      <c r="E954" s="40">
        <v>57.135039049999996</v>
      </c>
    </row>
    <row r="955" spans="1:8" x14ac:dyDescent="0.3">
      <c r="A955" t="s">
        <v>877</v>
      </c>
      <c r="B955">
        <v>881.63</v>
      </c>
      <c r="C955" t="s">
        <v>29</v>
      </c>
      <c r="D955">
        <v>12</v>
      </c>
      <c r="E955">
        <v>73.47</v>
      </c>
    </row>
    <row r="956" spans="1:8" s="40" customFormat="1" x14ac:dyDescent="0.3">
      <c r="A956" s="41" t="s">
        <v>976</v>
      </c>
      <c r="B956" s="40">
        <f>D955*E956+G955*H956+J955*K956</f>
        <v>881.6317368</v>
      </c>
      <c r="E956" s="40">
        <v>73.469311399999995</v>
      </c>
    </row>
    <row r="957" spans="1:8" x14ac:dyDescent="0.3">
      <c r="A957" t="s">
        <v>878</v>
      </c>
      <c r="B957">
        <v>1077.6400000000001</v>
      </c>
      <c r="C957" t="s">
        <v>31</v>
      </c>
      <c r="D957">
        <v>12</v>
      </c>
      <c r="E957">
        <v>89.8</v>
      </c>
    </row>
    <row r="958" spans="1:8" s="40" customFormat="1" x14ac:dyDescent="0.3">
      <c r="A958" s="41" t="s">
        <v>976</v>
      </c>
      <c r="B958" s="40">
        <f>D957*E958+G957*H958+J957*K958</f>
        <v>1077.6355896</v>
      </c>
      <c r="E958" s="40">
        <v>89.802965799999996</v>
      </c>
    </row>
    <row r="959" spans="1:8" x14ac:dyDescent="0.3">
      <c r="A959" t="s">
        <v>879</v>
      </c>
      <c r="B959">
        <v>1273.32</v>
      </c>
      <c r="C959" t="s">
        <v>69</v>
      </c>
      <c r="D959">
        <v>12</v>
      </c>
      <c r="E959">
        <v>106.11</v>
      </c>
    </row>
    <row r="960" spans="1:8" s="40" customFormat="1" x14ac:dyDescent="0.3">
      <c r="A960" s="41" t="s">
        <v>976</v>
      </c>
      <c r="B960" s="40">
        <f>D959*E960+G959*H960+J959*K960</f>
        <v>1273.3205801999998</v>
      </c>
      <c r="E960" s="40">
        <v>106.11004834999999</v>
      </c>
    </row>
    <row r="961" spans="1:11" x14ac:dyDescent="0.3">
      <c r="A961" t="s">
        <v>880</v>
      </c>
      <c r="B961">
        <v>767.22</v>
      </c>
      <c r="C961" t="s">
        <v>27</v>
      </c>
      <c r="D961">
        <v>12</v>
      </c>
      <c r="E961">
        <v>57.14</v>
      </c>
      <c r="F961" t="s">
        <v>99</v>
      </c>
      <c r="G961">
        <v>2</v>
      </c>
      <c r="H961">
        <v>40.799999999999997</v>
      </c>
    </row>
    <row r="962" spans="1:11" s="40" customFormat="1" x14ac:dyDescent="0.3">
      <c r="A962" s="41" t="s">
        <v>976</v>
      </c>
      <c r="B962" s="40">
        <f>D961*E962+G961*H962+J961*K962</f>
        <v>767.2225074831</v>
      </c>
      <c r="E962" s="40">
        <v>57.135039049999996</v>
      </c>
      <c r="H962" s="40">
        <v>40.80101944154999</v>
      </c>
    </row>
    <row r="963" spans="1:11" x14ac:dyDescent="0.3">
      <c r="A963" t="s">
        <v>881</v>
      </c>
      <c r="B963">
        <v>1159.24</v>
      </c>
      <c r="C963" t="s">
        <v>31</v>
      </c>
      <c r="D963">
        <v>12</v>
      </c>
      <c r="E963">
        <v>89.8</v>
      </c>
      <c r="F963" t="s">
        <v>99</v>
      </c>
      <c r="G963">
        <v>2</v>
      </c>
      <c r="H963">
        <v>40.799999999999997</v>
      </c>
    </row>
    <row r="964" spans="1:11" s="40" customFormat="1" x14ac:dyDescent="0.3">
      <c r="A964" s="41" t="s">
        <v>976</v>
      </c>
      <c r="B964" s="40">
        <f>D963*E964+G963*H964+J963*K964</f>
        <v>1159.2376284831</v>
      </c>
      <c r="E964" s="40">
        <v>89.802965799999996</v>
      </c>
      <c r="H964" s="40">
        <v>40.80101944154999</v>
      </c>
    </row>
    <row r="965" spans="1:11" x14ac:dyDescent="0.3">
      <c r="A965" t="s">
        <v>883</v>
      </c>
      <c r="B965">
        <v>1616.05</v>
      </c>
      <c r="C965" t="s">
        <v>31</v>
      </c>
      <c r="D965">
        <v>12</v>
      </c>
      <c r="E965">
        <v>89.8</v>
      </c>
      <c r="F965" t="s">
        <v>110</v>
      </c>
      <c r="G965">
        <v>2</v>
      </c>
      <c r="H965">
        <v>97.94</v>
      </c>
      <c r="I965" t="s">
        <v>137</v>
      </c>
      <c r="J965">
        <v>14</v>
      </c>
      <c r="K965">
        <v>24.47</v>
      </c>
    </row>
    <row r="966" spans="1:11" s="40" customFormat="1" x14ac:dyDescent="0.3">
      <c r="A966" s="41" t="s">
        <v>976</v>
      </c>
      <c r="B966" s="40">
        <f>D965*E966+G965*H966+J965*K966</f>
        <v>1616.0450220296998</v>
      </c>
      <c r="E966" s="40">
        <v>89.802965799999996</v>
      </c>
      <c r="H966" s="40">
        <v>97.936115342949989</v>
      </c>
      <c r="K966" s="40">
        <v>24.466942981699997</v>
      </c>
    </row>
    <row r="967" spans="1:11" x14ac:dyDescent="0.3">
      <c r="A967" t="s">
        <v>882</v>
      </c>
      <c r="B967">
        <v>1616.05</v>
      </c>
      <c r="C967" t="s">
        <v>31</v>
      </c>
      <c r="D967">
        <v>12</v>
      </c>
      <c r="E967">
        <v>89.8</v>
      </c>
      <c r="F967" t="s">
        <v>110</v>
      </c>
      <c r="G967">
        <v>2</v>
      </c>
      <c r="H967">
        <v>97.94</v>
      </c>
      <c r="I967" t="s">
        <v>137</v>
      </c>
      <c r="J967">
        <v>14</v>
      </c>
      <c r="K967">
        <v>24.47</v>
      </c>
    </row>
    <row r="968" spans="1:11" s="40" customFormat="1" x14ac:dyDescent="0.3">
      <c r="A968" s="41" t="s">
        <v>976</v>
      </c>
      <c r="B968" s="40">
        <f>D967*E968+G967*H968+J967*K968</f>
        <v>1616.0450220296998</v>
      </c>
      <c r="E968" s="40">
        <v>89.802965799999996</v>
      </c>
      <c r="H968" s="40">
        <v>97.936115342949989</v>
      </c>
      <c r="K968" s="40">
        <v>24.466942981699997</v>
      </c>
    </row>
    <row r="969" spans="1:11" x14ac:dyDescent="0.3">
      <c r="A969" t="s">
        <v>884</v>
      </c>
      <c r="B969">
        <v>1452.91</v>
      </c>
      <c r="C969" t="s">
        <v>53</v>
      </c>
      <c r="D969">
        <v>10</v>
      </c>
      <c r="E969">
        <v>130.6</v>
      </c>
      <c r="F969" t="s">
        <v>81</v>
      </c>
      <c r="G969">
        <v>2</v>
      </c>
      <c r="H969">
        <v>73.47</v>
      </c>
    </row>
    <row r="970" spans="1:11" s="40" customFormat="1" x14ac:dyDescent="0.3">
      <c r="A970" s="41" t="s">
        <v>976</v>
      </c>
      <c r="B970" s="40">
        <f>D969*E970+G969*H970+J969*K970</f>
        <v>1452.9141528000002</v>
      </c>
      <c r="E970" s="40">
        <v>130.597553</v>
      </c>
      <c r="H970" s="40">
        <v>73.469311399999995</v>
      </c>
    </row>
    <row r="971" spans="1:11" x14ac:dyDescent="0.3">
      <c r="A971" t="s">
        <v>967</v>
      </c>
      <c r="B971">
        <v>554.95000000000005</v>
      </c>
      <c r="C971" t="s">
        <v>24</v>
      </c>
      <c r="D971">
        <v>10</v>
      </c>
      <c r="E971">
        <v>40.799999999999997</v>
      </c>
      <c r="F971" t="s">
        <v>72</v>
      </c>
      <c r="G971">
        <v>2</v>
      </c>
      <c r="H971">
        <v>73.47</v>
      </c>
    </row>
    <row r="972" spans="1:11" s="40" customFormat="1" x14ac:dyDescent="0.3">
      <c r="A972" s="41" t="s">
        <v>976</v>
      </c>
      <c r="B972" s="40">
        <f>D971*E972+G971*H972+J971*K972</f>
        <v>554.94628979999993</v>
      </c>
      <c r="E972" s="40">
        <v>40.800766699999997</v>
      </c>
      <c r="H972" s="40">
        <v>73.469311399999995</v>
      </c>
    </row>
    <row r="973" spans="1:11" x14ac:dyDescent="0.3">
      <c r="A973" t="s">
        <v>885</v>
      </c>
      <c r="B973">
        <v>1811.73</v>
      </c>
      <c r="C973" t="s">
        <v>69</v>
      </c>
      <c r="D973">
        <v>12</v>
      </c>
      <c r="E973">
        <v>106.11</v>
      </c>
      <c r="F973" t="s">
        <v>110</v>
      </c>
      <c r="G973">
        <v>2</v>
      </c>
      <c r="H973">
        <v>97.94</v>
      </c>
      <c r="I973" t="s">
        <v>137</v>
      </c>
      <c r="J973">
        <v>14</v>
      </c>
      <c r="K973">
        <v>24.47</v>
      </c>
    </row>
    <row r="974" spans="1:11" s="40" customFormat="1" x14ac:dyDescent="0.3">
      <c r="A974" s="41" t="s">
        <v>976</v>
      </c>
      <c r="B974" s="40">
        <f>D973*E974+G973*H974+J973*K974</f>
        <v>1811.7300126296996</v>
      </c>
      <c r="E974" s="40">
        <v>106.11004834999999</v>
      </c>
      <c r="H974" s="40">
        <v>97.936115342949989</v>
      </c>
      <c r="K974" s="40">
        <v>24.466942981699997</v>
      </c>
    </row>
    <row r="975" spans="1:11" x14ac:dyDescent="0.3">
      <c r="A975" t="s">
        <v>886</v>
      </c>
      <c r="B975">
        <v>718.29</v>
      </c>
      <c r="C975" t="s">
        <v>27</v>
      </c>
      <c r="D975">
        <v>10</v>
      </c>
      <c r="E975">
        <v>57.14</v>
      </c>
      <c r="F975" t="s">
        <v>72</v>
      </c>
      <c r="G975">
        <v>2</v>
      </c>
      <c r="H975">
        <v>73.47</v>
      </c>
    </row>
    <row r="976" spans="1:11" s="40" customFormat="1" x14ac:dyDescent="0.3">
      <c r="A976" s="41" t="s">
        <v>976</v>
      </c>
      <c r="B976" s="40">
        <f>D975*E976+G975*H976+J975*K976</f>
        <v>718.28901329999997</v>
      </c>
      <c r="E976" s="40">
        <v>57.135039049999996</v>
      </c>
      <c r="H976" s="40">
        <v>73.469311399999995</v>
      </c>
    </row>
    <row r="977" spans="1:8" x14ac:dyDescent="0.3">
      <c r="A977" t="s">
        <v>887</v>
      </c>
      <c r="B977">
        <v>718.29</v>
      </c>
      <c r="C977" t="s">
        <v>27</v>
      </c>
      <c r="D977">
        <v>10</v>
      </c>
      <c r="E977">
        <v>57.14</v>
      </c>
      <c r="F977" t="s">
        <v>72</v>
      </c>
      <c r="G977">
        <v>2</v>
      </c>
      <c r="H977">
        <v>73.47</v>
      </c>
    </row>
    <row r="978" spans="1:8" s="40" customFormat="1" x14ac:dyDescent="0.3">
      <c r="A978" s="41" t="s">
        <v>976</v>
      </c>
      <c r="B978" s="40">
        <f>D977*E978+G977*H978+J977*K978</f>
        <v>718.28901329999997</v>
      </c>
      <c r="E978" s="40">
        <v>57.135039049999996</v>
      </c>
      <c r="H978" s="40">
        <v>73.469311399999995</v>
      </c>
    </row>
    <row r="979" spans="1:8" x14ac:dyDescent="0.3">
      <c r="A979" t="s">
        <v>889</v>
      </c>
      <c r="B979">
        <v>718.29</v>
      </c>
      <c r="C979" t="s">
        <v>27</v>
      </c>
      <c r="D979">
        <v>10</v>
      </c>
      <c r="E979">
        <v>57.14</v>
      </c>
      <c r="F979" t="s">
        <v>72</v>
      </c>
      <c r="G979">
        <v>2</v>
      </c>
      <c r="H979">
        <v>73.47</v>
      </c>
    </row>
    <row r="980" spans="1:8" s="40" customFormat="1" x14ac:dyDescent="0.3">
      <c r="A980" s="41" t="s">
        <v>976</v>
      </c>
      <c r="B980" s="40">
        <f>D979*E980+G979*H980+J979*K980</f>
        <v>718.28901329999997</v>
      </c>
      <c r="E980" s="40">
        <v>57.135039049999996</v>
      </c>
      <c r="H980" s="40">
        <v>73.469311399999995</v>
      </c>
    </row>
    <row r="981" spans="1:8" x14ac:dyDescent="0.3">
      <c r="A981" t="s">
        <v>888</v>
      </c>
      <c r="B981">
        <v>718.29</v>
      </c>
      <c r="C981" t="s">
        <v>27</v>
      </c>
      <c r="D981">
        <v>10</v>
      </c>
      <c r="E981">
        <v>57.14</v>
      </c>
      <c r="F981" t="s">
        <v>72</v>
      </c>
      <c r="G981">
        <v>2</v>
      </c>
      <c r="H981">
        <v>73.47</v>
      </c>
    </row>
    <row r="982" spans="1:8" s="40" customFormat="1" x14ac:dyDescent="0.3">
      <c r="A982" s="41" t="s">
        <v>976</v>
      </c>
      <c r="B982" s="40">
        <f>D981*E982+G981*H982+J981*K982</f>
        <v>718.28901329999997</v>
      </c>
      <c r="E982" s="40">
        <v>57.135039049999996</v>
      </c>
      <c r="H982" s="40">
        <v>73.469311399999995</v>
      </c>
    </row>
    <row r="983" spans="1:8" x14ac:dyDescent="0.3">
      <c r="A983" t="s">
        <v>891</v>
      </c>
      <c r="B983">
        <v>718.29</v>
      </c>
      <c r="C983" t="s">
        <v>27</v>
      </c>
      <c r="D983">
        <v>10</v>
      </c>
      <c r="E983">
        <v>57.14</v>
      </c>
      <c r="F983" t="s">
        <v>72</v>
      </c>
      <c r="G983">
        <v>2</v>
      </c>
      <c r="H983">
        <v>73.47</v>
      </c>
    </row>
    <row r="984" spans="1:8" s="40" customFormat="1" x14ac:dyDescent="0.3">
      <c r="A984" s="41" t="s">
        <v>976</v>
      </c>
      <c r="B984" s="40">
        <f>D983*E984+G983*H984+J983*K984</f>
        <v>718.28901329999997</v>
      </c>
      <c r="E984" s="40">
        <v>57.135039049999996</v>
      </c>
      <c r="H984" s="40">
        <v>73.469311399999995</v>
      </c>
    </row>
    <row r="985" spans="1:8" x14ac:dyDescent="0.3">
      <c r="A985" t="s">
        <v>892</v>
      </c>
      <c r="B985">
        <v>718.29</v>
      </c>
      <c r="C985" t="s">
        <v>27</v>
      </c>
      <c r="D985">
        <v>10</v>
      </c>
      <c r="E985">
        <v>57.14</v>
      </c>
      <c r="F985" t="s">
        <v>72</v>
      </c>
      <c r="G985">
        <v>2</v>
      </c>
      <c r="H985">
        <v>73.47</v>
      </c>
    </row>
    <row r="986" spans="1:8" s="40" customFormat="1" x14ac:dyDescent="0.3">
      <c r="A986" s="41" t="s">
        <v>976</v>
      </c>
      <c r="B986" s="40">
        <f>D985*E986+G985*H986+J985*K986</f>
        <v>718.28901329999997</v>
      </c>
      <c r="E986" s="40">
        <v>57.135039049999996</v>
      </c>
      <c r="H986" s="40">
        <v>73.469311399999995</v>
      </c>
    </row>
    <row r="987" spans="1:8" x14ac:dyDescent="0.3">
      <c r="A987" t="s">
        <v>894</v>
      </c>
      <c r="B987">
        <v>718.29</v>
      </c>
      <c r="C987" t="s">
        <v>27</v>
      </c>
      <c r="D987">
        <v>10</v>
      </c>
      <c r="E987">
        <v>57.14</v>
      </c>
      <c r="F987" t="s">
        <v>72</v>
      </c>
      <c r="G987">
        <v>2</v>
      </c>
      <c r="H987">
        <v>73.47</v>
      </c>
    </row>
    <row r="988" spans="1:8" s="40" customFormat="1" x14ac:dyDescent="0.3">
      <c r="A988" s="41" t="s">
        <v>976</v>
      </c>
      <c r="B988" s="40">
        <f>D987*E988+G987*H988+J987*K988</f>
        <v>718.28901329999997</v>
      </c>
      <c r="E988" s="40">
        <v>57.135039049999996</v>
      </c>
      <c r="H988" s="40">
        <v>73.469311399999995</v>
      </c>
    </row>
    <row r="989" spans="1:8" x14ac:dyDescent="0.3">
      <c r="A989" t="s">
        <v>893</v>
      </c>
      <c r="B989">
        <v>718.29</v>
      </c>
      <c r="C989" t="s">
        <v>27</v>
      </c>
      <c r="D989">
        <v>10</v>
      </c>
      <c r="E989">
        <v>57.14</v>
      </c>
      <c r="F989" t="s">
        <v>72</v>
      </c>
      <c r="G989">
        <v>2</v>
      </c>
      <c r="H989">
        <v>73.47</v>
      </c>
    </row>
    <row r="990" spans="1:8" s="40" customFormat="1" x14ac:dyDescent="0.3">
      <c r="A990" s="41" t="s">
        <v>976</v>
      </c>
      <c r="B990" s="40">
        <f>D989*E990+G989*H990+J989*K990</f>
        <v>718.28901329999997</v>
      </c>
      <c r="E990" s="40">
        <v>57.135039049999996</v>
      </c>
      <c r="H990" s="40">
        <v>73.469311399999995</v>
      </c>
    </row>
    <row r="991" spans="1:8" x14ac:dyDescent="0.3">
      <c r="A991" t="s">
        <v>895</v>
      </c>
      <c r="B991">
        <v>718.29</v>
      </c>
      <c r="C991" t="s">
        <v>27</v>
      </c>
      <c r="D991">
        <v>10</v>
      </c>
      <c r="E991">
        <v>57.14</v>
      </c>
      <c r="F991" t="s">
        <v>72</v>
      </c>
      <c r="G991">
        <v>2</v>
      </c>
      <c r="H991">
        <v>73.47</v>
      </c>
    </row>
    <row r="992" spans="1:8" s="40" customFormat="1" x14ac:dyDescent="0.3">
      <c r="A992" s="41" t="s">
        <v>976</v>
      </c>
      <c r="B992" s="40">
        <f>D991*E992+G991*H992+J991*K992</f>
        <v>718.28901329999997</v>
      </c>
      <c r="E992" s="40">
        <v>57.135039049999996</v>
      </c>
      <c r="H992" s="40">
        <v>73.469311399999995</v>
      </c>
    </row>
    <row r="993" spans="1:8" x14ac:dyDescent="0.3">
      <c r="A993" t="s">
        <v>896</v>
      </c>
      <c r="B993">
        <v>1044.97</v>
      </c>
      <c r="C993" t="s">
        <v>31</v>
      </c>
      <c r="D993">
        <v>10</v>
      </c>
      <c r="E993">
        <v>89.8</v>
      </c>
      <c r="F993" t="s">
        <v>74</v>
      </c>
      <c r="G993">
        <v>2</v>
      </c>
      <c r="H993">
        <v>73.47</v>
      </c>
    </row>
    <row r="994" spans="1:8" s="40" customFormat="1" x14ac:dyDescent="0.3">
      <c r="A994" s="41" t="s">
        <v>976</v>
      </c>
      <c r="B994" s="40">
        <f>D993*E994+G993*H994+J993*K994</f>
        <v>1044.9682808</v>
      </c>
      <c r="E994" s="40">
        <v>89.802965799999996</v>
      </c>
      <c r="H994" s="40">
        <v>73.469311399999995</v>
      </c>
    </row>
    <row r="995" spans="1:8" x14ac:dyDescent="0.3">
      <c r="A995" t="s">
        <v>898</v>
      </c>
      <c r="B995">
        <v>881.63</v>
      </c>
      <c r="C995" t="s">
        <v>29</v>
      </c>
      <c r="D995">
        <v>10</v>
      </c>
      <c r="E995">
        <v>73.47</v>
      </c>
      <c r="F995" t="s">
        <v>74</v>
      </c>
      <c r="G995">
        <v>2</v>
      </c>
      <c r="H995">
        <v>73.47</v>
      </c>
    </row>
    <row r="996" spans="1:8" s="40" customFormat="1" x14ac:dyDescent="0.3">
      <c r="A996" s="41" t="s">
        <v>976</v>
      </c>
      <c r="B996" s="40">
        <f>D995*E996+G995*H996+J995*K996</f>
        <v>881.63173679999989</v>
      </c>
      <c r="E996" s="40">
        <v>73.469311399999995</v>
      </c>
      <c r="H996" s="40">
        <v>73.469311399999995</v>
      </c>
    </row>
    <row r="997" spans="1:8" x14ac:dyDescent="0.3">
      <c r="A997" t="s">
        <v>897</v>
      </c>
      <c r="B997">
        <v>1208.04</v>
      </c>
      <c r="C997" t="s">
        <v>69</v>
      </c>
      <c r="D997">
        <v>10</v>
      </c>
      <c r="E997">
        <v>106.11</v>
      </c>
      <c r="F997" t="s">
        <v>74</v>
      </c>
      <c r="G997">
        <v>2</v>
      </c>
      <c r="H997">
        <v>73.47</v>
      </c>
    </row>
    <row r="998" spans="1:8" s="40" customFormat="1" x14ac:dyDescent="0.3">
      <c r="A998" s="41" t="s">
        <v>976</v>
      </c>
      <c r="B998" s="40">
        <f>D997*E998+G997*H998+J997*K998</f>
        <v>1208.0391063</v>
      </c>
      <c r="E998" s="40">
        <v>106.11004834999999</v>
      </c>
      <c r="H998" s="40">
        <v>73.469311399999995</v>
      </c>
    </row>
    <row r="999" spans="1:8" x14ac:dyDescent="0.3">
      <c r="A999" t="s">
        <v>899</v>
      </c>
      <c r="B999">
        <v>1044.97</v>
      </c>
      <c r="C999" t="s">
        <v>31</v>
      </c>
      <c r="D999">
        <v>10</v>
      </c>
      <c r="E999">
        <v>89.8</v>
      </c>
      <c r="F999" t="s">
        <v>74</v>
      </c>
      <c r="G999">
        <v>2</v>
      </c>
      <c r="H999">
        <v>73.47</v>
      </c>
    </row>
    <row r="1000" spans="1:8" s="40" customFormat="1" x14ac:dyDescent="0.3">
      <c r="A1000" s="41" t="s">
        <v>976</v>
      </c>
      <c r="B1000" s="40">
        <f>D999*E1000+G999*H1000+J999*K1000</f>
        <v>1044.9682808</v>
      </c>
      <c r="E1000" s="40">
        <v>89.802965799999996</v>
      </c>
      <c r="H1000" s="40">
        <v>73.469311399999995</v>
      </c>
    </row>
    <row r="1001" spans="1:8" x14ac:dyDescent="0.3">
      <c r="A1001" t="s">
        <v>900</v>
      </c>
      <c r="B1001">
        <v>1044.97</v>
      </c>
      <c r="C1001" t="s">
        <v>31</v>
      </c>
      <c r="D1001">
        <v>10</v>
      </c>
      <c r="E1001">
        <v>89.8</v>
      </c>
      <c r="F1001" t="s">
        <v>74</v>
      </c>
      <c r="G1001">
        <v>2</v>
      </c>
      <c r="H1001">
        <v>73.47</v>
      </c>
    </row>
    <row r="1002" spans="1:8" s="40" customFormat="1" x14ac:dyDescent="0.3">
      <c r="A1002" s="41" t="s">
        <v>976</v>
      </c>
      <c r="B1002" s="40">
        <f>D1001*E1002+G1001*H1002+J1001*K1002</f>
        <v>1044.9682808</v>
      </c>
      <c r="E1002" s="40">
        <v>89.802965799999996</v>
      </c>
      <c r="H1002" s="40">
        <v>73.469311399999995</v>
      </c>
    </row>
    <row r="1003" spans="1:8" x14ac:dyDescent="0.3">
      <c r="A1003" t="s">
        <v>901</v>
      </c>
      <c r="B1003">
        <v>1044.97</v>
      </c>
      <c r="C1003" t="s">
        <v>31</v>
      </c>
      <c r="D1003">
        <v>10</v>
      </c>
      <c r="E1003">
        <v>89.8</v>
      </c>
      <c r="F1003" t="s">
        <v>74</v>
      </c>
      <c r="G1003">
        <v>2</v>
      </c>
      <c r="H1003">
        <v>73.47</v>
      </c>
    </row>
    <row r="1004" spans="1:8" s="40" customFormat="1" x14ac:dyDescent="0.3">
      <c r="A1004" s="41" t="s">
        <v>976</v>
      </c>
      <c r="B1004" s="40">
        <f>D1003*E1004+G1003*H1004+J1003*K1004</f>
        <v>1044.9682808</v>
      </c>
      <c r="E1004" s="40">
        <v>89.802965799999996</v>
      </c>
      <c r="H1004" s="40">
        <v>73.469311399999995</v>
      </c>
    </row>
    <row r="1005" spans="1:8" x14ac:dyDescent="0.3">
      <c r="A1005" t="s">
        <v>902</v>
      </c>
      <c r="B1005">
        <v>1044.97</v>
      </c>
      <c r="C1005" t="s">
        <v>31</v>
      </c>
      <c r="D1005">
        <v>10</v>
      </c>
      <c r="E1005">
        <v>89.8</v>
      </c>
      <c r="F1005" t="s">
        <v>74</v>
      </c>
      <c r="G1005">
        <v>2</v>
      </c>
      <c r="H1005">
        <v>73.47</v>
      </c>
    </row>
    <row r="1006" spans="1:8" s="40" customFormat="1" x14ac:dyDescent="0.3">
      <c r="A1006" s="41" t="s">
        <v>976</v>
      </c>
      <c r="B1006" s="40">
        <f>D1005*E1006+G1005*H1006+J1005*K1006</f>
        <v>1044.9682808</v>
      </c>
      <c r="E1006" s="40">
        <v>89.802965799999996</v>
      </c>
      <c r="H1006" s="40">
        <v>73.469311399999995</v>
      </c>
    </row>
    <row r="1007" spans="1:8" x14ac:dyDescent="0.3">
      <c r="A1007" t="s">
        <v>903</v>
      </c>
      <c r="B1007">
        <v>1044.97</v>
      </c>
      <c r="C1007" t="s">
        <v>31</v>
      </c>
      <c r="D1007">
        <v>10</v>
      </c>
      <c r="E1007">
        <v>89.8</v>
      </c>
      <c r="F1007" t="s">
        <v>74</v>
      </c>
      <c r="G1007">
        <v>2</v>
      </c>
      <c r="H1007">
        <v>73.47</v>
      </c>
    </row>
    <row r="1008" spans="1:8" s="40" customFormat="1" x14ac:dyDescent="0.3">
      <c r="A1008" s="41" t="s">
        <v>976</v>
      </c>
      <c r="B1008" s="40">
        <f>D1007*E1008+G1007*H1008+J1007*K1008</f>
        <v>1044.9682808</v>
      </c>
      <c r="E1008" s="40">
        <v>89.802965799999996</v>
      </c>
      <c r="H1008" s="40">
        <v>73.469311399999995</v>
      </c>
    </row>
    <row r="1009" spans="1:8" x14ac:dyDescent="0.3">
      <c r="A1009" t="s">
        <v>904</v>
      </c>
      <c r="B1009">
        <v>1208.04</v>
      </c>
      <c r="C1009" t="s">
        <v>69</v>
      </c>
      <c r="D1009">
        <v>10</v>
      </c>
      <c r="E1009">
        <v>106.11</v>
      </c>
      <c r="F1009" t="s">
        <v>74</v>
      </c>
      <c r="G1009">
        <v>2</v>
      </c>
      <c r="H1009">
        <v>73.47</v>
      </c>
    </row>
    <row r="1010" spans="1:8" s="40" customFormat="1" x14ac:dyDescent="0.3">
      <c r="A1010" s="41" t="s">
        <v>976</v>
      </c>
      <c r="B1010" s="40">
        <f>D1009*E1010+G1009*H1010+J1009*K1010</f>
        <v>1208.0391063</v>
      </c>
      <c r="E1010" s="40">
        <v>106.11004834999999</v>
      </c>
      <c r="H1010" s="40">
        <v>73.469311399999995</v>
      </c>
    </row>
    <row r="1011" spans="1:8" x14ac:dyDescent="0.3">
      <c r="A1011" t="s">
        <v>906</v>
      </c>
      <c r="B1011">
        <v>1208.04</v>
      </c>
      <c r="C1011" t="s">
        <v>69</v>
      </c>
      <c r="D1011">
        <v>10</v>
      </c>
      <c r="E1011">
        <v>106.11</v>
      </c>
      <c r="F1011" t="s">
        <v>74</v>
      </c>
      <c r="G1011">
        <v>2</v>
      </c>
      <c r="H1011">
        <v>73.47</v>
      </c>
    </row>
    <row r="1012" spans="1:8" s="40" customFormat="1" x14ac:dyDescent="0.3">
      <c r="A1012" s="41" t="s">
        <v>976</v>
      </c>
      <c r="B1012" s="40">
        <f>D1011*E1012+G1011*H1012+J1011*K1012</f>
        <v>1208.0391063</v>
      </c>
      <c r="E1012" s="40">
        <v>106.11004834999999</v>
      </c>
      <c r="H1012" s="40">
        <v>73.469311399999995</v>
      </c>
    </row>
    <row r="1013" spans="1:8" x14ac:dyDescent="0.3">
      <c r="A1013" t="s">
        <v>905</v>
      </c>
      <c r="B1013">
        <v>1044.97</v>
      </c>
      <c r="C1013" t="s">
        <v>31</v>
      </c>
      <c r="D1013">
        <v>10</v>
      </c>
      <c r="E1013">
        <v>89.8</v>
      </c>
      <c r="F1013" t="s">
        <v>74</v>
      </c>
      <c r="G1013">
        <v>2</v>
      </c>
      <c r="H1013">
        <v>73.47</v>
      </c>
    </row>
    <row r="1014" spans="1:8" s="40" customFormat="1" x14ac:dyDescent="0.3">
      <c r="A1014" s="41" t="s">
        <v>976</v>
      </c>
      <c r="B1014" s="40">
        <f>D1013*E1014+G1013*H1014+J1013*K1014</f>
        <v>1044.9682808</v>
      </c>
      <c r="E1014" s="40">
        <v>89.802965799999996</v>
      </c>
      <c r="H1014" s="40">
        <v>73.469311399999995</v>
      </c>
    </row>
    <row r="1015" spans="1:8" x14ac:dyDescent="0.3">
      <c r="A1015" t="s">
        <v>907</v>
      </c>
      <c r="B1015">
        <v>1044.97</v>
      </c>
      <c r="C1015" t="s">
        <v>31</v>
      </c>
      <c r="D1015">
        <v>10</v>
      </c>
      <c r="E1015">
        <v>89.8</v>
      </c>
      <c r="F1015" t="s">
        <v>74</v>
      </c>
      <c r="G1015">
        <v>2</v>
      </c>
      <c r="H1015">
        <v>73.47</v>
      </c>
    </row>
    <row r="1016" spans="1:8" s="40" customFormat="1" x14ac:dyDescent="0.3">
      <c r="A1016" s="41" t="s">
        <v>976</v>
      </c>
      <c r="B1016" s="40">
        <f>D1015*E1016+G1015*H1016+J1015*K1016</f>
        <v>1044.9682808</v>
      </c>
      <c r="E1016" s="40">
        <v>89.802965799999996</v>
      </c>
      <c r="H1016" s="40">
        <v>73.469311399999995</v>
      </c>
    </row>
    <row r="1017" spans="1:8" x14ac:dyDescent="0.3">
      <c r="A1017" t="s">
        <v>908</v>
      </c>
      <c r="B1017">
        <v>1126.4000000000001</v>
      </c>
      <c r="C1017" t="s">
        <v>43</v>
      </c>
      <c r="D1017">
        <v>10</v>
      </c>
      <c r="E1017">
        <v>97.95</v>
      </c>
      <c r="F1017" t="s">
        <v>74</v>
      </c>
      <c r="G1017">
        <v>2</v>
      </c>
      <c r="H1017">
        <v>73.47</v>
      </c>
    </row>
    <row r="1018" spans="1:8" s="40" customFormat="1" x14ac:dyDescent="0.3">
      <c r="A1018" s="41" t="s">
        <v>976</v>
      </c>
      <c r="B1018" s="40">
        <f>D1017*E1018+G1017*H1018+J1017*K1018</f>
        <v>1126.4017317999999</v>
      </c>
      <c r="E1018" s="40">
        <v>97.946310899999986</v>
      </c>
      <c r="H1018" s="40">
        <v>73.469311399999995</v>
      </c>
    </row>
    <row r="1019" spans="1:8" x14ac:dyDescent="0.3">
      <c r="A1019" t="s">
        <v>909</v>
      </c>
      <c r="B1019">
        <v>408.01</v>
      </c>
      <c r="C1019" t="s">
        <v>24</v>
      </c>
      <c r="D1019">
        <v>10</v>
      </c>
      <c r="E1019">
        <v>40.799999999999997</v>
      </c>
    </row>
    <row r="1020" spans="1:8" s="40" customFormat="1" x14ac:dyDescent="0.3">
      <c r="A1020" s="41" t="s">
        <v>976</v>
      </c>
      <c r="B1020" s="40">
        <f>D1019*E1020+G1019*H1020+J1019*K1020</f>
        <v>408.00766699999997</v>
      </c>
      <c r="E1020" s="40">
        <v>40.800766699999997</v>
      </c>
    </row>
    <row r="1021" spans="1:8" x14ac:dyDescent="0.3">
      <c r="A1021" t="s">
        <v>910</v>
      </c>
      <c r="B1021">
        <v>734.69</v>
      </c>
      <c r="C1021" t="s">
        <v>29</v>
      </c>
      <c r="D1021">
        <v>10</v>
      </c>
      <c r="E1021">
        <v>73.47</v>
      </c>
    </row>
    <row r="1022" spans="1:8" s="40" customFormat="1" x14ac:dyDescent="0.3">
      <c r="A1022" s="41" t="s">
        <v>976</v>
      </c>
      <c r="B1022" s="40">
        <f>D1021*E1022+G1021*H1022+J1021*K1022</f>
        <v>734.69311399999992</v>
      </c>
      <c r="E1022" s="40">
        <v>73.469311399999995</v>
      </c>
    </row>
    <row r="1023" spans="1:8" x14ac:dyDescent="0.3">
      <c r="A1023" t="s">
        <v>911</v>
      </c>
      <c r="B1023">
        <v>1469.18</v>
      </c>
      <c r="C1023" t="s">
        <v>45</v>
      </c>
      <c r="D1023">
        <v>9</v>
      </c>
      <c r="E1023">
        <v>130.6</v>
      </c>
      <c r="F1023" t="s">
        <v>79</v>
      </c>
      <c r="G1023">
        <v>2</v>
      </c>
      <c r="H1023">
        <v>146.87</v>
      </c>
    </row>
    <row r="1024" spans="1:8" s="40" customFormat="1" x14ac:dyDescent="0.3">
      <c r="A1024" s="41" t="s">
        <v>976</v>
      </c>
      <c r="B1024" s="40">
        <f>D1023*E1024+G1023*H1024+J1023*K1024</f>
        <v>1469.17921475</v>
      </c>
      <c r="E1024" s="40">
        <v>130.60435045</v>
      </c>
      <c r="H1024" s="40">
        <v>146.87003034999998</v>
      </c>
    </row>
    <row r="1025" spans="1:8" x14ac:dyDescent="0.3">
      <c r="A1025" t="s">
        <v>912</v>
      </c>
      <c r="B1025">
        <v>808.16</v>
      </c>
      <c r="C1025" t="s">
        <v>65</v>
      </c>
      <c r="D1025">
        <v>9</v>
      </c>
      <c r="E1025">
        <v>73.47</v>
      </c>
      <c r="F1025" t="s">
        <v>72</v>
      </c>
      <c r="G1025">
        <v>2</v>
      </c>
      <c r="H1025">
        <v>73.47</v>
      </c>
    </row>
    <row r="1026" spans="1:8" s="40" customFormat="1" x14ac:dyDescent="0.3">
      <c r="A1026" s="41" t="s">
        <v>976</v>
      </c>
      <c r="B1026" s="40">
        <f>D1025*E1026+G1025*H1026+J1025*K1026</f>
        <v>808.16242539999996</v>
      </c>
      <c r="E1026" s="40">
        <v>73.469311399999995</v>
      </c>
      <c r="H1026" s="40">
        <v>73.469311399999995</v>
      </c>
    </row>
    <row r="1027" spans="1:8" x14ac:dyDescent="0.3">
      <c r="A1027" t="s">
        <v>914</v>
      </c>
      <c r="B1027">
        <v>775.49</v>
      </c>
      <c r="C1027" t="s">
        <v>65</v>
      </c>
      <c r="D1027">
        <v>9</v>
      </c>
      <c r="E1027">
        <v>73.47</v>
      </c>
      <c r="F1027" t="s">
        <v>87</v>
      </c>
      <c r="G1027">
        <v>2</v>
      </c>
      <c r="H1027">
        <v>57.14</v>
      </c>
    </row>
    <row r="1028" spans="1:8" s="40" customFormat="1" x14ac:dyDescent="0.3">
      <c r="A1028" s="41" t="s">
        <v>976</v>
      </c>
      <c r="B1028" s="40">
        <f>D1027*E1028+G1027*H1028+J1027*K1028</f>
        <v>775.49388069999998</v>
      </c>
      <c r="E1028" s="40">
        <v>73.469311399999995</v>
      </c>
      <c r="H1028" s="40">
        <v>57.135039049999996</v>
      </c>
    </row>
    <row r="1029" spans="1:8" x14ac:dyDescent="0.3">
      <c r="A1029" t="s">
        <v>913</v>
      </c>
      <c r="B1029">
        <v>1322.31</v>
      </c>
      <c r="C1029" t="s">
        <v>57</v>
      </c>
      <c r="D1029">
        <v>8</v>
      </c>
      <c r="E1029">
        <v>146.91999999999999</v>
      </c>
      <c r="F1029" t="s">
        <v>83</v>
      </c>
      <c r="G1029">
        <v>2</v>
      </c>
      <c r="H1029">
        <v>73.47</v>
      </c>
    </row>
    <row r="1030" spans="1:8" s="40" customFormat="1" x14ac:dyDescent="0.3">
      <c r="A1030" s="41" t="s">
        <v>976</v>
      </c>
      <c r="B1030" s="40">
        <f>D1029*E1030+G1029*H1030+J1029*K1030</f>
        <v>1322.3091844</v>
      </c>
      <c r="E1030" s="40">
        <v>146.9213202</v>
      </c>
      <c r="H1030" s="40">
        <v>73.469311399999995</v>
      </c>
    </row>
    <row r="1031" spans="1:8" x14ac:dyDescent="0.3">
      <c r="A1031" t="s">
        <v>915</v>
      </c>
      <c r="B1031">
        <v>604.02</v>
      </c>
      <c r="C1031" t="s">
        <v>27</v>
      </c>
      <c r="D1031">
        <v>8</v>
      </c>
      <c r="E1031">
        <v>57.14</v>
      </c>
      <c r="F1031" t="s">
        <v>72</v>
      </c>
      <c r="G1031">
        <v>2</v>
      </c>
      <c r="H1031">
        <v>73.47</v>
      </c>
    </row>
    <row r="1032" spans="1:8" s="40" customFormat="1" x14ac:dyDescent="0.3">
      <c r="A1032" s="41" t="s">
        <v>976</v>
      </c>
      <c r="B1032" s="40">
        <f>D1031*E1032+G1031*H1032+J1031*K1032</f>
        <v>604.01893519999999</v>
      </c>
      <c r="E1032" s="40">
        <v>57.135039049999996</v>
      </c>
      <c r="H1032" s="40">
        <v>73.469311399999995</v>
      </c>
    </row>
    <row r="1033" spans="1:8" x14ac:dyDescent="0.3">
      <c r="A1033" t="s">
        <v>916</v>
      </c>
      <c r="B1033">
        <v>604.02</v>
      </c>
      <c r="C1033" t="s">
        <v>27</v>
      </c>
      <c r="D1033">
        <v>8</v>
      </c>
      <c r="E1033">
        <v>57.14</v>
      </c>
      <c r="F1033" t="s">
        <v>72</v>
      </c>
      <c r="G1033">
        <v>2</v>
      </c>
      <c r="H1033">
        <v>73.47</v>
      </c>
    </row>
    <row r="1034" spans="1:8" s="40" customFormat="1" x14ac:dyDescent="0.3">
      <c r="A1034" s="41" t="s">
        <v>976</v>
      </c>
      <c r="B1034" s="40">
        <f>D1033*E1034+G1033*H1034+J1033*K1034</f>
        <v>604.01893519999999</v>
      </c>
      <c r="E1034" s="40">
        <v>57.135039049999996</v>
      </c>
      <c r="H1034" s="40">
        <v>73.469311399999995</v>
      </c>
    </row>
    <row r="1035" spans="1:8" x14ac:dyDescent="0.3">
      <c r="A1035" t="s">
        <v>917</v>
      </c>
      <c r="B1035">
        <v>604.02</v>
      </c>
      <c r="C1035" t="s">
        <v>27</v>
      </c>
      <c r="D1035">
        <v>8</v>
      </c>
      <c r="E1035">
        <v>57.14</v>
      </c>
      <c r="F1035" t="s">
        <v>72</v>
      </c>
      <c r="G1035">
        <v>2</v>
      </c>
      <c r="H1035">
        <v>73.47</v>
      </c>
    </row>
    <row r="1036" spans="1:8" s="40" customFormat="1" x14ac:dyDescent="0.3">
      <c r="A1036" s="41" t="s">
        <v>976</v>
      </c>
      <c r="B1036" s="40">
        <f>D1035*E1036+G1035*H1036+J1035*K1036</f>
        <v>604.01893519999999</v>
      </c>
      <c r="E1036" s="40">
        <v>57.135039049999996</v>
      </c>
      <c r="H1036" s="40">
        <v>73.469311399999995</v>
      </c>
    </row>
    <row r="1037" spans="1:8" x14ac:dyDescent="0.3">
      <c r="A1037" t="s">
        <v>918</v>
      </c>
      <c r="B1037">
        <v>604.02</v>
      </c>
      <c r="C1037" t="s">
        <v>27</v>
      </c>
      <c r="D1037">
        <v>8</v>
      </c>
      <c r="E1037">
        <v>57.14</v>
      </c>
      <c r="F1037" t="s">
        <v>72</v>
      </c>
      <c r="G1037">
        <v>2</v>
      </c>
      <c r="H1037">
        <v>73.47</v>
      </c>
    </row>
    <row r="1038" spans="1:8" s="40" customFormat="1" x14ac:dyDescent="0.3">
      <c r="A1038" s="41" t="s">
        <v>976</v>
      </c>
      <c r="B1038" s="40">
        <f>D1037*E1038+G1037*H1038+J1037*K1038</f>
        <v>604.01893519999999</v>
      </c>
      <c r="E1038" s="40">
        <v>57.135039049999996</v>
      </c>
      <c r="H1038" s="40">
        <v>73.469311399999995</v>
      </c>
    </row>
    <row r="1039" spans="1:8" x14ac:dyDescent="0.3">
      <c r="A1039" t="s">
        <v>919</v>
      </c>
      <c r="B1039">
        <v>734.69</v>
      </c>
      <c r="C1039" t="s">
        <v>65</v>
      </c>
      <c r="D1039">
        <v>8</v>
      </c>
      <c r="E1039">
        <v>73.47</v>
      </c>
      <c r="F1039" t="s">
        <v>72</v>
      </c>
      <c r="G1039">
        <v>2</v>
      </c>
      <c r="H1039">
        <v>73.47</v>
      </c>
    </row>
    <row r="1040" spans="1:8" s="40" customFormat="1" x14ac:dyDescent="0.3">
      <c r="A1040" s="41" t="s">
        <v>976</v>
      </c>
      <c r="B1040" s="40">
        <f>D1039*E1040+G1039*H1040+J1039*K1040</f>
        <v>734.69311399999992</v>
      </c>
      <c r="E1040" s="40">
        <v>73.469311399999995</v>
      </c>
      <c r="H1040" s="40">
        <v>73.469311399999995</v>
      </c>
    </row>
    <row r="1041" spans="1:8" x14ac:dyDescent="0.3">
      <c r="A1041" t="s">
        <v>920</v>
      </c>
      <c r="B1041">
        <v>604.02</v>
      </c>
      <c r="C1041" t="s">
        <v>27</v>
      </c>
      <c r="D1041">
        <v>8</v>
      </c>
      <c r="E1041">
        <v>57.14</v>
      </c>
      <c r="F1041" t="s">
        <v>72</v>
      </c>
      <c r="G1041">
        <v>2</v>
      </c>
      <c r="H1041">
        <v>73.47</v>
      </c>
    </row>
    <row r="1042" spans="1:8" s="40" customFormat="1" x14ac:dyDescent="0.3">
      <c r="A1042" s="41" t="s">
        <v>976</v>
      </c>
      <c r="B1042" s="40">
        <f>D1041*E1042+G1041*H1042+J1041*K1042</f>
        <v>604.01893519999999</v>
      </c>
      <c r="E1042" s="40">
        <v>57.135039049999996</v>
      </c>
      <c r="H1042" s="40">
        <v>73.469311399999995</v>
      </c>
    </row>
    <row r="1043" spans="1:8" x14ac:dyDescent="0.3">
      <c r="A1043" t="s">
        <v>921</v>
      </c>
      <c r="B1043">
        <v>734.69</v>
      </c>
      <c r="C1043" t="s">
        <v>29</v>
      </c>
      <c r="D1043">
        <v>8</v>
      </c>
      <c r="E1043">
        <v>73.47</v>
      </c>
      <c r="F1043" t="s">
        <v>74</v>
      </c>
      <c r="G1043">
        <v>2</v>
      </c>
      <c r="H1043">
        <v>73.47</v>
      </c>
    </row>
    <row r="1044" spans="1:8" s="40" customFormat="1" x14ac:dyDescent="0.3">
      <c r="A1044" s="41" t="s">
        <v>976</v>
      </c>
      <c r="B1044" s="40">
        <f>D1043*E1044+G1043*H1044+J1043*K1044</f>
        <v>734.69311399999992</v>
      </c>
      <c r="E1044" s="40">
        <v>73.469311399999995</v>
      </c>
      <c r="H1044" s="40">
        <v>73.469311399999995</v>
      </c>
    </row>
    <row r="1045" spans="1:8" x14ac:dyDescent="0.3">
      <c r="A1045" t="s">
        <v>922</v>
      </c>
      <c r="B1045">
        <v>865.36</v>
      </c>
      <c r="C1045" t="s">
        <v>31</v>
      </c>
      <c r="D1045">
        <v>8</v>
      </c>
      <c r="E1045">
        <v>89.8</v>
      </c>
      <c r="F1045" t="s">
        <v>74</v>
      </c>
      <c r="G1045">
        <v>2</v>
      </c>
      <c r="H1045">
        <v>73.47</v>
      </c>
    </row>
    <row r="1046" spans="1:8" s="40" customFormat="1" x14ac:dyDescent="0.3">
      <c r="A1046" s="41" t="s">
        <v>976</v>
      </c>
      <c r="B1046" s="40">
        <f>D1045*E1046+G1045*H1046+J1045*K1046</f>
        <v>865.36234919999993</v>
      </c>
      <c r="E1046" s="40">
        <v>89.802965799999996</v>
      </c>
      <c r="H1046" s="40">
        <v>73.469311399999995</v>
      </c>
    </row>
    <row r="1047" spans="1:8" x14ac:dyDescent="0.3">
      <c r="A1047" t="s">
        <v>923</v>
      </c>
      <c r="B1047">
        <v>734.69</v>
      </c>
      <c r="C1047" t="s">
        <v>29</v>
      </c>
      <c r="D1047">
        <v>8</v>
      </c>
      <c r="E1047">
        <v>73.47</v>
      </c>
      <c r="F1047" t="s">
        <v>74</v>
      </c>
      <c r="G1047">
        <v>2</v>
      </c>
      <c r="H1047">
        <v>73.47</v>
      </c>
    </row>
    <row r="1048" spans="1:8" s="40" customFormat="1" x14ac:dyDescent="0.3">
      <c r="A1048" s="41" t="s">
        <v>976</v>
      </c>
      <c r="B1048" s="40">
        <f>D1047*E1048+G1047*H1048+J1047*K1048</f>
        <v>734.69311399999992</v>
      </c>
      <c r="E1048" s="40">
        <v>73.469311399999995</v>
      </c>
      <c r="H1048" s="40">
        <v>73.469311399999995</v>
      </c>
    </row>
    <row r="1049" spans="1:8" x14ac:dyDescent="0.3">
      <c r="A1049" t="s">
        <v>924</v>
      </c>
      <c r="B1049">
        <v>865.36</v>
      </c>
      <c r="C1049" t="s">
        <v>31</v>
      </c>
      <c r="D1049">
        <v>8</v>
      </c>
      <c r="E1049">
        <v>89.8</v>
      </c>
      <c r="F1049" t="s">
        <v>74</v>
      </c>
      <c r="G1049">
        <v>2</v>
      </c>
      <c r="H1049">
        <v>73.47</v>
      </c>
    </row>
    <row r="1050" spans="1:8" s="40" customFormat="1" x14ac:dyDescent="0.3">
      <c r="A1050" s="41" t="s">
        <v>976</v>
      </c>
      <c r="B1050" s="40">
        <f>D1049*E1050+G1049*H1050+J1049*K1050</f>
        <v>865.36234919999993</v>
      </c>
      <c r="E1050" s="40">
        <v>89.802965799999996</v>
      </c>
      <c r="H1050" s="40">
        <v>73.469311399999995</v>
      </c>
    </row>
    <row r="1051" spans="1:8" x14ac:dyDescent="0.3">
      <c r="A1051" t="s">
        <v>926</v>
      </c>
      <c r="B1051">
        <v>1273.24</v>
      </c>
      <c r="C1051" t="s">
        <v>33</v>
      </c>
      <c r="D1051">
        <v>8</v>
      </c>
      <c r="E1051">
        <v>122.44</v>
      </c>
      <c r="F1051" t="s">
        <v>79</v>
      </c>
      <c r="G1051">
        <v>2</v>
      </c>
      <c r="H1051">
        <v>146.87</v>
      </c>
    </row>
    <row r="1052" spans="1:8" s="40" customFormat="1" x14ac:dyDescent="0.3">
      <c r="A1052" s="41" t="s">
        <v>976</v>
      </c>
      <c r="B1052" s="40">
        <f>D1051*E1052+G1051*H1052+J1051*K1052</f>
        <v>1273.2402467000002</v>
      </c>
      <c r="E1052" s="40">
        <v>122.43752325000001</v>
      </c>
      <c r="H1052" s="40">
        <v>146.87003034999998</v>
      </c>
    </row>
    <row r="1053" spans="1:8" x14ac:dyDescent="0.3">
      <c r="A1053" t="s">
        <v>925</v>
      </c>
      <c r="B1053">
        <v>865.36</v>
      </c>
      <c r="C1053" t="s">
        <v>31</v>
      </c>
      <c r="D1053">
        <v>8</v>
      </c>
      <c r="E1053">
        <v>89.8</v>
      </c>
      <c r="F1053" t="s">
        <v>74</v>
      </c>
      <c r="G1053">
        <v>2</v>
      </c>
      <c r="H1053">
        <v>73.47</v>
      </c>
    </row>
    <row r="1054" spans="1:8" s="40" customFormat="1" x14ac:dyDescent="0.3">
      <c r="A1054" s="41" t="s">
        <v>976</v>
      </c>
      <c r="B1054" s="40">
        <f>D1053*E1054+G1053*H1054+J1053*K1054</f>
        <v>865.36234919999993</v>
      </c>
      <c r="E1054" s="40">
        <v>89.802965799999996</v>
      </c>
      <c r="H1054" s="40">
        <v>73.469311399999995</v>
      </c>
    </row>
    <row r="1055" spans="1:8" x14ac:dyDescent="0.3">
      <c r="A1055" t="s">
        <v>928</v>
      </c>
      <c r="B1055">
        <v>783.57</v>
      </c>
      <c r="C1055" t="s">
        <v>41</v>
      </c>
      <c r="D1055">
        <v>8</v>
      </c>
      <c r="E1055">
        <v>79.58</v>
      </c>
      <c r="F1055" t="s">
        <v>74</v>
      </c>
      <c r="G1055">
        <v>2</v>
      </c>
      <c r="H1055">
        <v>73.47</v>
      </c>
    </row>
    <row r="1056" spans="1:8" s="40" customFormat="1" x14ac:dyDescent="0.3">
      <c r="A1056" s="41" t="s">
        <v>976</v>
      </c>
      <c r="B1056" s="40">
        <f>D1055*E1056+G1055*H1056+J1055*K1056</f>
        <v>783.56554359999996</v>
      </c>
      <c r="E1056" s="40">
        <v>79.578365099999999</v>
      </c>
      <c r="H1056" s="40">
        <v>73.469311399999995</v>
      </c>
    </row>
    <row r="1057" spans="1:8" x14ac:dyDescent="0.3">
      <c r="A1057" t="s">
        <v>929</v>
      </c>
      <c r="B1057">
        <v>718.42</v>
      </c>
      <c r="C1057" t="s">
        <v>67</v>
      </c>
      <c r="D1057">
        <v>8</v>
      </c>
      <c r="E1057">
        <v>89.8</v>
      </c>
    </row>
    <row r="1058" spans="1:8" s="40" customFormat="1" x14ac:dyDescent="0.3">
      <c r="A1058" s="41" t="s">
        <v>976</v>
      </c>
      <c r="B1058" s="40">
        <f>D1057*E1058+G1057*H1058+J1057*K1058</f>
        <v>718.42372639999996</v>
      </c>
      <c r="E1058" s="40">
        <v>89.802965799999996</v>
      </c>
    </row>
    <row r="1059" spans="1:8" x14ac:dyDescent="0.3">
      <c r="A1059" t="s">
        <v>930</v>
      </c>
      <c r="B1059">
        <v>546.88</v>
      </c>
      <c r="C1059" t="s">
        <v>27</v>
      </c>
      <c r="D1059">
        <v>7</v>
      </c>
      <c r="E1059">
        <v>57.14</v>
      </c>
      <c r="F1059" t="s">
        <v>72</v>
      </c>
      <c r="G1059">
        <v>2</v>
      </c>
      <c r="H1059">
        <v>73.47</v>
      </c>
    </row>
    <row r="1060" spans="1:8" s="40" customFormat="1" x14ac:dyDescent="0.3">
      <c r="A1060" s="41" t="s">
        <v>976</v>
      </c>
      <c r="B1060" s="40">
        <f>D1059*E1060+G1059*H1060+J1059*K1060</f>
        <v>546.88389614999994</v>
      </c>
      <c r="E1060" s="40">
        <v>57.135039049999996</v>
      </c>
      <c r="H1060" s="40">
        <v>73.469311399999995</v>
      </c>
    </row>
    <row r="1061" spans="1:8" x14ac:dyDescent="0.3">
      <c r="A1061" t="s">
        <v>927</v>
      </c>
      <c r="B1061">
        <v>718.42</v>
      </c>
      <c r="C1061" t="s">
        <v>31</v>
      </c>
      <c r="D1061">
        <v>8</v>
      </c>
      <c r="E1061">
        <v>89.8</v>
      </c>
    </row>
    <row r="1062" spans="1:8" s="40" customFormat="1" x14ac:dyDescent="0.3">
      <c r="A1062" s="41" t="s">
        <v>976</v>
      </c>
      <c r="B1062" s="40">
        <f>D1061*E1062+G1061*H1062+J1061*K1062</f>
        <v>718.42372639999996</v>
      </c>
      <c r="E1062" s="40">
        <v>89.802965799999996</v>
      </c>
    </row>
    <row r="1063" spans="1:8" x14ac:dyDescent="0.3">
      <c r="A1063" t="s">
        <v>931</v>
      </c>
      <c r="B1063">
        <v>930.52</v>
      </c>
      <c r="C1063" t="s">
        <v>53</v>
      </c>
      <c r="D1063">
        <v>6</v>
      </c>
      <c r="E1063">
        <v>130.6</v>
      </c>
      <c r="F1063" t="s">
        <v>81</v>
      </c>
      <c r="G1063">
        <v>2</v>
      </c>
      <c r="H1063">
        <v>73.47</v>
      </c>
    </row>
    <row r="1064" spans="1:8" s="40" customFormat="1" x14ac:dyDescent="0.3">
      <c r="A1064" s="41" t="s">
        <v>976</v>
      </c>
      <c r="B1064" s="40">
        <f>D1063*E1064+G1063*H1064+J1063*K1064</f>
        <v>930.52394079999999</v>
      </c>
      <c r="E1064" s="40">
        <v>130.597553</v>
      </c>
      <c r="H1064" s="40">
        <v>73.469311399999995</v>
      </c>
    </row>
    <row r="1065" spans="1:8" x14ac:dyDescent="0.3">
      <c r="A1065" t="s">
        <v>932</v>
      </c>
      <c r="B1065">
        <v>514.29</v>
      </c>
      <c r="C1065" t="s">
        <v>29</v>
      </c>
      <c r="D1065">
        <v>7</v>
      </c>
      <c r="E1065">
        <v>73.47</v>
      </c>
    </row>
    <row r="1066" spans="1:8" s="40" customFormat="1" x14ac:dyDescent="0.3">
      <c r="A1066" s="41" t="s">
        <v>976</v>
      </c>
      <c r="B1066" s="40">
        <f>D1065*E1066+G1065*H1066+J1065*K1066</f>
        <v>514.28517979999992</v>
      </c>
      <c r="E1066" s="40">
        <v>73.469311399999995</v>
      </c>
    </row>
    <row r="1067" spans="1:8" x14ac:dyDescent="0.3">
      <c r="A1067" t="s">
        <v>933</v>
      </c>
      <c r="B1067">
        <v>391.74</v>
      </c>
      <c r="C1067" t="s">
        <v>24</v>
      </c>
      <c r="D1067">
        <v>6</v>
      </c>
      <c r="E1067">
        <v>40.799999999999997</v>
      </c>
      <c r="F1067" t="s">
        <v>72</v>
      </c>
      <c r="G1067">
        <v>2</v>
      </c>
      <c r="H1067">
        <v>73.47</v>
      </c>
    </row>
    <row r="1068" spans="1:8" s="40" customFormat="1" x14ac:dyDescent="0.3">
      <c r="A1068" s="41" t="s">
        <v>976</v>
      </c>
      <c r="B1068" s="40">
        <f>D1067*E1068+G1067*H1068+J1067*K1068</f>
        <v>391.74322299999994</v>
      </c>
      <c r="E1068" s="40">
        <v>40.800766699999997</v>
      </c>
      <c r="H1068" s="40">
        <v>73.469311399999995</v>
      </c>
    </row>
    <row r="1069" spans="1:8" x14ac:dyDescent="0.3">
      <c r="A1069" t="s">
        <v>934</v>
      </c>
      <c r="B1069">
        <v>489.75</v>
      </c>
      <c r="C1069" t="s">
        <v>63</v>
      </c>
      <c r="D1069">
        <v>6</v>
      </c>
      <c r="E1069">
        <v>57.14</v>
      </c>
      <c r="F1069" t="s">
        <v>72</v>
      </c>
      <c r="G1069">
        <v>2</v>
      </c>
      <c r="H1069">
        <v>73.47</v>
      </c>
    </row>
    <row r="1070" spans="1:8" s="40" customFormat="1" x14ac:dyDescent="0.3">
      <c r="A1070" s="41" t="s">
        <v>976</v>
      </c>
      <c r="B1070" s="40">
        <f>D1069*E1070+G1069*H1070+J1069*K1070</f>
        <v>489.74885710000001</v>
      </c>
      <c r="E1070" s="40">
        <v>57.135039049999996</v>
      </c>
      <c r="H1070" s="40">
        <v>73.469311399999995</v>
      </c>
    </row>
    <row r="1071" spans="1:8" x14ac:dyDescent="0.3">
      <c r="A1071" t="s">
        <v>935</v>
      </c>
      <c r="B1071">
        <v>489.75</v>
      </c>
      <c r="C1071" t="s">
        <v>27</v>
      </c>
      <c r="D1071">
        <v>6</v>
      </c>
      <c r="E1071">
        <v>57.14</v>
      </c>
      <c r="F1071" t="s">
        <v>72</v>
      </c>
      <c r="G1071">
        <v>2</v>
      </c>
      <c r="H1071">
        <v>73.47</v>
      </c>
    </row>
    <row r="1072" spans="1:8" s="40" customFormat="1" x14ac:dyDescent="0.3">
      <c r="A1072" s="41" t="s">
        <v>976</v>
      </c>
      <c r="B1072" s="40">
        <f>D1071*E1072+G1071*H1072+J1071*K1072</f>
        <v>489.74885710000001</v>
      </c>
      <c r="E1072" s="40">
        <v>57.135039049999996</v>
      </c>
      <c r="H1072" s="40">
        <v>73.469311399999995</v>
      </c>
    </row>
    <row r="1073" spans="1:8" x14ac:dyDescent="0.3">
      <c r="A1073" t="s">
        <v>938</v>
      </c>
      <c r="B1073">
        <v>489.75</v>
      </c>
      <c r="C1073" t="s">
        <v>27</v>
      </c>
      <c r="D1073">
        <v>6</v>
      </c>
      <c r="E1073">
        <v>57.14</v>
      </c>
      <c r="F1073" t="s">
        <v>72</v>
      </c>
      <c r="G1073">
        <v>2</v>
      </c>
      <c r="H1073">
        <v>73.47</v>
      </c>
    </row>
    <row r="1074" spans="1:8" s="40" customFormat="1" x14ac:dyDescent="0.3">
      <c r="A1074" s="41" t="s">
        <v>976</v>
      </c>
      <c r="B1074" s="40">
        <f>D1073*E1074+G1073*H1074+J1073*K1074</f>
        <v>489.74885710000001</v>
      </c>
      <c r="E1074" s="40">
        <v>57.135039049999996</v>
      </c>
      <c r="H1074" s="40">
        <v>73.469311399999995</v>
      </c>
    </row>
    <row r="1075" spans="1:8" x14ac:dyDescent="0.3">
      <c r="A1075" t="s">
        <v>937</v>
      </c>
      <c r="B1075">
        <v>489.75</v>
      </c>
      <c r="C1075" t="s">
        <v>27</v>
      </c>
      <c r="D1075">
        <v>6</v>
      </c>
      <c r="E1075">
        <v>57.14</v>
      </c>
      <c r="F1075" t="s">
        <v>72</v>
      </c>
      <c r="G1075">
        <v>2</v>
      </c>
      <c r="H1075">
        <v>73.47</v>
      </c>
    </row>
    <row r="1076" spans="1:8" s="40" customFormat="1" x14ac:dyDescent="0.3">
      <c r="A1076" s="41" t="s">
        <v>976</v>
      </c>
      <c r="B1076" s="40">
        <f>D1075*E1076+G1075*H1076+J1075*K1076</f>
        <v>489.74885710000001</v>
      </c>
      <c r="E1076" s="40">
        <v>57.135039049999996</v>
      </c>
      <c r="H1076" s="40">
        <v>73.469311399999995</v>
      </c>
    </row>
    <row r="1077" spans="1:8" x14ac:dyDescent="0.3">
      <c r="A1077" t="s">
        <v>936</v>
      </c>
      <c r="B1077">
        <v>391.74</v>
      </c>
      <c r="C1077" t="s">
        <v>24</v>
      </c>
      <c r="D1077">
        <v>6</v>
      </c>
      <c r="E1077">
        <v>40.799999999999997</v>
      </c>
      <c r="F1077" t="s">
        <v>72</v>
      </c>
      <c r="G1077">
        <v>2</v>
      </c>
      <c r="H1077">
        <v>73.47</v>
      </c>
    </row>
    <row r="1078" spans="1:8" s="40" customFormat="1" x14ac:dyDescent="0.3">
      <c r="A1078" s="41" t="s">
        <v>976</v>
      </c>
      <c r="B1078" s="40">
        <f>D1077*E1078+G1077*H1078+J1077*K1078</f>
        <v>391.74322299999994</v>
      </c>
      <c r="E1078" s="40">
        <v>40.800766699999997</v>
      </c>
      <c r="H1078" s="40">
        <v>73.469311399999995</v>
      </c>
    </row>
    <row r="1079" spans="1:8" x14ac:dyDescent="0.3">
      <c r="A1079" t="s">
        <v>939</v>
      </c>
      <c r="B1079">
        <v>489.75</v>
      </c>
      <c r="C1079" t="s">
        <v>27</v>
      </c>
      <c r="D1079">
        <v>6</v>
      </c>
      <c r="E1079">
        <v>57.14</v>
      </c>
      <c r="F1079" t="s">
        <v>72</v>
      </c>
      <c r="G1079">
        <v>2</v>
      </c>
      <c r="H1079">
        <v>73.47</v>
      </c>
    </row>
    <row r="1080" spans="1:8" s="40" customFormat="1" x14ac:dyDescent="0.3">
      <c r="A1080" s="41" t="s">
        <v>976</v>
      </c>
      <c r="B1080" s="40">
        <f>D1079*E1080+G1079*H1080+J1079*K1080</f>
        <v>489.74885710000001</v>
      </c>
      <c r="E1080" s="40">
        <v>57.135039049999996</v>
      </c>
      <c r="H1080" s="40">
        <v>73.469311399999995</v>
      </c>
    </row>
    <row r="1081" spans="1:8" x14ac:dyDescent="0.3">
      <c r="A1081" t="s">
        <v>940</v>
      </c>
      <c r="B1081">
        <v>587.75</v>
      </c>
      <c r="C1081" t="s">
        <v>65</v>
      </c>
      <c r="D1081">
        <v>6</v>
      </c>
      <c r="E1081">
        <v>73.47</v>
      </c>
      <c r="F1081" t="s">
        <v>72</v>
      </c>
      <c r="G1081">
        <v>2</v>
      </c>
      <c r="H1081">
        <v>73.47</v>
      </c>
    </row>
    <row r="1082" spans="1:8" s="40" customFormat="1" x14ac:dyDescent="0.3">
      <c r="A1082" s="41" t="s">
        <v>976</v>
      </c>
      <c r="B1082" s="40">
        <f>D1081*E1082+G1081*H1082+J1081*K1082</f>
        <v>587.75449119999996</v>
      </c>
      <c r="E1082" s="40">
        <v>73.469311399999995</v>
      </c>
      <c r="H1082" s="40">
        <v>73.469311399999995</v>
      </c>
    </row>
    <row r="1083" spans="1:8" x14ac:dyDescent="0.3">
      <c r="A1083" t="s">
        <v>941</v>
      </c>
      <c r="B1083">
        <v>489.75</v>
      </c>
      <c r="C1083" t="s">
        <v>27</v>
      </c>
      <c r="D1083">
        <v>6</v>
      </c>
      <c r="E1083">
        <v>57.14</v>
      </c>
      <c r="F1083" t="s">
        <v>72</v>
      </c>
      <c r="G1083">
        <v>2</v>
      </c>
      <c r="H1083">
        <v>73.47</v>
      </c>
    </row>
    <row r="1084" spans="1:8" s="40" customFormat="1" x14ac:dyDescent="0.3">
      <c r="A1084" s="41" t="s">
        <v>976</v>
      </c>
      <c r="B1084" s="40">
        <f>D1083*E1084+G1083*H1084+J1083*K1084</f>
        <v>489.74885710000001</v>
      </c>
      <c r="E1084" s="40">
        <v>57.135039049999996</v>
      </c>
      <c r="H1084" s="40">
        <v>73.469311399999995</v>
      </c>
    </row>
    <row r="1085" spans="1:8" x14ac:dyDescent="0.3">
      <c r="A1085" t="s">
        <v>942</v>
      </c>
      <c r="B1085">
        <v>489.75</v>
      </c>
      <c r="C1085" t="s">
        <v>27</v>
      </c>
      <c r="D1085">
        <v>6</v>
      </c>
      <c r="E1085">
        <v>57.14</v>
      </c>
      <c r="F1085" t="s">
        <v>72</v>
      </c>
      <c r="G1085">
        <v>2</v>
      </c>
      <c r="H1085">
        <v>73.47</v>
      </c>
    </row>
    <row r="1086" spans="1:8" s="40" customFormat="1" x14ac:dyDescent="0.3">
      <c r="A1086" s="41" t="s">
        <v>976</v>
      </c>
      <c r="B1086" s="40">
        <f>D1085*E1086+G1085*H1086+J1085*K1086</f>
        <v>489.74885710000001</v>
      </c>
      <c r="E1086" s="40">
        <v>57.135039049999996</v>
      </c>
      <c r="H1086" s="40">
        <v>73.469311399999995</v>
      </c>
    </row>
    <row r="1087" spans="1:8" x14ac:dyDescent="0.3">
      <c r="A1087" t="s">
        <v>944</v>
      </c>
      <c r="B1087">
        <v>489.75</v>
      </c>
      <c r="C1087" t="s">
        <v>27</v>
      </c>
      <c r="D1087">
        <v>6</v>
      </c>
      <c r="E1087">
        <v>57.14</v>
      </c>
      <c r="F1087" t="s">
        <v>72</v>
      </c>
      <c r="G1087">
        <v>2</v>
      </c>
      <c r="H1087">
        <v>73.47</v>
      </c>
    </row>
    <row r="1088" spans="1:8" s="40" customFormat="1" x14ac:dyDescent="0.3">
      <c r="A1088" s="41" t="s">
        <v>976</v>
      </c>
      <c r="B1088" s="40">
        <f>D1087*E1088+G1087*H1088+J1087*K1088</f>
        <v>489.74885710000001</v>
      </c>
      <c r="E1088" s="40">
        <v>57.135039049999996</v>
      </c>
      <c r="H1088" s="40">
        <v>73.469311399999995</v>
      </c>
    </row>
    <row r="1089" spans="1:11" x14ac:dyDescent="0.3">
      <c r="A1089" t="s">
        <v>943</v>
      </c>
      <c r="B1089">
        <v>587.75</v>
      </c>
      <c r="C1089" t="s">
        <v>65</v>
      </c>
      <c r="D1089">
        <v>6</v>
      </c>
      <c r="E1089">
        <v>73.47</v>
      </c>
      <c r="F1089" t="s">
        <v>72</v>
      </c>
      <c r="G1089">
        <v>2</v>
      </c>
      <c r="H1089">
        <v>73.47</v>
      </c>
    </row>
    <row r="1090" spans="1:11" s="40" customFormat="1" x14ac:dyDescent="0.3">
      <c r="A1090" s="41" t="s">
        <v>976</v>
      </c>
      <c r="B1090" s="40">
        <f>D1089*E1090+G1089*H1090+J1089*K1090</f>
        <v>587.75449119999996</v>
      </c>
      <c r="E1090" s="40">
        <v>73.469311399999995</v>
      </c>
      <c r="H1090" s="40">
        <v>73.469311399999995</v>
      </c>
    </row>
    <row r="1091" spans="1:11" x14ac:dyDescent="0.3">
      <c r="A1091" t="s">
        <v>945</v>
      </c>
      <c r="B1091">
        <v>489.75</v>
      </c>
      <c r="C1091" t="s">
        <v>27</v>
      </c>
      <c r="D1091">
        <v>6</v>
      </c>
      <c r="E1091">
        <v>57.14</v>
      </c>
      <c r="F1091" t="s">
        <v>72</v>
      </c>
      <c r="G1091">
        <v>2</v>
      </c>
      <c r="H1091">
        <v>73.47</v>
      </c>
    </row>
    <row r="1092" spans="1:11" s="40" customFormat="1" x14ac:dyDescent="0.3">
      <c r="A1092" s="41" t="s">
        <v>976</v>
      </c>
      <c r="B1092" s="40">
        <f>D1091*E1092+G1091*H1092+J1091*K1092</f>
        <v>489.74885710000001</v>
      </c>
      <c r="E1092" s="40">
        <v>57.135039049999996</v>
      </c>
      <c r="H1092" s="40">
        <v>73.469311399999995</v>
      </c>
    </row>
    <row r="1093" spans="1:11" x14ac:dyDescent="0.3">
      <c r="A1093" t="s">
        <v>946</v>
      </c>
      <c r="B1093">
        <v>587.75</v>
      </c>
      <c r="C1093" t="s">
        <v>29</v>
      </c>
      <c r="D1093">
        <v>6</v>
      </c>
      <c r="E1093">
        <v>73.47</v>
      </c>
      <c r="F1093" t="s">
        <v>74</v>
      </c>
      <c r="G1093">
        <v>2</v>
      </c>
      <c r="H1093">
        <v>73.47</v>
      </c>
    </row>
    <row r="1094" spans="1:11" s="40" customFormat="1" x14ac:dyDescent="0.3">
      <c r="A1094" s="41" t="s">
        <v>976</v>
      </c>
      <c r="B1094" s="40">
        <f>D1093*E1094+G1093*H1094+J1093*K1094</f>
        <v>587.75449119999996</v>
      </c>
      <c r="E1094" s="40">
        <v>73.469311399999995</v>
      </c>
      <c r="H1094" s="40">
        <v>73.469311399999995</v>
      </c>
    </row>
    <row r="1095" spans="1:11" x14ac:dyDescent="0.3">
      <c r="A1095" t="s">
        <v>947</v>
      </c>
      <c r="B1095">
        <v>587.75</v>
      </c>
      <c r="C1095" t="s">
        <v>29</v>
      </c>
      <c r="D1095">
        <v>6</v>
      </c>
      <c r="E1095">
        <v>73.47</v>
      </c>
      <c r="F1095" t="s">
        <v>74</v>
      </c>
      <c r="G1095">
        <v>2</v>
      </c>
      <c r="H1095">
        <v>73.47</v>
      </c>
    </row>
    <row r="1096" spans="1:11" s="40" customFormat="1" x14ac:dyDescent="0.3">
      <c r="A1096" s="41" t="s">
        <v>976</v>
      </c>
      <c r="B1096" s="40">
        <f>D1095*E1096+G1095*H1096+J1095*K1096</f>
        <v>587.75449119999996</v>
      </c>
      <c r="E1096" s="40">
        <v>73.469311399999995</v>
      </c>
      <c r="H1096" s="40">
        <v>73.469311399999995</v>
      </c>
    </row>
    <row r="1097" spans="1:11" x14ac:dyDescent="0.3">
      <c r="A1097" t="s">
        <v>948</v>
      </c>
      <c r="B1097">
        <v>979.56</v>
      </c>
      <c r="C1097" t="s">
        <v>31</v>
      </c>
      <c r="D1097">
        <v>6</v>
      </c>
      <c r="E1097">
        <v>89.8</v>
      </c>
      <c r="F1097" t="s">
        <v>74</v>
      </c>
      <c r="G1097">
        <v>2</v>
      </c>
      <c r="H1097">
        <v>73.47</v>
      </c>
      <c r="I1097" t="s">
        <v>164</v>
      </c>
      <c r="J1097">
        <v>3</v>
      </c>
      <c r="K1097">
        <v>97.94</v>
      </c>
    </row>
    <row r="1098" spans="1:11" s="40" customFormat="1" x14ac:dyDescent="0.3">
      <c r="A1098" s="41" t="s">
        <v>976</v>
      </c>
      <c r="B1098" s="40">
        <f>D1097*E1098+G1097*H1098+J1097*K1098</f>
        <v>979.56476362884996</v>
      </c>
      <c r="E1098" s="40">
        <v>89.802965799999996</v>
      </c>
      <c r="H1098" s="40">
        <v>73.469311399999995</v>
      </c>
      <c r="K1098" s="40">
        <v>97.936115342949989</v>
      </c>
    </row>
    <row r="1099" spans="1:11" x14ac:dyDescent="0.3">
      <c r="A1099" t="s">
        <v>949</v>
      </c>
      <c r="B1099">
        <v>685.76</v>
      </c>
      <c r="C1099" t="s">
        <v>31</v>
      </c>
      <c r="D1099">
        <v>6</v>
      </c>
      <c r="E1099">
        <v>89.8</v>
      </c>
      <c r="F1099" t="s">
        <v>74</v>
      </c>
      <c r="G1099">
        <v>2</v>
      </c>
      <c r="H1099">
        <v>73.47</v>
      </c>
    </row>
    <row r="1100" spans="1:11" s="40" customFormat="1" x14ac:dyDescent="0.3">
      <c r="A1100" s="41" t="s">
        <v>976</v>
      </c>
      <c r="B1100" s="40">
        <f>D1099*E1100+G1099*H1100+J1099*K1100</f>
        <v>685.75641759999996</v>
      </c>
      <c r="E1100" s="40">
        <v>89.802965799999996</v>
      </c>
      <c r="H1100" s="40">
        <v>73.469311399999995</v>
      </c>
    </row>
    <row r="1101" spans="1:11" x14ac:dyDescent="0.3">
      <c r="A1101" t="s">
        <v>950</v>
      </c>
      <c r="B1101">
        <v>783.6</v>
      </c>
      <c r="C1101" t="s">
        <v>69</v>
      </c>
      <c r="D1101">
        <v>6</v>
      </c>
      <c r="E1101">
        <v>106.11</v>
      </c>
      <c r="F1101" t="s">
        <v>74</v>
      </c>
      <c r="G1101">
        <v>2</v>
      </c>
      <c r="H1101">
        <v>73.47</v>
      </c>
    </row>
    <row r="1102" spans="1:11" s="40" customFormat="1" x14ac:dyDescent="0.3">
      <c r="A1102" s="41" t="s">
        <v>976</v>
      </c>
      <c r="B1102" s="40">
        <f>D1101*E1102+G1101*H1102+J1101*K1102</f>
        <v>783.59891289999985</v>
      </c>
      <c r="E1102" s="40">
        <v>106.11004834999999</v>
      </c>
      <c r="H1102" s="40">
        <v>73.469311399999995</v>
      </c>
    </row>
    <row r="1103" spans="1:11" x14ac:dyDescent="0.3">
      <c r="A1103" t="s">
        <v>951</v>
      </c>
      <c r="B1103">
        <v>359.07</v>
      </c>
      <c r="C1103" t="s">
        <v>24</v>
      </c>
      <c r="D1103">
        <v>6</v>
      </c>
      <c r="E1103">
        <v>40.799999999999997</v>
      </c>
      <c r="F1103" t="s">
        <v>87</v>
      </c>
      <c r="G1103">
        <v>2</v>
      </c>
      <c r="H1103">
        <v>57.14</v>
      </c>
    </row>
    <row r="1104" spans="1:11" s="40" customFormat="1" x14ac:dyDescent="0.3">
      <c r="A1104" s="41" t="s">
        <v>976</v>
      </c>
      <c r="B1104" s="40">
        <f>D1103*E1104+G1103*H1104+J1103*K1104</f>
        <v>359.07467829999996</v>
      </c>
      <c r="E1104" s="40">
        <v>40.800766699999997</v>
      </c>
      <c r="H1104" s="40">
        <v>57.135039049999996</v>
      </c>
    </row>
    <row r="1105" spans="1:11" x14ac:dyDescent="0.3">
      <c r="A1105" t="s">
        <v>952</v>
      </c>
      <c r="B1105">
        <v>685.76</v>
      </c>
      <c r="C1105" t="s">
        <v>31</v>
      </c>
      <c r="D1105">
        <v>6</v>
      </c>
      <c r="E1105">
        <v>89.8</v>
      </c>
      <c r="F1105" t="s">
        <v>74</v>
      </c>
      <c r="G1105">
        <v>2</v>
      </c>
      <c r="H1105">
        <v>73.47</v>
      </c>
    </row>
    <row r="1106" spans="1:11" s="40" customFormat="1" x14ac:dyDescent="0.3">
      <c r="A1106" s="41" t="s">
        <v>976</v>
      </c>
      <c r="B1106" s="40">
        <f>D1105*E1106+G1105*H1106+J1105*K1106</f>
        <v>685.75641759999996</v>
      </c>
      <c r="E1106" s="40">
        <v>89.802965799999996</v>
      </c>
      <c r="H1106" s="40">
        <v>73.469311399999995</v>
      </c>
    </row>
    <row r="1107" spans="1:11" x14ac:dyDescent="0.3">
      <c r="A1107" t="s">
        <v>956</v>
      </c>
      <c r="B1107">
        <v>555.09</v>
      </c>
      <c r="C1107" t="s">
        <v>65</v>
      </c>
      <c r="D1107">
        <v>6</v>
      </c>
      <c r="E1107">
        <v>73.47</v>
      </c>
      <c r="F1107" t="s">
        <v>87</v>
      </c>
      <c r="G1107">
        <v>2</v>
      </c>
      <c r="H1107">
        <v>57.14</v>
      </c>
    </row>
    <row r="1108" spans="1:11" s="40" customFormat="1" x14ac:dyDescent="0.3">
      <c r="A1108" s="41" t="s">
        <v>976</v>
      </c>
      <c r="B1108" s="40">
        <f>D1107*E1108+G1107*H1108+J1107*K1108</f>
        <v>555.08594649999998</v>
      </c>
      <c r="E1108" s="40">
        <v>73.469311399999995</v>
      </c>
      <c r="H1108" s="40">
        <v>57.135039049999996</v>
      </c>
    </row>
    <row r="1109" spans="1:11" x14ac:dyDescent="0.3">
      <c r="A1109" t="s">
        <v>953</v>
      </c>
      <c r="B1109">
        <v>685.76</v>
      </c>
      <c r="C1109" t="s">
        <v>31</v>
      </c>
      <c r="D1109">
        <v>6</v>
      </c>
      <c r="E1109">
        <v>89.8</v>
      </c>
      <c r="F1109" t="s">
        <v>74</v>
      </c>
      <c r="G1109">
        <v>2</v>
      </c>
      <c r="H1109">
        <v>73.47</v>
      </c>
    </row>
    <row r="1110" spans="1:11" s="40" customFormat="1" x14ac:dyDescent="0.3">
      <c r="A1110" s="41" t="s">
        <v>976</v>
      </c>
      <c r="B1110" s="40">
        <f>D1109*E1110+G1109*H1110+J1109*K1110</f>
        <v>685.75641759999996</v>
      </c>
      <c r="E1110" s="40">
        <v>89.802965799999996</v>
      </c>
      <c r="H1110" s="40">
        <v>73.469311399999995</v>
      </c>
    </row>
    <row r="1111" spans="1:11" x14ac:dyDescent="0.3">
      <c r="A1111" t="s">
        <v>955</v>
      </c>
      <c r="B1111">
        <v>244.8</v>
      </c>
      <c r="C1111" t="s">
        <v>24</v>
      </c>
      <c r="D1111">
        <v>6</v>
      </c>
      <c r="E1111">
        <v>40.799999999999997</v>
      </c>
    </row>
    <row r="1112" spans="1:11" s="40" customFormat="1" x14ac:dyDescent="0.3">
      <c r="A1112" s="41" t="s">
        <v>976</v>
      </c>
      <c r="B1112" s="40">
        <f>D1111*E1112+G1111*H1112+J1111*K1112</f>
        <v>244.80460019999998</v>
      </c>
      <c r="E1112" s="40">
        <v>40.800766699999997</v>
      </c>
    </row>
    <row r="1113" spans="1:11" x14ac:dyDescent="0.3">
      <c r="A1113" t="s">
        <v>969</v>
      </c>
      <c r="B1113">
        <v>457.08</v>
      </c>
      <c r="C1113" t="s">
        <v>27</v>
      </c>
      <c r="D1113">
        <v>6</v>
      </c>
      <c r="E1113">
        <v>57.14</v>
      </c>
      <c r="F1113" t="s">
        <v>87</v>
      </c>
      <c r="G1113">
        <v>2</v>
      </c>
      <c r="H1113">
        <v>57.14</v>
      </c>
    </row>
    <row r="1114" spans="1:11" s="40" customFormat="1" x14ac:dyDescent="0.3">
      <c r="A1114" s="41" t="s">
        <v>976</v>
      </c>
      <c r="B1114" s="40">
        <f>D1113*E1114+G1113*H1114+J1113*K1114</f>
        <v>457.08031239999997</v>
      </c>
      <c r="E1114" s="40">
        <v>57.135039049999996</v>
      </c>
      <c r="H1114" s="40">
        <v>57.135039049999996</v>
      </c>
    </row>
    <row r="1115" spans="1:11" x14ac:dyDescent="0.3">
      <c r="A1115" t="s">
        <v>954</v>
      </c>
      <c r="B1115">
        <v>930.43</v>
      </c>
      <c r="C1115" t="s">
        <v>31</v>
      </c>
      <c r="D1115">
        <v>6</v>
      </c>
      <c r="E1115">
        <v>89.8</v>
      </c>
      <c r="F1115" t="s">
        <v>110</v>
      </c>
      <c r="G1115">
        <v>2</v>
      </c>
      <c r="H1115">
        <v>97.94</v>
      </c>
      <c r="I1115" t="s">
        <v>137</v>
      </c>
      <c r="J1115">
        <v>8</v>
      </c>
      <c r="K1115">
        <v>24.47</v>
      </c>
    </row>
    <row r="1116" spans="1:11" s="40" customFormat="1" x14ac:dyDescent="0.3">
      <c r="A1116" s="41" t="s">
        <v>976</v>
      </c>
      <c r="B1116" s="40">
        <f>D1115*E1116+G1115*H1116+J1115*K1116</f>
        <v>930.42556933949993</v>
      </c>
      <c r="E1116" s="40">
        <v>89.802965799999996</v>
      </c>
      <c r="H1116" s="40">
        <v>97.936115342949989</v>
      </c>
      <c r="K1116" s="40">
        <v>24.466942981699997</v>
      </c>
    </row>
    <row r="1117" spans="1:11" x14ac:dyDescent="0.3">
      <c r="A1117" t="s">
        <v>970</v>
      </c>
      <c r="B1117">
        <v>342.81</v>
      </c>
      <c r="C1117" t="s">
        <v>27</v>
      </c>
      <c r="D1117">
        <v>6</v>
      </c>
      <c r="E1117">
        <v>57.14</v>
      </c>
    </row>
    <row r="1118" spans="1:11" s="40" customFormat="1" x14ac:dyDescent="0.3">
      <c r="A1118" s="41" t="s">
        <v>976</v>
      </c>
      <c r="B1118" s="40">
        <f>D1117*E1118+G1117*H1118+J1117*K1118</f>
        <v>342.81023429999999</v>
      </c>
      <c r="E1118" s="40">
        <v>57.135039049999996</v>
      </c>
    </row>
    <row r="1119" spans="1:11" x14ac:dyDescent="0.3">
      <c r="A1119" t="s">
        <v>958</v>
      </c>
      <c r="B1119">
        <v>2302.21</v>
      </c>
      <c r="C1119" t="s">
        <v>31</v>
      </c>
      <c r="D1119">
        <v>24</v>
      </c>
      <c r="E1119">
        <v>89.8</v>
      </c>
      <c r="F1119" t="s">
        <v>74</v>
      </c>
      <c r="G1119">
        <v>2</v>
      </c>
      <c r="H1119">
        <v>73.47</v>
      </c>
    </row>
    <row r="1120" spans="1:11" s="40" customFormat="1" x14ac:dyDescent="0.3">
      <c r="A1120" s="41" t="s">
        <v>976</v>
      </c>
      <c r="B1120" s="40">
        <f>D1119*E1120+G1119*H1120+J1119*K1120</f>
        <v>2302.2098019999999</v>
      </c>
      <c r="E1120" s="40">
        <v>89.802965799999996</v>
      </c>
      <c r="H1120" s="40">
        <v>73.469311399999995</v>
      </c>
    </row>
    <row r="1121" spans="1:11" x14ac:dyDescent="0.3">
      <c r="A1121" t="s">
        <v>971</v>
      </c>
      <c r="B1121">
        <v>1028.27</v>
      </c>
      <c r="C1121" t="s">
        <v>69</v>
      </c>
      <c r="D1121">
        <v>6</v>
      </c>
      <c r="E1121">
        <v>106.11</v>
      </c>
      <c r="F1121" t="s">
        <v>110</v>
      </c>
      <c r="G1121">
        <v>2</v>
      </c>
      <c r="H1121">
        <v>97.94</v>
      </c>
      <c r="I1121" t="s">
        <v>137</v>
      </c>
      <c r="J1121">
        <v>8</v>
      </c>
      <c r="K1121">
        <v>24.47</v>
      </c>
    </row>
    <row r="1122" spans="1:11" s="40" customFormat="1" x14ac:dyDescent="0.3">
      <c r="A1122" s="41" t="s">
        <v>976</v>
      </c>
      <c r="B1122" s="40">
        <f>D1121*E1122+G1121*H1122+J1121*K1122</f>
        <v>1028.2680646394997</v>
      </c>
      <c r="E1122" s="40">
        <v>106.11004834999999</v>
      </c>
      <c r="H1122" s="40">
        <v>97.936115342949989</v>
      </c>
      <c r="K1122" s="40">
        <v>24.466942981699997</v>
      </c>
    </row>
    <row r="1123" spans="1:11" x14ac:dyDescent="0.3">
      <c r="A1123" t="s">
        <v>957</v>
      </c>
      <c r="B1123">
        <v>2302.21</v>
      </c>
      <c r="C1123" t="s">
        <v>31</v>
      </c>
      <c r="D1123">
        <v>24</v>
      </c>
      <c r="E1123">
        <v>89.8</v>
      </c>
      <c r="F1123" t="s">
        <v>74</v>
      </c>
      <c r="G1123">
        <v>2</v>
      </c>
      <c r="H1123">
        <v>73.47</v>
      </c>
    </row>
    <row r="1124" spans="1:11" s="40" customFormat="1" x14ac:dyDescent="0.3">
      <c r="A1124" s="41" t="s">
        <v>976</v>
      </c>
      <c r="B1124" s="40">
        <f>D1123*E1124+G1123*H1124+J1123*K1124</f>
        <v>2302.2098019999999</v>
      </c>
      <c r="E1124" s="40">
        <v>89.802965799999996</v>
      </c>
      <c r="H1124" s="40">
        <v>73.469311399999995</v>
      </c>
    </row>
    <row r="1125" spans="1:11" x14ac:dyDescent="0.3">
      <c r="A1125" t="s">
        <v>972</v>
      </c>
      <c r="B1125">
        <v>1224.57</v>
      </c>
      <c r="C1125" t="s">
        <v>31</v>
      </c>
      <c r="D1125">
        <v>12</v>
      </c>
      <c r="E1125">
        <v>89.8</v>
      </c>
      <c r="F1125" t="s">
        <v>74</v>
      </c>
      <c r="G1125">
        <v>2</v>
      </c>
      <c r="H1125">
        <v>73.47</v>
      </c>
    </row>
    <row r="1126" spans="1:11" s="40" customFormat="1" x14ac:dyDescent="0.3">
      <c r="A1126" s="41" t="s">
        <v>976</v>
      </c>
      <c r="B1126" s="40">
        <f>D1125*E1126+G1125*H1126+J1125*K1126</f>
        <v>1224.5742124000001</v>
      </c>
      <c r="E1126" s="40">
        <v>89.802965799999996</v>
      </c>
      <c r="H1126" s="40">
        <v>73.469311399999995</v>
      </c>
    </row>
    <row r="1127" spans="1:11" x14ac:dyDescent="0.3">
      <c r="A1127" t="s">
        <v>974</v>
      </c>
      <c r="B1127">
        <v>1224.57</v>
      </c>
      <c r="C1127" t="s">
        <v>31</v>
      </c>
      <c r="D1127">
        <v>12</v>
      </c>
      <c r="E1127">
        <v>89.8</v>
      </c>
      <c r="F1127" t="s">
        <v>74</v>
      </c>
      <c r="G1127">
        <v>2</v>
      </c>
      <c r="H1127">
        <v>73.47</v>
      </c>
    </row>
    <row r="1128" spans="1:11" s="40" customFormat="1" x14ac:dyDescent="0.3">
      <c r="A1128" s="41" t="s">
        <v>976</v>
      </c>
      <c r="B1128" s="40">
        <f>D1127*E1128+G1127*H1128+J1127*K1128</f>
        <v>1224.5742124000001</v>
      </c>
      <c r="E1128" s="40">
        <v>89.802965799999996</v>
      </c>
      <c r="H1128" s="40">
        <v>73.469311399999995</v>
      </c>
    </row>
    <row r="1129" spans="1:11" x14ac:dyDescent="0.3">
      <c r="A1129" t="s">
        <v>959</v>
      </c>
      <c r="B1129">
        <v>2497.62</v>
      </c>
      <c r="C1129" t="s">
        <v>33</v>
      </c>
      <c r="D1129">
        <v>18</v>
      </c>
      <c r="E1129">
        <v>122.44</v>
      </c>
      <c r="F1129" t="s">
        <v>79</v>
      </c>
      <c r="G1129">
        <v>2</v>
      </c>
      <c r="H1129">
        <v>146.87</v>
      </c>
    </row>
    <row r="1130" spans="1:11" s="40" customFormat="1" x14ac:dyDescent="0.3">
      <c r="A1130" s="41" t="s">
        <v>976</v>
      </c>
      <c r="B1130" s="40">
        <f>D1129*E1130+G1129*H1130+J1129*K1130</f>
        <v>2497.6154792000002</v>
      </c>
      <c r="E1130" s="40">
        <v>122.43752325000001</v>
      </c>
      <c r="H1130" s="40">
        <v>146.87003034999998</v>
      </c>
    </row>
    <row r="1131" spans="1:11" x14ac:dyDescent="0.3">
      <c r="A1131" t="s">
        <v>973</v>
      </c>
      <c r="B1131">
        <v>3966.87</v>
      </c>
      <c r="C1131" t="s">
        <v>33</v>
      </c>
      <c r="D1131">
        <v>30</v>
      </c>
      <c r="E1131">
        <v>122.44</v>
      </c>
      <c r="F1131" t="s">
        <v>79</v>
      </c>
      <c r="G1131">
        <v>2</v>
      </c>
      <c r="H1131">
        <v>146.87</v>
      </c>
    </row>
    <row r="1132" spans="1:11" s="40" customFormat="1" x14ac:dyDescent="0.3">
      <c r="A1132" s="41" t="s">
        <v>976</v>
      </c>
      <c r="B1132" s="40">
        <f>D1131*E1132+G1131*H1132+J1131*K1132</f>
        <v>3966.8657582000005</v>
      </c>
      <c r="E1132" s="40">
        <v>122.43752325000001</v>
      </c>
      <c r="H1132" s="40">
        <v>146.87003034999998</v>
      </c>
    </row>
    <row r="1133" spans="1:11" x14ac:dyDescent="0.3">
      <c r="A1133" t="s">
        <v>975</v>
      </c>
      <c r="B1133">
        <v>3232.24</v>
      </c>
      <c r="C1133" t="s">
        <v>33</v>
      </c>
      <c r="D1133">
        <v>24</v>
      </c>
      <c r="E1133">
        <v>122.44</v>
      </c>
      <c r="F1133" t="s">
        <v>79</v>
      </c>
      <c r="G1133">
        <v>2</v>
      </c>
      <c r="H1133">
        <v>146.87</v>
      </c>
    </row>
    <row r="1134" spans="1:11" s="40" customFormat="1" x14ac:dyDescent="0.3">
      <c r="A1134" s="41" t="s">
        <v>976</v>
      </c>
      <c r="B1134" s="40">
        <f>D1133*E1134+G1133*H1134+J1133*K1134</f>
        <v>3232.2406187000001</v>
      </c>
      <c r="E1134" s="40">
        <v>122.43752325000001</v>
      </c>
      <c r="H1134" s="40">
        <v>146.87003034999998</v>
      </c>
    </row>
    <row r="1135" spans="1:11" x14ac:dyDescent="0.3">
      <c r="A1135" t="s">
        <v>960</v>
      </c>
      <c r="B1135">
        <v>1762.99</v>
      </c>
      <c r="C1135" t="s">
        <v>33</v>
      </c>
      <c r="D1135">
        <v>12</v>
      </c>
      <c r="E1135">
        <v>122.44</v>
      </c>
      <c r="F1135" t="s">
        <v>79</v>
      </c>
      <c r="G1135">
        <v>2</v>
      </c>
      <c r="H1135">
        <v>146.87</v>
      </c>
    </row>
    <row r="1136" spans="1:11" s="40" customFormat="1" x14ac:dyDescent="0.3">
      <c r="A1136" s="41" t="s">
        <v>976</v>
      </c>
      <c r="B1136" s="40">
        <f>D1135*E1136+G1135*H1136+J1135*K1136</f>
        <v>1762.9903397</v>
      </c>
      <c r="E1136" s="40">
        <v>122.43752325000001</v>
      </c>
      <c r="H1136" s="40">
        <v>146.87003034999998</v>
      </c>
    </row>
    <row r="1137" spans="1:11" x14ac:dyDescent="0.3">
      <c r="A1137" t="s">
        <v>961</v>
      </c>
      <c r="B1137">
        <v>1762.99</v>
      </c>
      <c r="C1137" t="s">
        <v>33</v>
      </c>
      <c r="D1137">
        <v>12</v>
      </c>
      <c r="E1137">
        <v>122.44</v>
      </c>
      <c r="F1137" t="s">
        <v>79</v>
      </c>
      <c r="G1137">
        <v>2</v>
      </c>
      <c r="H1137">
        <v>146.87</v>
      </c>
    </row>
    <row r="1138" spans="1:11" s="40" customFormat="1" x14ac:dyDescent="0.3">
      <c r="A1138" s="41" t="s">
        <v>976</v>
      </c>
      <c r="B1138" s="40">
        <f>D1137*E1138+G1137*H1138+J1137*K1138</f>
        <v>1762.9903397</v>
      </c>
      <c r="E1138" s="40">
        <v>122.43752325000001</v>
      </c>
      <c r="H1138" s="40">
        <v>146.87003034999998</v>
      </c>
    </row>
    <row r="1139" spans="1:11" x14ac:dyDescent="0.3">
      <c r="A1139" t="s">
        <v>703</v>
      </c>
      <c r="B1139">
        <v>2056.92</v>
      </c>
      <c r="C1139" t="s">
        <v>69</v>
      </c>
      <c r="D1139">
        <v>18</v>
      </c>
      <c r="E1139">
        <v>106.11</v>
      </c>
      <c r="F1139" t="s">
        <v>74</v>
      </c>
      <c r="G1139">
        <v>2</v>
      </c>
      <c r="H1139">
        <v>73.47</v>
      </c>
    </row>
    <row r="1140" spans="1:11" s="40" customFormat="1" x14ac:dyDescent="0.3">
      <c r="A1140" s="41" t="s">
        <v>976</v>
      </c>
      <c r="B1140" s="40">
        <f>D1139*E1140+G1139*H1140+J1139*K1140</f>
        <v>2056.9194930999997</v>
      </c>
      <c r="E1140" s="40">
        <v>106.11004834999999</v>
      </c>
      <c r="H1140" s="40">
        <v>73.469311399999995</v>
      </c>
    </row>
    <row r="1141" spans="1:11" x14ac:dyDescent="0.3">
      <c r="A1141" t="s">
        <v>524</v>
      </c>
      <c r="B1141">
        <v>6170.7</v>
      </c>
      <c r="C1141" t="s">
        <v>47</v>
      </c>
      <c r="D1141">
        <v>36</v>
      </c>
      <c r="E1141">
        <v>163.25</v>
      </c>
      <c r="F1141" t="s">
        <v>79</v>
      </c>
      <c r="G1141">
        <v>2</v>
      </c>
      <c r="H1141">
        <v>146.87</v>
      </c>
    </row>
    <row r="1142" spans="1:11" s="40" customFormat="1" x14ac:dyDescent="0.3">
      <c r="A1142" s="41" t="s">
        <v>976</v>
      </c>
      <c r="B1142" s="40">
        <f>D1141*E1142+G1141*H1142+J1141*K1142</f>
        <v>6170.6966843</v>
      </c>
      <c r="E1142" s="40">
        <v>163.2487951</v>
      </c>
      <c r="H1142" s="40">
        <v>146.87003034999998</v>
      </c>
    </row>
    <row r="1143" spans="1:11" x14ac:dyDescent="0.3">
      <c r="A1143" t="s">
        <v>677</v>
      </c>
      <c r="B1143">
        <v>1943</v>
      </c>
      <c r="C1143" t="s">
        <v>31</v>
      </c>
      <c r="D1143">
        <v>20</v>
      </c>
      <c r="E1143">
        <v>89.8</v>
      </c>
      <c r="F1143" t="s">
        <v>74</v>
      </c>
      <c r="G1143">
        <v>2</v>
      </c>
      <c r="H1143">
        <v>73.47</v>
      </c>
    </row>
    <row r="1144" spans="1:11" s="40" customFormat="1" x14ac:dyDescent="0.3">
      <c r="A1144" s="41" t="s">
        <v>976</v>
      </c>
      <c r="B1144" s="40">
        <f>D1143*E1144+G1143*H1144+J1143*K1144</f>
        <v>1942.9979387999999</v>
      </c>
      <c r="E1144" s="40">
        <v>89.802965799999996</v>
      </c>
      <c r="H1144" s="40">
        <v>73.469311399999995</v>
      </c>
    </row>
    <row r="1145" spans="1:11" x14ac:dyDescent="0.3">
      <c r="A1145" t="s">
        <v>414</v>
      </c>
      <c r="B1145">
        <v>7837.33</v>
      </c>
      <c r="C1145" t="s">
        <v>67</v>
      </c>
      <c r="D1145">
        <v>84</v>
      </c>
      <c r="E1145">
        <v>89.8</v>
      </c>
      <c r="F1145" t="s">
        <v>74</v>
      </c>
      <c r="G1145">
        <v>4</v>
      </c>
      <c r="H1145">
        <v>73.47</v>
      </c>
    </row>
    <row r="1146" spans="1:11" s="40" customFormat="1" x14ac:dyDescent="0.3">
      <c r="A1146" s="41" t="s">
        <v>976</v>
      </c>
      <c r="B1146" s="40">
        <f>D1145*E1146+G1145*H1146+J1145*K1146</f>
        <v>7837.3263727999993</v>
      </c>
      <c r="E1146" s="40">
        <v>89.802965799999996</v>
      </c>
      <c r="H1146" s="40">
        <v>73.469311399999995</v>
      </c>
    </row>
    <row r="1147" spans="1:11" x14ac:dyDescent="0.3">
      <c r="A1147" t="s">
        <v>745</v>
      </c>
      <c r="B1147">
        <v>1436.85</v>
      </c>
      <c r="C1147" t="s">
        <v>31</v>
      </c>
      <c r="D1147">
        <v>16</v>
      </c>
      <c r="E1147">
        <v>89.8</v>
      </c>
    </row>
    <row r="1148" spans="1:11" s="40" customFormat="1" x14ac:dyDescent="0.3">
      <c r="A1148" s="41" t="s">
        <v>976</v>
      </c>
      <c r="B1148" s="40">
        <f>D1147*E1148+G1147*H1148+J1147*K1148</f>
        <v>1436.8474527999999</v>
      </c>
      <c r="E1148" s="40">
        <v>89.802965799999996</v>
      </c>
    </row>
    <row r="1149" spans="1:11" x14ac:dyDescent="0.3">
      <c r="A1149" t="s">
        <v>720</v>
      </c>
      <c r="B1149">
        <v>2497.6799999999998</v>
      </c>
      <c r="C1149" t="s">
        <v>57</v>
      </c>
      <c r="D1149">
        <v>16</v>
      </c>
      <c r="E1149">
        <v>146.91999999999999</v>
      </c>
      <c r="F1149" t="s">
        <v>83</v>
      </c>
      <c r="G1149">
        <v>2</v>
      </c>
      <c r="H1149">
        <v>73.47</v>
      </c>
    </row>
    <row r="1150" spans="1:11" s="40" customFormat="1" x14ac:dyDescent="0.3">
      <c r="A1150" s="41" t="s">
        <v>976</v>
      </c>
      <c r="B1150" s="40">
        <f>D1149*E1150+G1149*H1150+J1149*K1150</f>
        <v>2497.6797459999998</v>
      </c>
      <c r="E1150" s="40">
        <v>146.9213202</v>
      </c>
      <c r="H1150" s="40">
        <v>73.469311399999995</v>
      </c>
    </row>
    <row r="1151" spans="1:11" x14ac:dyDescent="0.3">
      <c r="A1151" t="s">
        <v>823</v>
      </c>
      <c r="B1151">
        <v>1616.32</v>
      </c>
      <c r="C1151" t="s">
        <v>31</v>
      </c>
      <c r="D1151">
        <v>12</v>
      </c>
      <c r="E1151">
        <v>89.8</v>
      </c>
      <c r="F1151" t="s">
        <v>74</v>
      </c>
      <c r="G1151">
        <v>2</v>
      </c>
      <c r="H1151">
        <v>73.47</v>
      </c>
      <c r="I1151" t="s">
        <v>150</v>
      </c>
      <c r="J1151">
        <v>4</v>
      </c>
      <c r="K1151">
        <v>97.94</v>
      </c>
    </row>
    <row r="1152" spans="1:11" s="40" customFormat="1" x14ac:dyDescent="0.3">
      <c r="A1152" s="41" t="s">
        <v>976</v>
      </c>
      <c r="B1152" s="40">
        <f>D1151*E1152+G1151*H1152+J1151*K1152</f>
        <v>1616.3186737718001</v>
      </c>
      <c r="E1152" s="40">
        <v>89.802965799999996</v>
      </c>
      <c r="H1152" s="40">
        <v>73.469311399999995</v>
      </c>
      <c r="K1152" s="40">
        <v>97.936115342949989</v>
      </c>
    </row>
    <row r="1153" spans="1:11" x14ac:dyDescent="0.3">
      <c r="A1153" t="s">
        <v>847</v>
      </c>
      <c r="B1153">
        <v>1420.26</v>
      </c>
      <c r="C1153" t="s">
        <v>69</v>
      </c>
      <c r="D1153">
        <v>12</v>
      </c>
      <c r="E1153">
        <v>106.11</v>
      </c>
      <c r="F1153" t="s">
        <v>74</v>
      </c>
      <c r="G1153">
        <v>2</v>
      </c>
      <c r="H1153">
        <v>73.47</v>
      </c>
    </row>
    <row r="1154" spans="1:11" s="40" customFormat="1" x14ac:dyDescent="0.3">
      <c r="A1154" s="41" t="s">
        <v>976</v>
      </c>
      <c r="B1154" s="40">
        <f>D1153*E1154+G1153*H1154+J1153*K1154</f>
        <v>1420.2592029999998</v>
      </c>
      <c r="E1154" s="40">
        <v>106.11004834999999</v>
      </c>
      <c r="H1154" s="40">
        <v>73.469311399999995</v>
      </c>
    </row>
    <row r="1155" spans="1:11" x14ac:dyDescent="0.3">
      <c r="A1155" t="s">
        <v>964</v>
      </c>
      <c r="B1155">
        <v>2399.62</v>
      </c>
      <c r="C1155" t="s">
        <v>69</v>
      </c>
      <c r="D1155">
        <v>12</v>
      </c>
      <c r="E1155">
        <v>106.11</v>
      </c>
      <c r="F1155" t="s">
        <v>74</v>
      </c>
      <c r="G1155">
        <v>2</v>
      </c>
      <c r="H1155">
        <v>73.47</v>
      </c>
      <c r="I1155" t="s">
        <v>150</v>
      </c>
      <c r="J1155">
        <v>10</v>
      </c>
      <c r="K1155">
        <v>97.94</v>
      </c>
    </row>
    <row r="1156" spans="1:11" s="40" customFormat="1" x14ac:dyDescent="0.3">
      <c r="A1156" s="41" t="s">
        <v>976</v>
      </c>
      <c r="B1156" s="40">
        <f>D1155*E1156+G1155*H1156+J1155*K1156</f>
        <v>2399.6203564294997</v>
      </c>
      <c r="E1156" s="40">
        <v>106.11004834999999</v>
      </c>
      <c r="H1156" s="40">
        <v>73.469311399999995</v>
      </c>
      <c r="K1156" s="40">
        <v>97.936115342949989</v>
      </c>
    </row>
    <row r="1157" spans="1:11" x14ac:dyDescent="0.3">
      <c r="A1157" t="s">
        <v>966</v>
      </c>
      <c r="B1157">
        <v>1942.59</v>
      </c>
      <c r="C1157" t="s">
        <v>29</v>
      </c>
      <c r="D1157">
        <v>12</v>
      </c>
      <c r="E1157">
        <v>73.47</v>
      </c>
      <c r="F1157" t="s">
        <v>99</v>
      </c>
      <c r="G1157">
        <v>2</v>
      </c>
      <c r="H1157">
        <v>40.799999999999997</v>
      </c>
      <c r="I1157" t="s">
        <v>164</v>
      </c>
      <c r="J1157">
        <v>10</v>
      </c>
      <c r="K1157">
        <v>97.94</v>
      </c>
    </row>
    <row r="1158" spans="1:11" s="40" customFormat="1" x14ac:dyDescent="0.3">
      <c r="A1158" s="41" t="s">
        <v>976</v>
      </c>
      <c r="B1158" s="40">
        <f>D1157*E1158+G1157*H1158+J1157*K1158</f>
        <v>1942.5949291125999</v>
      </c>
      <c r="E1158" s="40">
        <v>73.469311399999995</v>
      </c>
      <c r="H1158" s="40">
        <v>40.80101944154999</v>
      </c>
      <c r="K1158" s="40">
        <v>97.936115342949989</v>
      </c>
    </row>
    <row r="1159" spans="1:11" x14ac:dyDescent="0.3">
      <c r="A1159" t="s">
        <v>890</v>
      </c>
      <c r="B1159">
        <v>718.29</v>
      </c>
      <c r="C1159" t="s">
        <v>27</v>
      </c>
      <c r="D1159">
        <v>10</v>
      </c>
      <c r="E1159">
        <v>57.14</v>
      </c>
      <c r="F1159" t="s">
        <v>72</v>
      </c>
      <c r="G1159">
        <v>2</v>
      </c>
      <c r="H1159">
        <v>73.47</v>
      </c>
    </row>
    <row r="1160" spans="1:11" s="40" customFormat="1" x14ac:dyDescent="0.3">
      <c r="A1160" s="41" t="s">
        <v>976</v>
      </c>
      <c r="B1160" s="40">
        <f>D1159*E1160+G1159*H1160+J1159*K1160</f>
        <v>718.28901329999997</v>
      </c>
      <c r="E1160" s="40">
        <v>57.135039049999996</v>
      </c>
      <c r="H1160" s="40">
        <v>73.469311399999995</v>
      </c>
    </row>
    <row r="1161" spans="1:11" x14ac:dyDescent="0.3">
      <c r="A1161" t="s">
        <v>968</v>
      </c>
      <c r="B1161">
        <v>1714.05</v>
      </c>
      <c r="C1161" t="s">
        <v>29</v>
      </c>
      <c r="D1161">
        <v>8</v>
      </c>
      <c r="E1161">
        <v>73.47</v>
      </c>
      <c r="F1161" t="s">
        <v>74</v>
      </c>
      <c r="G1161">
        <v>2</v>
      </c>
      <c r="H1161">
        <v>73.47</v>
      </c>
      <c r="I1161" t="s">
        <v>150</v>
      </c>
      <c r="J1161">
        <v>10</v>
      </c>
      <c r="K1161">
        <v>97.94</v>
      </c>
    </row>
    <row r="1162" spans="1:11" s="40" customFormat="1" x14ac:dyDescent="0.3">
      <c r="A1162" s="41" t="s">
        <v>976</v>
      </c>
      <c r="B1162" s="40">
        <f>D1161*E1162+G1161*H1162+J1161*K1162</f>
        <v>1714.0542674294998</v>
      </c>
      <c r="E1162" s="40">
        <v>73.469311399999995</v>
      </c>
      <c r="H1162" s="40">
        <v>73.469311399999995</v>
      </c>
      <c r="K1162" s="40">
        <v>97.936115342949989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49C2C-69DE-4B89-AF42-B5333831DCCA}">
  <sheetPr codeName="Sheet9"/>
  <dimension ref="A1:K581"/>
  <sheetViews>
    <sheetView workbookViewId="0"/>
  </sheetViews>
  <sheetFormatPr defaultRowHeight="14.4" x14ac:dyDescent="0.3"/>
  <cols>
    <col min="1" max="1" width="17.44140625" bestFit="1" customWidth="1"/>
    <col min="2" max="2" width="9.5546875" bestFit="1" customWidth="1"/>
    <col min="3" max="3" width="8.77734375" bestFit="1" customWidth="1"/>
    <col min="4" max="4" width="4" bestFit="1" customWidth="1"/>
    <col min="5" max="5" width="7.109375" bestFit="1" customWidth="1"/>
    <col min="6" max="6" width="14.109375" bestFit="1" customWidth="1"/>
    <col min="7" max="7" width="2" bestFit="1" customWidth="1"/>
    <col min="8" max="8" width="7.109375" bestFit="1" customWidth="1"/>
    <col min="9" max="9" width="9.33203125" bestFit="1" customWidth="1"/>
    <col min="10" max="10" width="3" bestFit="1" customWidth="1"/>
    <col min="11" max="11" width="7.109375" bestFit="1" customWidth="1"/>
  </cols>
  <sheetData>
    <row r="1" spans="1:8" x14ac:dyDescent="0.3">
      <c r="A1" t="s">
        <v>396</v>
      </c>
      <c r="B1" s="42">
        <v>2164</v>
      </c>
      <c r="C1" t="s">
        <v>31</v>
      </c>
      <c r="D1">
        <v>144</v>
      </c>
      <c r="E1" s="42">
        <v>14.53</v>
      </c>
      <c r="F1" t="s">
        <v>74</v>
      </c>
      <c r="G1">
        <v>6</v>
      </c>
      <c r="H1" s="42">
        <v>11.89</v>
      </c>
    </row>
    <row r="2" spans="1:8" x14ac:dyDescent="0.3">
      <c r="A2" t="s">
        <v>397</v>
      </c>
      <c r="B2" s="42">
        <v>1168.95</v>
      </c>
      <c r="C2" t="s">
        <v>27</v>
      </c>
      <c r="D2">
        <v>120</v>
      </c>
      <c r="E2" s="42">
        <v>9.25</v>
      </c>
      <c r="F2" t="s">
        <v>72</v>
      </c>
      <c r="G2">
        <v>5</v>
      </c>
      <c r="H2" s="42">
        <v>11.89</v>
      </c>
    </row>
    <row r="3" spans="1:8" x14ac:dyDescent="0.3">
      <c r="A3" t="s">
        <v>404</v>
      </c>
      <c r="B3" s="42">
        <v>2496.46</v>
      </c>
      <c r="C3" t="s">
        <v>33</v>
      </c>
      <c r="D3">
        <v>120</v>
      </c>
      <c r="E3" s="42">
        <v>19.809999999999999</v>
      </c>
      <c r="F3" t="s">
        <v>79</v>
      </c>
      <c r="G3">
        <v>5</v>
      </c>
      <c r="H3" s="42">
        <v>23.77</v>
      </c>
    </row>
    <row r="4" spans="1:8" x14ac:dyDescent="0.3">
      <c r="A4" t="s">
        <v>395</v>
      </c>
      <c r="B4" s="42">
        <v>1402.74</v>
      </c>
      <c r="C4" t="s">
        <v>27</v>
      </c>
      <c r="D4">
        <v>144</v>
      </c>
      <c r="E4" s="42">
        <v>9.25</v>
      </c>
      <c r="F4" t="s">
        <v>72</v>
      </c>
      <c r="G4">
        <v>6</v>
      </c>
      <c r="H4" s="42">
        <v>11.89</v>
      </c>
    </row>
    <row r="5" spans="1:8" x14ac:dyDescent="0.3">
      <c r="A5" t="s">
        <v>401</v>
      </c>
      <c r="B5" s="42">
        <v>1803.33</v>
      </c>
      <c r="C5" t="s">
        <v>31</v>
      </c>
      <c r="D5">
        <v>120</v>
      </c>
      <c r="E5" s="42">
        <v>14.53</v>
      </c>
      <c r="F5" t="s">
        <v>74</v>
      </c>
      <c r="G5">
        <v>5</v>
      </c>
      <c r="H5" s="42">
        <v>11.89</v>
      </c>
    </row>
    <row r="6" spans="1:8" x14ac:dyDescent="0.3">
      <c r="A6" t="s">
        <v>398</v>
      </c>
      <c r="B6" s="42">
        <v>1168.95</v>
      </c>
      <c r="C6" t="s">
        <v>27</v>
      </c>
      <c r="D6">
        <v>120</v>
      </c>
      <c r="E6" s="42">
        <v>9.25</v>
      </c>
      <c r="F6" t="s">
        <v>72</v>
      </c>
      <c r="G6">
        <v>5</v>
      </c>
      <c r="H6" s="42">
        <v>11.89</v>
      </c>
    </row>
    <row r="7" spans="1:8" x14ac:dyDescent="0.3">
      <c r="A7" t="s">
        <v>399</v>
      </c>
      <c r="B7" s="42">
        <v>1803.33</v>
      </c>
      <c r="C7" t="s">
        <v>67</v>
      </c>
      <c r="D7">
        <v>120</v>
      </c>
      <c r="E7" s="42">
        <v>14.53</v>
      </c>
      <c r="F7" t="s">
        <v>74</v>
      </c>
      <c r="G7">
        <v>5</v>
      </c>
      <c r="H7" s="42">
        <v>11.89</v>
      </c>
    </row>
    <row r="8" spans="1:8" x14ac:dyDescent="0.3">
      <c r="A8" t="s">
        <v>400</v>
      </c>
      <c r="B8" s="42">
        <v>2120</v>
      </c>
      <c r="C8" t="s">
        <v>69</v>
      </c>
      <c r="D8">
        <v>120</v>
      </c>
      <c r="E8" s="42">
        <v>17.170000000000002</v>
      </c>
      <c r="F8" t="s">
        <v>74</v>
      </c>
      <c r="G8">
        <v>5</v>
      </c>
      <c r="H8" s="42">
        <v>11.89</v>
      </c>
    </row>
    <row r="9" spans="1:8" x14ac:dyDescent="0.3">
      <c r="A9" t="s">
        <v>402</v>
      </c>
      <c r="B9" s="42">
        <v>1961.47</v>
      </c>
      <c r="C9" t="s">
        <v>43</v>
      </c>
      <c r="D9">
        <v>120</v>
      </c>
      <c r="E9" s="42">
        <v>15.85</v>
      </c>
      <c r="F9" t="s">
        <v>74</v>
      </c>
      <c r="G9">
        <v>5</v>
      </c>
      <c r="H9" s="42">
        <v>11.89</v>
      </c>
    </row>
    <row r="10" spans="1:8" x14ac:dyDescent="0.3">
      <c r="A10" t="s">
        <v>405</v>
      </c>
      <c r="B10" s="42">
        <v>1961.47</v>
      </c>
      <c r="C10" t="s">
        <v>43</v>
      </c>
      <c r="D10">
        <v>120</v>
      </c>
      <c r="E10" s="42">
        <v>15.85</v>
      </c>
      <c r="F10" t="s">
        <v>74</v>
      </c>
      <c r="G10">
        <v>5</v>
      </c>
      <c r="H10" s="42">
        <v>11.89</v>
      </c>
    </row>
    <row r="11" spans="1:8" x14ac:dyDescent="0.3">
      <c r="A11" t="s">
        <v>403</v>
      </c>
      <c r="B11" s="42">
        <v>935.16</v>
      </c>
      <c r="C11" t="s">
        <v>27</v>
      </c>
      <c r="D11">
        <v>96</v>
      </c>
      <c r="E11" s="42">
        <v>9.25</v>
      </c>
      <c r="F11" t="s">
        <v>72</v>
      </c>
      <c r="G11">
        <v>4</v>
      </c>
      <c r="H11" s="42">
        <v>11.89</v>
      </c>
    </row>
    <row r="12" spans="1:8" x14ac:dyDescent="0.3">
      <c r="A12" t="s">
        <v>408</v>
      </c>
      <c r="B12" s="42">
        <v>1188.92</v>
      </c>
      <c r="C12" t="s">
        <v>29</v>
      </c>
      <c r="D12">
        <v>96</v>
      </c>
      <c r="E12" s="42">
        <v>11.89</v>
      </c>
      <c r="F12" t="s">
        <v>74</v>
      </c>
      <c r="G12">
        <v>4</v>
      </c>
      <c r="H12" s="42">
        <v>11.89</v>
      </c>
    </row>
    <row r="13" spans="1:8" x14ac:dyDescent="0.3">
      <c r="A13" t="s">
        <v>409</v>
      </c>
      <c r="B13" s="42">
        <v>935.16</v>
      </c>
      <c r="C13" t="s">
        <v>27</v>
      </c>
      <c r="D13">
        <v>96</v>
      </c>
      <c r="E13" s="42">
        <v>9.25</v>
      </c>
      <c r="F13" t="s">
        <v>72</v>
      </c>
      <c r="G13">
        <v>4</v>
      </c>
      <c r="H13" s="42">
        <v>11.89</v>
      </c>
    </row>
    <row r="14" spans="1:8" x14ac:dyDescent="0.3">
      <c r="A14" t="s">
        <v>406</v>
      </c>
      <c r="B14" s="42">
        <v>1188.92</v>
      </c>
      <c r="C14" t="s">
        <v>29</v>
      </c>
      <c r="D14">
        <v>96</v>
      </c>
      <c r="E14" s="42">
        <v>11.89</v>
      </c>
      <c r="F14" t="s">
        <v>74</v>
      </c>
      <c r="G14">
        <v>4</v>
      </c>
      <c r="H14" s="42">
        <v>11.89</v>
      </c>
    </row>
    <row r="15" spans="1:8" x14ac:dyDescent="0.3">
      <c r="A15" t="s">
        <v>407</v>
      </c>
      <c r="B15" s="42">
        <v>935.16</v>
      </c>
      <c r="C15" t="s">
        <v>27</v>
      </c>
      <c r="D15">
        <v>96</v>
      </c>
      <c r="E15" s="42">
        <v>9.25</v>
      </c>
      <c r="F15" t="s">
        <v>72</v>
      </c>
      <c r="G15">
        <v>4</v>
      </c>
      <c r="H15" s="42">
        <v>11.89</v>
      </c>
    </row>
    <row r="16" spans="1:8" x14ac:dyDescent="0.3">
      <c r="A16" t="s">
        <v>411</v>
      </c>
      <c r="B16" s="42">
        <v>1442.67</v>
      </c>
      <c r="C16" t="s">
        <v>31</v>
      </c>
      <c r="D16">
        <v>96</v>
      </c>
      <c r="E16" s="42">
        <v>14.53</v>
      </c>
      <c r="F16" t="s">
        <v>74</v>
      </c>
      <c r="G16">
        <v>4</v>
      </c>
      <c r="H16" s="42">
        <v>11.89</v>
      </c>
    </row>
    <row r="17" spans="1:8" x14ac:dyDescent="0.3">
      <c r="A17" t="s">
        <v>418</v>
      </c>
      <c r="B17" s="42">
        <v>1082</v>
      </c>
      <c r="C17" t="s">
        <v>31</v>
      </c>
      <c r="D17">
        <v>72</v>
      </c>
      <c r="E17" s="42">
        <v>14.53</v>
      </c>
      <c r="F17" t="s">
        <v>74</v>
      </c>
      <c r="G17">
        <v>3</v>
      </c>
      <c r="H17" s="42">
        <v>11.89</v>
      </c>
    </row>
    <row r="18" spans="1:8" x14ac:dyDescent="0.3">
      <c r="A18" t="s">
        <v>410</v>
      </c>
      <c r="B18" s="42">
        <v>887.61</v>
      </c>
      <c r="C18" t="s">
        <v>27</v>
      </c>
      <c r="D18">
        <v>96</v>
      </c>
      <c r="E18" s="42">
        <v>9.25</v>
      </c>
      <c r="H18" s="42"/>
    </row>
    <row r="19" spans="1:8" x14ac:dyDescent="0.3">
      <c r="A19" t="s">
        <v>412</v>
      </c>
      <c r="B19" s="42">
        <v>1442.67</v>
      </c>
      <c r="C19" t="s">
        <v>31</v>
      </c>
      <c r="D19">
        <v>96</v>
      </c>
      <c r="E19" s="42">
        <v>14.53</v>
      </c>
      <c r="F19" t="s">
        <v>74</v>
      </c>
      <c r="G19">
        <v>4</v>
      </c>
      <c r="H19" s="42">
        <v>11.89</v>
      </c>
    </row>
    <row r="20" spans="1:8" x14ac:dyDescent="0.3">
      <c r="A20" t="s">
        <v>419</v>
      </c>
      <c r="B20" s="42">
        <v>891.69</v>
      </c>
      <c r="C20" t="s">
        <v>29</v>
      </c>
      <c r="D20">
        <v>72</v>
      </c>
      <c r="E20" s="42">
        <v>11.89</v>
      </c>
      <c r="F20" t="s">
        <v>74</v>
      </c>
      <c r="G20">
        <v>3</v>
      </c>
      <c r="H20" s="42">
        <v>11.89</v>
      </c>
    </row>
    <row r="21" spans="1:8" x14ac:dyDescent="0.3">
      <c r="A21" t="s">
        <v>416</v>
      </c>
      <c r="B21" s="42">
        <v>1210.1500000000001</v>
      </c>
      <c r="C21" t="s">
        <v>31</v>
      </c>
      <c r="D21">
        <v>80</v>
      </c>
      <c r="E21" s="42">
        <v>14.53</v>
      </c>
      <c r="F21" t="s">
        <v>74</v>
      </c>
      <c r="G21">
        <v>4</v>
      </c>
      <c r="H21" s="42">
        <v>11.89</v>
      </c>
    </row>
    <row r="22" spans="1:8" x14ac:dyDescent="0.3">
      <c r="A22" t="s">
        <v>417</v>
      </c>
      <c r="B22" s="42">
        <v>511.05</v>
      </c>
      <c r="C22" t="s">
        <v>24</v>
      </c>
      <c r="D22">
        <v>72</v>
      </c>
      <c r="E22" s="42">
        <v>6.6</v>
      </c>
      <c r="F22" t="s">
        <v>72</v>
      </c>
      <c r="G22">
        <v>3</v>
      </c>
      <c r="H22" s="42">
        <v>11.89</v>
      </c>
    </row>
    <row r="23" spans="1:8" x14ac:dyDescent="0.3">
      <c r="A23" t="s">
        <v>413</v>
      </c>
      <c r="B23" s="42">
        <v>1442.67</v>
      </c>
      <c r="C23" t="s">
        <v>31</v>
      </c>
      <c r="D23">
        <v>96</v>
      </c>
      <c r="E23" s="42">
        <v>14.53</v>
      </c>
      <c r="F23" t="s">
        <v>74</v>
      </c>
      <c r="G23">
        <v>4</v>
      </c>
      <c r="H23" s="42">
        <v>11.89</v>
      </c>
    </row>
    <row r="24" spans="1:8" x14ac:dyDescent="0.3">
      <c r="A24" t="s">
        <v>414</v>
      </c>
      <c r="B24" s="42">
        <v>1268.28</v>
      </c>
      <c r="C24" t="s">
        <v>67</v>
      </c>
      <c r="D24">
        <v>84</v>
      </c>
      <c r="E24" s="42">
        <v>14.53</v>
      </c>
      <c r="F24" t="s">
        <v>74</v>
      </c>
      <c r="G24">
        <v>4</v>
      </c>
      <c r="H24" s="42">
        <v>11.89</v>
      </c>
    </row>
    <row r="25" spans="1:8" x14ac:dyDescent="0.3">
      <c r="A25" t="s">
        <v>415</v>
      </c>
      <c r="B25" s="42">
        <v>803.07</v>
      </c>
      <c r="C25" t="s">
        <v>27</v>
      </c>
      <c r="D25">
        <v>84</v>
      </c>
      <c r="E25" s="42">
        <v>9.25</v>
      </c>
      <c r="F25" t="s">
        <v>99</v>
      </c>
      <c r="G25">
        <v>4</v>
      </c>
      <c r="H25" s="42">
        <v>6.6</v>
      </c>
    </row>
    <row r="26" spans="1:8" x14ac:dyDescent="0.3">
      <c r="A26" t="s">
        <v>420</v>
      </c>
      <c r="B26" s="42">
        <v>701.37</v>
      </c>
      <c r="C26" t="s">
        <v>27</v>
      </c>
      <c r="D26">
        <v>72</v>
      </c>
      <c r="E26" s="42">
        <v>9.25</v>
      </c>
      <c r="F26" t="s">
        <v>72</v>
      </c>
      <c r="G26">
        <v>3</v>
      </c>
      <c r="H26" s="42">
        <v>11.89</v>
      </c>
    </row>
    <row r="27" spans="1:8" x14ac:dyDescent="0.3">
      <c r="A27" t="s">
        <v>421</v>
      </c>
      <c r="B27" s="42">
        <v>1082</v>
      </c>
      <c r="C27" t="s">
        <v>31</v>
      </c>
      <c r="D27">
        <v>72</v>
      </c>
      <c r="E27" s="42">
        <v>14.53</v>
      </c>
      <c r="F27" t="s">
        <v>74</v>
      </c>
      <c r="G27">
        <v>3</v>
      </c>
      <c r="H27" s="42">
        <v>11.89</v>
      </c>
    </row>
    <row r="28" spans="1:8" x14ac:dyDescent="0.3">
      <c r="A28" t="s">
        <v>428</v>
      </c>
      <c r="B28" s="42">
        <v>907.61</v>
      </c>
      <c r="C28" t="s">
        <v>67</v>
      </c>
      <c r="D28">
        <v>60</v>
      </c>
      <c r="E28" s="42">
        <v>14.53</v>
      </c>
      <c r="F28" t="s">
        <v>74</v>
      </c>
      <c r="G28">
        <v>3</v>
      </c>
      <c r="H28" s="42">
        <v>11.89</v>
      </c>
    </row>
    <row r="29" spans="1:8" x14ac:dyDescent="0.3">
      <c r="A29" t="s">
        <v>430</v>
      </c>
      <c r="B29" s="42">
        <v>1065.95</v>
      </c>
      <c r="C29" t="s">
        <v>69</v>
      </c>
      <c r="D29">
        <v>60</v>
      </c>
      <c r="E29" s="42">
        <v>17.170000000000002</v>
      </c>
      <c r="F29" t="s">
        <v>74</v>
      </c>
      <c r="G29">
        <v>3</v>
      </c>
      <c r="H29" s="42">
        <v>11.89</v>
      </c>
    </row>
    <row r="30" spans="1:8" x14ac:dyDescent="0.3">
      <c r="A30" t="s">
        <v>424</v>
      </c>
      <c r="B30" s="42">
        <v>1462.2</v>
      </c>
      <c r="C30" t="s">
        <v>57</v>
      </c>
      <c r="D30">
        <v>60</v>
      </c>
      <c r="E30" s="42">
        <v>23.78</v>
      </c>
      <c r="F30" t="s">
        <v>83</v>
      </c>
      <c r="G30">
        <v>3</v>
      </c>
      <c r="H30" s="42">
        <v>11.89</v>
      </c>
    </row>
    <row r="31" spans="1:8" x14ac:dyDescent="0.3">
      <c r="A31" t="s">
        <v>425</v>
      </c>
      <c r="B31" s="42">
        <v>590.41999999999996</v>
      </c>
      <c r="C31" t="s">
        <v>27</v>
      </c>
      <c r="D31">
        <v>60</v>
      </c>
      <c r="E31" s="42">
        <v>9.25</v>
      </c>
      <c r="F31" t="s">
        <v>72</v>
      </c>
      <c r="G31">
        <v>3</v>
      </c>
      <c r="H31" s="42">
        <v>11.89</v>
      </c>
    </row>
    <row r="32" spans="1:8" x14ac:dyDescent="0.3">
      <c r="A32" t="s">
        <v>423</v>
      </c>
      <c r="B32" s="42">
        <v>1082</v>
      </c>
      <c r="C32" t="s">
        <v>31</v>
      </c>
      <c r="D32">
        <v>72</v>
      </c>
      <c r="E32" s="42">
        <v>14.53</v>
      </c>
      <c r="F32" t="s">
        <v>74</v>
      </c>
      <c r="G32">
        <v>3</v>
      </c>
      <c r="H32" s="42">
        <v>11.89</v>
      </c>
    </row>
    <row r="33" spans="1:8" x14ac:dyDescent="0.3">
      <c r="A33" t="s">
        <v>426</v>
      </c>
      <c r="B33" s="42">
        <v>590.41999999999996</v>
      </c>
      <c r="C33" t="s">
        <v>27</v>
      </c>
      <c r="D33">
        <v>60</v>
      </c>
      <c r="E33" s="42">
        <v>9.25</v>
      </c>
      <c r="F33" t="s">
        <v>72</v>
      </c>
      <c r="G33">
        <v>3</v>
      </c>
      <c r="H33" s="42">
        <v>11.89</v>
      </c>
    </row>
    <row r="34" spans="1:8" x14ac:dyDescent="0.3">
      <c r="A34" t="s">
        <v>422</v>
      </c>
      <c r="B34" s="42">
        <v>682.88</v>
      </c>
      <c r="C34" t="s">
        <v>27</v>
      </c>
      <c r="D34">
        <v>70</v>
      </c>
      <c r="E34" s="42">
        <v>9.25</v>
      </c>
      <c r="F34" t="s">
        <v>72</v>
      </c>
      <c r="G34">
        <v>3</v>
      </c>
      <c r="H34" s="42">
        <v>11.89</v>
      </c>
    </row>
    <row r="35" spans="1:8" x14ac:dyDescent="0.3">
      <c r="A35" t="s">
        <v>427</v>
      </c>
      <c r="B35" s="42">
        <v>590.41999999999996</v>
      </c>
      <c r="C35" t="s">
        <v>27</v>
      </c>
      <c r="D35">
        <v>60</v>
      </c>
      <c r="E35" s="42">
        <v>9.25</v>
      </c>
      <c r="F35" t="s">
        <v>72</v>
      </c>
      <c r="G35">
        <v>3</v>
      </c>
      <c r="H35" s="42">
        <v>11.89</v>
      </c>
    </row>
    <row r="36" spans="1:8" x14ac:dyDescent="0.3">
      <c r="A36" t="s">
        <v>429</v>
      </c>
      <c r="B36" s="42">
        <v>907.61</v>
      </c>
      <c r="C36" t="s">
        <v>31</v>
      </c>
      <c r="D36">
        <v>60</v>
      </c>
      <c r="E36" s="42">
        <v>14.53</v>
      </c>
      <c r="F36" t="s">
        <v>74</v>
      </c>
      <c r="G36">
        <v>3</v>
      </c>
      <c r="H36" s="42">
        <v>11.89</v>
      </c>
    </row>
    <row r="37" spans="1:8" x14ac:dyDescent="0.3">
      <c r="A37" t="s">
        <v>431</v>
      </c>
      <c r="B37" s="42">
        <v>907.61</v>
      </c>
      <c r="C37" t="s">
        <v>31</v>
      </c>
      <c r="D37">
        <v>60</v>
      </c>
      <c r="E37" s="42">
        <v>14.53</v>
      </c>
      <c r="F37" t="s">
        <v>74</v>
      </c>
      <c r="G37">
        <v>3</v>
      </c>
      <c r="H37" s="42">
        <v>11.89</v>
      </c>
    </row>
    <row r="38" spans="1:8" x14ac:dyDescent="0.3">
      <c r="A38" t="s">
        <v>434</v>
      </c>
      <c r="B38" s="42">
        <v>986.68</v>
      </c>
      <c r="C38" t="s">
        <v>43</v>
      </c>
      <c r="D38">
        <v>60</v>
      </c>
      <c r="E38" s="42">
        <v>15.85</v>
      </c>
      <c r="F38" t="s">
        <v>74</v>
      </c>
      <c r="G38">
        <v>3</v>
      </c>
      <c r="H38" s="42">
        <v>11.89</v>
      </c>
    </row>
    <row r="39" spans="1:8" x14ac:dyDescent="0.3">
      <c r="A39" t="s">
        <v>432</v>
      </c>
      <c r="B39" s="42">
        <v>1260.1099999999999</v>
      </c>
      <c r="C39" t="s">
        <v>33</v>
      </c>
      <c r="D39">
        <v>60</v>
      </c>
      <c r="E39" s="42">
        <v>19.809999999999999</v>
      </c>
      <c r="F39" t="s">
        <v>79</v>
      </c>
      <c r="G39">
        <v>3</v>
      </c>
      <c r="H39" s="42">
        <v>23.77</v>
      </c>
    </row>
    <row r="40" spans="1:8" x14ac:dyDescent="0.3">
      <c r="A40" t="s">
        <v>437</v>
      </c>
      <c r="B40" s="42">
        <v>677.68</v>
      </c>
      <c r="C40" t="s">
        <v>29</v>
      </c>
      <c r="D40">
        <v>54</v>
      </c>
      <c r="E40" s="42">
        <v>11.89</v>
      </c>
      <c r="F40" t="s">
        <v>74</v>
      </c>
      <c r="G40">
        <v>3</v>
      </c>
      <c r="H40" s="42">
        <v>11.89</v>
      </c>
    </row>
    <row r="41" spans="1:8" x14ac:dyDescent="0.3">
      <c r="A41" t="s">
        <v>435</v>
      </c>
      <c r="B41" s="42">
        <v>553.44000000000005</v>
      </c>
      <c r="C41" t="s">
        <v>27</v>
      </c>
      <c r="D41">
        <v>56</v>
      </c>
      <c r="E41" s="42">
        <v>9.25</v>
      </c>
      <c r="F41" t="s">
        <v>72</v>
      </c>
      <c r="G41">
        <v>3</v>
      </c>
      <c r="H41" s="42">
        <v>11.89</v>
      </c>
    </row>
    <row r="42" spans="1:8" x14ac:dyDescent="0.3">
      <c r="A42" t="s">
        <v>436</v>
      </c>
      <c r="B42" s="42">
        <v>497.96</v>
      </c>
      <c r="C42" t="s">
        <v>27</v>
      </c>
      <c r="D42">
        <v>50</v>
      </c>
      <c r="E42" s="42">
        <v>9.25</v>
      </c>
      <c r="F42" t="s">
        <v>72</v>
      </c>
      <c r="G42">
        <v>3</v>
      </c>
      <c r="H42" s="42">
        <v>11.89</v>
      </c>
    </row>
    <row r="43" spans="1:8" x14ac:dyDescent="0.3">
      <c r="A43" t="s">
        <v>433</v>
      </c>
      <c r="B43" s="42">
        <v>986.68</v>
      </c>
      <c r="C43" t="s">
        <v>43</v>
      </c>
      <c r="D43">
        <v>60</v>
      </c>
      <c r="E43" s="42">
        <v>15.85</v>
      </c>
      <c r="F43" t="s">
        <v>74</v>
      </c>
      <c r="G43">
        <v>3</v>
      </c>
      <c r="H43" s="42">
        <v>11.89</v>
      </c>
    </row>
    <row r="44" spans="1:8" x14ac:dyDescent="0.3">
      <c r="A44" t="s">
        <v>438</v>
      </c>
      <c r="B44" s="42">
        <v>1176.9000000000001</v>
      </c>
      <c r="C44" t="s">
        <v>57</v>
      </c>
      <c r="D44">
        <v>48</v>
      </c>
      <c r="E44" s="42">
        <v>23.78</v>
      </c>
      <c r="F44" t="s">
        <v>83</v>
      </c>
      <c r="G44">
        <v>3</v>
      </c>
      <c r="H44" s="42">
        <v>11.89</v>
      </c>
    </row>
    <row r="45" spans="1:8" x14ac:dyDescent="0.3">
      <c r="A45" t="s">
        <v>439</v>
      </c>
      <c r="B45" s="42">
        <v>762.29</v>
      </c>
      <c r="C45" t="s">
        <v>31</v>
      </c>
      <c r="D45">
        <v>50</v>
      </c>
      <c r="E45" s="42">
        <v>14.53</v>
      </c>
      <c r="F45" t="s">
        <v>74</v>
      </c>
      <c r="G45">
        <v>3</v>
      </c>
      <c r="H45" s="42">
        <v>11.89</v>
      </c>
    </row>
    <row r="46" spans="1:8" x14ac:dyDescent="0.3">
      <c r="A46" t="s">
        <v>441</v>
      </c>
      <c r="B46" s="42">
        <v>352.59</v>
      </c>
      <c r="C46" t="s">
        <v>24</v>
      </c>
      <c r="D46">
        <v>48</v>
      </c>
      <c r="E46" s="42">
        <v>6.6</v>
      </c>
      <c r="F46" t="s">
        <v>72</v>
      </c>
      <c r="G46">
        <v>3</v>
      </c>
      <c r="H46" s="42">
        <v>11.89</v>
      </c>
    </row>
    <row r="47" spans="1:8" x14ac:dyDescent="0.3">
      <c r="A47" t="s">
        <v>440</v>
      </c>
      <c r="B47" s="42">
        <v>479.47</v>
      </c>
      <c r="C47" t="s">
        <v>27</v>
      </c>
      <c r="D47">
        <v>48</v>
      </c>
      <c r="E47" s="42">
        <v>9.25</v>
      </c>
      <c r="F47" t="s">
        <v>72</v>
      </c>
      <c r="G47">
        <v>3</v>
      </c>
      <c r="H47" s="42">
        <v>11.89</v>
      </c>
    </row>
    <row r="48" spans="1:8" x14ac:dyDescent="0.3">
      <c r="A48" t="s">
        <v>444</v>
      </c>
      <c r="B48" s="42">
        <v>479.47</v>
      </c>
      <c r="C48" t="s">
        <v>27</v>
      </c>
      <c r="D48">
        <v>48</v>
      </c>
      <c r="E48" s="42">
        <v>9.25</v>
      </c>
      <c r="F48" t="s">
        <v>72</v>
      </c>
      <c r="G48">
        <v>3</v>
      </c>
      <c r="H48" s="42">
        <v>11.89</v>
      </c>
    </row>
    <row r="49" spans="1:11" x14ac:dyDescent="0.3">
      <c r="A49" t="s">
        <v>447</v>
      </c>
      <c r="B49" s="42">
        <v>733.22</v>
      </c>
      <c r="C49" t="s">
        <v>67</v>
      </c>
      <c r="D49">
        <v>48</v>
      </c>
      <c r="E49" s="42">
        <v>14.53</v>
      </c>
      <c r="F49" t="s">
        <v>74</v>
      </c>
      <c r="G49">
        <v>3</v>
      </c>
      <c r="H49" s="42">
        <v>11.89</v>
      </c>
    </row>
    <row r="50" spans="1:11" x14ac:dyDescent="0.3">
      <c r="A50" t="s">
        <v>445</v>
      </c>
      <c r="B50" s="42">
        <v>606.35</v>
      </c>
      <c r="C50" t="s">
        <v>29</v>
      </c>
      <c r="D50">
        <v>48</v>
      </c>
      <c r="E50" s="42">
        <v>11.89</v>
      </c>
      <c r="F50" t="s">
        <v>74</v>
      </c>
      <c r="G50">
        <v>3</v>
      </c>
      <c r="H50" s="42">
        <v>11.89</v>
      </c>
    </row>
    <row r="51" spans="1:11" x14ac:dyDescent="0.3">
      <c r="A51" t="s">
        <v>442</v>
      </c>
      <c r="B51" s="42">
        <v>479.47</v>
      </c>
      <c r="C51" t="s">
        <v>27</v>
      </c>
      <c r="D51">
        <v>48</v>
      </c>
      <c r="E51" s="42">
        <v>9.25</v>
      </c>
      <c r="F51" t="s">
        <v>72</v>
      </c>
      <c r="G51">
        <v>3</v>
      </c>
      <c r="H51" s="42">
        <v>11.89</v>
      </c>
    </row>
    <row r="52" spans="1:11" x14ac:dyDescent="0.3">
      <c r="A52" t="s">
        <v>443</v>
      </c>
      <c r="B52" s="42">
        <v>479.47</v>
      </c>
      <c r="C52" t="s">
        <v>27</v>
      </c>
      <c r="D52">
        <v>48</v>
      </c>
      <c r="E52" s="42">
        <v>9.25</v>
      </c>
      <c r="F52" t="s">
        <v>72</v>
      </c>
      <c r="G52">
        <v>3</v>
      </c>
      <c r="H52" s="42">
        <v>11.89</v>
      </c>
    </row>
    <row r="53" spans="1:11" x14ac:dyDescent="0.3">
      <c r="A53" t="s">
        <v>449</v>
      </c>
      <c r="B53" s="42">
        <v>733.22</v>
      </c>
      <c r="C53" t="s">
        <v>31</v>
      </c>
      <c r="D53">
        <v>48</v>
      </c>
      <c r="E53" s="42">
        <v>14.53</v>
      </c>
      <c r="F53" t="s">
        <v>74</v>
      </c>
      <c r="G53">
        <v>3</v>
      </c>
      <c r="H53" s="42">
        <v>11.89</v>
      </c>
    </row>
    <row r="54" spans="1:11" x14ac:dyDescent="0.3">
      <c r="A54" t="s">
        <v>450</v>
      </c>
      <c r="B54" s="42">
        <v>733.22</v>
      </c>
      <c r="C54" t="s">
        <v>31</v>
      </c>
      <c r="D54">
        <v>48</v>
      </c>
      <c r="E54" s="42">
        <v>14.53</v>
      </c>
      <c r="F54" t="s">
        <v>74</v>
      </c>
      <c r="G54">
        <v>3</v>
      </c>
      <c r="H54" s="42">
        <v>11.89</v>
      </c>
    </row>
    <row r="55" spans="1:11" x14ac:dyDescent="0.3">
      <c r="A55" t="s">
        <v>448</v>
      </c>
      <c r="B55" s="42">
        <v>733.22</v>
      </c>
      <c r="C55" t="s">
        <v>31</v>
      </c>
      <c r="D55">
        <v>48</v>
      </c>
      <c r="E55" s="42">
        <v>14.53</v>
      </c>
      <c r="F55" t="s">
        <v>74</v>
      </c>
      <c r="G55">
        <v>3</v>
      </c>
      <c r="H55">
        <v>11.89</v>
      </c>
    </row>
    <row r="56" spans="1:11" x14ac:dyDescent="0.3">
      <c r="A56" t="s">
        <v>446</v>
      </c>
      <c r="B56" s="42">
        <v>606.35</v>
      </c>
      <c r="C56" t="s">
        <v>29</v>
      </c>
      <c r="D56">
        <v>48</v>
      </c>
      <c r="E56" s="42">
        <v>11.89</v>
      </c>
      <c r="F56" t="s">
        <v>74</v>
      </c>
      <c r="G56">
        <v>3</v>
      </c>
      <c r="H56">
        <v>11.89</v>
      </c>
    </row>
    <row r="57" spans="1:11" x14ac:dyDescent="0.3">
      <c r="A57" t="s">
        <v>569</v>
      </c>
      <c r="B57" s="42">
        <v>733.22</v>
      </c>
      <c r="C57" t="s">
        <v>31</v>
      </c>
      <c r="D57">
        <v>48</v>
      </c>
      <c r="E57" s="42">
        <v>14.53</v>
      </c>
      <c r="F57" t="s">
        <v>74</v>
      </c>
      <c r="G57">
        <v>3</v>
      </c>
      <c r="H57" s="42">
        <v>11.89</v>
      </c>
      <c r="K57" s="42"/>
    </row>
    <row r="58" spans="1:11" x14ac:dyDescent="0.3">
      <c r="A58" t="s">
        <v>452</v>
      </c>
      <c r="B58" s="42">
        <v>733.22</v>
      </c>
      <c r="C58" t="s">
        <v>31</v>
      </c>
      <c r="D58">
        <v>48</v>
      </c>
      <c r="E58" s="42">
        <v>14.53</v>
      </c>
      <c r="F58" t="s">
        <v>74</v>
      </c>
      <c r="G58">
        <v>3</v>
      </c>
      <c r="H58" s="42">
        <v>11.89</v>
      </c>
      <c r="K58" s="42"/>
    </row>
    <row r="59" spans="1:11" x14ac:dyDescent="0.3">
      <c r="A59" t="s">
        <v>454</v>
      </c>
      <c r="B59" s="42">
        <v>733.22</v>
      </c>
      <c r="C59" t="s">
        <v>31</v>
      </c>
      <c r="D59">
        <v>48</v>
      </c>
      <c r="E59" s="42">
        <v>14.53</v>
      </c>
      <c r="F59" t="s">
        <v>74</v>
      </c>
      <c r="G59">
        <v>3</v>
      </c>
      <c r="H59" s="42">
        <v>11.89</v>
      </c>
      <c r="K59" s="42"/>
    </row>
    <row r="60" spans="1:11" x14ac:dyDescent="0.3">
      <c r="A60" t="s">
        <v>451</v>
      </c>
      <c r="B60" s="42">
        <v>859.89</v>
      </c>
      <c r="C60" t="s">
        <v>69</v>
      </c>
      <c r="D60">
        <v>48</v>
      </c>
      <c r="E60" s="42">
        <v>17.170000000000002</v>
      </c>
      <c r="F60" t="s">
        <v>74</v>
      </c>
      <c r="G60">
        <v>3</v>
      </c>
      <c r="H60" s="42">
        <v>11.89</v>
      </c>
    </row>
    <row r="61" spans="1:11" x14ac:dyDescent="0.3">
      <c r="A61" t="s">
        <v>453</v>
      </c>
      <c r="B61" s="42">
        <v>733.22</v>
      </c>
      <c r="C61" t="s">
        <v>31</v>
      </c>
      <c r="D61">
        <v>48</v>
      </c>
      <c r="E61" s="42">
        <v>14.53</v>
      </c>
      <c r="F61" t="s">
        <v>74</v>
      </c>
      <c r="G61">
        <v>3</v>
      </c>
      <c r="H61" s="42">
        <v>11.89</v>
      </c>
    </row>
    <row r="62" spans="1:11" x14ac:dyDescent="0.3">
      <c r="A62" t="s">
        <v>457</v>
      </c>
      <c r="B62" s="42">
        <v>1022.35</v>
      </c>
      <c r="C62" t="s">
        <v>33</v>
      </c>
      <c r="D62">
        <v>48</v>
      </c>
      <c r="E62" s="42">
        <v>19.809999999999999</v>
      </c>
      <c r="F62" t="s">
        <v>79</v>
      </c>
      <c r="G62">
        <v>3</v>
      </c>
      <c r="H62" s="42">
        <v>23.77</v>
      </c>
    </row>
    <row r="63" spans="1:11" x14ac:dyDescent="0.3">
      <c r="A63" t="s">
        <v>455</v>
      </c>
      <c r="B63" s="42">
        <v>733.22</v>
      </c>
      <c r="C63" t="s">
        <v>31</v>
      </c>
      <c r="D63">
        <v>48</v>
      </c>
      <c r="E63" s="42">
        <v>14.53</v>
      </c>
      <c r="F63" t="s">
        <v>74</v>
      </c>
      <c r="G63">
        <v>3</v>
      </c>
      <c r="H63" s="42">
        <v>11.89</v>
      </c>
    </row>
    <row r="64" spans="1:11" x14ac:dyDescent="0.3">
      <c r="A64" t="s">
        <v>458</v>
      </c>
      <c r="B64" s="42">
        <v>733.22</v>
      </c>
      <c r="C64" t="s">
        <v>31</v>
      </c>
      <c r="D64">
        <v>48</v>
      </c>
      <c r="E64" s="42">
        <v>14.53</v>
      </c>
      <c r="F64" t="s">
        <v>74</v>
      </c>
      <c r="G64">
        <v>3</v>
      </c>
      <c r="H64" s="42">
        <v>11.89</v>
      </c>
    </row>
    <row r="65" spans="1:11" x14ac:dyDescent="0.3">
      <c r="A65" t="s">
        <v>460</v>
      </c>
      <c r="B65" s="42">
        <v>1022.35</v>
      </c>
      <c r="C65" t="s">
        <v>33</v>
      </c>
      <c r="D65">
        <v>48</v>
      </c>
      <c r="E65" s="42">
        <v>19.809999999999999</v>
      </c>
      <c r="F65" t="s">
        <v>79</v>
      </c>
      <c r="G65">
        <v>3</v>
      </c>
      <c r="H65" s="42">
        <v>23.77</v>
      </c>
      <c r="K65" s="42"/>
    </row>
    <row r="66" spans="1:11" x14ac:dyDescent="0.3">
      <c r="A66" t="s">
        <v>456</v>
      </c>
      <c r="B66" s="42">
        <v>859.89</v>
      </c>
      <c r="C66" t="s">
        <v>69</v>
      </c>
      <c r="D66">
        <v>48</v>
      </c>
      <c r="E66" s="42">
        <v>17.170000000000002</v>
      </c>
      <c r="F66" t="s">
        <v>74</v>
      </c>
      <c r="G66">
        <v>3</v>
      </c>
      <c r="H66" s="42">
        <v>11.89</v>
      </c>
    </row>
    <row r="67" spans="1:11" x14ac:dyDescent="0.3">
      <c r="A67" t="s">
        <v>459</v>
      </c>
      <c r="B67" s="42">
        <v>1022.35</v>
      </c>
      <c r="C67" t="s">
        <v>33</v>
      </c>
      <c r="D67">
        <v>48</v>
      </c>
      <c r="E67" s="42">
        <v>19.809999999999999</v>
      </c>
      <c r="F67" t="s">
        <v>79</v>
      </c>
      <c r="G67">
        <v>3</v>
      </c>
      <c r="H67" s="42">
        <v>23.77</v>
      </c>
    </row>
    <row r="68" spans="1:11" x14ac:dyDescent="0.3">
      <c r="A68" t="s">
        <v>461</v>
      </c>
      <c r="B68" s="42">
        <v>796.48</v>
      </c>
      <c r="C68" t="s">
        <v>43</v>
      </c>
      <c r="D68">
        <v>48</v>
      </c>
      <c r="E68" s="42">
        <v>15.85</v>
      </c>
      <c r="F68" t="s">
        <v>74</v>
      </c>
      <c r="G68">
        <v>3</v>
      </c>
      <c r="H68" s="42">
        <v>11.89</v>
      </c>
    </row>
    <row r="69" spans="1:11" x14ac:dyDescent="0.3">
      <c r="A69" t="s">
        <v>463</v>
      </c>
      <c r="B69" s="42">
        <v>796.48</v>
      </c>
      <c r="C69" t="s">
        <v>43</v>
      </c>
      <c r="D69">
        <v>48</v>
      </c>
      <c r="E69" s="42">
        <v>15.85</v>
      </c>
      <c r="F69" t="s">
        <v>74</v>
      </c>
      <c r="G69">
        <v>3</v>
      </c>
      <c r="H69" s="42">
        <v>11.89</v>
      </c>
    </row>
    <row r="70" spans="1:11" x14ac:dyDescent="0.3">
      <c r="A70" t="s">
        <v>470</v>
      </c>
      <c r="B70" s="42">
        <v>443.8</v>
      </c>
      <c r="C70" t="s">
        <v>27</v>
      </c>
      <c r="D70">
        <v>48</v>
      </c>
      <c r="E70" s="42">
        <v>9.25</v>
      </c>
      <c r="H70" s="42"/>
    </row>
    <row r="71" spans="1:11" x14ac:dyDescent="0.3">
      <c r="A71" t="s">
        <v>464</v>
      </c>
      <c r="B71" s="42">
        <v>796.48</v>
      </c>
      <c r="C71" t="s">
        <v>43</v>
      </c>
      <c r="D71">
        <v>48</v>
      </c>
      <c r="E71" s="42">
        <v>15.85</v>
      </c>
      <c r="F71" t="s">
        <v>74</v>
      </c>
      <c r="G71">
        <v>3</v>
      </c>
      <c r="H71" s="42">
        <v>11.89</v>
      </c>
    </row>
    <row r="72" spans="1:11" x14ac:dyDescent="0.3">
      <c r="A72" t="s">
        <v>466</v>
      </c>
      <c r="B72" s="42">
        <v>796.48</v>
      </c>
      <c r="C72" t="s">
        <v>43</v>
      </c>
      <c r="D72">
        <v>48</v>
      </c>
      <c r="E72" s="42">
        <v>15.85</v>
      </c>
      <c r="F72" t="s">
        <v>74</v>
      </c>
      <c r="G72">
        <v>3</v>
      </c>
      <c r="H72" s="42">
        <v>11.89</v>
      </c>
    </row>
    <row r="73" spans="1:11" x14ac:dyDescent="0.3">
      <c r="A73" t="s">
        <v>462</v>
      </c>
      <c r="B73" s="42">
        <v>511.18</v>
      </c>
      <c r="C73" t="s">
        <v>39</v>
      </c>
      <c r="D73">
        <v>48</v>
      </c>
      <c r="E73" s="42">
        <v>9.91</v>
      </c>
      <c r="F73" t="s">
        <v>72</v>
      </c>
      <c r="G73">
        <v>3</v>
      </c>
      <c r="H73" s="42">
        <v>11.89</v>
      </c>
    </row>
    <row r="74" spans="1:11" x14ac:dyDescent="0.3">
      <c r="A74" t="s">
        <v>468</v>
      </c>
      <c r="B74" s="42">
        <v>697.56</v>
      </c>
      <c r="C74" t="s">
        <v>31</v>
      </c>
      <c r="D74">
        <v>48</v>
      </c>
      <c r="E74" s="42">
        <v>14.53</v>
      </c>
      <c r="H74" s="42"/>
    </row>
    <row r="75" spans="1:11" x14ac:dyDescent="0.3">
      <c r="A75" t="s">
        <v>465</v>
      </c>
      <c r="B75" s="42">
        <v>796.48</v>
      </c>
      <c r="C75" t="s">
        <v>43</v>
      </c>
      <c r="D75">
        <v>48</v>
      </c>
      <c r="E75" s="42">
        <v>15.85</v>
      </c>
      <c r="F75" t="s">
        <v>74</v>
      </c>
      <c r="G75">
        <v>3</v>
      </c>
      <c r="H75" s="42">
        <v>11.89</v>
      </c>
    </row>
    <row r="76" spans="1:11" x14ac:dyDescent="0.3">
      <c r="A76" t="s">
        <v>467</v>
      </c>
      <c r="B76" s="42">
        <v>796.48</v>
      </c>
      <c r="C76" t="s">
        <v>43</v>
      </c>
      <c r="D76">
        <v>48</v>
      </c>
      <c r="E76" s="42">
        <v>15.85</v>
      </c>
      <c r="F76" t="s">
        <v>74</v>
      </c>
      <c r="G76">
        <v>3</v>
      </c>
      <c r="H76" s="42">
        <v>11.89</v>
      </c>
    </row>
    <row r="77" spans="1:11" x14ac:dyDescent="0.3">
      <c r="A77" t="s">
        <v>472</v>
      </c>
      <c r="B77" s="42">
        <v>1386.74</v>
      </c>
      <c r="C77" t="s">
        <v>57</v>
      </c>
      <c r="D77">
        <v>48</v>
      </c>
      <c r="E77" s="42">
        <v>23.78</v>
      </c>
      <c r="F77" t="s">
        <v>119</v>
      </c>
      <c r="G77">
        <v>3</v>
      </c>
      <c r="H77" s="42">
        <v>15.85</v>
      </c>
      <c r="I77" t="s">
        <v>137</v>
      </c>
      <c r="J77">
        <v>50</v>
      </c>
      <c r="K77">
        <v>3.96</v>
      </c>
    </row>
    <row r="78" spans="1:11" x14ac:dyDescent="0.3">
      <c r="A78" t="s">
        <v>469</v>
      </c>
      <c r="B78" s="42">
        <v>1386.74</v>
      </c>
      <c r="C78" t="s">
        <v>57</v>
      </c>
      <c r="D78">
        <v>48</v>
      </c>
      <c r="E78" s="42">
        <v>23.78</v>
      </c>
      <c r="F78" t="s">
        <v>119</v>
      </c>
      <c r="G78">
        <v>3</v>
      </c>
      <c r="H78" s="42">
        <v>15.85</v>
      </c>
      <c r="I78" t="s">
        <v>137</v>
      </c>
      <c r="J78">
        <v>50</v>
      </c>
      <c r="K78">
        <v>3.96</v>
      </c>
    </row>
    <row r="79" spans="1:11" x14ac:dyDescent="0.3">
      <c r="A79" t="s">
        <v>471</v>
      </c>
      <c r="B79" s="42">
        <v>943.07</v>
      </c>
      <c r="C79" t="s">
        <v>31</v>
      </c>
      <c r="D79">
        <v>48</v>
      </c>
      <c r="E79" s="42">
        <v>14.53</v>
      </c>
      <c r="F79" t="s">
        <v>110</v>
      </c>
      <c r="G79">
        <v>3</v>
      </c>
      <c r="H79" s="42">
        <v>15.85</v>
      </c>
      <c r="I79" t="s">
        <v>137</v>
      </c>
      <c r="J79">
        <v>50</v>
      </c>
      <c r="K79">
        <v>3.96</v>
      </c>
    </row>
    <row r="80" spans="1:11" x14ac:dyDescent="0.3">
      <c r="A80" t="s">
        <v>476</v>
      </c>
      <c r="B80" s="42">
        <v>646.03</v>
      </c>
      <c r="C80" t="s">
        <v>31</v>
      </c>
      <c r="D80">
        <v>42</v>
      </c>
      <c r="E80" s="42">
        <v>14.53</v>
      </c>
      <c r="F80" t="s">
        <v>74</v>
      </c>
      <c r="G80">
        <v>3</v>
      </c>
      <c r="H80" s="42">
        <v>11.89</v>
      </c>
    </row>
    <row r="81" spans="1:11" x14ac:dyDescent="0.3">
      <c r="A81" t="s">
        <v>473</v>
      </c>
      <c r="B81" s="42">
        <v>1458.23</v>
      </c>
      <c r="C81" t="s">
        <v>61</v>
      </c>
      <c r="D81">
        <v>42</v>
      </c>
      <c r="E81" s="42">
        <v>33.020000000000003</v>
      </c>
      <c r="F81" t="s">
        <v>85</v>
      </c>
      <c r="G81">
        <v>3</v>
      </c>
      <c r="H81" s="42">
        <v>23.77</v>
      </c>
    </row>
    <row r="82" spans="1:11" x14ac:dyDescent="0.3">
      <c r="A82" t="s">
        <v>475</v>
      </c>
      <c r="B82" s="42">
        <v>646.03</v>
      </c>
      <c r="C82" t="s">
        <v>31</v>
      </c>
      <c r="D82">
        <v>42</v>
      </c>
      <c r="E82" s="42">
        <v>14.53</v>
      </c>
      <c r="F82" t="s">
        <v>74</v>
      </c>
      <c r="G82">
        <v>3</v>
      </c>
      <c r="H82" s="42">
        <v>11.89</v>
      </c>
    </row>
    <row r="83" spans="1:11" x14ac:dyDescent="0.3">
      <c r="A83" t="s">
        <v>474</v>
      </c>
      <c r="B83" s="42">
        <v>1069.74</v>
      </c>
      <c r="C83" t="s">
        <v>69</v>
      </c>
      <c r="D83">
        <v>48</v>
      </c>
      <c r="E83" s="42">
        <v>17.170000000000002</v>
      </c>
      <c r="F83" t="s">
        <v>110</v>
      </c>
      <c r="G83">
        <v>3</v>
      </c>
      <c r="H83" s="42">
        <v>15.85</v>
      </c>
      <c r="I83" t="s">
        <v>137</v>
      </c>
      <c r="J83">
        <v>50</v>
      </c>
      <c r="K83">
        <v>3.96</v>
      </c>
    </row>
    <row r="84" spans="1:11" x14ac:dyDescent="0.3">
      <c r="A84" t="s">
        <v>477</v>
      </c>
      <c r="B84" s="42">
        <v>1180.8499999999999</v>
      </c>
      <c r="C84" t="s">
        <v>47</v>
      </c>
      <c r="D84">
        <v>42</v>
      </c>
      <c r="E84" s="42">
        <v>26.42</v>
      </c>
      <c r="F84" t="s">
        <v>79</v>
      </c>
      <c r="G84">
        <v>3</v>
      </c>
      <c r="H84" s="42">
        <v>23.77</v>
      </c>
    </row>
    <row r="85" spans="1:11" x14ac:dyDescent="0.3">
      <c r="A85" t="s">
        <v>479</v>
      </c>
      <c r="B85" s="42">
        <v>616.96</v>
      </c>
      <c r="C85" t="s">
        <v>31</v>
      </c>
      <c r="D85">
        <v>40</v>
      </c>
      <c r="E85" s="42">
        <v>14.53</v>
      </c>
      <c r="F85" t="s">
        <v>74</v>
      </c>
      <c r="G85">
        <v>3</v>
      </c>
      <c r="H85" s="42">
        <v>11.89</v>
      </c>
    </row>
    <row r="86" spans="1:11" x14ac:dyDescent="0.3">
      <c r="A86" t="s">
        <v>478</v>
      </c>
      <c r="B86" s="42">
        <v>511.24</v>
      </c>
      <c r="C86" t="s">
        <v>65</v>
      </c>
      <c r="D86">
        <v>40</v>
      </c>
      <c r="E86" s="42">
        <v>11.89</v>
      </c>
      <c r="F86" t="s">
        <v>72</v>
      </c>
      <c r="G86">
        <v>3</v>
      </c>
      <c r="H86" s="42">
        <v>11.89</v>
      </c>
    </row>
    <row r="87" spans="1:11" x14ac:dyDescent="0.3">
      <c r="A87" t="s">
        <v>481</v>
      </c>
      <c r="B87" s="42">
        <v>795.14</v>
      </c>
      <c r="C87" t="s">
        <v>31</v>
      </c>
      <c r="D87">
        <v>40</v>
      </c>
      <c r="E87" s="42">
        <v>14.53</v>
      </c>
      <c r="F87" t="s">
        <v>110</v>
      </c>
      <c r="G87">
        <v>3</v>
      </c>
      <c r="H87" s="42">
        <v>15.85</v>
      </c>
      <c r="I87" t="s">
        <v>137</v>
      </c>
      <c r="J87">
        <v>42</v>
      </c>
      <c r="K87">
        <v>3.96</v>
      </c>
    </row>
    <row r="88" spans="1:11" x14ac:dyDescent="0.3">
      <c r="A88" t="s">
        <v>480</v>
      </c>
      <c r="B88" s="42">
        <v>397.57</v>
      </c>
      <c r="C88" t="s">
        <v>27</v>
      </c>
      <c r="D88">
        <v>40</v>
      </c>
      <c r="E88" s="42">
        <v>9.25</v>
      </c>
      <c r="F88" t="s">
        <v>87</v>
      </c>
      <c r="G88">
        <v>3</v>
      </c>
      <c r="H88" s="42">
        <v>9.25</v>
      </c>
    </row>
    <row r="89" spans="1:11" x14ac:dyDescent="0.3">
      <c r="A89" t="s">
        <v>483</v>
      </c>
      <c r="B89" s="42">
        <v>998.58</v>
      </c>
      <c r="C89" t="s">
        <v>59</v>
      </c>
      <c r="D89">
        <v>36</v>
      </c>
      <c r="E89" s="42">
        <v>26.42</v>
      </c>
      <c r="F89" t="s">
        <v>85</v>
      </c>
      <c r="G89">
        <v>2</v>
      </c>
      <c r="H89" s="42">
        <v>23.77</v>
      </c>
    </row>
    <row r="90" spans="1:11" x14ac:dyDescent="0.3">
      <c r="A90" t="s">
        <v>484</v>
      </c>
      <c r="B90" s="42">
        <v>998.58</v>
      </c>
      <c r="C90" t="s">
        <v>59</v>
      </c>
      <c r="D90">
        <v>36</v>
      </c>
      <c r="E90" s="42">
        <v>26.42</v>
      </c>
      <c r="F90" t="s">
        <v>85</v>
      </c>
      <c r="G90">
        <v>2</v>
      </c>
      <c r="H90" s="42">
        <v>23.77</v>
      </c>
    </row>
    <row r="91" spans="1:11" x14ac:dyDescent="0.3">
      <c r="A91" t="s">
        <v>482</v>
      </c>
      <c r="B91" s="42">
        <v>879.7</v>
      </c>
      <c r="C91" t="s">
        <v>57</v>
      </c>
      <c r="D91">
        <v>36</v>
      </c>
      <c r="E91" s="42">
        <v>23.78</v>
      </c>
      <c r="F91" t="s">
        <v>83</v>
      </c>
      <c r="G91">
        <v>2</v>
      </c>
      <c r="H91" s="42">
        <v>11.89</v>
      </c>
    </row>
    <row r="92" spans="1:11" x14ac:dyDescent="0.3">
      <c r="A92" t="s">
        <v>486</v>
      </c>
      <c r="B92" s="42">
        <v>356.63</v>
      </c>
      <c r="C92" t="s">
        <v>27</v>
      </c>
      <c r="D92">
        <v>36</v>
      </c>
      <c r="E92" s="42">
        <v>9.25</v>
      </c>
      <c r="F92" t="s">
        <v>72</v>
      </c>
      <c r="G92">
        <v>2</v>
      </c>
      <c r="H92" s="42">
        <v>11.89</v>
      </c>
    </row>
    <row r="93" spans="1:11" x14ac:dyDescent="0.3">
      <c r="A93" t="s">
        <v>485</v>
      </c>
      <c r="B93" s="42">
        <v>356.63</v>
      </c>
      <c r="C93" t="s">
        <v>27</v>
      </c>
      <c r="D93">
        <v>36</v>
      </c>
      <c r="E93" s="42">
        <v>9.25</v>
      </c>
      <c r="F93" t="s">
        <v>72</v>
      </c>
      <c r="G93">
        <v>2</v>
      </c>
      <c r="H93" s="42">
        <v>11.89</v>
      </c>
    </row>
    <row r="94" spans="1:11" x14ac:dyDescent="0.3">
      <c r="A94" t="s">
        <v>487</v>
      </c>
      <c r="B94" s="42">
        <v>356.63</v>
      </c>
      <c r="C94" t="s">
        <v>27</v>
      </c>
      <c r="D94">
        <v>36</v>
      </c>
      <c r="E94" s="42">
        <v>9.25</v>
      </c>
      <c r="F94" t="s">
        <v>72</v>
      </c>
      <c r="G94">
        <v>2</v>
      </c>
      <c r="H94" s="42">
        <v>11.89</v>
      </c>
    </row>
    <row r="95" spans="1:11" x14ac:dyDescent="0.3">
      <c r="A95" t="s">
        <v>488</v>
      </c>
      <c r="B95" s="42">
        <v>356.63</v>
      </c>
      <c r="C95" t="s">
        <v>27</v>
      </c>
      <c r="D95">
        <v>36</v>
      </c>
      <c r="E95" s="42">
        <v>9.25</v>
      </c>
      <c r="F95" t="s">
        <v>72</v>
      </c>
      <c r="G95">
        <v>2</v>
      </c>
      <c r="H95" s="42">
        <v>11.89</v>
      </c>
    </row>
    <row r="96" spans="1:11" x14ac:dyDescent="0.3">
      <c r="A96" t="s">
        <v>489</v>
      </c>
      <c r="B96" s="42">
        <v>356.63</v>
      </c>
      <c r="C96" t="s">
        <v>27</v>
      </c>
      <c r="D96">
        <v>36</v>
      </c>
      <c r="E96" s="42">
        <v>9.25</v>
      </c>
      <c r="F96" t="s">
        <v>72</v>
      </c>
      <c r="G96">
        <v>2</v>
      </c>
      <c r="H96" s="42">
        <v>11.89</v>
      </c>
    </row>
    <row r="97" spans="1:11" x14ac:dyDescent="0.3">
      <c r="A97" t="s">
        <v>493</v>
      </c>
      <c r="B97" s="42">
        <v>451.79</v>
      </c>
      <c r="C97" t="s">
        <v>29</v>
      </c>
      <c r="D97">
        <v>36</v>
      </c>
      <c r="E97" s="42">
        <v>11.89</v>
      </c>
      <c r="F97" t="s">
        <v>74</v>
      </c>
      <c r="G97">
        <v>2</v>
      </c>
      <c r="H97" s="42">
        <v>11.89</v>
      </c>
    </row>
    <row r="98" spans="1:11" x14ac:dyDescent="0.3">
      <c r="A98" t="s">
        <v>492</v>
      </c>
      <c r="B98" s="42">
        <v>546.94000000000005</v>
      </c>
      <c r="C98" t="s">
        <v>67</v>
      </c>
      <c r="D98">
        <v>36</v>
      </c>
      <c r="E98" s="42">
        <v>14.53</v>
      </c>
      <c r="F98" t="s">
        <v>74</v>
      </c>
      <c r="G98">
        <v>2</v>
      </c>
      <c r="H98">
        <v>11.89</v>
      </c>
    </row>
    <row r="99" spans="1:11" x14ac:dyDescent="0.3">
      <c r="A99" t="s">
        <v>490</v>
      </c>
      <c r="B99" s="42">
        <v>356.63</v>
      </c>
      <c r="C99" t="s">
        <v>27</v>
      </c>
      <c r="D99">
        <v>36</v>
      </c>
      <c r="E99" s="42">
        <v>9.25</v>
      </c>
      <c r="F99" t="s">
        <v>72</v>
      </c>
      <c r="G99">
        <v>2</v>
      </c>
      <c r="H99" s="42">
        <v>11.89</v>
      </c>
      <c r="K99" s="42"/>
    </row>
    <row r="100" spans="1:11" x14ac:dyDescent="0.3">
      <c r="A100" t="s">
        <v>491</v>
      </c>
      <c r="B100" s="42">
        <v>451.79</v>
      </c>
      <c r="C100" t="s">
        <v>65</v>
      </c>
      <c r="D100">
        <v>36</v>
      </c>
      <c r="E100" s="42">
        <v>11.89</v>
      </c>
      <c r="F100" t="s">
        <v>72</v>
      </c>
      <c r="G100">
        <v>2</v>
      </c>
      <c r="H100" s="42">
        <v>11.89</v>
      </c>
      <c r="K100" s="42"/>
    </row>
    <row r="101" spans="1:11" x14ac:dyDescent="0.3">
      <c r="A101" t="s">
        <v>494</v>
      </c>
      <c r="B101" s="42">
        <v>451.79</v>
      </c>
      <c r="C101" t="s">
        <v>29</v>
      </c>
      <c r="D101">
        <v>36</v>
      </c>
      <c r="E101" s="42">
        <v>11.89</v>
      </c>
      <c r="F101" t="s">
        <v>74</v>
      </c>
      <c r="G101">
        <v>2</v>
      </c>
      <c r="H101" s="42">
        <v>11.89</v>
      </c>
    </row>
    <row r="102" spans="1:11" x14ac:dyDescent="0.3">
      <c r="A102" t="s">
        <v>495</v>
      </c>
      <c r="B102" s="42">
        <v>546.94000000000005</v>
      </c>
      <c r="C102" t="s">
        <v>67</v>
      </c>
      <c r="D102">
        <v>36</v>
      </c>
      <c r="E102" s="42">
        <v>14.53</v>
      </c>
      <c r="F102" t="s">
        <v>74</v>
      </c>
      <c r="G102">
        <v>2</v>
      </c>
      <c r="H102" s="42">
        <v>11.89</v>
      </c>
    </row>
    <row r="103" spans="1:11" x14ac:dyDescent="0.3">
      <c r="A103" t="s">
        <v>497</v>
      </c>
      <c r="B103" s="42">
        <v>451.79</v>
      </c>
      <c r="C103" t="s">
        <v>29</v>
      </c>
      <c r="D103">
        <v>36</v>
      </c>
      <c r="E103" s="42">
        <v>11.89</v>
      </c>
      <c r="F103" t="s">
        <v>74</v>
      </c>
      <c r="G103">
        <v>2</v>
      </c>
      <c r="H103" s="42">
        <v>11.89</v>
      </c>
    </row>
    <row r="104" spans="1:11" x14ac:dyDescent="0.3">
      <c r="A104" t="s">
        <v>498</v>
      </c>
      <c r="B104" s="42">
        <v>641.95000000000005</v>
      </c>
      <c r="C104" t="s">
        <v>69</v>
      </c>
      <c r="D104">
        <v>36</v>
      </c>
      <c r="E104" s="42">
        <v>17.170000000000002</v>
      </c>
      <c r="F104" t="s">
        <v>74</v>
      </c>
      <c r="G104">
        <v>2</v>
      </c>
      <c r="H104" s="42">
        <v>11.89</v>
      </c>
    </row>
    <row r="105" spans="1:11" x14ac:dyDescent="0.3">
      <c r="A105" t="s">
        <v>496</v>
      </c>
      <c r="B105" s="42">
        <v>546.94000000000005</v>
      </c>
      <c r="C105" t="s">
        <v>31</v>
      </c>
      <c r="D105">
        <v>36</v>
      </c>
      <c r="E105" s="42">
        <v>14.53</v>
      </c>
      <c r="F105" t="s">
        <v>74</v>
      </c>
      <c r="G105">
        <v>2</v>
      </c>
      <c r="H105" s="42">
        <v>11.89</v>
      </c>
    </row>
    <row r="106" spans="1:11" x14ac:dyDescent="0.3">
      <c r="A106" t="s">
        <v>567</v>
      </c>
      <c r="B106" s="42">
        <v>546.94000000000005</v>
      </c>
      <c r="C106" t="s">
        <v>31</v>
      </c>
      <c r="D106">
        <v>36</v>
      </c>
      <c r="E106" s="42">
        <v>14.53</v>
      </c>
      <c r="F106" t="s">
        <v>74</v>
      </c>
      <c r="G106">
        <v>2</v>
      </c>
      <c r="H106" s="42">
        <v>11.89</v>
      </c>
    </row>
    <row r="107" spans="1:11" x14ac:dyDescent="0.3">
      <c r="A107" t="s">
        <v>499</v>
      </c>
      <c r="B107" s="42">
        <v>546.94000000000005</v>
      </c>
      <c r="C107" t="s">
        <v>31</v>
      </c>
      <c r="D107">
        <v>36</v>
      </c>
      <c r="E107" s="42">
        <v>14.53</v>
      </c>
      <c r="F107" t="s">
        <v>74</v>
      </c>
      <c r="G107">
        <v>2</v>
      </c>
      <c r="H107" s="42">
        <v>11.89</v>
      </c>
    </row>
    <row r="108" spans="1:11" x14ac:dyDescent="0.3">
      <c r="A108" t="s">
        <v>501</v>
      </c>
      <c r="B108" s="42">
        <v>641.95000000000005</v>
      </c>
      <c r="C108" t="s">
        <v>69</v>
      </c>
      <c r="D108">
        <v>36</v>
      </c>
      <c r="E108" s="42">
        <v>17.170000000000002</v>
      </c>
      <c r="F108" t="s">
        <v>74</v>
      </c>
      <c r="G108">
        <v>2</v>
      </c>
      <c r="H108" s="42">
        <v>11.89</v>
      </c>
    </row>
    <row r="109" spans="1:11" x14ac:dyDescent="0.3">
      <c r="A109" t="s">
        <v>500</v>
      </c>
      <c r="B109" s="42">
        <v>546.94000000000005</v>
      </c>
      <c r="C109" t="s">
        <v>31</v>
      </c>
      <c r="D109">
        <v>36</v>
      </c>
      <c r="E109" s="42">
        <v>14.53</v>
      </c>
      <c r="F109" t="s">
        <v>74</v>
      </c>
      <c r="G109">
        <v>2</v>
      </c>
      <c r="H109" s="42">
        <v>11.89</v>
      </c>
    </row>
    <row r="110" spans="1:11" x14ac:dyDescent="0.3">
      <c r="A110" t="s">
        <v>503</v>
      </c>
      <c r="B110" s="42">
        <v>546.94000000000005</v>
      </c>
      <c r="C110" t="s">
        <v>31</v>
      </c>
      <c r="D110">
        <v>36</v>
      </c>
      <c r="E110" s="42">
        <v>14.53</v>
      </c>
      <c r="F110" t="s">
        <v>74</v>
      </c>
      <c r="G110">
        <v>2</v>
      </c>
      <c r="H110" s="42">
        <v>11.89</v>
      </c>
    </row>
    <row r="111" spans="1:11" x14ac:dyDescent="0.3">
      <c r="A111" t="s">
        <v>502</v>
      </c>
      <c r="B111" s="42">
        <v>546.94000000000005</v>
      </c>
      <c r="C111" t="s">
        <v>31</v>
      </c>
      <c r="D111">
        <v>36</v>
      </c>
      <c r="E111" s="42">
        <v>14.53</v>
      </c>
      <c r="F111" t="s">
        <v>74</v>
      </c>
      <c r="G111">
        <v>2</v>
      </c>
      <c r="H111" s="42">
        <v>11.89</v>
      </c>
    </row>
    <row r="112" spans="1:11" x14ac:dyDescent="0.3">
      <c r="A112" t="s">
        <v>505</v>
      </c>
      <c r="B112" s="42">
        <v>546.94000000000005</v>
      </c>
      <c r="C112" t="s">
        <v>31</v>
      </c>
      <c r="D112">
        <v>36</v>
      </c>
      <c r="E112" s="42">
        <v>14.53</v>
      </c>
      <c r="F112" t="s">
        <v>74</v>
      </c>
      <c r="G112">
        <v>2</v>
      </c>
      <c r="H112" s="42">
        <v>11.89</v>
      </c>
    </row>
    <row r="113" spans="1:8" x14ac:dyDescent="0.3">
      <c r="A113" t="s">
        <v>506</v>
      </c>
      <c r="B113" s="42">
        <v>546.94000000000005</v>
      </c>
      <c r="C113" t="s">
        <v>31</v>
      </c>
      <c r="D113">
        <v>36</v>
      </c>
      <c r="E113" s="42">
        <v>14.53</v>
      </c>
      <c r="F113" t="s">
        <v>74</v>
      </c>
      <c r="G113">
        <v>2</v>
      </c>
      <c r="H113" s="42">
        <v>11.89</v>
      </c>
    </row>
    <row r="114" spans="1:8" x14ac:dyDescent="0.3">
      <c r="A114" t="s">
        <v>507</v>
      </c>
      <c r="B114" s="42">
        <v>641.95000000000005</v>
      </c>
      <c r="C114" t="s">
        <v>69</v>
      </c>
      <c r="D114">
        <v>36</v>
      </c>
      <c r="E114" s="42">
        <v>17.170000000000002</v>
      </c>
      <c r="F114" t="s">
        <v>74</v>
      </c>
      <c r="G114">
        <v>2</v>
      </c>
      <c r="H114" s="42">
        <v>11.89</v>
      </c>
    </row>
    <row r="115" spans="1:8" x14ac:dyDescent="0.3">
      <c r="A115" t="s">
        <v>508</v>
      </c>
      <c r="B115" s="42">
        <v>546.94000000000005</v>
      </c>
      <c r="C115" t="s">
        <v>31</v>
      </c>
      <c r="D115">
        <v>36</v>
      </c>
      <c r="E115" s="42">
        <v>14.53</v>
      </c>
      <c r="F115" t="s">
        <v>74</v>
      </c>
      <c r="G115">
        <v>2</v>
      </c>
      <c r="H115" s="42">
        <v>11.89</v>
      </c>
    </row>
    <row r="116" spans="1:8" x14ac:dyDescent="0.3">
      <c r="A116" t="s">
        <v>511</v>
      </c>
      <c r="B116" s="42">
        <v>546.94000000000005</v>
      </c>
      <c r="C116" t="s">
        <v>31</v>
      </c>
      <c r="D116">
        <v>36</v>
      </c>
      <c r="E116" s="42">
        <v>14.53</v>
      </c>
      <c r="F116" t="s">
        <v>74</v>
      </c>
      <c r="G116">
        <v>2</v>
      </c>
      <c r="H116" s="42">
        <v>11.89</v>
      </c>
    </row>
    <row r="117" spans="1:8" x14ac:dyDescent="0.3">
      <c r="A117" t="s">
        <v>509</v>
      </c>
      <c r="B117" s="42">
        <v>546.94000000000005</v>
      </c>
      <c r="C117" t="s">
        <v>31</v>
      </c>
      <c r="D117">
        <v>36</v>
      </c>
      <c r="E117" s="42">
        <v>14.53</v>
      </c>
      <c r="F117" t="s">
        <v>74</v>
      </c>
      <c r="G117">
        <v>2</v>
      </c>
      <c r="H117" s="42">
        <v>11.89</v>
      </c>
    </row>
    <row r="118" spans="1:8" x14ac:dyDescent="0.3">
      <c r="A118" t="s">
        <v>512</v>
      </c>
      <c r="B118" s="42">
        <v>546.94000000000005</v>
      </c>
      <c r="C118" t="s">
        <v>31</v>
      </c>
      <c r="D118">
        <v>36</v>
      </c>
      <c r="E118" s="42">
        <v>14.53</v>
      </c>
      <c r="F118" t="s">
        <v>74</v>
      </c>
      <c r="G118">
        <v>2</v>
      </c>
      <c r="H118">
        <v>11.89</v>
      </c>
    </row>
    <row r="119" spans="1:8" x14ac:dyDescent="0.3">
      <c r="A119" t="s">
        <v>513</v>
      </c>
      <c r="B119" s="42">
        <v>760.82</v>
      </c>
      <c r="C119" t="s">
        <v>33</v>
      </c>
      <c r="D119">
        <v>36</v>
      </c>
      <c r="E119" s="42">
        <v>19.809999999999999</v>
      </c>
      <c r="F119" t="s">
        <v>79</v>
      </c>
      <c r="G119">
        <v>2</v>
      </c>
      <c r="H119" s="42">
        <v>23.77</v>
      </c>
    </row>
    <row r="120" spans="1:8" x14ac:dyDescent="0.3">
      <c r="A120" t="s">
        <v>514</v>
      </c>
      <c r="B120" s="42">
        <v>760.82</v>
      </c>
      <c r="C120" t="s">
        <v>33</v>
      </c>
      <c r="D120">
        <v>36</v>
      </c>
      <c r="E120" s="42">
        <v>19.809999999999999</v>
      </c>
      <c r="F120" t="s">
        <v>79</v>
      </c>
      <c r="G120">
        <v>2</v>
      </c>
      <c r="H120" s="42">
        <v>23.77</v>
      </c>
    </row>
    <row r="121" spans="1:8" x14ac:dyDescent="0.3">
      <c r="A121" t="s">
        <v>515</v>
      </c>
      <c r="B121" s="42">
        <v>760.82</v>
      </c>
      <c r="C121" t="s">
        <v>33</v>
      </c>
      <c r="D121">
        <v>36</v>
      </c>
      <c r="E121" s="42">
        <v>19.809999999999999</v>
      </c>
      <c r="F121" t="s">
        <v>79</v>
      </c>
      <c r="G121">
        <v>2</v>
      </c>
      <c r="H121" s="42">
        <v>23.77</v>
      </c>
    </row>
    <row r="122" spans="1:8" x14ac:dyDescent="0.3">
      <c r="A122" t="s">
        <v>516</v>
      </c>
      <c r="B122" s="42">
        <v>760.82</v>
      </c>
      <c r="C122" t="s">
        <v>33</v>
      </c>
      <c r="D122">
        <v>36</v>
      </c>
      <c r="E122" s="42">
        <v>19.809999999999999</v>
      </c>
      <c r="F122" t="s">
        <v>79</v>
      </c>
      <c r="G122">
        <v>2</v>
      </c>
      <c r="H122" s="42">
        <v>23.77</v>
      </c>
    </row>
    <row r="123" spans="1:8" x14ac:dyDescent="0.3">
      <c r="A123" t="s">
        <v>517</v>
      </c>
      <c r="B123" s="42">
        <v>760.82</v>
      </c>
      <c r="C123" t="s">
        <v>33</v>
      </c>
      <c r="D123">
        <v>36</v>
      </c>
      <c r="E123" s="42">
        <v>19.809999999999999</v>
      </c>
      <c r="F123" t="s">
        <v>79</v>
      </c>
      <c r="G123">
        <v>2</v>
      </c>
      <c r="H123" s="42">
        <v>23.77</v>
      </c>
    </row>
    <row r="124" spans="1:8" x14ac:dyDescent="0.3">
      <c r="A124" t="s">
        <v>518</v>
      </c>
      <c r="B124" s="42">
        <v>760.82</v>
      </c>
      <c r="C124" t="s">
        <v>33</v>
      </c>
      <c r="D124">
        <v>36</v>
      </c>
      <c r="E124" s="42">
        <v>19.809999999999999</v>
      </c>
      <c r="F124" t="s">
        <v>79</v>
      </c>
      <c r="G124">
        <v>2</v>
      </c>
      <c r="H124" s="42">
        <v>23.77</v>
      </c>
    </row>
    <row r="125" spans="1:8" x14ac:dyDescent="0.3">
      <c r="A125" t="s">
        <v>519</v>
      </c>
      <c r="B125" s="42">
        <v>855.92</v>
      </c>
      <c r="C125" t="s">
        <v>35</v>
      </c>
      <c r="D125">
        <v>36</v>
      </c>
      <c r="E125" s="42">
        <v>22.46</v>
      </c>
      <c r="F125" t="s">
        <v>79</v>
      </c>
      <c r="G125">
        <v>2</v>
      </c>
      <c r="H125" s="42">
        <v>23.77</v>
      </c>
    </row>
    <row r="126" spans="1:8" x14ac:dyDescent="0.3">
      <c r="A126" t="s">
        <v>521</v>
      </c>
      <c r="B126" s="42">
        <v>855.92</v>
      </c>
      <c r="C126" t="s">
        <v>35</v>
      </c>
      <c r="D126">
        <v>36</v>
      </c>
      <c r="E126" s="42">
        <v>22.46</v>
      </c>
      <c r="F126" t="s">
        <v>79</v>
      </c>
      <c r="G126">
        <v>2</v>
      </c>
      <c r="H126" s="42">
        <v>23.77</v>
      </c>
    </row>
    <row r="127" spans="1:8" x14ac:dyDescent="0.3">
      <c r="A127" t="s">
        <v>524</v>
      </c>
      <c r="B127" s="42">
        <v>998.58</v>
      </c>
      <c r="C127" t="s">
        <v>47</v>
      </c>
      <c r="D127">
        <v>36</v>
      </c>
      <c r="E127" s="42">
        <v>26.42</v>
      </c>
      <c r="F127" t="s">
        <v>79</v>
      </c>
      <c r="G127">
        <v>2</v>
      </c>
      <c r="H127" s="42">
        <v>23.77</v>
      </c>
    </row>
    <row r="128" spans="1:8" x14ac:dyDescent="0.3">
      <c r="A128" t="s">
        <v>523</v>
      </c>
      <c r="B128" s="42">
        <v>594.39</v>
      </c>
      <c r="C128" t="s">
        <v>43</v>
      </c>
      <c r="D128">
        <v>36</v>
      </c>
      <c r="E128" s="42">
        <v>15.85</v>
      </c>
      <c r="F128" t="s">
        <v>74</v>
      </c>
      <c r="G128">
        <v>2</v>
      </c>
      <c r="H128" s="42">
        <v>11.89</v>
      </c>
    </row>
    <row r="129" spans="1:11" x14ac:dyDescent="0.3">
      <c r="A129" t="s">
        <v>522</v>
      </c>
      <c r="B129" s="42">
        <v>380.41</v>
      </c>
      <c r="C129" t="s">
        <v>39</v>
      </c>
      <c r="D129">
        <v>36</v>
      </c>
      <c r="E129" s="42">
        <v>9.91</v>
      </c>
      <c r="F129" t="s">
        <v>72</v>
      </c>
      <c r="G129">
        <v>2</v>
      </c>
      <c r="H129" s="42">
        <v>11.89</v>
      </c>
    </row>
    <row r="130" spans="1:11" x14ac:dyDescent="0.3">
      <c r="A130" t="s">
        <v>520</v>
      </c>
      <c r="B130" s="42">
        <v>855.92</v>
      </c>
      <c r="C130" t="s">
        <v>35</v>
      </c>
      <c r="D130">
        <v>36</v>
      </c>
      <c r="E130" s="42">
        <v>22.46</v>
      </c>
      <c r="F130" t="s">
        <v>79</v>
      </c>
      <c r="G130">
        <v>2</v>
      </c>
      <c r="H130" s="42">
        <v>23.77</v>
      </c>
    </row>
    <row r="131" spans="1:11" x14ac:dyDescent="0.3">
      <c r="A131" t="s">
        <v>525</v>
      </c>
      <c r="B131" s="42">
        <v>332.85</v>
      </c>
      <c r="C131" t="s">
        <v>27</v>
      </c>
      <c r="D131">
        <v>36</v>
      </c>
      <c r="E131" s="42">
        <v>9.25</v>
      </c>
      <c r="H131" s="42"/>
    </row>
    <row r="132" spans="1:11" x14ac:dyDescent="0.3">
      <c r="A132" t="s">
        <v>526</v>
      </c>
      <c r="B132" s="42">
        <v>1038.07</v>
      </c>
      <c r="C132" t="s">
        <v>57</v>
      </c>
      <c r="D132">
        <v>36</v>
      </c>
      <c r="E132" s="42">
        <v>23.78</v>
      </c>
      <c r="F132" t="s">
        <v>119</v>
      </c>
      <c r="G132">
        <v>2</v>
      </c>
      <c r="H132" s="42">
        <v>15.85</v>
      </c>
      <c r="I132" t="s">
        <v>137</v>
      </c>
      <c r="J132">
        <v>38</v>
      </c>
      <c r="K132">
        <v>3.96</v>
      </c>
    </row>
    <row r="133" spans="1:11" x14ac:dyDescent="0.3">
      <c r="A133" t="s">
        <v>527</v>
      </c>
      <c r="B133" s="42">
        <v>599.70000000000005</v>
      </c>
      <c r="C133" t="s">
        <v>29</v>
      </c>
      <c r="D133">
        <v>36</v>
      </c>
      <c r="E133" s="42">
        <v>11.89</v>
      </c>
      <c r="F133" t="s">
        <v>99</v>
      </c>
      <c r="G133">
        <v>2</v>
      </c>
      <c r="H133" s="42">
        <v>6.6</v>
      </c>
      <c r="I133" t="s">
        <v>164</v>
      </c>
      <c r="J133">
        <v>10</v>
      </c>
      <c r="K133">
        <v>15.85</v>
      </c>
    </row>
    <row r="134" spans="1:11" x14ac:dyDescent="0.3">
      <c r="A134" t="s">
        <v>528</v>
      </c>
      <c r="B134" s="42">
        <v>1038.07</v>
      </c>
      <c r="C134" t="s">
        <v>57</v>
      </c>
      <c r="D134">
        <v>36</v>
      </c>
      <c r="E134" s="42">
        <v>23.78</v>
      </c>
      <c r="F134" t="s">
        <v>119</v>
      </c>
      <c r="G134">
        <v>2</v>
      </c>
      <c r="H134" s="42">
        <v>15.85</v>
      </c>
      <c r="I134" t="s">
        <v>137</v>
      </c>
      <c r="J134">
        <v>38</v>
      </c>
      <c r="K134">
        <v>3.96</v>
      </c>
    </row>
    <row r="135" spans="1:11" x14ac:dyDescent="0.3">
      <c r="A135" t="s">
        <v>529</v>
      </c>
      <c r="B135" s="42">
        <v>705.32</v>
      </c>
      <c r="C135" t="s">
        <v>31</v>
      </c>
      <c r="D135">
        <v>36</v>
      </c>
      <c r="E135" s="42">
        <v>14.53</v>
      </c>
      <c r="F135" t="s">
        <v>110</v>
      </c>
      <c r="G135">
        <v>2</v>
      </c>
      <c r="H135" s="42">
        <v>15.85</v>
      </c>
      <c r="I135" t="s">
        <v>137</v>
      </c>
      <c r="J135">
        <v>38</v>
      </c>
      <c r="K135">
        <v>3.96</v>
      </c>
    </row>
    <row r="136" spans="1:11" x14ac:dyDescent="0.3">
      <c r="A136" t="s">
        <v>531</v>
      </c>
      <c r="B136" s="42">
        <v>517.88</v>
      </c>
      <c r="C136" t="s">
        <v>31</v>
      </c>
      <c r="D136">
        <v>34</v>
      </c>
      <c r="E136" s="42">
        <v>14.53</v>
      </c>
      <c r="F136" t="s">
        <v>74</v>
      </c>
      <c r="G136">
        <v>2</v>
      </c>
      <c r="H136" s="42">
        <v>11.89</v>
      </c>
    </row>
    <row r="137" spans="1:11" x14ac:dyDescent="0.3">
      <c r="A137" t="s">
        <v>530</v>
      </c>
      <c r="B137" s="42">
        <v>517.88</v>
      </c>
      <c r="C137" t="s">
        <v>31</v>
      </c>
      <c r="D137">
        <v>34</v>
      </c>
      <c r="E137" s="42">
        <v>14.53</v>
      </c>
      <c r="F137" t="s">
        <v>74</v>
      </c>
      <c r="G137">
        <v>2</v>
      </c>
      <c r="H137" s="42">
        <v>11.89</v>
      </c>
    </row>
    <row r="138" spans="1:11" x14ac:dyDescent="0.3">
      <c r="A138" t="s">
        <v>532</v>
      </c>
      <c r="B138" s="42">
        <v>590.42999999999995</v>
      </c>
      <c r="C138" t="s">
        <v>69</v>
      </c>
      <c r="D138">
        <v>33</v>
      </c>
      <c r="E138" s="42">
        <v>17.170000000000002</v>
      </c>
      <c r="F138" t="s">
        <v>74</v>
      </c>
      <c r="G138">
        <v>2</v>
      </c>
      <c r="H138" s="42">
        <v>11.89</v>
      </c>
    </row>
    <row r="139" spans="1:11" x14ac:dyDescent="0.3">
      <c r="A139" t="s">
        <v>533</v>
      </c>
      <c r="B139" s="42">
        <v>585.14</v>
      </c>
      <c r="C139" t="s">
        <v>69</v>
      </c>
      <c r="D139">
        <v>33</v>
      </c>
      <c r="E139" s="42">
        <v>17.170000000000002</v>
      </c>
      <c r="F139" t="s">
        <v>89</v>
      </c>
      <c r="G139">
        <v>2</v>
      </c>
      <c r="H139" s="42">
        <v>9.25</v>
      </c>
    </row>
    <row r="140" spans="1:11" x14ac:dyDescent="0.3">
      <c r="A140" t="s">
        <v>536</v>
      </c>
      <c r="B140" s="42">
        <v>488.82</v>
      </c>
      <c r="C140" t="s">
        <v>31</v>
      </c>
      <c r="D140">
        <v>32</v>
      </c>
      <c r="E140" s="42">
        <v>14.53</v>
      </c>
      <c r="F140" t="s">
        <v>74</v>
      </c>
      <c r="G140">
        <v>2</v>
      </c>
      <c r="H140" s="42">
        <v>11.89</v>
      </c>
    </row>
    <row r="141" spans="1:11" x14ac:dyDescent="0.3">
      <c r="A141" t="s">
        <v>534</v>
      </c>
      <c r="B141" s="42">
        <v>488.82</v>
      </c>
      <c r="C141" t="s">
        <v>31</v>
      </c>
      <c r="D141">
        <v>32</v>
      </c>
      <c r="E141" s="42">
        <v>14.53</v>
      </c>
      <c r="F141" t="s">
        <v>74</v>
      </c>
      <c r="G141">
        <v>2</v>
      </c>
      <c r="H141" s="42">
        <v>11.89</v>
      </c>
    </row>
    <row r="142" spans="1:11" x14ac:dyDescent="0.3">
      <c r="A142" t="s">
        <v>535</v>
      </c>
      <c r="B142" s="42">
        <v>488.82</v>
      </c>
      <c r="C142" t="s">
        <v>31</v>
      </c>
      <c r="D142">
        <v>32</v>
      </c>
      <c r="E142" s="42">
        <v>14.53</v>
      </c>
      <c r="F142" t="s">
        <v>74</v>
      </c>
      <c r="G142">
        <v>2</v>
      </c>
      <c r="H142" s="42">
        <v>11.89</v>
      </c>
    </row>
    <row r="143" spans="1:11" x14ac:dyDescent="0.3">
      <c r="A143" t="s">
        <v>538</v>
      </c>
      <c r="B143" s="42">
        <v>301.16000000000003</v>
      </c>
      <c r="C143" t="s">
        <v>27</v>
      </c>
      <c r="D143">
        <v>30</v>
      </c>
      <c r="E143" s="42">
        <v>9.25</v>
      </c>
      <c r="F143" t="s">
        <v>72</v>
      </c>
      <c r="G143">
        <v>2</v>
      </c>
      <c r="H143" s="42">
        <v>11.89</v>
      </c>
    </row>
    <row r="144" spans="1:11" x14ac:dyDescent="0.3">
      <c r="A144" t="s">
        <v>537</v>
      </c>
      <c r="B144" s="42">
        <v>301.16000000000003</v>
      </c>
      <c r="C144" t="s">
        <v>27</v>
      </c>
      <c r="D144">
        <v>30</v>
      </c>
      <c r="E144" s="42">
        <v>9.25</v>
      </c>
      <c r="F144" t="s">
        <v>72</v>
      </c>
      <c r="G144">
        <v>2</v>
      </c>
      <c r="H144" s="42">
        <v>11.89</v>
      </c>
    </row>
    <row r="145" spans="1:8" x14ac:dyDescent="0.3">
      <c r="A145" t="s">
        <v>539</v>
      </c>
      <c r="B145" s="42">
        <v>380.45</v>
      </c>
      <c r="C145" t="s">
        <v>65</v>
      </c>
      <c r="D145">
        <v>30</v>
      </c>
      <c r="E145" s="42">
        <v>11.89</v>
      </c>
      <c r="F145" t="s">
        <v>72</v>
      </c>
      <c r="G145">
        <v>2</v>
      </c>
      <c r="H145" s="42">
        <v>11.89</v>
      </c>
    </row>
    <row r="146" spans="1:8" x14ac:dyDescent="0.3">
      <c r="A146" t="s">
        <v>541</v>
      </c>
      <c r="B146" s="42">
        <v>380.45</v>
      </c>
      <c r="C146" t="s">
        <v>29</v>
      </c>
      <c r="D146">
        <v>30</v>
      </c>
      <c r="E146" s="42">
        <v>11.89</v>
      </c>
      <c r="F146" t="s">
        <v>74</v>
      </c>
      <c r="G146">
        <v>2</v>
      </c>
      <c r="H146" s="42">
        <v>11.89</v>
      </c>
    </row>
    <row r="147" spans="1:8" x14ac:dyDescent="0.3">
      <c r="A147" t="s">
        <v>542</v>
      </c>
      <c r="B147" s="42">
        <v>459.75</v>
      </c>
      <c r="C147" t="s">
        <v>31</v>
      </c>
      <c r="D147">
        <v>30</v>
      </c>
      <c r="E147" s="42">
        <v>14.53</v>
      </c>
      <c r="F147" t="s">
        <v>74</v>
      </c>
      <c r="G147">
        <v>2</v>
      </c>
      <c r="H147" s="42">
        <v>11.89</v>
      </c>
    </row>
    <row r="148" spans="1:8" x14ac:dyDescent="0.3">
      <c r="A148" t="s">
        <v>540</v>
      </c>
      <c r="B148" s="42">
        <v>301.16000000000003</v>
      </c>
      <c r="C148" t="s">
        <v>27</v>
      </c>
      <c r="D148">
        <v>30</v>
      </c>
      <c r="E148" s="42">
        <v>9.25</v>
      </c>
      <c r="F148" t="s">
        <v>72</v>
      </c>
      <c r="G148">
        <v>2</v>
      </c>
      <c r="H148" s="42">
        <v>11.89</v>
      </c>
    </row>
    <row r="149" spans="1:8" x14ac:dyDescent="0.3">
      <c r="A149" t="s">
        <v>543</v>
      </c>
      <c r="B149" s="42">
        <v>459.75</v>
      </c>
      <c r="C149" t="s">
        <v>31</v>
      </c>
      <c r="D149">
        <v>30</v>
      </c>
      <c r="E149" s="42">
        <v>14.53</v>
      </c>
      <c r="F149" t="s">
        <v>74</v>
      </c>
      <c r="G149">
        <v>2</v>
      </c>
      <c r="H149" s="42">
        <v>11.89</v>
      </c>
    </row>
    <row r="150" spans="1:8" x14ac:dyDescent="0.3">
      <c r="A150" t="s">
        <v>545</v>
      </c>
      <c r="B150" s="42">
        <v>459.75</v>
      </c>
      <c r="C150" t="s">
        <v>31</v>
      </c>
      <c r="D150">
        <v>30</v>
      </c>
      <c r="E150" s="42">
        <v>14.53</v>
      </c>
      <c r="F150" t="s">
        <v>74</v>
      </c>
      <c r="G150">
        <v>2</v>
      </c>
      <c r="H150" s="42">
        <v>11.89</v>
      </c>
    </row>
    <row r="151" spans="1:8" x14ac:dyDescent="0.3">
      <c r="A151" t="s">
        <v>544</v>
      </c>
      <c r="B151" s="42">
        <v>538.91999999999996</v>
      </c>
      <c r="C151" t="s">
        <v>69</v>
      </c>
      <c r="D151">
        <v>30</v>
      </c>
      <c r="E151" s="42">
        <v>17.170000000000002</v>
      </c>
      <c r="F151" t="s">
        <v>74</v>
      </c>
      <c r="G151">
        <v>2</v>
      </c>
      <c r="H151" s="42">
        <v>11.89</v>
      </c>
    </row>
    <row r="152" spans="1:8" x14ac:dyDescent="0.3">
      <c r="A152" t="s">
        <v>546</v>
      </c>
      <c r="B152" s="42">
        <v>459.75</v>
      </c>
      <c r="C152" t="s">
        <v>31</v>
      </c>
      <c r="D152">
        <v>30</v>
      </c>
      <c r="E152" s="42">
        <v>14.53</v>
      </c>
      <c r="F152" t="s">
        <v>74</v>
      </c>
      <c r="G152">
        <v>2</v>
      </c>
      <c r="H152" s="42">
        <v>11.89</v>
      </c>
    </row>
    <row r="153" spans="1:8" x14ac:dyDescent="0.3">
      <c r="A153" t="s">
        <v>548</v>
      </c>
      <c r="B153" s="42">
        <v>641.94000000000005</v>
      </c>
      <c r="C153" t="s">
        <v>33</v>
      </c>
      <c r="D153">
        <v>30</v>
      </c>
      <c r="E153" s="42">
        <v>19.809999999999999</v>
      </c>
      <c r="F153" t="s">
        <v>79</v>
      </c>
      <c r="G153">
        <v>2</v>
      </c>
      <c r="H153" s="42">
        <v>23.77</v>
      </c>
    </row>
    <row r="154" spans="1:8" x14ac:dyDescent="0.3">
      <c r="A154" t="s">
        <v>547</v>
      </c>
      <c r="B154" s="42">
        <v>641.94000000000005</v>
      </c>
      <c r="C154" t="s">
        <v>33</v>
      </c>
      <c r="D154">
        <v>30</v>
      </c>
      <c r="E154" s="42">
        <v>19.809999999999999</v>
      </c>
      <c r="F154" t="s">
        <v>79</v>
      </c>
      <c r="G154">
        <v>2</v>
      </c>
      <c r="H154" s="42">
        <v>23.77</v>
      </c>
    </row>
    <row r="155" spans="1:8" x14ac:dyDescent="0.3">
      <c r="A155" t="s">
        <v>549</v>
      </c>
      <c r="B155" s="42">
        <v>721.19</v>
      </c>
      <c r="C155" t="s">
        <v>35</v>
      </c>
      <c r="D155">
        <v>30</v>
      </c>
      <c r="E155" s="42">
        <v>22.46</v>
      </c>
      <c r="F155" t="s">
        <v>79</v>
      </c>
      <c r="G155">
        <v>2</v>
      </c>
      <c r="H155" s="42">
        <v>23.77</v>
      </c>
    </row>
    <row r="156" spans="1:8" x14ac:dyDescent="0.3">
      <c r="A156" t="s">
        <v>551</v>
      </c>
      <c r="B156" s="42">
        <v>499.28</v>
      </c>
      <c r="C156" t="s">
        <v>43</v>
      </c>
      <c r="D156">
        <v>30</v>
      </c>
      <c r="E156" s="42">
        <v>15.85</v>
      </c>
      <c r="F156" t="s">
        <v>74</v>
      </c>
      <c r="G156">
        <v>2</v>
      </c>
      <c r="H156" s="42">
        <v>11.89</v>
      </c>
    </row>
    <row r="157" spans="1:8" x14ac:dyDescent="0.3">
      <c r="A157" t="s">
        <v>550</v>
      </c>
      <c r="B157" s="42">
        <v>499.28</v>
      </c>
      <c r="C157" t="s">
        <v>43</v>
      </c>
      <c r="D157">
        <v>30</v>
      </c>
      <c r="E157" s="42">
        <v>15.85</v>
      </c>
      <c r="F157" t="s">
        <v>74</v>
      </c>
      <c r="G157">
        <v>2</v>
      </c>
      <c r="H157" s="42">
        <v>11.89</v>
      </c>
    </row>
    <row r="158" spans="1:8" x14ac:dyDescent="0.3">
      <c r="A158" t="s">
        <v>552</v>
      </c>
      <c r="B158" s="42">
        <v>840.07</v>
      </c>
      <c r="C158" t="s">
        <v>47</v>
      </c>
      <c r="D158">
        <v>30</v>
      </c>
      <c r="E158" s="42">
        <v>26.42</v>
      </c>
      <c r="F158" t="s">
        <v>79</v>
      </c>
      <c r="G158">
        <v>2</v>
      </c>
      <c r="H158" s="42">
        <v>23.77</v>
      </c>
    </row>
    <row r="159" spans="1:8" x14ac:dyDescent="0.3">
      <c r="A159" t="s">
        <v>553</v>
      </c>
      <c r="B159" s="42">
        <v>375.17</v>
      </c>
      <c r="C159" t="s">
        <v>65</v>
      </c>
      <c r="D159">
        <v>30</v>
      </c>
      <c r="E159" s="42">
        <v>11.89</v>
      </c>
      <c r="F159" t="s">
        <v>87</v>
      </c>
      <c r="G159">
        <v>2</v>
      </c>
      <c r="H159" s="42">
        <v>9.25</v>
      </c>
    </row>
    <row r="160" spans="1:8" x14ac:dyDescent="0.3">
      <c r="A160" t="s">
        <v>555</v>
      </c>
      <c r="B160" s="42">
        <v>375.17</v>
      </c>
      <c r="C160" t="s">
        <v>29</v>
      </c>
      <c r="D160">
        <v>30</v>
      </c>
      <c r="E160" s="42">
        <v>11.89</v>
      </c>
      <c r="F160" t="s">
        <v>89</v>
      </c>
      <c r="G160">
        <v>2</v>
      </c>
      <c r="H160" s="42">
        <v>9.25</v>
      </c>
    </row>
    <row r="161" spans="1:11" x14ac:dyDescent="0.3">
      <c r="A161" t="s">
        <v>554</v>
      </c>
      <c r="B161" s="42">
        <v>634.02</v>
      </c>
      <c r="C161" t="s">
        <v>53</v>
      </c>
      <c r="D161">
        <v>30</v>
      </c>
      <c r="E161" s="42">
        <v>21.13</v>
      </c>
      <c r="H161" s="42"/>
    </row>
    <row r="162" spans="1:11" x14ac:dyDescent="0.3">
      <c r="A162" t="s">
        <v>557</v>
      </c>
      <c r="B162" s="42">
        <v>430.69</v>
      </c>
      <c r="C162" t="s">
        <v>31</v>
      </c>
      <c r="D162">
        <v>28</v>
      </c>
      <c r="E162" s="42">
        <v>14.53</v>
      </c>
      <c r="F162" t="s">
        <v>74</v>
      </c>
      <c r="G162">
        <v>2</v>
      </c>
      <c r="H162" s="42">
        <v>11.89</v>
      </c>
    </row>
    <row r="163" spans="1:11" x14ac:dyDescent="0.3">
      <c r="A163" t="s">
        <v>556</v>
      </c>
      <c r="B163" s="42">
        <v>504.57</v>
      </c>
      <c r="C163" t="s">
        <v>69</v>
      </c>
      <c r="D163">
        <v>28</v>
      </c>
      <c r="E163" s="42">
        <v>17.170000000000002</v>
      </c>
      <c r="F163" t="s">
        <v>74</v>
      </c>
      <c r="G163">
        <v>2</v>
      </c>
      <c r="H163" s="42">
        <v>11.89</v>
      </c>
    </row>
    <row r="164" spans="1:11" x14ac:dyDescent="0.3">
      <c r="A164" t="s">
        <v>559</v>
      </c>
      <c r="B164" s="42">
        <v>430.69</v>
      </c>
      <c r="C164" t="s">
        <v>31</v>
      </c>
      <c r="D164">
        <v>28</v>
      </c>
      <c r="E164" s="42">
        <v>14.53</v>
      </c>
      <c r="F164" t="s">
        <v>74</v>
      </c>
      <c r="G164">
        <v>2</v>
      </c>
      <c r="H164" s="42">
        <v>11.89</v>
      </c>
    </row>
    <row r="165" spans="1:11" x14ac:dyDescent="0.3">
      <c r="A165" t="s">
        <v>558</v>
      </c>
      <c r="B165" s="42">
        <v>406.91</v>
      </c>
      <c r="C165" t="s">
        <v>31</v>
      </c>
      <c r="D165">
        <v>28</v>
      </c>
      <c r="E165" s="42">
        <v>14.53</v>
      </c>
      <c r="H165" s="42"/>
    </row>
    <row r="166" spans="1:11" x14ac:dyDescent="0.3">
      <c r="A166" t="s">
        <v>563</v>
      </c>
      <c r="B166" s="42">
        <v>530.99</v>
      </c>
      <c r="C166" t="s">
        <v>53</v>
      </c>
      <c r="D166">
        <v>24</v>
      </c>
      <c r="E166" s="42">
        <v>21.13</v>
      </c>
      <c r="F166" t="s">
        <v>81</v>
      </c>
      <c r="G166">
        <v>2</v>
      </c>
      <c r="H166" s="42">
        <v>11.89</v>
      </c>
    </row>
    <row r="167" spans="1:11" x14ac:dyDescent="0.3">
      <c r="A167" t="s">
        <v>560</v>
      </c>
      <c r="B167" s="42">
        <v>760.73</v>
      </c>
      <c r="C167" t="s">
        <v>57</v>
      </c>
      <c r="D167">
        <v>26</v>
      </c>
      <c r="E167" s="42">
        <v>23.78</v>
      </c>
      <c r="F167" t="s">
        <v>119</v>
      </c>
      <c r="G167">
        <v>2</v>
      </c>
      <c r="H167">
        <v>15.85</v>
      </c>
      <c r="I167" t="s">
        <v>137</v>
      </c>
      <c r="J167">
        <v>28</v>
      </c>
      <c r="K167">
        <v>3.96</v>
      </c>
    </row>
    <row r="168" spans="1:11" x14ac:dyDescent="0.3">
      <c r="A168" t="s">
        <v>561</v>
      </c>
      <c r="B168" s="42">
        <v>530.99</v>
      </c>
      <c r="C168" t="s">
        <v>53</v>
      </c>
      <c r="D168">
        <v>24</v>
      </c>
      <c r="E168" s="42">
        <v>21.13</v>
      </c>
      <c r="F168" t="s">
        <v>81</v>
      </c>
      <c r="G168">
        <v>2</v>
      </c>
      <c r="H168">
        <v>11.89</v>
      </c>
    </row>
    <row r="169" spans="1:11" x14ac:dyDescent="0.3">
      <c r="A169" t="s">
        <v>562</v>
      </c>
      <c r="B169" s="42">
        <v>594.39</v>
      </c>
      <c r="C169" t="s">
        <v>57</v>
      </c>
      <c r="D169">
        <v>24</v>
      </c>
      <c r="E169" s="42">
        <v>23.78</v>
      </c>
      <c r="F169" t="s">
        <v>83</v>
      </c>
      <c r="G169">
        <v>2</v>
      </c>
      <c r="H169" s="42">
        <v>11.89</v>
      </c>
    </row>
    <row r="170" spans="1:11" x14ac:dyDescent="0.3">
      <c r="A170" t="s">
        <v>564</v>
      </c>
      <c r="B170" s="42">
        <v>594.39</v>
      </c>
      <c r="C170" t="s">
        <v>57</v>
      </c>
      <c r="D170">
        <v>24</v>
      </c>
      <c r="E170" s="42">
        <v>23.78</v>
      </c>
      <c r="F170" t="s">
        <v>83</v>
      </c>
      <c r="G170">
        <v>2</v>
      </c>
      <c r="H170" s="42">
        <v>11.89</v>
      </c>
      <c r="K170" s="42"/>
    </row>
    <row r="171" spans="1:11" x14ac:dyDescent="0.3">
      <c r="A171" t="s">
        <v>565</v>
      </c>
      <c r="B171" s="42">
        <v>681.56</v>
      </c>
      <c r="C171" t="s">
        <v>59</v>
      </c>
      <c r="D171">
        <v>24</v>
      </c>
      <c r="E171" s="42">
        <v>26.42</v>
      </c>
      <c r="F171" t="s">
        <v>85</v>
      </c>
      <c r="G171">
        <v>2</v>
      </c>
      <c r="H171" s="42">
        <v>23.77</v>
      </c>
      <c r="K171" s="42"/>
    </row>
    <row r="172" spans="1:11" x14ac:dyDescent="0.3">
      <c r="A172" t="s">
        <v>570</v>
      </c>
      <c r="B172" s="42">
        <v>681.56</v>
      </c>
      <c r="C172" t="s">
        <v>59</v>
      </c>
      <c r="D172">
        <v>24</v>
      </c>
      <c r="E172" s="42">
        <v>26.42</v>
      </c>
      <c r="F172" t="s">
        <v>85</v>
      </c>
      <c r="G172">
        <v>2</v>
      </c>
      <c r="H172" s="42">
        <v>23.77</v>
      </c>
      <c r="K172" s="42"/>
    </row>
    <row r="173" spans="1:11" x14ac:dyDescent="0.3">
      <c r="A173" t="s">
        <v>568</v>
      </c>
      <c r="B173" s="42">
        <v>840.07</v>
      </c>
      <c r="C173" t="s">
        <v>61</v>
      </c>
      <c r="D173">
        <v>24</v>
      </c>
      <c r="E173" s="42">
        <v>33.020000000000003</v>
      </c>
      <c r="F173" t="s">
        <v>85</v>
      </c>
      <c r="G173">
        <v>2</v>
      </c>
      <c r="H173" s="42">
        <v>23.77</v>
      </c>
      <c r="K173" s="42"/>
    </row>
    <row r="174" spans="1:11" x14ac:dyDescent="0.3">
      <c r="A174" t="s">
        <v>566</v>
      </c>
      <c r="B174" s="42">
        <v>681.56</v>
      </c>
      <c r="C174" t="s">
        <v>59</v>
      </c>
      <c r="D174">
        <v>24</v>
      </c>
      <c r="E174" s="42">
        <v>26.42</v>
      </c>
      <c r="F174" t="s">
        <v>85</v>
      </c>
      <c r="G174">
        <v>2</v>
      </c>
      <c r="H174" s="42">
        <v>23.77</v>
      </c>
    </row>
    <row r="175" spans="1:11" x14ac:dyDescent="0.3">
      <c r="A175" t="s">
        <v>571</v>
      </c>
      <c r="B175" s="42">
        <v>182.24</v>
      </c>
      <c r="C175" t="s">
        <v>24</v>
      </c>
      <c r="D175">
        <v>24</v>
      </c>
      <c r="E175" s="42">
        <v>6.6</v>
      </c>
      <c r="F175" t="s">
        <v>72</v>
      </c>
      <c r="G175">
        <v>2</v>
      </c>
      <c r="H175" s="42">
        <v>11.89</v>
      </c>
      <c r="K175" s="42"/>
    </row>
    <row r="176" spans="1:11" x14ac:dyDescent="0.3">
      <c r="A176" t="s">
        <v>572</v>
      </c>
      <c r="B176" s="42">
        <v>245.68</v>
      </c>
      <c r="C176" t="s">
        <v>27</v>
      </c>
      <c r="D176">
        <v>24</v>
      </c>
      <c r="E176" s="42">
        <v>9.25</v>
      </c>
      <c r="F176" t="s">
        <v>72</v>
      </c>
      <c r="G176">
        <v>2</v>
      </c>
      <c r="H176" s="42">
        <v>11.89</v>
      </c>
    </row>
    <row r="177" spans="1:8" x14ac:dyDescent="0.3">
      <c r="A177" t="s">
        <v>574</v>
      </c>
      <c r="B177" s="42">
        <v>309.12</v>
      </c>
      <c r="C177" t="s">
        <v>65</v>
      </c>
      <c r="D177">
        <v>24</v>
      </c>
      <c r="E177" s="42">
        <v>11.89</v>
      </c>
      <c r="F177" t="s">
        <v>72</v>
      </c>
      <c r="G177">
        <v>2</v>
      </c>
      <c r="H177" s="42">
        <v>11.89</v>
      </c>
    </row>
    <row r="178" spans="1:8" x14ac:dyDescent="0.3">
      <c r="A178" t="s">
        <v>576</v>
      </c>
      <c r="B178" s="42">
        <v>245.68</v>
      </c>
      <c r="C178" t="s">
        <v>27</v>
      </c>
      <c r="D178">
        <v>24</v>
      </c>
      <c r="E178" s="42">
        <v>9.25</v>
      </c>
      <c r="F178" t="s">
        <v>72</v>
      </c>
      <c r="G178">
        <v>2</v>
      </c>
      <c r="H178" s="42">
        <v>11.89</v>
      </c>
    </row>
    <row r="179" spans="1:8" x14ac:dyDescent="0.3">
      <c r="A179" t="s">
        <v>573</v>
      </c>
      <c r="B179" s="42">
        <v>245.68</v>
      </c>
      <c r="C179" t="s">
        <v>27</v>
      </c>
      <c r="D179">
        <v>24</v>
      </c>
      <c r="E179" s="42">
        <v>9.25</v>
      </c>
      <c r="F179" t="s">
        <v>72</v>
      </c>
      <c r="G179">
        <v>2</v>
      </c>
      <c r="H179" s="42">
        <v>11.89</v>
      </c>
    </row>
    <row r="180" spans="1:8" x14ac:dyDescent="0.3">
      <c r="A180" t="s">
        <v>575</v>
      </c>
      <c r="B180" s="42">
        <v>245.68</v>
      </c>
      <c r="C180" t="s">
        <v>27</v>
      </c>
      <c r="D180">
        <v>24</v>
      </c>
      <c r="E180" s="42">
        <v>9.25</v>
      </c>
      <c r="F180" t="s">
        <v>72</v>
      </c>
      <c r="G180">
        <v>2</v>
      </c>
      <c r="H180" s="42">
        <v>11.89</v>
      </c>
    </row>
    <row r="181" spans="1:8" x14ac:dyDescent="0.3">
      <c r="A181" t="s">
        <v>577</v>
      </c>
      <c r="B181" s="42">
        <v>309.12</v>
      </c>
      <c r="C181" t="s">
        <v>65</v>
      </c>
      <c r="D181">
        <v>24</v>
      </c>
      <c r="E181" s="42">
        <v>11.89</v>
      </c>
      <c r="F181" t="s">
        <v>72</v>
      </c>
      <c r="G181">
        <v>2</v>
      </c>
      <c r="H181" s="42">
        <v>11.89</v>
      </c>
    </row>
    <row r="182" spans="1:8" x14ac:dyDescent="0.3">
      <c r="A182" t="s">
        <v>578</v>
      </c>
      <c r="B182" s="42">
        <v>245.68</v>
      </c>
      <c r="C182" t="s">
        <v>27</v>
      </c>
      <c r="D182">
        <v>24</v>
      </c>
      <c r="E182" s="42">
        <v>9.25</v>
      </c>
      <c r="F182" t="s">
        <v>72</v>
      </c>
      <c r="G182">
        <v>2</v>
      </c>
      <c r="H182" s="42">
        <v>11.89</v>
      </c>
    </row>
    <row r="183" spans="1:8" x14ac:dyDescent="0.3">
      <c r="A183" t="s">
        <v>579</v>
      </c>
      <c r="B183" s="42">
        <v>245.68</v>
      </c>
      <c r="C183" t="s">
        <v>27</v>
      </c>
      <c r="D183">
        <v>24</v>
      </c>
      <c r="E183" s="42">
        <v>9.25</v>
      </c>
      <c r="F183" t="s">
        <v>72</v>
      </c>
      <c r="G183">
        <v>2</v>
      </c>
      <c r="H183" s="42">
        <v>11.89</v>
      </c>
    </row>
    <row r="184" spans="1:8" x14ac:dyDescent="0.3">
      <c r="A184" t="s">
        <v>581</v>
      </c>
      <c r="B184" s="42">
        <v>309.12</v>
      </c>
      <c r="C184" t="s">
        <v>65</v>
      </c>
      <c r="D184">
        <v>24</v>
      </c>
      <c r="E184" s="42">
        <v>11.89</v>
      </c>
      <c r="F184" t="s">
        <v>72</v>
      </c>
      <c r="G184">
        <v>2</v>
      </c>
      <c r="H184" s="42">
        <v>11.89</v>
      </c>
    </row>
    <row r="185" spans="1:8" x14ac:dyDescent="0.3">
      <c r="A185" t="s">
        <v>580</v>
      </c>
      <c r="B185" s="42">
        <v>245.68</v>
      </c>
      <c r="C185" t="s">
        <v>27</v>
      </c>
      <c r="D185">
        <v>24</v>
      </c>
      <c r="E185" s="42">
        <v>9.25</v>
      </c>
      <c r="F185" t="s">
        <v>72</v>
      </c>
      <c r="G185">
        <v>2</v>
      </c>
      <c r="H185" s="42">
        <v>11.89</v>
      </c>
    </row>
    <row r="186" spans="1:8" x14ac:dyDescent="0.3">
      <c r="A186" t="s">
        <v>582</v>
      </c>
      <c r="B186" s="42">
        <v>245.68</v>
      </c>
      <c r="C186" t="s">
        <v>27</v>
      </c>
      <c r="D186">
        <v>24</v>
      </c>
      <c r="E186" s="42">
        <v>9.25</v>
      </c>
      <c r="F186" t="s">
        <v>72</v>
      </c>
      <c r="G186">
        <v>2</v>
      </c>
      <c r="H186" s="42">
        <v>11.89</v>
      </c>
    </row>
    <row r="187" spans="1:8" x14ac:dyDescent="0.3">
      <c r="A187" t="s">
        <v>601</v>
      </c>
      <c r="B187" s="42">
        <v>309.12</v>
      </c>
      <c r="C187" t="s">
        <v>29</v>
      </c>
      <c r="D187">
        <v>24</v>
      </c>
      <c r="E187" s="42">
        <v>11.89</v>
      </c>
      <c r="F187" t="s">
        <v>74</v>
      </c>
      <c r="G187">
        <v>2</v>
      </c>
      <c r="H187" s="42">
        <v>11.89</v>
      </c>
    </row>
    <row r="188" spans="1:8" x14ac:dyDescent="0.3">
      <c r="A188" t="s">
        <v>583</v>
      </c>
      <c r="B188" s="42">
        <v>245.68</v>
      </c>
      <c r="C188" t="s">
        <v>27</v>
      </c>
      <c r="D188">
        <v>24</v>
      </c>
      <c r="E188" s="42">
        <v>9.25</v>
      </c>
      <c r="F188" t="s">
        <v>72</v>
      </c>
      <c r="G188">
        <v>2</v>
      </c>
      <c r="H188" s="42">
        <v>11.89</v>
      </c>
    </row>
    <row r="189" spans="1:8" x14ac:dyDescent="0.3">
      <c r="A189" t="s">
        <v>584</v>
      </c>
      <c r="B189" s="42">
        <v>309.12</v>
      </c>
      <c r="C189" t="s">
        <v>29</v>
      </c>
      <c r="D189">
        <v>24</v>
      </c>
      <c r="E189" s="42">
        <v>11.89</v>
      </c>
      <c r="F189" t="s">
        <v>74</v>
      </c>
      <c r="G189">
        <v>2</v>
      </c>
      <c r="H189" s="42">
        <v>11.89</v>
      </c>
    </row>
    <row r="190" spans="1:8" x14ac:dyDescent="0.3">
      <c r="A190" t="s">
        <v>585</v>
      </c>
      <c r="B190" s="42">
        <v>309.12</v>
      </c>
      <c r="C190" t="s">
        <v>29</v>
      </c>
      <c r="D190">
        <v>24</v>
      </c>
      <c r="E190" s="42">
        <v>11.89</v>
      </c>
      <c r="F190" t="s">
        <v>74</v>
      </c>
      <c r="G190">
        <v>2</v>
      </c>
      <c r="H190" s="42">
        <v>11.89</v>
      </c>
    </row>
    <row r="191" spans="1:8" x14ac:dyDescent="0.3">
      <c r="A191" t="s">
        <v>586</v>
      </c>
      <c r="B191" s="42">
        <v>372.56</v>
      </c>
      <c r="C191" t="s">
        <v>67</v>
      </c>
      <c r="D191">
        <v>24</v>
      </c>
      <c r="E191" s="42">
        <v>14.53</v>
      </c>
      <c r="F191" t="s">
        <v>74</v>
      </c>
      <c r="G191">
        <v>2</v>
      </c>
      <c r="H191" s="42">
        <v>11.89</v>
      </c>
    </row>
    <row r="192" spans="1:8" x14ac:dyDescent="0.3">
      <c r="A192" t="s">
        <v>587</v>
      </c>
      <c r="B192" s="42">
        <v>309.12</v>
      </c>
      <c r="C192" t="s">
        <v>29</v>
      </c>
      <c r="D192">
        <v>24</v>
      </c>
      <c r="E192" s="42">
        <v>11.89</v>
      </c>
      <c r="F192" t="s">
        <v>74</v>
      </c>
      <c r="G192">
        <v>2</v>
      </c>
      <c r="H192" s="42">
        <v>11.89</v>
      </c>
    </row>
    <row r="193" spans="1:11" x14ac:dyDescent="0.3">
      <c r="A193" t="s">
        <v>602</v>
      </c>
      <c r="B193" s="42">
        <v>372.56</v>
      </c>
      <c r="C193" t="s">
        <v>67</v>
      </c>
      <c r="D193">
        <v>24</v>
      </c>
      <c r="E193" s="42">
        <v>14.53</v>
      </c>
      <c r="F193" t="s">
        <v>74</v>
      </c>
      <c r="G193">
        <v>2</v>
      </c>
      <c r="H193" s="42">
        <v>11.89</v>
      </c>
    </row>
    <row r="194" spans="1:11" x14ac:dyDescent="0.3">
      <c r="A194" t="s">
        <v>588</v>
      </c>
      <c r="B194" s="42">
        <v>372.56</v>
      </c>
      <c r="C194" t="s">
        <v>67</v>
      </c>
      <c r="D194">
        <v>24</v>
      </c>
      <c r="E194" s="42">
        <v>14.53</v>
      </c>
      <c r="F194" t="s">
        <v>74</v>
      </c>
      <c r="G194">
        <v>2</v>
      </c>
      <c r="H194" s="42">
        <v>11.89</v>
      </c>
      <c r="K194" s="42"/>
    </row>
    <row r="195" spans="1:11" x14ac:dyDescent="0.3">
      <c r="A195" t="s">
        <v>589</v>
      </c>
      <c r="B195" s="42">
        <v>309.12</v>
      </c>
      <c r="C195" t="s">
        <v>29</v>
      </c>
      <c r="D195">
        <v>24</v>
      </c>
      <c r="E195" s="42">
        <v>11.89</v>
      </c>
      <c r="F195" t="s">
        <v>74</v>
      </c>
      <c r="G195">
        <v>2</v>
      </c>
      <c r="H195" s="42">
        <v>11.89</v>
      </c>
    </row>
    <row r="196" spans="1:11" x14ac:dyDescent="0.3">
      <c r="A196" t="s">
        <v>591</v>
      </c>
      <c r="B196" s="42">
        <v>309.12</v>
      </c>
      <c r="C196" t="s">
        <v>29</v>
      </c>
      <c r="D196">
        <v>24</v>
      </c>
      <c r="E196" s="42">
        <v>11.89</v>
      </c>
      <c r="F196" t="s">
        <v>74</v>
      </c>
      <c r="G196">
        <v>2</v>
      </c>
      <c r="H196" s="42">
        <v>11.89</v>
      </c>
      <c r="K196" s="42"/>
    </row>
    <row r="197" spans="1:11" x14ac:dyDescent="0.3">
      <c r="A197" t="s">
        <v>590</v>
      </c>
      <c r="B197" s="42">
        <v>309.12</v>
      </c>
      <c r="C197" t="s">
        <v>29</v>
      </c>
      <c r="D197">
        <v>24</v>
      </c>
      <c r="E197" s="42">
        <v>11.89</v>
      </c>
      <c r="F197" t="s">
        <v>74</v>
      </c>
      <c r="G197">
        <v>2</v>
      </c>
      <c r="H197" s="42">
        <v>11.89</v>
      </c>
    </row>
    <row r="198" spans="1:11" x14ac:dyDescent="0.3">
      <c r="A198" t="s">
        <v>592</v>
      </c>
      <c r="B198" s="42">
        <v>372.56</v>
      </c>
      <c r="C198" t="s">
        <v>67</v>
      </c>
      <c r="D198">
        <v>24</v>
      </c>
      <c r="E198" s="42">
        <v>14.53</v>
      </c>
      <c r="F198" t="s">
        <v>74</v>
      </c>
      <c r="G198">
        <v>2</v>
      </c>
      <c r="H198" s="42">
        <v>11.89</v>
      </c>
    </row>
    <row r="199" spans="1:11" x14ac:dyDescent="0.3">
      <c r="A199" t="s">
        <v>593</v>
      </c>
      <c r="B199" s="42">
        <v>309.12</v>
      </c>
      <c r="C199" t="s">
        <v>29</v>
      </c>
      <c r="D199">
        <v>24</v>
      </c>
      <c r="E199" s="42">
        <v>11.89</v>
      </c>
      <c r="F199" t="s">
        <v>74</v>
      </c>
      <c r="G199">
        <v>2</v>
      </c>
      <c r="H199" s="42">
        <v>11.89</v>
      </c>
    </row>
    <row r="200" spans="1:11" x14ac:dyDescent="0.3">
      <c r="A200" t="s">
        <v>595</v>
      </c>
      <c r="B200" s="42">
        <v>372.56</v>
      </c>
      <c r="C200" t="s">
        <v>31</v>
      </c>
      <c r="D200">
        <v>24</v>
      </c>
      <c r="E200" s="42">
        <v>14.53</v>
      </c>
      <c r="F200" t="s">
        <v>74</v>
      </c>
      <c r="G200">
        <v>2</v>
      </c>
      <c r="H200" s="42">
        <v>11.89</v>
      </c>
    </row>
    <row r="201" spans="1:11" x14ac:dyDescent="0.3">
      <c r="A201" t="s">
        <v>594</v>
      </c>
      <c r="B201" s="42">
        <v>435.89</v>
      </c>
      <c r="C201" t="s">
        <v>69</v>
      </c>
      <c r="D201">
        <v>24</v>
      </c>
      <c r="E201" s="42">
        <v>17.170000000000002</v>
      </c>
      <c r="F201" t="s">
        <v>74</v>
      </c>
      <c r="G201">
        <v>2</v>
      </c>
      <c r="H201" s="42">
        <v>11.89</v>
      </c>
    </row>
    <row r="202" spans="1:11" x14ac:dyDescent="0.3">
      <c r="A202" t="s">
        <v>596</v>
      </c>
      <c r="B202" s="42">
        <v>372.56</v>
      </c>
      <c r="C202" t="s">
        <v>31</v>
      </c>
      <c r="D202">
        <v>24</v>
      </c>
      <c r="E202" s="42">
        <v>14.53</v>
      </c>
      <c r="F202" t="s">
        <v>74</v>
      </c>
      <c r="G202">
        <v>2</v>
      </c>
      <c r="H202" s="42">
        <v>11.89</v>
      </c>
    </row>
    <row r="203" spans="1:11" x14ac:dyDescent="0.3">
      <c r="A203" t="s">
        <v>598</v>
      </c>
      <c r="B203" s="42">
        <v>435.89</v>
      </c>
      <c r="C203" t="s">
        <v>69</v>
      </c>
      <c r="D203">
        <v>24</v>
      </c>
      <c r="E203" s="42">
        <v>17.170000000000002</v>
      </c>
      <c r="F203" t="s">
        <v>74</v>
      </c>
      <c r="G203">
        <v>2</v>
      </c>
      <c r="H203" s="42">
        <v>11.89</v>
      </c>
    </row>
    <row r="204" spans="1:11" x14ac:dyDescent="0.3">
      <c r="A204" t="s">
        <v>597</v>
      </c>
      <c r="B204" s="42">
        <v>372.56</v>
      </c>
      <c r="C204" t="s">
        <v>31</v>
      </c>
      <c r="D204">
        <v>24</v>
      </c>
      <c r="E204" s="42">
        <v>14.53</v>
      </c>
      <c r="F204" t="s">
        <v>74</v>
      </c>
      <c r="G204">
        <v>2</v>
      </c>
      <c r="H204" s="42">
        <v>11.89</v>
      </c>
    </row>
    <row r="205" spans="1:11" x14ac:dyDescent="0.3">
      <c r="A205" t="s">
        <v>599</v>
      </c>
      <c r="B205" s="42">
        <v>372.56</v>
      </c>
      <c r="C205" t="s">
        <v>31</v>
      </c>
      <c r="D205">
        <v>24</v>
      </c>
      <c r="E205" s="42">
        <v>14.53</v>
      </c>
      <c r="F205" t="s">
        <v>74</v>
      </c>
      <c r="G205">
        <v>2</v>
      </c>
      <c r="H205" s="42">
        <v>11.89</v>
      </c>
    </row>
    <row r="206" spans="1:11" x14ac:dyDescent="0.3">
      <c r="A206" t="s">
        <v>605</v>
      </c>
      <c r="B206" s="42">
        <v>435.89</v>
      </c>
      <c r="C206" t="s">
        <v>69</v>
      </c>
      <c r="D206">
        <v>24</v>
      </c>
      <c r="E206" s="42">
        <v>17.170000000000002</v>
      </c>
      <c r="F206" t="s">
        <v>74</v>
      </c>
      <c r="G206">
        <v>2</v>
      </c>
      <c r="H206" s="42">
        <v>11.89</v>
      </c>
    </row>
    <row r="207" spans="1:11" x14ac:dyDescent="0.3">
      <c r="A207" t="s">
        <v>604</v>
      </c>
      <c r="B207" s="42">
        <v>372.56</v>
      </c>
      <c r="C207" t="s">
        <v>31</v>
      </c>
      <c r="D207">
        <v>24</v>
      </c>
      <c r="E207" s="42">
        <v>14.53</v>
      </c>
      <c r="F207" t="s">
        <v>74</v>
      </c>
      <c r="G207">
        <v>2</v>
      </c>
      <c r="H207" s="42">
        <v>11.89</v>
      </c>
    </row>
    <row r="208" spans="1:11" x14ac:dyDescent="0.3">
      <c r="A208" t="s">
        <v>607</v>
      </c>
      <c r="B208" s="42">
        <v>372.56</v>
      </c>
      <c r="C208" t="s">
        <v>31</v>
      </c>
      <c r="D208">
        <v>24</v>
      </c>
      <c r="E208" s="42">
        <v>14.53</v>
      </c>
      <c r="F208" t="s">
        <v>74</v>
      </c>
      <c r="G208">
        <v>2</v>
      </c>
      <c r="H208" s="42">
        <v>11.89</v>
      </c>
    </row>
    <row r="209" spans="1:11" x14ac:dyDescent="0.3">
      <c r="A209" t="s">
        <v>606</v>
      </c>
      <c r="B209" s="42">
        <v>435.89</v>
      </c>
      <c r="C209" t="s">
        <v>69</v>
      </c>
      <c r="D209">
        <v>24</v>
      </c>
      <c r="E209" s="42">
        <v>17.170000000000002</v>
      </c>
      <c r="F209" t="s">
        <v>74</v>
      </c>
      <c r="G209">
        <v>2</v>
      </c>
      <c r="H209" s="42">
        <v>11.89</v>
      </c>
    </row>
    <row r="210" spans="1:11" x14ac:dyDescent="0.3">
      <c r="A210" t="s">
        <v>600</v>
      </c>
      <c r="B210" s="42">
        <v>372.56</v>
      </c>
      <c r="C210" t="s">
        <v>31</v>
      </c>
      <c r="D210">
        <v>24</v>
      </c>
      <c r="E210" s="42">
        <v>14.53</v>
      </c>
      <c r="F210" t="s">
        <v>74</v>
      </c>
      <c r="G210">
        <v>2</v>
      </c>
      <c r="H210" s="42">
        <v>11.89</v>
      </c>
    </row>
    <row r="211" spans="1:11" x14ac:dyDescent="0.3">
      <c r="A211" t="s">
        <v>603</v>
      </c>
      <c r="B211" s="42">
        <v>435.89</v>
      </c>
      <c r="C211" t="s">
        <v>69</v>
      </c>
      <c r="D211">
        <v>24</v>
      </c>
      <c r="E211" s="42">
        <v>17.170000000000002</v>
      </c>
      <c r="F211" t="s">
        <v>74</v>
      </c>
      <c r="G211">
        <v>2</v>
      </c>
      <c r="H211" s="42">
        <v>11.89</v>
      </c>
    </row>
    <row r="212" spans="1:11" x14ac:dyDescent="0.3">
      <c r="A212" t="s">
        <v>615</v>
      </c>
      <c r="B212" s="42">
        <v>435.89</v>
      </c>
      <c r="C212" t="s">
        <v>69</v>
      </c>
      <c r="D212">
        <v>24</v>
      </c>
      <c r="E212" s="42">
        <v>17.170000000000002</v>
      </c>
      <c r="F212" t="s">
        <v>74</v>
      </c>
      <c r="G212">
        <v>2</v>
      </c>
      <c r="H212" s="42">
        <v>11.89</v>
      </c>
    </row>
    <row r="213" spans="1:11" x14ac:dyDescent="0.3">
      <c r="A213" t="s">
        <v>610</v>
      </c>
      <c r="B213" s="42">
        <v>372.56</v>
      </c>
      <c r="C213" t="s">
        <v>31</v>
      </c>
      <c r="D213">
        <v>24</v>
      </c>
      <c r="E213" s="42">
        <v>14.53</v>
      </c>
      <c r="F213" t="s">
        <v>74</v>
      </c>
      <c r="G213">
        <v>2</v>
      </c>
      <c r="H213" s="42">
        <v>11.89</v>
      </c>
    </row>
    <row r="214" spans="1:11" x14ac:dyDescent="0.3">
      <c r="A214" t="s">
        <v>608</v>
      </c>
      <c r="B214" s="42">
        <v>372.56</v>
      </c>
      <c r="C214" t="s">
        <v>31</v>
      </c>
      <c r="D214">
        <v>24</v>
      </c>
      <c r="E214" s="42">
        <v>14.53</v>
      </c>
      <c r="F214" t="s">
        <v>74</v>
      </c>
      <c r="G214">
        <v>2</v>
      </c>
      <c r="H214" s="42">
        <v>11.89</v>
      </c>
    </row>
    <row r="215" spans="1:11" x14ac:dyDescent="0.3">
      <c r="A215" t="s">
        <v>613</v>
      </c>
      <c r="B215" s="42">
        <v>435.89</v>
      </c>
      <c r="C215" t="s">
        <v>69</v>
      </c>
      <c r="D215">
        <v>24</v>
      </c>
      <c r="E215" s="42">
        <v>17.170000000000002</v>
      </c>
      <c r="F215" t="s">
        <v>74</v>
      </c>
      <c r="G215">
        <v>2</v>
      </c>
      <c r="H215" s="42">
        <v>11.89</v>
      </c>
    </row>
    <row r="216" spans="1:11" x14ac:dyDescent="0.3">
      <c r="A216" t="s">
        <v>612</v>
      </c>
      <c r="B216" s="42">
        <v>435.89</v>
      </c>
      <c r="C216" t="s">
        <v>69</v>
      </c>
      <c r="D216">
        <v>24</v>
      </c>
      <c r="E216" s="42">
        <v>17.170000000000002</v>
      </c>
      <c r="F216" t="s">
        <v>74</v>
      </c>
      <c r="G216">
        <v>2</v>
      </c>
      <c r="H216" s="42">
        <v>11.89</v>
      </c>
    </row>
    <row r="217" spans="1:11" x14ac:dyDescent="0.3">
      <c r="A217" t="s">
        <v>614</v>
      </c>
      <c r="B217" s="42">
        <v>372.56</v>
      </c>
      <c r="C217" t="s">
        <v>31</v>
      </c>
      <c r="D217">
        <v>24</v>
      </c>
      <c r="E217" s="42">
        <v>14.53</v>
      </c>
      <c r="F217" t="s">
        <v>74</v>
      </c>
      <c r="G217">
        <v>2</v>
      </c>
      <c r="H217" s="42">
        <v>11.89</v>
      </c>
    </row>
    <row r="218" spans="1:11" x14ac:dyDescent="0.3">
      <c r="A218" t="s">
        <v>611</v>
      </c>
      <c r="B218" s="42">
        <v>435.89</v>
      </c>
      <c r="C218" t="s">
        <v>69</v>
      </c>
      <c r="D218">
        <v>24</v>
      </c>
      <c r="E218" s="42">
        <v>17.170000000000002</v>
      </c>
      <c r="F218" t="s">
        <v>74</v>
      </c>
      <c r="G218">
        <v>2</v>
      </c>
      <c r="H218">
        <v>11.89</v>
      </c>
    </row>
    <row r="219" spans="1:11" x14ac:dyDescent="0.3">
      <c r="A219" t="s">
        <v>616</v>
      </c>
      <c r="B219" s="42">
        <v>372.56</v>
      </c>
      <c r="C219" t="s">
        <v>31</v>
      </c>
      <c r="D219">
        <v>24</v>
      </c>
      <c r="E219" s="42">
        <v>14.53</v>
      </c>
      <c r="F219" t="s">
        <v>74</v>
      </c>
      <c r="G219">
        <v>2</v>
      </c>
      <c r="H219">
        <v>11.89</v>
      </c>
    </row>
    <row r="220" spans="1:11" x14ac:dyDescent="0.3">
      <c r="A220" t="s">
        <v>622</v>
      </c>
      <c r="B220" s="42">
        <v>435.89</v>
      </c>
      <c r="C220" t="s">
        <v>69</v>
      </c>
      <c r="D220">
        <v>24</v>
      </c>
      <c r="E220" s="42">
        <v>17.170000000000002</v>
      </c>
      <c r="F220" t="s">
        <v>74</v>
      </c>
      <c r="G220">
        <v>2</v>
      </c>
      <c r="H220" s="42">
        <v>11.89</v>
      </c>
      <c r="K220" s="42"/>
    </row>
    <row r="221" spans="1:11" x14ac:dyDescent="0.3">
      <c r="A221" t="s">
        <v>618</v>
      </c>
      <c r="B221" s="42">
        <v>372.56</v>
      </c>
      <c r="C221" t="s">
        <v>31</v>
      </c>
      <c r="D221">
        <v>24</v>
      </c>
      <c r="E221" s="42">
        <v>14.53</v>
      </c>
      <c r="F221" t="s">
        <v>74</v>
      </c>
      <c r="G221">
        <v>2</v>
      </c>
      <c r="H221" s="42">
        <v>11.89</v>
      </c>
    </row>
    <row r="222" spans="1:11" x14ac:dyDescent="0.3">
      <c r="A222" t="s">
        <v>623</v>
      </c>
      <c r="B222" s="42">
        <v>435.89</v>
      </c>
      <c r="C222" t="s">
        <v>69</v>
      </c>
      <c r="D222">
        <v>24</v>
      </c>
      <c r="E222" s="42">
        <v>17.170000000000002</v>
      </c>
      <c r="F222" t="s">
        <v>74</v>
      </c>
      <c r="G222">
        <v>2</v>
      </c>
      <c r="H222" s="42">
        <v>11.89</v>
      </c>
    </row>
    <row r="223" spans="1:11" x14ac:dyDescent="0.3">
      <c r="A223" t="s">
        <v>617</v>
      </c>
      <c r="B223" s="42">
        <v>372.56</v>
      </c>
      <c r="C223" t="s">
        <v>31</v>
      </c>
      <c r="D223">
        <v>24</v>
      </c>
      <c r="E223" s="42">
        <v>14.53</v>
      </c>
      <c r="F223" t="s">
        <v>74</v>
      </c>
      <c r="G223">
        <v>2</v>
      </c>
      <c r="H223" s="42">
        <v>11.89</v>
      </c>
    </row>
    <row r="224" spans="1:11" x14ac:dyDescent="0.3">
      <c r="A224" t="s">
        <v>619</v>
      </c>
      <c r="B224" s="42">
        <v>435.89</v>
      </c>
      <c r="C224" t="s">
        <v>69</v>
      </c>
      <c r="D224">
        <v>24</v>
      </c>
      <c r="E224" s="42">
        <v>17.170000000000002</v>
      </c>
      <c r="F224" t="s">
        <v>74</v>
      </c>
      <c r="G224">
        <v>2</v>
      </c>
      <c r="H224" s="42">
        <v>11.89</v>
      </c>
    </row>
    <row r="225" spans="1:11" x14ac:dyDescent="0.3">
      <c r="A225" t="s">
        <v>620</v>
      </c>
      <c r="B225" s="42">
        <v>372.56</v>
      </c>
      <c r="C225" t="s">
        <v>31</v>
      </c>
      <c r="D225">
        <v>24</v>
      </c>
      <c r="E225" s="42">
        <v>14.53</v>
      </c>
      <c r="F225" t="s">
        <v>74</v>
      </c>
      <c r="G225">
        <v>2</v>
      </c>
      <c r="H225" s="42">
        <v>11.89</v>
      </c>
    </row>
    <row r="226" spans="1:11" x14ac:dyDescent="0.3">
      <c r="A226" t="s">
        <v>624</v>
      </c>
      <c r="B226" s="42">
        <v>586.46</v>
      </c>
      <c r="C226" t="s">
        <v>35</v>
      </c>
      <c r="D226">
        <v>24</v>
      </c>
      <c r="E226" s="42">
        <v>22.46</v>
      </c>
      <c r="F226" t="s">
        <v>79</v>
      </c>
      <c r="G226">
        <v>2</v>
      </c>
      <c r="H226" s="42">
        <v>23.77</v>
      </c>
    </row>
    <row r="227" spans="1:11" x14ac:dyDescent="0.3">
      <c r="A227" t="s">
        <v>625</v>
      </c>
      <c r="B227" s="42">
        <v>586.46</v>
      </c>
      <c r="C227" t="s">
        <v>35</v>
      </c>
      <c r="D227">
        <v>24</v>
      </c>
      <c r="E227" s="42">
        <v>22.46</v>
      </c>
      <c r="F227" t="s">
        <v>79</v>
      </c>
      <c r="G227">
        <v>2</v>
      </c>
      <c r="H227" s="42">
        <v>23.77</v>
      </c>
    </row>
    <row r="228" spans="1:11" x14ac:dyDescent="0.3">
      <c r="A228" t="s">
        <v>626</v>
      </c>
      <c r="B228" s="42">
        <v>586.46</v>
      </c>
      <c r="C228" t="s">
        <v>35</v>
      </c>
      <c r="D228">
        <v>24</v>
      </c>
      <c r="E228" s="42">
        <v>22.46</v>
      </c>
      <c r="F228" t="s">
        <v>79</v>
      </c>
      <c r="G228">
        <v>2</v>
      </c>
      <c r="H228" s="42">
        <v>23.77</v>
      </c>
    </row>
    <row r="229" spans="1:11" x14ac:dyDescent="0.3">
      <c r="A229" t="s">
        <v>629</v>
      </c>
      <c r="B229" s="42">
        <v>586.46</v>
      </c>
      <c r="C229" t="s">
        <v>35</v>
      </c>
      <c r="D229">
        <v>24</v>
      </c>
      <c r="E229" s="42">
        <v>22.46</v>
      </c>
      <c r="F229" t="s">
        <v>79</v>
      </c>
      <c r="G229">
        <v>2</v>
      </c>
      <c r="H229" s="42">
        <v>23.77</v>
      </c>
    </row>
    <row r="230" spans="1:11" x14ac:dyDescent="0.3">
      <c r="A230" t="s">
        <v>631</v>
      </c>
      <c r="B230" s="42">
        <v>404.18</v>
      </c>
      <c r="C230" t="s">
        <v>43</v>
      </c>
      <c r="D230">
        <v>24</v>
      </c>
      <c r="E230" s="42">
        <v>15.85</v>
      </c>
      <c r="F230" t="s">
        <v>74</v>
      </c>
      <c r="G230">
        <v>2</v>
      </c>
      <c r="H230" s="42">
        <v>11.89</v>
      </c>
    </row>
    <row r="231" spans="1:11" x14ac:dyDescent="0.3">
      <c r="A231" t="s">
        <v>630</v>
      </c>
      <c r="B231" s="42">
        <v>404.18</v>
      </c>
      <c r="C231" t="s">
        <v>43</v>
      </c>
      <c r="D231">
        <v>24</v>
      </c>
      <c r="E231" s="42">
        <v>15.85</v>
      </c>
      <c r="F231" t="s">
        <v>74</v>
      </c>
      <c r="G231">
        <v>2</v>
      </c>
      <c r="H231" s="42">
        <v>11.89</v>
      </c>
    </row>
    <row r="232" spans="1:11" x14ac:dyDescent="0.3">
      <c r="A232" t="s">
        <v>627</v>
      </c>
      <c r="B232" s="42">
        <v>404.18</v>
      </c>
      <c r="C232" t="s">
        <v>43</v>
      </c>
      <c r="D232">
        <v>24</v>
      </c>
      <c r="E232" s="42">
        <v>15.85</v>
      </c>
      <c r="F232" t="s">
        <v>74</v>
      </c>
      <c r="G232">
        <v>2</v>
      </c>
      <c r="H232" s="42">
        <v>11.89</v>
      </c>
    </row>
    <row r="233" spans="1:11" x14ac:dyDescent="0.3">
      <c r="A233" t="s">
        <v>632</v>
      </c>
      <c r="B233" s="42">
        <v>681.56</v>
      </c>
      <c r="C233" t="s">
        <v>47</v>
      </c>
      <c r="D233">
        <v>24</v>
      </c>
      <c r="E233" s="42">
        <v>26.42</v>
      </c>
      <c r="F233" t="s">
        <v>79</v>
      </c>
      <c r="G233">
        <v>2</v>
      </c>
      <c r="H233" s="42">
        <v>23.77</v>
      </c>
    </row>
    <row r="234" spans="1:11" x14ac:dyDescent="0.3">
      <c r="A234" t="s">
        <v>628</v>
      </c>
      <c r="B234" s="42">
        <v>681.56</v>
      </c>
      <c r="C234" t="s">
        <v>47</v>
      </c>
      <c r="D234">
        <v>24</v>
      </c>
      <c r="E234" s="42">
        <v>26.42</v>
      </c>
      <c r="F234" t="s">
        <v>79</v>
      </c>
      <c r="G234">
        <v>2</v>
      </c>
      <c r="H234" s="42">
        <v>23.77</v>
      </c>
    </row>
    <row r="235" spans="1:11" x14ac:dyDescent="0.3">
      <c r="A235" t="s">
        <v>634</v>
      </c>
      <c r="B235" s="42">
        <v>303.83</v>
      </c>
      <c r="C235" t="s">
        <v>29</v>
      </c>
      <c r="D235">
        <v>24</v>
      </c>
      <c r="E235" s="42">
        <v>11.89</v>
      </c>
      <c r="F235" t="s">
        <v>89</v>
      </c>
      <c r="G235">
        <v>2</v>
      </c>
      <c r="H235">
        <v>9.25</v>
      </c>
    </row>
    <row r="236" spans="1:11" x14ac:dyDescent="0.3">
      <c r="A236" t="s">
        <v>633</v>
      </c>
      <c r="B236" s="42">
        <v>367.27</v>
      </c>
      <c r="C236" t="s">
        <v>31</v>
      </c>
      <c r="D236">
        <v>24</v>
      </c>
      <c r="E236" s="42">
        <v>14.53</v>
      </c>
      <c r="F236" t="s">
        <v>89</v>
      </c>
      <c r="G236">
        <v>2</v>
      </c>
      <c r="H236" s="42">
        <v>9.25</v>
      </c>
      <c r="K236" s="42"/>
    </row>
    <row r="237" spans="1:11" x14ac:dyDescent="0.3">
      <c r="A237" t="s">
        <v>635</v>
      </c>
      <c r="B237" s="42">
        <v>367.27</v>
      </c>
      <c r="C237" t="s">
        <v>31</v>
      </c>
      <c r="D237">
        <v>24</v>
      </c>
      <c r="E237" s="42">
        <v>14.53</v>
      </c>
      <c r="F237" t="s">
        <v>89</v>
      </c>
      <c r="G237">
        <v>2</v>
      </c>
      <c r="H237" s="42">
        <v>9.25</v>
      </c>
    </row>
    <row r="238" spans="1:11" x14ac:dyDescent="0.3">
      <c r="A238" t="s">
        <v>636</v>
      </c>
      <c r="B238" s="42">
        <v>367.27</v>
      </c>
      <c r="C238" t="s">
        <v>31</v>
      </c>
      <c r="D238">
        <v>24</v>
      </c>
      <c r="E238" s="42">
        <v>14.53</v>
      </c>
      <c r="F238" t="s">
        <v>89</v>
      </c>
      <c r="G238">
        <v>2</v>
      </c>
      <c r="H238" s="42">
        <v>9.25</v>
      </c>
    </row>
    <row r="239" spans="1:11" x14ac:dyDescent="0.3">
      <c r="A239" t="s">
        <v>637</v>
      </c>
      <c r="B239" s="42">
        <v>327.56</v>
      </c>
      <c r="C239" t="s">
        <v>41</v>
      </c>
      <c r="D239">
        <v>24</v>
      </c>
      <c r="E239" s="42">
        <v>12.88</v>
      </c>
      <c r="F239" t="s">
        <v>89</v>
      </c>
      <c r="G239">
        <v>2</v>
      </c>
      <c r="H239" s="42">
        <v>9.25</v>
      </c>
    </row>
    <row r="240" spans="1:11" x14ac:dyDescent="0.3">
      <c r="A240" t="s">
        <v>638</v>
      </c>
      <c r="B240" s="42">
        <v>158.46</v>
      </c>
      <c r="C240" t="s">
        <v>24</v>
      </c>
      <c r="D240">
        <v>24</v>
      </c>
      <c r="E240" s="42">
        <v>6.6</v>
      </c>
      <c r="H240" s="42"/>
    </row>
    <row r="241" spans="1:11" x14ac:dyDescent="0.3">
      <c r="A241" t="s">
        <v>640</v>
      </c>
      <c r="B241" s="42">
        <v>348.78</v>
      </c>
      <c r="C241" t="s">
        <v>31</v>
      </c>
      <c r="D241">
        <v>24</v>
      </c>
      <c r="E241" s="42">
        <v>14.53</v>
      </c>
      <c r="H241" s="42"/>
    </row>
    <row r="242" spans="1:11" x14ac:dyDescent="0.3">
      <c r="A242" t="s">
        <v>639</v>
      </c>
      <c r="B242" s="42">
        <v>221.9</v>
      </c>
      <c r="C242" t="s">
        <v>27</v>
      </c>
      <c r="D242">
        <v>24</v>
      </c>
      <c r="E242" s="42">
        <v>9.25</v>
      </c>
    </row>
    <row r="243" spans="1:11" x14ac:dyDescent="0.3">
      <c r="A243" t="s">
        <v>642</v>
      </c>
      <c r="B243" s="42">
        <v>235.11</v>
      </c>
      <c r="C243" t="s">
        <v>27</v>
      </c>
      <c r="D243">
        <v>24</v>
      </c>
      <c r="E243" s="42">
        <v>9.25</v>
      </c>
      <c r="F243" t="s">
        <v>99</v>
      </c>
      <c r="G243">
        <v>2</v>
      </c>
      <c r="H243" s="42">
        <v>6.6</v>
      </c>
    </row>
    <row r="244" spans="1:11" x14ac:dyDescent="0.3">
      <c r="A244" t="s">
        <v>641</v>
      </c>
      <c r="B244" s="42">
        <v>705.26</v>
      </c>
      <c r="C244" t="s">
        <v>57</v>
      </c>
      <c r="D244">
        <v>24</v>
      </c>
      <c r="E244" s="42">
        <v>23.78</v>
      </c>
      <c r="F244" t="s">
        <v>119</v>
      </c>
      <c r="G244">
        <v>2</v>
      </c>
      <c r="H244" s="42">
        <v>15.85</v>
      </c>
      <c r="I244" t="s">
        <v>137</v>
      </c>
      <c r="J244">
        <v>26</v>
      </c>
      <c r="K244">
        <v>3.96</v>
      </c>
    </row>
    <row r="245" spans="1:11" x14ac:dyDescent="0.3">
      <c r="A245" t="s">
        <v>643</v>
      </c>
      <c r="B245" s="42">
        <v>705.26</v>
      </c>
      <c r="C245" t="s">
        <v>57</v>
      </c>
      <c r="D245">
        <v>24</v>
      </c>
      <c r="E245" s="42">
        <v>23.78</v>
      </c>
      <c r="F245" t="s">
        <v>119</v>
      </c>
      <c r="G245">
        <v>2</v>
      </c>
      <c r="H245" s="42">
        <v>15.85</v>
      </c>
      <c r="I245" t="s">
        <v>137</v>
      </c>
      <c r="J245">
        <v>26</v>
      </c>
      <c r="K245">
        <v>3.96</v>
      </c>
    </row>
    <row r="246" spans="1:11" x14ac:dyDescent="0.3">
      <c r="A246" t="s">
        <v>644</v>
      </c>
      <c r="B246" s="42">
        <v>483.42</v>
      </c>
      <c r="C246" t="s">
        <v>31</v>
      </c>
      <c r="D246">
        <v>24</v>
      </c>
      <c r="E246" s="42">
        <v>14.53</v>
      </c>
      <c r="F246" t="s">
        <v>110</v>
      </c>
      <c r="G246">
        <v>2</v>
      </c>
      <c r="H246" s="42">
        <v>15.85</v>
      </c>
      <c r="I246" t="s">
        <v>137</v>
      </c>
      <c r="J246">
        <v>26</v>
      </c>
      <c r="K246">
        <v>3.96</v>
      </c>
    </row>
    <row r="247" spans="1:11" x14ac:dyDescent="0.3">
      <c r="A247" t="s">
        <v>646</v>
      </c>
      <c r="B247" s="42">
        <v>483.42</v>
      </c>
      <c r="C247" t="s">
        <v>31</v>
      </c>
      <c r="D247">
        <v>24</v>
      </c>
      <c r="E247" s="42">
        <v>14.53</v>
      </c>
      <c r="F247" t="s">
        <v>110</v>
      </c>
      <c r="G247">
        <v>2</v>
      </c>
      <c r="H247" s="42">
        <v>15.85</v>
      </c>
      <c r="I247" t="s">
        <v>137</v>
      </c>
      <c r="J247">
        <v>26</v>
      </c>
      <c r="K247">
        <v>3.96</v>
      </c>
    </row>
    <row r="248" spans="1:11" x14ac:dyDescent="0.3">
      <c r="A248" t="s">
        <v>645</v>
      </c>
      <c r="B248" s="42">
        <v>483.42</v>
      </c>
      <c r="C248" t="s">
        <v>31</v>
      </c>
      <c r="D248">
        <v>24</v>
      </c>
      <c r="E248" s="42">
        <v>14.53</v>
      </c>
      <c r="F248" t="s">
        <v>110</v>
      </c>
      <c r="G248">
        <v>2</v>
      </c>
      <c r="H248" s="42">
        <v>15.85</v>
      </c>
      <c r="I248" t="s">
        <v>137</v>
      </c>
      <c r="J248">
        <v>26</v>
      </c>
      <c r="K248">
        <v>3.96</v>
      </c>
    </row>
    <row r="249" spans="1:11" x14ac:dyDescent="0.3">
      <c r="A249" t="s">
        <v>647</v>
      </c>
      <c r="B249" s="42">
        <v>483.42</v>
      </c>
      <c r="C249" t="s">
        <v>31</v>
      </c>
      <c r="D249">
        <v>24</v>
      </c>
      <c r="E249" s="42">
        <v>14.53</v>
      </c>
      <c r="F249" t="s">
        <v>110</v>
      </c>
      <c r="G249">
        <v>2</v>
      </c>
      <c r="H249" s="42">
        <v>15.85</v>
      </c>
      <c r="I249" t="s">
        <v>137</v>
      </c>
      <c r="J249">
        <v>26</v>
      </c>
      <c r="K249">
        <v>3.96</v>
      </c>
    </row>
    <row r="250" spans="1:11" x14ac:dyDescent="0.3">
      <c r="A250" t="s">
        <v>648</v>
      </c>
      <c r="B250" s="42">
        <v>343.49</v>
      </c>
      <c r="C250" t="s">
        <v>31</v>
      </c>
      <c r="D250">
        <v>22</v>
      </c>
      <c r="E250" s="42">
        <v>14.53</v>
      </c>
      <c r="F250" t="s">
        <v>74</v>
      </c>
      <c r="G250">
        <v>2</v>
      </c>
      <c r="H250" s="42">
        <v>11.89</v>
      </c>
    </row>
    <row r="251" spans="1:11" x14ac:dyDescent="0.3">
      <c r="A251" t="s">
        <v>649</v>
      </c>
      <c r="B251" s="42">
        <v>285.33999999999997</v>
      </c>
      <c r="C251" t="s">
        <v>65</v>
      </c>
      <c r="D251">
        <v>22</v>
      </c>
      <c r="E251" s="42">
        <v>11.89</v>
      </c>
      <c r="F251" t="s">
        <v>72</v>
      </c>
      <c r="G251">
        <v>2</v>
      </c>
      <c r="H251" s="42">
        <v>11.89</v>
      </c>
    </row>
    <row r="252" spans="1:11" x14ac:dyDescent="0.3">
      <c r="A252" t="s">
        <v>650</v>
      </c>
      <c r="B252" s="42">
        <v>328.96</v>
      </c>
      <c r="C252" t="s">
        <v>31</v>
      </c>
      <c r="D252">
        <v>21</v>
      </c>
      <c r="E252" s="42">
        <v>14.53</v>
      </c>
      <c r="F252" t="s">
        <v>74</v>
      </c>
      <c r="G252">
        <v>2</v>
      </c>
      <c r="H252" s="42">
        <v>11.89</v>
      </c>
    </row>
    <row r="253" spans="1:11" x14ac:dyDescent="0.3">
      <c r="A253" t="s">
        <v>652</v>
      </c>
      <c r="B253" s="42">
        <v>208.7</v>
      </c>
      <c r="C253" t="s">
        <v>27</v>
      </c>
      <c r="D253">
        <v>20</v>
      </c>
      <c r="E253" s="42">
        <v>9.25</v>
      </c>
      <c r="F253" t="s">
        <v>72</v>
      </c>
      <c r="G253">
        <v>2</v>
      </c>
      <c r="H253" s="42">
        <v>11.89</v>
      </c>
    </row>
    <row r="254" spans="1:11" x14ac:dyDescent="0.3">
      <c r="A254" t="s">
        <v>651</v>
      </c>
      <c r="B254" s="42">
        <v>499.29</v>
      </c>
      <c r="C254" t="s">
        <v>57</v>
      </c>
      <c r="D254">
        <v>20</v>
      </c>
      <c r="E254" s="42">
        <v>23.78</v>
      </c>
      <c r="F254" t="s">
        <v>83</v>
      </c>
      <c r="G254">
        <v>2</v>
      </c>
      <c r="H254" s="42">
        <v>11.89</v>
      </c>
    </row>
    <row r="255" spans="1:11" x14ac:dyDescent="0.3">
      <c r="A255" t="s">
        <v>655</v>
      </c>
      <c r="B255" s="42">
        <v>208.7</v>
      </c>
      <c r="C255" t="s">
        <v>27</v>
      </c>
      <c r="D255">
        <v>20</v>
      </c>
      <c r="E255" s="42">
        <v>9.25</v>
      </c>
      <c r="F255" t="s">
        <v>72</v>
      </c>
      <c r="G255">
        <v>2</v>
      </c>
      <c r="H255" s="42">
        <v>11.89</v>
      </c>
    </row>
    <row r="256" spans="1:11" x14ac:dyDescent="0.3">
      <c r="A256" t="s">
        <v>653</v>
      </c>
      <c r="B256" s="42">
        <v>261.56</v>
      </c>
      <c r="C256" t="s">
        <v>65</v>
      </c>
      <c r="D256">
        <v>20</v>
      </c>
      <c r="E256" s="42">
        <v>11.89</v>
      </c>
      <c r="F256" t="s">
        <v>72</v>
      </c>
      <c r="G256">
        <v>2</v>
      </c>
      <c r="H256" s="42">
        <v>11.89</v>
      </c>
    </row>
    <row r="257" spans="1:11" x14ac:dyDescent="0.3">
      <c r="A257" t="s">
        <v>654</v>
      </c>
      <c r="B257" s="42">
        <v>208.7</v>
      </c>
      <c r="C257" t="s">
        <v>27</v>
      </c>
      <c r="D257">
        <v>20</v>
      </c>
      <c r="E257" s="42">
        <v>9.25</v>
      </c>
      <c r="F257" t="s">
        <v>72</v>
      </c>
      <c r="G257">
        <v>2</v>
      </c>
      <c r="H257" s="42">
        <v>11.89</v>
      </c>
    </row>
    <row r="258" spans="1:11" x14ac:dyDescent="0.3">
      <c r="A258" t="s">
        <v>656</v>
      </c>
      <c r="B258" s="42">
        <v>208.7</v>
      </c>
      <c r="C258" t="s">
        <v>27</v>
      </c>
      <c r="D258">
        <v>20</v>
      </c>
      <c r="E258" s="42">
        <v>9.25</v>
      </c>
      <c r="F258" t="s">
        <v>72</v>
      </c>
      <c r="G258">
        <v>2</v>
      </c>
      <c r="H258" s="42">
        <v>11.89</v>
      </c>
    </row>
    <row r="259" spans="1:11" x14ac:dyDescent="0.3">
      <c r="A259" t="s">
        <v>657</v>
      </c>
      <c r="B259" s="42">
        <v>208.7</v>
      </c>
      <c r="C259" t="s">
        <v>27</v>
      </c>
      <c r="D259">
        <v>20</v>
      </c>
      <c r="E259" s="42">
        <v>9.25</v>
      </c>
      <c r="F259" t="s">
        <v>72</v>
      </c>
      <c r="G259">
        <v>2</v>
      </c>
      <c r="H259" s="42">
        <v>11.89</v>
      </c>
    </row>
    <row r="260" spans="1:11" x14ac:dyDescent="0.3">
      <c r="A260" t="s">
        <v>659</v>
      </c>
      <c r="B260" s="42">
        <v>261.56</v>
      </c>
      <c r="C260" t="s">
        <v>29</v>
      </c>
      <c r="D260">
        <v>20</v>
      </c>
      <c r="E260" s="42">
        <v>11.89</v>
      </c>
      <c r="F260" t="s">
        <v>74</v>
      </c>
      <c r="G260">
        <v>2</v>
      </c>
      <c r="H260" s="42">
        <v>11.89</v>
      </c>
    </row>
    <row r="261" spans="1:11" x14ac:dyDescent="0.3">
      <c r="A261" t="s">
        <v>660</v>
      </c>
      <c r="B261" s="42">
        <v>261.56</v>
      </c>
      <c r="C261" t="s">
        <v>29</v>
      </c>
      <c r="D261">
        <v>20</v>
      </c>
      <c r="E261" s="42">
        <v>11.89</v>
      </c>
      <c r="F261" t="s">
        <v>74</v>
      </c>
      <c r="G261">
        <v>2</v>
      </c>
      <c r="H261" s="42">
        <v>11.89</v>
      </c>
    </row>
    <row r="262" spans="1:11" x14ac:dyDescent="0.3">
      <c r="A262" t="s">
        <v>661</v>
      </c>
      <c r="B262" s="42">
        <v>393.67</v>
      </c>
      <c r="C262" t="s">
        <v>31</v>
      </c>
      <c r="D262">
        <v>20</v>
      </c>
      <c r="E262" s="42">
        <v>14.53</v>
      </c>
      <c r="F262" t="s">
        <v>74</v>
      </c>
      <c r="G262">
        <v>2</v>
      </c>
      <c r="H262" s="42">
        <v>11.89</v>
      </c>
      <c r="I262" t="s">
        <v>150</v>
      </c>
      <c r="J262">
        <v>5</v>
      </c>
      <c r="K262">
        <v>15.85</v>
      </c>
    </row>
    <row r="263" spans="1:11" x14ac:dyDescent="0.3">
      <c r="A263" t="s">
        <v>658</v>
      </c>
      <c r="B263" s="42">
        <v>208.7</v>
      </c>
      <c r="C263" t="s">
        <v>27</v>
      </c>
      <c r="D263">
        <v>20</v>
      </c>
      <c r="E263" s="42">
        <v>9.25</v>
      </c>
      <c r="F263" t="s">
        <v>72</v>
      </c>
      <c r="G263">
        <v>2</v>
      </c>
      <c r="H263" s="42">
        <v>11.89</v>
      </c>
    </row>
    <row r="264" spans="1:11" x14ac:dyDescent="0.3">
      <c r="A264" t="s">
        <v>663</v>
      </c>
      <c r="B264" s="42">
        <v>779.27</v>
      </c>
      <c r="C264" t="s">
        <v>69</v>
      </c>
      <c r="D264">
        <v>20</v>
      </c>
      <c r="E264" s="42">
        <v>17.170000000000002</v>
      </c>
      <c r="F264" t="s">
        <v>74</v>
      </c>
      <c r="G264">
        <v>2</v>
      </c>
      <c r="H264" s="42">
        <v>11.89</v>
      </c>
      <c r="I264" t="s">
        <v>160</v>
      </c>
      <c r="J264">
        <v>26</v>
      </c>
      <c r="K264">
        <v>15.85</v>
      </c>
    </row>
    <row r="265" spans="1:11" x14ac:dyDescent="0.3">
      <c r="A265" t="s">
        <v>664</v>
      </c>
      <c r="B265" s="42">
        <v>314.43</v>
      </c>
      <c r="C265" t="s">
        <v>31</v>
      </c>
      <c r="D265">
        <v>20</v>
      </c>
      <c r="E265" s="42">
        <v>14.53</v>
      </c>
      <c r="F265" t="s">
        <v>74</v>
      </c>
      <c r="G265">
        <v>2</v>
      </c>
      <c r="H265" s="42">
        <v>11.89</v>
      </c>
    </row>
    <row r="266" spans="1:11" x14ac:dyDescent="0.3">
      <c r="A266" t="s">
        <v>662</v>
      </c>
      <c r="B266" s="42">
        <v>314.43</v>
      </c>
      <c r="C266" t="s">
        <v>31</v>
      </c>
      <c r="D266">
        <v>20</v>
      </c>
      <c r="E266" s="42">
        <v>14.53</v>
      </c>
      <c r="F266" t="s">
        <v>74</v>
      </c>
      <c r="G266">
        <v>2</v>
      </c>
      <c r="H266" s="42">
        <v>11.89</v>
      </c>
    </row>
    <row r="267" spans="1:11" x14ac:dyDescent="0.3">
      <c r="A267" t="s">
        <v>666</v>
      </c>
      <c r="B267" s="42">
        <v>314.43</v>
      </c>
      <c r="C267" t="s">
        <v>31</v>
      </c>
      <c r="D267">
        <v>20</v>
      </c>
      <c r="E267" s="42">
        <v>14.53</v>
      </c>
      <c r="F267" t="s">
        <v>74</v>
      </c>
      <c r="G267">
        <v>2</v>
      </c>
      <c r="H267" s="42">
        <v>11.89</v>
      </c>
    </row>
    <row r="268" spans="1:11" x14ac:dyDescent="0.3">
      <c r="A268" t="s">
        <v>665</v>
      </c>
      <c r="B268" s="42">
        <v>367.2</v>
      </c>
      <c r="C268" t="s">
        <v>69</v>
      </c>
      <c r="D268">
        <v>20</v>
      </c>
      <c r="E268" s="42">
        <v>17.170000000000002</v>
      </c>
      <c r="F268" t="s">
        <v>74</v>
      </c>
      <c r="G268">
        <v>2</v>
      </c>
      <c r="H268" s="42">
        <v>11.89</v>
      </c>
    </row>
    <row r="269" spans="1:11" x14ac:dyDescent="0.3">
      <c r="A269" t="s">
        <v>667</v>
      </c>
      <c r="B269" s="42">
        <v>314.43</v>
      </c>
      <c r="C269" t="s">
        <v>31</v>
      </c>
      <c r="D269">
        <v>20</v>
      </c>
      <c r="E269" s="42">
        <v>14.53</v>
      </c>
      <c r="F269" t="s">
        <v>74</v>
      </c>
      <c r="G269">
        <v>2</v>
      </c>
      <c r="H269" s="42">
        <v>11.89</v>
      </c>
    </row>
    <row r="270" spans="1:11" x14ac:dyDescent="0.3">
      <c r="A270" t="s">
        <v>668</v>
      </c>
      <c r="B270" s="42">
        <v>367.2</v>
      </c>
      <c r="C270" t="s">
        <v>69</v>
      </c>
      <c r="D270">
        <v>20</v>
      </c>
      <c r="E270" s="42">
        <v>17.170000000000002</v>
      </c>
      <c r="F270" t="s">
        <v>74</v>
      </c>
      <c r="G270">
        <v>2</v>
      </c>
      <c r="H270" s="42">
        <v>11.89</v>
      </c>
    </row>
    <row r="271" spans="1:11" x14ac:dyDescent="0.3">
      <c r="A271" t="s">
        <v>669</v>
      </c>
      <c r="B271" s="42">
        <v>314.43</v>
      </c>
      <c r="C271" t="s">
        <v>31</v>
      </c>
      <c r="D271">
        <v>20</v>
      </c>
      <c r="E271" s="42">
        <v>14.53</v>
      </c>
      <c r="F271" t="s">
        <v>74</v>
      </c>
      <c r="G271">
        <v>2</v>
      </c>
      <c r="H271" s="42">
        <v>11.89</v>
      </c>
    </row>
    <row r="272" spans="1:11" x14ac:dyDescent="0.3">
      <c r="A272" t="s">
        <v>671</v>
      </c>
      <c r="B272" s="42">
        <v>314.43</v>
      </c>
      <c r="C272" t="s">
        <v>31</v>
      </c>
      <c r="D272">
        <v>20</v>
      </c>
      <c r="E272" s="42">
        <v>14.53</v>
      </c>
      <c r="F272" t="s">
        <v>74</v>
      </c>
      <c r="G272">
        <v>2</v>
      </c>
      <c r="H272" s="42">
        <v>11.89</v>
      </c>
    </row>
    <row r="273" spans="1:11" x14ac:dyDescent="0.3">
      <c r="A273" t="s">
        <v>670</v>
      </c>
      <c r="B273" s="42">
        <v>314.43</v>
      </c>
      <c r="C273" t="s">
        <v>31</v>
      </c>
      <c r="D273">
        <v>20</v>
      </c>
      <c r="E273" s="42">
        <v>14.53</v>
      </c>
      <c r="F273" t="s">
        <v>74</v>
      </c>
      <c r="G273">
        <v>2</v>
      </c>
      <c r="H273" s="42">
        <v>11.89</v>
      </c>
    </row>
    <row r="274" spans="1:11" x14ac:dyDescent="0.3">
      <c r="A274" t="s">
        <v>672</v>
      </c>
      <c r="B274" s="42">
        <v>367.2</v>
      </c>
      <c r="C274" t="s">
        <v>69</v>
      </c>
      <c r="D274">
        <v>20</v>
      </c>
      <c r="E274" s="42">
        <v>17.170000000000002</v>
      </c>
      <c r="F274" t="s">
        <v>74</v>
      </c>
      <c r="G274">
        <v>2</v>
      </c>
      <c r="H274" s="42">
        <v>11.89</v>
      </c>
    </row>
    <row r="275" spans="1:11" x14ac:dyDescent="0.3">
      <c r="A275" t="s">
        <v>674</v>
      </c>
      <c r="B275" s="42">
        <v>314.43</v>
      </c>
      <c r="C275" t="s">
        <v>31</v>
      </c>
      <c r="D275">
        <v>20</v>
      </c>
      <c r="E275" s="42">
        <v>14.53</v>
      </c>
      <c r="F275" t="s">
        <v>74</v>
      </c>
      <c r="G275">
        <v>2</v>
      </c>
      <c r="H275" s="42">
        <v>11.89</v>
      </c>
    </row>
    <row r="276" spans="1:11" x14ac:dyDescent="0.3">
      <c r="A276" t="s">
        <v>673</v>
      </c>
      <c r="B276" s="42">
        <v>314.43</v>
      </c>
      <c r="C276" t="s">
        <v>31</v>
      </c>
      <c r="D276">
        <v>20</v>
      </c>
      <c r="E276" s="42">
        <v>14.53</v>
      </c>
      <c r="F276" t="s">
        <v>74</v>
      </c>
      <c r="G276">
        <v>2</v>
      </c>
      <c r="H276" s="42">
        <v>11.89</v>
      </c>
    </row>
    <row r="277" spans="1:11" x14ac:dyDescent="0.3">
      <c r="A277" t="s">
        <v>676</v>
      </c>
      <c r="B277" s="42">
        <v>314.43</v>
      </c>
      <c r="C277" t="s">
        <v>31</v>
      </c>
      <c r="D277">
        <v>20</v>
      </c>
      <c r="E277" s="42">
        <v>14.53</v>
      </c>
      <c r="F277" t="s">
        <v>74</v>
      </c>
      <c r="G277">
        <v>2</v>
      </c>
      <c r="H277" s="42">
        <v>11.89</v>
      </c>
    </row>
    <row r="278" spans="1:11" x14ac:dyDescent="0.3">
      <c r="A278" t="s">
        <v>675</v>
      </c>
      <c r="B278" s="42">
        <v>367.2</v>
      </c>
      <c r="C278" t="s">
        <v>69</v>
      </c>
      <c r="D278">
        <v>20</v>
      </c>
      <c r="E278" s="42">
        <v>17.170000000000002</v>
      </c>
      <c r="F278" t="s">
        <v>74</v>
      </c>
      <c r="G278">
        <v>2</v>
      </c>
      <c r="H278" s="42">
        <v>11.89</v>
      </c>
    </row>
    <row r="279" spans="1:11" x14ac:dyDescent="0.3">
      <c r="A279" t="s">
        <v>677</v>
      </c>
      <c r="B279" s="42">
        <v>314.43</v>
      </c>
      <c r="C279" t="s">
        <v>31</v>
      </c>
      <c r="D279">
        <v>20</v>
      </c>
      <c r="E279" s="42">
        <v>14.53</v>
      </c>
      <c r="F279" t="s">
        <v>74</v>
      </c>
      <c r="G279">
        <v>2</v>
      </c>
      <c r="H279" s="42">
        <v>11.89</v>
      </c>
    </row>
    <row r="280" spans="1:11" x14ac:dyDescent="0.3">
      <c r="A280" t="s">
        <v>678</v>
      </c>
      <c r="B280" s="42">
        <v>340.78</v>
      </c>
      <c r="C280" t="s">
        <v>43</v>
      </c>
      <c r="D280">
        <v>20</v>
      </c>
      <c r="E280" s="42">
        <v>15.85</v>
      </c>
      <c r="F280" t="s">
        <v>74</v>
      </c>
      <c r="G280">
        <v>2</v>
      </c>
      <c r="H280" s="42">
        <v>11.89</v>
      </c>
    </row>
    <row r="281" spans="1:11" x14ac:dyDescent="0.3">
      <c r="A281" t="s">
        <v>680</v>
      </c>
      <c r="B281" s="42">
        <v>309.14</v>
      </c>
      <c r="C281" t="s">
        <v>31</v>
      </c>
      <c r="D281">
        <v>20</v>
      </c>
      <c r="E281" s="42">
        <v>14.53</v>
      </c>
      <c r="F281" t="s">
        <v>89</v>
      </c>
      <c r="G281">
        <v>2</v>
      </c>
      <c r="H281" s="42">
        <v>9.25</v>
      </c>
    </row>
    <row r="282" spans="1:11" x14ac:dyDescent="0.3">
      <c r="A282" t="s">
        <v>679</v>
      </c>
      <c r="B282" s="42">
        <v>281.33</v>
      </c>
      <c r="C282" t="s">
        <v>41</v>
      </c>
      <c r="D282">
        <v>20</v>
      </c>
      <c r="E282" s="42">
        <v>12.88</v>
      </c>
      <c r="F282" t="s">
        <v>74</v>
      </c>
      <c r="G282">
        <v>2</v>
      </c>
      <c r="H282" s="42">
        <v>11.89</v>
      </c>
    </row>
    <row r="283" spans="1:11" x14ac:dyDescent="0.3">
      <c r="A283" t="s">
        <v>682</v>
      </c>
      <c r="B283" s="42">
        <v>462.23</v>
      </c>
      <c r="C283" t="s">
        <v>69</v>
      </c>
      <c r="D283">
        <v>20</v>
      </c>
      <c r="E283" s="42">
        <v>17.170000000000002</v>
      </c>
      <c r="F283" t="s">
        <v>110</v>
      </c>
      <c r="G283">
        <v>2</v>
      </c>
      <c r="H283" s="42">
        <v>15.85</v>
      </c>
      <c r="I283" t="s">
        <v>137</v>
      </c>
      <c r="J283">
        <v>22</v>
      </c>
      <c r="K283">
        <v>3.96</v>
      </c>
    </row>
    <row r="284" spans="1:11" x14ac:dyDescent="0.3">
      <c r="A284" t="s">
        <v>684</v>
      </c>
      <c r="B284" s="42">
        <v>409.45</v>
      </c>
      <c r="C284" t="s">
        <v>31</v>
      </c>
      <c r="D284">
        <v>20</v>
      </c>
      <c r="E284" s="42">
        <v>14.53</v>
      </c>
      <c r="F284" t="s">
        <v>110</v>
      </c>
      <c r="G284">
        <v>2</v>
      </c>
      <c r="H284" s="42">
        <v>15.85</v>
      </c>
      <c r="I284" t="s">
        <v>137</v>
      </c>
      <c r="J284">
        <v>22</v>
      </c>
      <c r="K284">
        <v>3.96</v>
      </c>
    </row>
    <row r="285" spans="1:11" x14ac:dyDescent="0.3">
      <c r="A285" t="s">
        <v>681</v>
      </c>
      <c r="B285" s="42">
        <v>409.45</v>
      </c>
      <c r="C285" t="s">
        <v>31</v>
      </c>
      <c r="D285">
        <v>20</v>
      </c>
      <c r="E285" s="42">
        <v>14.53</v>
      </c>
      <c r="F285" t="s">
        <v>110</v>
      </c>
      <c r="G285">
        <v>2</v>
      </c>
      <c r="H285" s="42">
        <v>15.85</v>
      </c>
      <c r="I285" t="s">
        <v>137</v>
      </c>
      <c r="J285">
        <v>22</v>
      </c>
      <c r="K285">
        <v>3.96</v>
      </c>
    </row>
    <row r="286" spans="1:11" x14ac:dyDescent="0.3">
      <c r="A286" t="s">
        <v>685</v>
      </c>
      <c r="B286" s="42">
        <v>451.74</v>
      </c>
      <c r="C286" t="s">
        <v>57</v>
      </c>
      <c r="D286">
        <v>18</v>
      </c>
      <c r="E286" s="42">
        <v>23.78</v>
      </c>
      <c r="F286" t="s">
        <v>83</v>
      </c>
      <c r="G286">
        <v>2</v>
      </c>
      <c r="H286" s="42">
        <v>11.89</v>
      </c>
    </row>
    <row r="287" spans="1:11" x14ac:dyDescent="0.3">
      <c r="A287" t="s">
        <v>683</v>
      </c>
      <c r="B287" s="42">
        <v>451.74</v>
      </c>
      <c r="C287" t="s">
        <v>57</v>
      </c>
      <c r="D287">
        <v>18</v>
      </c>
      <c r="E287" s="42">
        <v>23.78</v>
      </c>
      <c r="F287" t="s">
        <v>83</v>
      </c>
      <c r="G287">
        <v>2</v>
      </c>
      <c r="H287" s="42">
        <v>11.89</v>
      </c>
    </row>
    <row r="288" spans="1:11" x14ac:dyDescent="0.3">
      <c r="A288" t="s">
        <v>686</v>
      </c>
      <c r="B288" s="42">
        <v>451.74</v>
      </c>
      <c r="C288" t="s">
        <v>57</v>
      </c>
      <c r="D288">
        <v>18</v>
      </c>
      <c r="E288" s="42">
        <v>23.78</v>
      </c>
      <c r="F288" t="s">
        <v>83</v>
      </c>
      <c r="G288">
        <v>2</v>
      </c>
      <c r="H288" s="42">
        <v>11.89</v>
      </c>
    </row>
    <row r="289" spans="1:8" x14ac:dyDescent="0.3">
      <c r="A289" t="s">
        <v>687</v>
      </c>
      <c r="B289" s="42">
        <v>142.63</v>
      </c>
      <c r="C289" t="s">
        <v>24</v>
      </c>
      <c r="D289">
        <v>18</v>
      </c>
      <c r="E289" s="42">
        <v>6.6</v>
      </c>
      <c r="F289" t="s">
        <v>72</v>
      </c>
      <c r="G289">
        <v>2</v>
      </c>
      <c r="H289" s="42">
        <v>11.89</v>
      </c>
    </row>
    <row r="290" spans="1:8" x14ac:dyDescent="0.3">
      <c r="A290" t="s">
        <v>689</v>
      </c>
      <c r="B290" s="42">
        <v>190.2</v>
      </c>
      <c r="C290" t="s">
        <v>27</v>
      </c>
      <c r="D290">
        <v>18</v>
      </c>
      <c r="E290" s="42">
        <v>9.25</v>
      </c>
      <c r="F290" t="s">
        <v>72</v>
      </c>
      <c r="G290">
        <v>2</v>
      </c>
      <c r="H290" s="42">
        <v>11.89</v>
      </c>
    </row>
    <row r="291" spans="1:8" x14ac:dyDescent="0.3">
      <c r="A291" t="s">
        <v>688</v>
      </c>
      <c r="B291" s="42">
        <v>190.2</v>
      </c>
      <c r="C291" t="s">
        <v>27</v>
      </c>
      <c r="D291">
        <v>18</v>
      </c>
      <c r="E291" s="42">
        <v>9.25</v>
      </c>
      <c r="F291" t="s">
        <v>72</v>
      </c>
      <c r="G291">
        <v>2</v>
      </c>
      <c r="H291" s="42">
        <v>11.89</v>
      </c>
    </row>
    <row r="292" spans="1:8" x14ac:dyDescent="0.3">
      <c r="A292" t="s">
        <v>690</v>
      </c>
      <c r="B292" s="42">
        <v>190.2</v>
      </c>
      <c r="C292" t="s">
        <v>27</v>
      </c>
      <c r="D292">
        <v>18</v>
      </c>
      <c r="E292" s="42">
        <v>9.25</v>
      </c>
      <c r="F292" t="s">
        <v>72</v>
      </c>
      <c r="G292">
        <v>2</v>
      </c>
      <c r="H292" s="42">
        <v>11.89</v>
      </c>
    </row>
    <row r="293" spans="1:8" x14ac:dyDescent="0.3">
      <c r="A293" t="s">
        <v>691</v>
      </c>
      <c r="B293" s="42">
        <v>190.2</v>
      </c>
      <c r="C293" t="s">
        <v>27</v>
      </c>
      <c r="D293">
        <v>18</v>
      </c>
      <c r="E293" s="42">
        <v>9.25</v>
      </c>
      <c r="F293" t="s">
        <v>72</v>
      </c>
      <c r="G293">
        <v>2</v>
      </c>
      <c r="H293" s="42">
        <v>11.89</v>
      </c>
    </row>
    <row r="294" spans="1:8" x14ac:dyDescent="0.3">
      <c r="A294" t="s">
        <v>692</v>
      </c>
      <c r="B294" s="42">
        <v>237.78</v>
      </c>
      <c r="C294" t="s">
        <v>65</v>
      </c>
      <c r="D294">
        <v>18</v>
      </c>
      <c r="E294" s="42">
        <v>11.89</v>
      </c>
      <c r="F294" t="s">
        <v>72</v>
      </c>
      <c r="G294">
        <v>2</v>
      </c>
      <c r="H294" s="42">
        <v>11.89</v>
      </c>
    </row>
    <row r="295" spans="1:8" x14ac:dyDescent="0.3">
      <c r="A295" t="s">
        <v>694</v>
      </c>
      <c r="B295" s="42">
        <v>237.78</v>
      </c>
      <c r="C295" t="s">
        <v>29</v>
      </c>
      <c r="D295">
        <v>18</v>
      </c>
      <c r="E295" s="42">
        <v>11.89</v>
      </c>
      <c r="F295" t="s">
        <v>74</v>
      </c>
      <c r="G295">
        <v>2</v>
      </c>
      <c r="H295" s="42">
        <v>11.89</v>
      </c>
    </row>
    <row r="296" spans="1:8" x14ac:dyDescent="0.3">
      <c r="A296" t="s">
        <v>693</v>
      </c>
      <c r="B296" s="42">
        <v>190.2</v>
      </c>
      <c r="C296" t="s">
        <v>27</v>
      </c>
      <c r="D296">
        <v>18</v>
      </c>
      <c r="E296" s="42">
        <v>9.25</v>
      </c>
      <c r="F296" t="s">
        <v>72</v>
      </c>
      <c r="G296">
        <v>2</v>
      </c>
      <c r="H296" s="42">
        <v>11.89</v>
      </c>
    </row>
    <row r="297" spans="1:8" x14ac:dyDescent="0.3">
      <c r="A297" t="s">
        <v>696</v>
      </c>
      <c r="B297" s="42">
        <v>237.78</v>
      </c>
      <c r="C297" t="s">
        <v>29</v>
      </c>
      <c r="D297">
        <v>18</v>
      </c>
      <c r="E297" s="42">
        <v>11.89</v>
      </c>
      <c r="F297" t="s">
        <v>74</v>
      </c>
      <c r="G297">
        <v>2</v>
      </c>
      <c r="H297" s="42">
        <v>11.89</v>
      </c>
    </row>
    <row r="298" spans="1:8" x14ac:dyDescent="0.3">
      <c r="A298" t="s">
        <v>695</v>
      </c>
      <c r="B298" s="42">
        <v>237.78</v>
      </c>
      <c r="C298" t="s">
        <v>29</v>
      </c>
      <c r="D298">
        <v>18</v>
      </c>
      <c r="E298" s="42">
        <v>11.89</v>
      </c>
      <c r="F298" t="s">
        <v>74</v>
      </c>
      <c r="G298">
        <v>2</v>
      </c>
      <c r="H298" s="42">
        <v>11.89</v>
      </c>
    </row>
    <row r="299" spans="1:8" x14ac:dyDescent="0.3">
      <c r="A299" t="s">
        <v>697</v>
      </c>
      <c r="B299" s="42">
        <v>285.36</v>
      </c>
      <c r="C299" t="s">
        <v>31</v>
      </c>
      <c r="D299">
        <v>18</v>
      </c>
      <c r="E299" s="42">
        <v>14.53</v>
      </c>
      <c r="F299" t="s">
        <v>74</v>
      </c>
      <c r="G299">
        <v>2</v>
      </c>
      <c r="H299" s="42">
        <v>11.89</v>
      </c>
    </row>
    <row r="300" spans="1:8" x14ac:dyDescent="0.3">
      <c r="A300" t="s">
        <v>699</v>
      </c>
      <c r="B300" s="42">
        <v>285.36</v>
      </c>
      <c r="C300" t="s">
        <v>31</v>
      </c>
      <c r="D300">
        <v>18</v>
      </c>
      <c r="E300" s="42">
        <v>14.53</v>
      </c>
      <c r="F300" t="s">
        <v>74</v>
      </c>
      <c r="G300">
        <v>2</v>
      </c>
      <c r="H300">
        <v>11.89</v>
      </c>
    </row>
    <row r="301" spans="1:8" x14ac:dyDescent="0.3">
      <c r="A301" t="s">
        <v>698</v>
      </c>
      <c r="B301" s="42">
        <v>285.36</v>
      </c>
      <c r="C301" t="s">
        <v>31</v>
      </c>
      <c r="D301">
        <v>18</v>
      </c>
      <c r="E301" s="42">
        <v>14.53</v>
      </c>
      <c r="F301" t="s">
        <v>74</v>
      </c>
      <c r="G301">
        <v>2</v>
      </c>
      <c r="H301" s="42">
        <v>11.89</v>
      </c>
    </row>
    <row r="302" spans="1:8" x14ac:dyDescent="0.3">
      <c r="A302" t="s">
        <v>701</v>
      </c>
      <c r="B302" s="42">
        <v>285.36</v>
      </c>
      <c r="C302" t="s">
        <v>31</v>
      </c>
      <c r="D302">
        <v>18</v>
      </c>
      <c r="E302" s="42">
        <v>14.53</v>
      </c>
      <c r="F302" t="s">
        <v>74</v>
      </c>
      <c r="G302">
        <v>2</v>
      </c>
      <c r="H302">
        <v>11.89</v>
      </c>
    </row>
    <row r="303" spans="1:8" x14ac:dyDescent="0.3">
      <c r="A303" t="s">
        <v>703</v>
      </c>
      <c r="B303" s="42">
        <v>332.86</v>
      </c>
      <c r="C303" t="s">
        <v>69</v>
      </c>
      <c r="D303">
        <v>18</v>
      </c>
      <c r="E303" s="42">
        <v>17.170000000000002</v>
      </c>
      <c r="F303" t="s">
        <v>74</v>
      </c>
      <c r="G303">
        <v>2</v>
      </c>
      <c r="H303">
        <v>11.89</v>
      </c>
    </row>
    <row r="304" spans="1:8" x14ac:dyDescent="0.3">
      <c r="A304" t="s">
        <v>702</v>
      </c>
      <c r="B304" s="42">
        <v>285.36</v>
      </c>
      <c r="C304" t="s">
        <v>31</v>
      </c>
      <c r="D304">
        <v>18</v>
      </c>
      <c r="E304" s="42">
        <v>14.53</v>
      </c>
      <c r="F304" t="s">
        <v>74</v>
      </c>
      <c r="G304">
        <v>2</v>
      </c>
      <c r="H304">
        <v>11.89</v>
      </c>
    </row>
    <row r="305" spans="1:11" x14ac:dyDescent="0.3">
      <c r="A305" t="s">
        <v>706</v>
      </c>
      <c r="B305" s="42">
        <v>285.36</v>
      </c>
      <c r="C305" t="s">
        <v>31</v>
      </c>
      <c r="D305">
        <v>18</v>
      </c>
      <c r="E305" s="42">
        <v>14.53</v>
      </c>
      <c r="F305" t="s">
        <v>74</v>
      </c>
      <c r="G305">
        <v>2</v>
      </c>
      <c r="H305">
        <v>11.89</v>
      </c>
    </row>
    <row r="306" spans="1:11" x14ac:dyDescent="0.3">
      <c r="A306" t="s">
        <v>705</v>
      </c>
      <c r="B306" s="42">
        <v>285.36</v>
      </c>
      <c r="C306" t="s">
        <v>31</v>
      </c>
      <c r="D306">
        <v>18</v>
      </c>
      <c r="E306" s="42">
        <v>14.53</v>
      </c>
      <c r="F306" t="s">
        <v>74</v>
      </c>
      <c r="G306">
        <v>2</v>
      </c>
      <c r="H306" s="42">
        <v>11.89</v>
      </c>
    </row>
    <row r="307" spans="1:11" x14ac:dyDescent="0.3">
      <c r="A307" t="s">
        <v>709</v>
      </c>
      <c r="B307" s="42">
        <v>285.36</v>
      </c>
      <c r="C307" t="s">
        <v>31</v>
      </c>
      <c r="D307">
        <v>18</v>
      </c>
      <c r="E307" s="42">
        <v>14.53</v>
      </c>
      <c r="F307" t="s">
        <v>74</v>
      </c>
      <c r="G307">
        <v>2</v>
      </c>
      <c r="H307" s="42">
        <v>11.89</v>
      </c>
      <c r="K307" s="42"/>
    </row>
    <row r="308" spans="1:11" x14ac:dyDescent="0.3">
      <c r="A308" t="s">
        <v>707</v>
      </c>
      <c r="B308" s="42">
        <v>285.36</v>
      </c>
      <c r="C308" t="s">
        <v>31</v>
      </c>
      <c r="D308">
        <v>18</v>
      </c>
      <c r="E308" s="42">
        <v>14.53</v>
      </c>
      <c r="F308" t="s">
        <v>74</v>
      </c>
      <c r="G308">
        <v>2</v>
      </c>
      <c r="H308" s="42">
        <v>11.89</v>
      </c>
      <c r="K308" s="42"/>
    </row>
    <row r="309" spans="1:11" x14ac:dyDescent="0.3">
      <c r="A309" t="s">
        <v>708</v>
      </c>
      <c r="B309" s="42">
        <v>332.86</v>
      </c>
      <c r="C309" t="s">
        <v>69</v>
      </c>
      <c r="D309">
        <v>18</v>
      </c>
      <c r="E309" s="42">
        <v>17.170000000000002</v>
      </c>
      <c r="F309" t="s">
        <v>74</v>
      </c>
      <c r="G309">
        <v>2</v>
      </c>
      <c r="H309" s="42">
        <v>11.89</v>
      </c>
    </row>
    <row r="310" spans="1:11" x14ac:dyDescent="0.3">
      <c r="A310" t="s">
        <v>711</v>
      </c>
      <c r="B310" s="42">
        <v>285.36</v>
      </c>
      <c r="C310" t="s">
        <v>31</v>
      </c>
      <c r="D310">
        <v>18</v>
      </c>
      <c r="E310" s="42">
        <v>14.53</v>
      </c>
      <c r="F310" t="s">
        <v>74</v>
      </c>
      <c r="G310">
        <v>2</v>
      </c>
      <c r="H310" s="42">
        <v>11.89</v>
      </c>
    </row>
    <row r="311" spans="1:11" x14ac:dyDescent="0.3">
      <c r="A311" t="s">
        <v>710</v>
      </c>
      <c r="B311" s="42">
        <v>309.08</v>
      </c>
      <c r="C311" t="s">
        <v>43</v>
      </c>
      <c r="D311">
        <v>18</v>
      </c>
      <c r="E311" s="42">
        <v>15.85</v>
      </c>
      <c r="F311" t="s">
        <v>74</v>
      </c>
      <c r="G311">
        <v>2</v>
      </c>
      <c r="H311" s="42">
        <v>11.89</v>
      </c>
    </row>
    <row r="312" spans="1:11" x14ac:dyDescent="0.3">
      <c r="A312" t="s">
        <v>715</v>
      </c>
      <c r="B312" s="42">
        <v>309.08</v>
      </c>
      <c r="C312" t="s">
        <v>43</v>
      </c>
      <c r="D312">
        <v>18</v>
      </c>
      <c r="E312" s="42">
        <v>15.85</v>
      </c>
      <c r="F312" t="s">
        <v>74</v>
      </c>
      <c r="G312">
        <v>2</v>
      </c>
      <c r="H312" s="42">
        <v>11.89</v>
      </c>
    </row>
    <row r="313" spans="1:11" x14ac:dyDescent="0.3">
      <c r="A313" t="s">
        <v>712</v>
      </c>
      <c r="B313" s="42">
        <v>309.08</v>
      </c>
      <c r="C313" t="s">
        <v>43</v>
      </c>
      <c r="D313">
        <v>18</v>
      </c>
      <c r="E313" s="42">
        <v>15.85</v>
      </c>
      <c r="F313" t="s">
        <v>74</v>
      </c>
      <c r="G313">
        <v>2</v>
      </c>
      <c r="H313" s="42">
        <v>11.89</v>
      </c>
    </row>
    <row r="314" spans="1:11" x14ac:dyDescent="0.3">
      <c r="A314" t="s">
        <v>713</v>
      </c>
      <c r="B314" s="42">
        <v>280.08</v>
      </c>
      <c r="C314" t="s">
        <v>31</v>
      </c>
      <c r="D314">
        <v>18</v>
      </c>
      <c r="E314" s="42">
        <v>14.53</v>
      </c>
      <c r="F314" t="s">
        <v>89</v>
      </c>
      <c r="G314">
        <v>2</v>
      </c>
      <c r="H314" s="42">
        <v>9.25</v>
      </c>
    </row>
    <row r="315" spans="1:11" x14ac:dyDescent="0.3">
      <c r="A315" t="s">
        <v>714</v>
      </c>
      <c r="B315" s="42">
        <v>232.5</v>
      </c>
      <c r="C315" t="s">
        <v>29</v>
      </c>
      <c r="D315">
        <v>18</v>
      </c>
      <c r="E315" s="42">
        <v>11.89</v>
      </c>
      <c r="F315" t="s">
        <v>89</v>
      </c>
      <c r="G315">
        <v>2</v>
      </c>
      <c r="H315" s="42">
        <v>9.25</v>
      </c>
    </row>
    <row r="316" spans="1:11" x14ac:dyDescent="0.3">
      <c r="A316" t="s">
        <v>716</v>
      </c>
      <c r="B316" s="42">
        <v>118.85</v>
      </c>
      <c r="C316" t="s">
        <v>24</v>
      </c>
      <c r="D316">
        <v>18</v>
      </c>
      <c r="E316" s="42">
        <v>6.6</v>
      </c>
      <c r="H316" s="42"/>
    </row>
    <row r="317" spans="1:11" x14ac:dyDescent="0.3">
      <c r="A317" t="s">
        <v>719</v>
      </c>
      <c r="B317" s="42">
        <v>372.47</v>
      </c>
      <c r="C317" t="s">
        <v>31</v>
      </c>
      <c r="D317">
        <v>18</v>
      </c>
      <c r="E317" s="42">
        <v>14.53</v>
      </c>
      <c r="F317" t="s">
        <v>110</v>
      </c>
      <c r="G317">
        <v>2</v>
      </c>
      <c r="H317" s="42">
        <v>15.85</v>
      </c>
      <c r="I317" t="s">
        <v>137</v>
      </c>
      <c r="J317">
        <v>20</v>
      </c>
      <c r="K317">
        <v>3.96</v>
      </c>
    </row>
    <row r="318" spans="1:11" x14ac:dyDescent="0.3">
      <c r="A318" t="s">
        <v>717</v>
      </c>
      <c r="B318" s="42">
        <v>214.01</v>
      </c>
      <c r="C318" t="s">
        <v>65</v>
      </c>
      <c r="D318">
        <v>18</v>
      </c>
      <c r="E318" s="42">
        <v>11.89</v>
      </c>
      <c r="H318" s="42"/>
    </row>
    <row r="319" spans="1:11" x14ac:dyDescent="0.3">
      <c r="A319" t="s">
        <v>718</v>
      </c>
      <c r="B319" s="42">
        <v>419.97</v>
      </c>
      <c r="C319" t="s">
        <v>69</v>
      </c>
      <c r="D319">
        <v>18</v>
      </c>
      <c r="E319" s="42">
        <v>17.170000000000002</v>
      </c>
      <c r="F319" t="s">
        <v>110</v>
      </c>
      <c r="G319">
        <v>2</v>
      </c>
      <c r="H319" s="42">
        <v>15.85</v>
      </c>
      <c r="I319" t="s">
        <v>137</v>
      </c>
      <c r="J319">
        <v>20</v>
      </c>
      <c r="K319">
        <v>3.96</v>
      </c>
    </row>
    <row r="320" spans="1:11" x14ac:dyDescent="0.3">
      <c r="A320" t="s">
        <v>721</v>
      </c>
      <c r="B320" s="42">
        <v>372.47</v>
      </c>
      <c r="C320" t="s">
        <v>31</v>
      </c>
      <c r="D320">
        <v>18</v>
      </c>
      <c r="E320" s="42">
        <v>14.53</v>
      </c>
      <c r="F320" t="s">
        <v>110</v>
      </c>
      <c r="G320">
        <v>2</v>
      </c>
      <c r="H320" s="42">
        <v>15.85</v>
      </c>
      <c r="I320" t="s">
        <v>137</v>
      </c>
      <c r="J320">
        <v>20</v>
      </c>
      <c r="K320">
        <v>3.96</v>
      </c>
    </row>
    <row r="321" spans="1:8" x14ac:dyDescent="0.3">
      <c r="A321" t="s">
        <v>722</v>
      </c>
      <c r="B321" s="42">
        <v>404.19</v>
      </c>
      <c r="C321" t="s">
        <v>57</v>
      </c>
      <c r="D321">
        <v>16</v>
      </c>
      <c r="E321" s="42">
        <v>23.78</v>
      </c>
      <c r="F321" t="s">
        <v>83</v>
      </c>
      <c r="G321">
        <v>2</v>
      </c>
      <c r="H321" s="42">
        <v>11.89</v>
      </c>
    </row>
    <row r="322" spans="1:8" x14ac:dyDescent="0.3">
      <c r="A322" t="s">
        <v>723</v>
      </c>
      <c r="B322" s="42">
        <v>404.19</v>
      </c>
      <c r="C322" t="s">
        <v>57</v>
      </c>
      <c r="D322">
        <v>16</v>
      </c>
      <c r="E322" s="42">
        <v>23.78</v>
      </c>
      <c r="F322" t="s">
        <v>83</v>
      </c>
      <c r="G322">
        <v>2</v>
      </c>
      <c r="H322" s="42">
        <v>11.89</v>
      </c>
    </row>
    <row r="323" spans="1:8" x14ac:dyDescent="0.3">
      <c r="A323" t="s">
        <v>720</v>
      </c>
      <c r="B323" s="42">
        <v>404.19</v>
      </c>
      <c r="C323" t="s">
        <v>57</v>
      </c>
      <c r="D323">
        <v>16</v>
      </c>
      <c r="E323" s="42">
        <v>23.78</v>
      </c>
      <c r="F323" t="s">
        <v>83</v>
      </c>
      <c r="G323">
        <v>2</v>
      </c>
      <c r="H323" s="42">
        <v>11.89</v>
      </c>
    </row>
    <row r="324" spans="1:8" x14ac:dyDescent="0.3">
      <c r="A324" t="s">
        <v>724</v>
      </c>
      <c r="B324" s="42">
        <v>129.41999999999999</v>
      </c>
      <c r="C324" t="s">
        <v>24</v>
      </c>
      <c r="D324">
        <v>16</v>
      </c>
      <c r="E324" s="42">
        <v>6.6</v>
      </c>
      <c r="F324" t="s">
        <v>72</v>
      </c>
      <c r="G324">
        <v>2</v>
      </c>
      <c r="H324" s="42">
        <v>11.89</v>
      </c>
    </row>
    <row r="325" spans="1:8" x14ac:dyDescent="0.3">
      <c r="A325" t="s">
        <v>726</v>
      </c>
      <c r="B325" s="42">
        <v>171.71</v>
      </c>
      <c r="C325" t="s">
        <v>27</v>
      </c>
      <c r="D325">
        <v>16</v>
      </c>
      <c r="E325" s="42">
        <v>9.25</v>
      </c>
      <c r="F325" t="s">
        <v>72</v>
      </c>
      <c r="G325">
        <v>2</v>
      </c>
      <c r="H325" s="42">
        <v>11.89</v>
      </c>
    </row>
    <row r="326" spans="1:8" x14ac:dyDescent="0.3">
      <c r="A326" t="s">
        <v>725</v>
      </c>
      <c r="B326" s="42">
        <v>171.71</v>
      </c>
      <c r="C326" t="s">
        <v>27</v>
      </c>
      <c r="D326">
        <v>16</v>
      </c>
      <c r="E326" s="42">
        <v>9.25</v>
      </c>
      <c r="F326" t="s">
        <v>72</v>
      </c>
      <c r="G326">
        <v>2</v>
      </c>
      <c r="H326" s="42">
        <v>11.89</v>
      </c>
    </row>
    <row r="327" spans="1:8" x14ac:dyDescent="0.3">
      <c r="A327" t="s">
        <v>727</v>
      </c>
      <c r="B327" s="42">
        <v>171.71</v>
      </c>
      <c r="C327" t="s">
        <v>27</v>
      </c>
      <c r="D327">
        <v>16</v>
      </c>
      <c r="E327" s="42">
        <v>9.25</v>
      </c>
      <c r="F327" t="s">
        <v>72</v>
      </c>
      <c r="G327">
        <v>2</v>
      </c>
      <c r="H327" s="42">
        <v>11.89</v>
      </c>
    </row>
    <row r="328" spans="1:8" x14ac:dyDescent="0.3">
      <c r="A328" t="s">
        <v>728</v>
      </c>
      <c r="B328" s="42">
        <v>171.71</v>
      </c>
      <c r="C328" t="s">
        <v>27</v>
      </c>
      <c r="D328">
        <v>16</v>
      </c>
      <c r="E328" s="42">
        <v>9.25</v>
      </c>
      <c r="F328" t="s">
        <v>72</v>
      </c>
      <c r="G328">
        <v>2</v>
      </c>
      <c r="H328" s="42">
        <v>11.89</v>
      </c>
    </row>
    <row r="329" spans="1:8" x14ac:dyDescent="0.3">
      <c r="A329" t="s">
        <v>731</v>
      </c>
      <c r="B329" s="42">
        <v>214.01</v>
      </c>
      <c r="C329" t="s">
        <v>29</v>
      </c>
      <c r="D329">
        <v>16</v>
      </c>
      <c r="E329" s="42">
        <v>11.89</v>
      </c>
      <c r="F329" t="s">
        <v>74</v>
      </c>
      <c r="G329">
        <v>2</v>
      </c>
      <c r="H329" s="42">
        <v>11.89</v>
      </c>
    </row>
    <row r="330" spans="1:8" x14ac:dyDescent="0.3">
      <c r="A330" t="s">
        <v>732</v>
      </c>
      <c r="B330" s="42">
        <v>256.3</v>
      </c>
      <c r="C330" t="s">
        <v>31</v>
      </c>
      <c r="D330">
        <v>16</v>
      </c>
      <c r="E330" s="42">
        <v>14.53</v>
      </c>
      <c r="F330" t="s">
        <v>74</v>
      </c>
      <c r="G330">
        <v>2</v>
      </c>
      <c r="H330" s="42">
        <v>11.89</v>
      </c>
    </row>
    <row r="331" spans="1:8" x14ac:dyDescent="0.3">
      <c r="A331" t="s">
        <v>733</v>
      </c>
      <c r="B331" s="42">
        <v>298.52</v>
      </c>
      <c r="C331" t="s">
        <v>69</v>
      </c>
      <c r="D331">
        <v>16</v>
      </c>
      <c r="E331" s="42">
        <v>17.170000000000002</v>
      </c>
      <c r="F331" t="s">
        <v>74</v>
      </c>
      <c r="G331">
        <v>2</v>
      </c>
      <c r="H331" s="42">
        <v>11.89</v>
      </c>
    </row>
    <row r="332" spans="1:8" x14ac:dyDescent="0.3">
      <c r="A332" t="s">
        <v>730</v>
      </c>
      <c r="B332" s="42">
        <v>214.01</v>
      </c>
      <c r="C332" t="s">
        <v>65</v>
      </c>
      <c r="D332">
        <v>16</v>
      </c>
      <c r="E332" s="42">
        <v>11.89</v>
      </c>
      <c r="F332" t="s">
        <v>72</v>
      </c>
      <c r="G332">
        <v>2</v>
      </c>
      <c r="H332">
        <v>11.89</v>
      </c>
    </row>
    <row r="333" spans="1:8" x14ac:dyDescent="0.3">
      <c r="A333" t="s">
        <v>729</v>
      </c>
      <c r="B333" s="42">
        <v>171.71</v>
      </c>
      <c r="C333" t="s">
        <v>27</v>
      </c>
      <c r="D333">
        <v>16</v>
      </c>
      <c r="E333" s="42">
        <v>9.25</v>
      </c>
      <c r="F333" t="s">
        <v>72</v>
      </c>
      <c r="G333">
        <v>2</v>
      </c>
      <c r="H333">
        <v>11.89</v>
      </c>
    </row>
    <row r="334" spans="1:8" x14ac:dyDescent="0.3">
      <c r="A334" t="s">
        <v>734</v>
      </c>
      <c r="B334" s="42">
        <v>256.3</v>
      </c>
      <c r="C334" t="s">
        <v>31</v>
      </c>
      <c r="D334">
        <v>16</v>
      </c>
      <c r="E334" s="42">
        <v>14.53</v>
      </c>
      <c r="F334" t="s">
        <v>74</v>
      </c>
      <c r="G334">
        <v>2</v>
      </c>
      <c r="H334" s="42">
        <v>11.89</v>
      </c>
    </row>
    <row r="335" spans="1:8" x14ac:dyDescent="0.3">
      <c r="A335" t="s">
        <v>735</v>
      </c>
      <c r="B335" s="42">
        <v>256.3</v>
      </c>
      <c r="C335" t="s">
        <v>31</v>
      </c>
      <c r="D335">
        <v>16</v>
      </c>
      <c r="E335" s="42">
        <v>14.53</v>
      </c>
      <c r="F335" t="s">
        <v>74</v>
      </c>
      <c r="G335">
        <v>2</v>
      </c>
      <c r="H335">
        <v>11.89</v>
      </c>
    </row>
    <row r="336" spans="1:8" x14ac:dyDescent="0.3">
      <c r="A336" t="s">
        <v>738</v>
      </c>
      <c r="B336" s="42">
        <v>298.52</v>
      </c>
      <c r="C336" t="s">
        <v>69</v>
      </c>
      <c r="D336">
        <v>16</v>
      </c>
      <c r="E336" s="42">
        <v>17.170000000000002</v>
      </c>
      <c r="F336" t="s">
        <v>74</v>
      </c>
      <c r="G336">
        <v>2</v>
      </c>
      <c r="H336" s="42">
        <v>11.89</v>
      </c>
    </row>
    <row r="337" spans="1:11" x14ac:dyDescent="0.3">
      <c r="A337" t="s">
        <v>736</v>
      </c>
      <c r="B337" s="42">
        <v>256.3</v>
      </c>
      <c r="C337" t="s">
        <v>31</v>
      </c>
      <c r="D337">
        <v>16</v>
      </c>
      <c r="E337" s="42">
        <v>14.53</v>
      </c>
      <c r="F337" t="s">
        <v>74</v>
      </c>
      <c r="G337">
        <v>2</v>
      </c>
      <c r="H337" s="42">
        <v>11.89</v>
      </c>
    </row>
    <row r="338" spans="1:11" x14ac:dyDescent="0.3">
      <c r="A338" t="s">
        <v>737</v>
      </c>
      <c r="B338" s="42">
        <v>256.3</v>
      </c>
      <c r="C338" t="s">
        <v>31</v>
      </c>
      <c r="D338">
        <v>16</v>
      </c>
      <c r="E338" s="42">
        <v>14.53</v>
      </c>
      <c r="F338" t="s">
        <v>74</v>
      </c>
      <c r="G338">
        <v>2</v>
      </c>
      <c r="H338" s="42">
        <v>11.89</v>
      </c>
    </row>
    <row r="339" spans="1:11" x14ac:dyDescent="0.3">
      <c r="A339" t="s">
        <v>739</v>
      </c>
      <c r="B339" s="42">
        <v>256.3</v>
      </c>
      <c r="C339" t="s">
        <v>31</v>
      </c>
      <c r="D339">
        <v>16</v>
      </c>
      <c r="E339" s="42">
        <v>14.53</v>
      </c>
      <c r="F339" t="s">
        <v>74</v>
      </c>
      <c r="G339">
        <v>2</v>
      </c>
      <c r="H339" s="42">
        <v>11.89</v>
      </c>
    </row>
    <row r="340" spans="1:11" x14ac:dyDescent="0.3">
      <c r="A340" t="s">
        <v>741</v>
      </c>
      <c r="B340" s="42">
        <v>256.3</v>
      </c>
      <c r="C340" t="s">
        <v>31</v>
      </c>
      <c r="D340">
        <v>16</v>
      </c>
      <c r="E340" s="42">
        <v>14.53</v>
      </c>
      <c r="F340" t="s">
        <v>74</v>
      </c>
      <c r="G340">
        <v>2</v>
      </c>
      <c r="H340" s="42">
        <v>11.89</v>
      </c>
    </row>
    <row r="341" spans="1:11" x14ac:dyDescent="0.3">
      <c r="A341" t="s">
        <v>743</v>
      </c>
      <c r="B341" s="42">
        <v>277.38</v>
      </c>
      <c r="C341" t="s">
        <v>43</v>
      </c>
      <c r="D341">
        <v>16</v>
      </c>
      <c r="E341" s="42">
        <v>15.85</v>
      </c>
      <c r="F341" t="s">
        <v>74</v>
      </c>
      <c r="G341">
        <v>2</v>
      </c>
      <c r="H341" s="42">
        <v>11.89</v>
      </c>
    </row>
    <row r="342" spans="1:11" x14ac:dyDescent="0.3">
      <c r="A342" t="s">
        <v>742</v>
      </c>
      <c r="B342" s="42">
        <v>298.52</v>
      </c>
      <c r="C342" t="s">
        <v>69</v>
      </c>
      <c r="D342">
        <v>16</v>
      </c>
      <c r="E342" s="42">
        <v>17.170000000000002</v>
      </c>
      <c r="F342" t="s">
        <v>74</v>
      </c>
      <c r="G342">
        <v>2</v>
      </c>
      <c r="H342" s="42">
        <v>11.89</v>
      </c>
    </row>
    <row r="343" spans="1:11" x14ac:dyDescent="0.3">
      <c r="A343" t="s">
        <v>744</v>
      </c>
      <c r="B343" s="42">
        <v>190.23</v>
      </c>
      <c r="C343" t="s">
        <v>29</v>
      </c>
      <c r="D343">
        <v>16</v>
      </c>
      <c r="E343" s="42">
        <v>11.89</v>
      </c>
      <c r="H343" s="42"/>
    </row>
    <row r="344" spans="1:11" x14ac:dyDescent="0.3">
      <c r="A344" t="s">
        <v>745</v>
      </c>
      <c r="B344" s="42">
        <v>232.52</v>
      </c>
      <c r="C344" t="s">
        <v>31</v>
      </c>
      <c r="D344">
        <v>16</v>
      </c>
      <c r="E344" s="42">
        <v>14.53</v>
      </c>
      <c r="H344" s="42"/>
    </row>
    <row r="345" spans="1:11" x14ac:dyDescent="0.3">
      <c r="A345" t="s">
        <v>746</v>
      </c>
      <c r="B345" s="42">
        <v>274.74</v>
      </c>
      <c r="C345" t="s">
        <v>69</v>
      </c>
      <c r="D345">
        <v>16</v>
      </c>
      <c r="E345" s="42">
        <v>17.170000000000002</v>
      </c>
      <c r="H345" s="42"/>
    </row>
    <row r="346" spans="1:11" x14ac:dyDescent="0.3">
      <c r="A346" t="s">
        <v>747</v>
      </c>
      <c r="B346" s="42">
        <v>287.95</v>
      </c>
      <c r="C346" t="s">
        <v>69</v>
      </c>
      <c r="D346">
        <v>16</v>
      </c>
      <c r="E346" s="42">
        <v>17.170000000000002</v>
      </c>
      <c r="F346" t="s">
        <v>99</v>
      </c>
      <c r="G346">
        <v>2</v>
      </c>
      <c r="H346" s="42">
        <v>6.6</v>
      </c>
    </row>
    <row r="347" spans="1:11" x14ac:dyDescent="0.3">
      <c r="A347" t="s">
        <v>748</v>
      </c>
      <c r="B347" s="42">
        <v>335.48</v>
      </c>
      <c r="C347" t="s">
        <v>31</v>
      </c>
      <c r="D347">
        <v>16</v>
      </c>
      <c r="E347" s="42">
        <v>14.53</v>
      </c>
      <c r="F347" t="s">
        <v>110</v>
      </c>
      <c r="G347">
        <v>2</v>
      </c>
      <c r="H347" s="42">
        <v>15.85</v>
      </c>
      <c r="I347" t="s">
        <v>137</v>
      </c>
      <c r="J347">
        <v>18</v>
      </c>
      <c r="K347">
        <v>3.96</v>
      </c>
    </row>
    <row r="348" spans="1:11" x14ac:dyDescent="0.3">
      <c r="A348" t="s">
        <v>749</v>
      </c>
      <c r="B348" s="42">
        <v>377.71</v>
      </c>
      <c r="C348" t="s">
        <v>69</v>
      </c>
      <c r="D348">
        <v>16</v>
      </c>
      <c r="E348" s="42">
        <v>17.170000000000002</v>
      </c>
      <c r="F348" t="s">
        <v>110</v>
      </c>
      <c r="G348">
        <v>2</v>
      </c>
      <c r="H348" s="42">
        <v>15.85</v>
      </c>
      <c r="I348" t="s">
        <v>137</v>
      </c>
      <c r="J348">
        <v>18</v>
      </c>
      <c r="K348">
        <v>3.96</v>
      </c>
    </row>
    <row r="349" spans="1:11" x14ac:dyDescent="0.3">
      <c r="A349" t="s">
        <v>751</v>
      </c>
      <c r="B349" s="42">
        <v>202.12</v>
      </c>
      <c r="C349" t="s">
        <v>65</v>
      </c>
      <c r="D349">
        <v>15</v>
      </c>
      <c r="E349" s="42">
        <v>11.89</v>
      </c>
      <c r="F349" t="s">
        <v>72</v>
      </c>
      <c r="G349">
        <v>2</v>
      </c>
      <c r="H349" s="42">
        <v>11.89</v>
      </c>
      <c r="K349" s="42"/>
    </row>
    <row r="350" spans="1:11" x14ac:dyDescent="0.3">
      <c r="A350" t="s">
        <v>753</v>
      </c>
      <c r="B350" s="42">
        <v>162.47</v>
      </c>
      <c r="C350" t="s">
        <v>27</v>
      </c>
      <c r="D350">
        <v>15</v>
      </c>
      <c r="E350" s="42">
        <v>9.25</v>
      </c>
      <c r="F350" t="s">
        <v>72</v>
      </c>
      <c r="G350">
        <v>2</v>
      </c>
      <c r="H350" s="42">
        <v>11.89</v>
      </c>
    </row>
    <row r="351" spans="1:11" x14ac:dyDescent="0.3">
      <c r="A351" t="s">
        <v>750</v>
      </c>
      <c r="B351" s="42">
        <v>202.12</v>
      </c>
      <c r="C351" t="s">
        <v>65</v>
      </c>
      <c r="D351">
        <v>15</v>
      </c>
      <c r="E351" s="42">
        <v>11.89</v>
      </c>
      <c r="F351" t="s">
        <v>72</v>
      </c>
      <c r="G351">
        <v>2</v>
      </c>
      <c r="H351" s="42">
        <v>11.89</v>
      </c>
    </row>
    <row r="352" spans="1:11" x14ac:dyDescent="0.3">
      <c r="A352" t="s">
        <v>752</v>
      </c>
      <c r="B352" s="42">
        <v>162.47</v>
      </c>
      <c r="C352" t="s">
        <v>27</v>
      </c>
      <c r="D352">
        <v>15</v>
      </c>
      <c r="E352" s="42">
        <v>9.25</v>
      </c>
      <c r="F352" t="s">
        <v>72</v>
      </c>
      <c r="G352">
        <v>2</v>
      </c>
      <c r="H352" s="42">
        <v>11.89</v>
      </c>
    </row>
    <row r="353" spans="1:8" x14ac:dyDescent="0.3">
      <c r="A353" t="s">
        <v>756</v>
      </c>
      <c r="B353" s="42">
        <v>202.12</v>
      </c>
      <c r="C353" t="s">
        <v>65</v>
      </c>
      <c r="D353">
        <v>15</v>
      </c>
      <c r="E353" s="42">
        <v>11.89</v>
      </c>
      <c r="F353" t="s">
        <v>72</v>
      </c>
      <c r="G353">
        <v>2</v>
      </c>
      <c r="H353" s="42">
        <v>11.89</v>
      </c>
    </row>
    <row r="354" spans="1:8" x14ac:dyDescent="0.3">
      <c r="A354" t="s">
        <v>754</v>
      </c>
      <c r="B354" s="42">
        <v>241.76</v>
      </c>
      <c r="C354" t="s">
        <v>31</v>
      </c>
      <c r="D354">
        <v>15</v>
      </c>
      <c r="E354" s="42">
        <v>14.53</v>
      </c>
      <c r="F354" t="s">
        <v>74</v>
      </c>
      <c r="G354">
        <v>2</v>
      </c>
      <c r="H354" s="42">
        <v>11.89</v>
      </c>
    </row>
    <row r="355" spans="1:8" x14ac:dyDescent="0.3">
      <c r="A355" t="s">
        <v>757</v>
      </c>
      <c r="B355" s="42">
        <v>281.35000000000002</v>
      </c>
      <c r="C355" t="s">
        <v>69</v>
      </c>
      <c r="D355">
        <v>15</v>
      </c>
      <c r="E355" s="42">
        <v>17.170000000000002</v>
      </c>
      <c r="F355" t="s">
        <v>74</v>
      </c>
      <c r="G355">
        <v>2</v>
      </c>
      <c r="H355" s="42">
        <v>11.89</v>
      </c>
    </row>
    <row r="356" spans="1:8" x14ac:dyDescent="0.3">
      <c r="A356" t="s">
        <v>755</v>
      </c>
      <c r="B356" s="42">
        <v>162.47</v>
      </c>
      <c r="C356" t="s">
        <v>27</v>
      </c>
      <c r="D356">
        <v>15</v>
      </c>
      <c r="E356" s="42">
        <v>9.25</v>
      </c>
      <c r="F356" t="s">
        <v>72</v>
      </c>
      <c r="G356">
        <v>2</v>
      </c>
      <c r="H356" s="42">
        <v>11.89</v>
      </c>
    </row>
    <row r="357" spans="1:8" x14ac:dyDescent="0.3">
      <c r="A357" t="s">
        <v>759</v>
      </c>
      <c r="B357" s="42">
        <v>241.76</v>
      </c>
      <c r="C357" t="s">
        <v>31</v>
      </c>
      <c r="D357">
        <v>15</v>
      </c>
      <c r="E357" s="42">
        <v>14.53</v>
      </c>
      <c r="F357" t="s">
        <v>74</v>
      </c>
      <c r="G357">
        <v>2</v>
      </c>
      <c r="H357">
        <v>11.89</v>
      </c>
    </row>
    <row r="358" spans="1:8" x14ac:dyDescent="0.3">
      <c r="A358" t="s">
        <v>758</v>
      </c>
      <c r="B358" s="42">
        <v>241.76</v>
      </c>
      <c r="C358" t="s">
        <v>31</v>
      </c>
      <c r="D358">
        <v>15</v>
      </c>
      <c r="E358" s="42">
        <v>14.53</v>
      </c>
      <c r="F358" t="s">
        <v>74</v>
      </c>
      <c r="G358">
        <v>2</v>
      </c>
      <c r="H358" s="42">
        <v>11.89</v>
      </c>
    </row>
    <row r="359" spans="1:8" x14ac:dyDescent="0.3">
      <c r="A359" t="s">
        <v>761</v>
      </c>
      <c r="B359" s="42">
        <v>356.64</v>
      </c>
      <c r="C359" t="s">
        <v>57</v>
      </c>
      <c r="D359">
        <v>14</v>
      </c>
      <c r="E359" s="42">
        <v>23.78</v>
      </c>
      <c r="F359" t="s">
        <v>83</v>
      </c>
      <c r="G359">
        <v>2</v>
      </c>
      <c r="H359" s="42">
        <v>11.89</v>
      </c>
    </row>
    <row r="360" spans="1:8" x14ac:dyDescent="0.3">
      <c r="A360" t="s">
        <v>760</v>
      </c>
      <c r="B360" s="42">
        <v>138.69</v>
      </c>
      <c r="C360" t="s">
        <v>27</v>
      </c>
      <c r="D360">
        <v>15</v>
      </c>
      <c r="E360" s="42">
        <v>9.25</v>
      </c>
      <c r="H360" s="42"/>
    </row>
    <row r="361" spans="1:8" x14ac:dyDescent="0.3">
      <c r="A361" t="s">
        <v>763</v>
      </c>
      <c r="B361" s="42">
        <v>190.23</v>
      </c>
      <c r="C361" t="s">
        <v>65</v>
      </c>
      <c r="D361">
        <v>14</v>
      </c>
      <c r="E361" s="42">
        <v>11.89</v>
      </c>
      <c r="F361" t="s">
        <v>72</v>
      </c>
      <c r="G361">
        <v>2</v>
      </c>
      <c r="H361" s="42">
        <v>11.89</v>
      </c>
    </row>
    <row r="362" spans="1:8" x14ac:dyDescent="0.3">
      <c r="A362" t="s">
        <v>764</v>
      </c>
      <c r="B362" s="42">
        <v>153.22</v>
      </c>
      <c r="C362" t="s">
        <v>27</v>
      </c>
      <c r="D362">
        <v>14</v>
      </c>
      <c r="E362" s="42">
        <v>9.25</v>
      </c>
      <c r="F362" t="s">
        <v>72</v>
      </c>
      <c r="G362">
        <v>2</v>
      </c>
      <c r="H362" s="42">
        <v>11.89</v>
      </c>
    </row>
    <row r="363" spans="1:8" x14ac:dyDescent="0.3">
      <c r="A363" t="s">
        <v>766</v>
      </c>
      <c r="B363" s="42">
        <v>153.22</v>
      </c>
      <c r="C363" t="s">
        <v>27</v>
      </c>
      <c r="D363">
        <v>14</v>
      </c>
      <c r="E363" s="42">
        <v>9.25</v>
      </c>
      <c r="F363" t="s">
        <v>72</v>
      </c>
      <c r="G363">
        <v>2</v>
      </c>
      <c r="H363" s="42">
        <v>11.89</v>
      </c>
    </row>
    <row r="364" spans="1:8" x14ac:dyDescent="0.3">
      <c r="A364" t="s">
        <v>765</v>
      </c>
      <c r="B364" s="42">
        <v>190.23</v>
      </c>
      <c r="C364" t="s">
        <v>65</v>
      </c>
      <c r="D364">
        <v>14</v>
      </c>
      <c r="E364" s="42">
        <v>11.89</v>
      </c>
      <c r="F364" t="s">
        <v>72</v>
      </c>
      <c r="G364">
        <v>2</v>
      </c>
      <c r="H364" s="42">
        <v>11.89</v>
      </c>
    </row>
    <row r="365" spans="1:8" x14ac:dyDescent="0.3">
      <c r="A365" t="s">
        <v>768</v>
      </c>
      <c r="B365" s="42">
        <v>227.23</v>
      </c>
      <c r="C365" t="s">
        <v>31</v>
      </c>
      <c r="D365">
        <v>14</v>
      </c>
      <c r="E365" s="42">
        <v>14.53</v>
      </c>
      <c r="F365" t="s">
        <v>74</v>
      </c>
      <c r="G365">
        <v>2</v>
      </c>
      <c r="H365" s="42">
        <v>11.89</v>
      </c>
    </row>
    <row r="366" spans="1:8" x14ac:dyDescent="0.3">
      <c r="A366" t="s">
        <v>767</v>
      </c>
      <c r="B366" s="42">
        <v>153.22</v>
      </c>
      <c r="C366" t="s">
        <v>27</v>
      </c>
      <c r="D366">
        <v>14</v>
      </c>
      <c r="E366" s="42">
        <v>9.25</v>
      </c>
      <c r="F366" t="s">
        <v>72</v>
      </c>
      <c r="G366">
        <v>2</v>
      </c>
      <c r="H366" s="42">
        <v>11.89</v>
      </c>
    </row>
    <row r="367" spans="1:8" x14ac:dyDescent="0.3">
      <c r="A367" t="s">
        <v>769</v>
      </c>
      <c r="B367" s="42">
        <v>227.23</v>
      </c>
      <c r="C367" t="s">
        <v>31</v>
      </c>
      <c r="D367">
        <v>14</v>
      </c>
      <c r="E367" s="42">
        <v>14.53</v>
      </c>
      <c r="F367" t="s">
        <v>74</v>
      </c>
      <c r="G367">
        <v>2</v>
      </c>
      <c r="H367" s="42">
        <v>11.89</v>
      </c>
    </row>
    <row r="368" spans="1:8" x14ac:dyDescent="0.3">
      <c r="A368" t="s">
        <v>770</v>
      </c>
      <c r="B368" s="42">
        <v>227.23</v>
      </c>
      <c r="C368" t="s">
        <v>31</v>
      </c>
      <c r="D368">
        <v>14</v>
      </c>
      <c r="E368" s="42">
        <v>14.53</v>
      </c>
      <c r="F368" t="s">
        <v>74</v>
      </c>
      <c r="G368">
        <v>2</v>
      </c>
      <c r="H368" s="42">
        <v>11.89</v>
      </c>
    </row>
    <row r="369" spans="1:8" x14ac:dyDescent="0.3">
      <c r="A369" t="s">
        <v>774</v>
      </c>
      <c r="B369" s="42">
        <v>227.23</v>
      </c>
      <c r="C369" t="s">
        <v>31</v>
      </c>
      <c r="D369">
        <v>14</v>
      </c>
      <c r="E369" s="42">
        <v>14.53</v>
      </c>
      <c r="F369" t="s">
        <v>74</v>
      </c>
      <c r="G369">
        <v>2</v>
      </c>
      <c r="H369" s="42">
        <v>11.89</v>
      </c>
    </row>
    <row r="370" spans="1:8" x14ac:dyDescent="0.3">
      <c r="A370" t="s">
        <v>772</v>
      </c>
      <c r="B370" s="42">
        <v>227.23</v>
      </c>
      <c r="C370" t="s">
        <v>31</v>
      </c>
      <c r="D370">
        <v>14</v>
      </c>
      <c r="E370" s="42">
        <v>14.53</v>
      </c>
      <c r="F370" t="s">
        <v>74</v>
      </c>
      <c r="G370">
        <v>2</v>
      </c>
      <c r="H370" s="42">
        <v>11.89</v>
      </c>
    </row>
    <row r="371" spans="1:8" x14ac:dyDescent="0.3">
      <c r="A371" t="s">
        <v>773</v>
      </c>
      <c r="B371" s="42">
        <v>227.23</v>
      </c>
      <c r="C371" t="s">
        <v>31</v>
      </c>
      <c r="D371">
        <v>14</v>
      </c>
      <c r="E371" s="42">
        <v>14.53</v>
      </c>
      <c r="F371" t="s">
        <v>74</v>
      </c>
      <c r="G371">
        <v>2</v>
      </c>
      <c r="H371" s="42">
        <v>11.89</v>
      </c>
    </row>
    <row r="372" spans="1:8" x14ac:dyDescent="0.3">
      <c r="A372" t="s">
        <v>775</v>
      </c>
      <c r="B372" s="42">
        <v>227.23</v>
      </c>
      <c r="C372" t="s">
        <v>31</v>
      </c>
      <c r="D372">
        <v>14</v>
      </c>
      <c r="E372" s="42">
        <v>14.53</v>
      </c>
      <c r="F372" t="s">
        <v>74</v>
      </c>
      <c r="G372">
        <v>2</v>
      </c>
      <c r="H372" s="42">
        <v>11.89</v>
      </c>
    </row>
    <row r="373" spans="1:8" x14ac:dyDescent="0.3">
      <c r="A373" t="s">
        <v>776</v>
      </c>
      <c r="B373" s="42">
        <v>227.23</v>
      </c>
      <c r="C373" t="s">
        <v>31</v>
      </c>
      <c r="D373">
        <v>14</v>
      </c>
      <c r="E373" s="42">
        <v>14.53</v>
      </c>
      <c r="F373" t="s">
        <v>74</v>
      </c>
      <c r="G373">
        <v>2</v>
      </c>
      <c r="H373" s="42">
        <v>11.89</v>
      </c>
    </row>
    <row r="374" spans="1:8" x14ac:dyDescent="0.3">
      <c r="A374" t="s">
        <v>779</v>
      </c>
      <c r="B374" s="42">
        <v>227.23</v>
      </c>
      <c r="C374" t="s">
        <v>31</v>
      </c>
      <c r="D374">
        <v>14</v>
      </c>
      <c r="E374" s="42">
        <v>14.53</v>
      </c>
      <c r="F374" t="s">
        <v>74</v>
      </c>
      <c r="G374">
        <v>2</v>
      </c>
      <c r="H374" s="42">
        <v>11.89</v>
      </c>
    </row>
    <row r="375" spans="1:8" x14ac:dyDescent="0.3">
      <c r="A375" t="s">
        <v>778</v>
      </c>
      <c r="B375" s="42">
        <v>227.23</v>
      </c>
      <c r="C375" t="s">
        <v>31</v>
      </c>
      <c r="D375">
        <v>14</v>
      </c>
      <c r="E375" s="42">
        <v>14.53</v>
      </c>
      <c r="F375" t="s">
        <v>74</v>
      </c>
      <c r="G375">
        <v>2</v>
      </c>
      <c r="H375" s="42">
        <v>11.89</v>
      </c>
    </row>
    <row r="376" spans="1:8" x14ac:dyDescent="0.3">
      <c r="A376" t="s">
        <v>780</v>
      </c>
      <c r="B376" s="42">
        <v>147.93</v>
      </c>
      <c r="C376" t="s">
        <v>27</v>
      </c>
      <c r="D376">
        <v>14</v>
      </c>
      <c r="E376" s="42">
        <v>9.25</v>
      </c>
      <c r="F376" t="s">
        <v>87</v>
      </c>
      <c r="G376">
        <v>2</v>
      </c>
      <c r="H376" s="42">
        <v>9.25</v>
      </c>
    </row>
    <row r="377" spans="1:8" x14ac:dyDescent="0.3">
      <c r="A377" t="s">
        <v>781</v>
      </c>
      <c r="B377" s="42">
        <v>221.95</v>
      </c>
      <c r="C377" t="s">
        <v>31</v>
      </c>
      <c r="D377">
        <v>14</v>
      </c>
      <c r="E377" s="42">
        <v>14.53</v>
      </c>
      <c r="F377" t="s">
        <v>89</v>
      </c>
      <c r="G377">
        <v>2</v>
      </c>
      <c r="H377" s="42">
        <v>9.25</v>
      </c>
    </row>
    <row r="378" spans="1:8" x14ac:dyDescent="0.3">
      <c r="A378" t="s">
        <v>782</v>
      </c>
      <c r="B378" s="42">
        <v>143.97999999999999</v>
      </c>
      <c r="C378" t="s">
        <v>27</v>
      </c>
      <c r="D378">
        <v>13</v>
      </c>
      <c r="E378" s="42">
        <v>9.25</v>
      </c>
      <c r="F378" t="s">
        <v>72</v>
      </c>
      <c r="G378">
        <v>2</v>
      </c>
      <c r="H378">
        <v>11.89</v>
      </c>
    </row>
    <row r="379" spans="1:8" x14ac:dyDescent="0.3">
      <c r="A379" t="s">
        <v>784</v>
      </c>
      <c r="B379" s="42">
        <v>120.2</v>
      </c>
      <c r="C379" t="s">
        <v>27</v>
      </c>
      <c r="D379">
        <v>13</v>
      </c>
      <c r="E379" s="42">
        <v>9.25</v>
      </c>
      <c r="H379" s="42"/>
    </row>
    <row r="380" spans="1:8" x14ac:dyDescent="0.3">
      <c r="A380" t="s">
        <v>783</v>
      </c>
      <c r="B380" s="42">
        <v>207.41</v>
      </c>
      <c r="C380" t="s">
        <v>67</v>
      </c>
      <c r="D380">
        <v>13</v>
      </c>
      <c r="E380" s="42">
        <v>14.53</v>
      </c>
      <c r="F380" t="s">
        <v>89</v>
      </c>
      <c r="G380">
        <v>2</v>
      </c>
      <c r="H380" s="42">
        <v>9.25</v>
      </c>
    </row>
    <row r="381" spans="1:8" x14ac:dyDescent="0.3">
      <c r="A381" t="s">
        <v>785</v>
      </c>
      <c r="B381" s="42">
        <v>309.08999999999997</v>
      </c>
      <c r="C381" t="s">
        <v>57</v>
      </c>
      <c r="D381">
        <v>12</v>
      </c>
      <c r="E381" s="42">
        <v>23.78</v>
      </c>
      <c r="F381" t="s">
        <v>83</v>
      </c>
      <c r="G381">
        <v>2</v>
      </c>
      <c r="H381" s="42">
        <v>11.89</v>
      </c>
    </row>
    <row r="382" spans="1:8" x14ac:dyDescent="0.3">
      <c r="A382" t="s">
        <v>789</v>
      </c>
      <c r="B382" s="42">
        <v>309.08999999999997</v>
      </c>
      <c r="C382" t="s">
        <v>57</v>
      </c>
      <c r="D382">
        <v>12</v>
      </c>
      <c r="E382" s="42">
        <v>23.78</v>
      </c>
      <c r="F382" t="s">
        <v>83</v>
      </c>
      <c r="G382">
        <v>2</v>
      </c>
      <c r="H382" s="42">
        <v>11.89</v>
      </c>
    </row>
    <row r="383" spans="1:8" x14ac:dyDescent="0.3">
      <c r="A383" t="s">
        <v>787</v>
      </c>
      <c r="B383" s="42">
        <v>309.08999999999997</v>
      </c>
      <c r="C383" t="s">
        <v>57</v>
      </c>
      <c r="D383">
        <v>12</v>
      </c>
      <c r="E383" s="42">
        <v>23.78</v>
      </c>
      <c r="F383" t="s">
        <v>83</v>
      </c>
      <c r="G383">
        <v>2</v>
      </c>
      <c r="H383" s="42">
        <v>11.89</v>
      </c>
    </row>
    <row r="384" spans="1:8" x14ac:dyDescent="0.3">
      <c r="A384" t="s">
        <v>788</v>
      </c>
      <c r="B384" s="42">
        <v>309.08999999999997</v>
      </c>
      <c r="C384" t="s">
        <v>57</v>
      </c>
      <c r="D384">
        <v>12</v>
      </c>
      <c r="E384" s="42">
        <v>23.78</v>
      </c>
      <c r="F384" t="s">
        <v>83</v>
      </c>
      <c r="G384">
        <v>2</v>
      </c>
      <c r="H384" s="42">
        <v>11.89</v>
      </c>
    </row>
    <row r="385" spans="1:11" x14ac:dyDescent="0.3">
      <c r="A385" t="s">
        <v>786</v>
      </c>
      <c r="B385" s="42">
        <v>277.39</v>
      </c>
      <c r="C385" t="s">
        <v>53</v>
      </c>
      <c r="D385">
        <v>12</v>
      </c>
      <c r="E385" s="42">
        <v>21.13</v>
      </c>
      <c r="F385" t="s">
        <v>81</v>
      </c>
      <c r="G385">
        <v>2</v>
      </c>
      <c r="H385" s="42">
        <v>11.89</v>
      </c>
    </row>
    <row r="386" spans="1:11" x14ac:dyDescent="0.3">
      <c r="A386" t="s">
        <v>790</v>
      </c>
      <c r="B386" s="42">
        <v>364.55</v>
      </c>
      <c r="C386" t="s">
        <v>59</v>
      </c>
      <c r="D386">
        <v>12</v>
      </c>
      <c r="E386" s="42">
        <v>26.42</v>
      </c>
      <c r="F386" t="s">
        <v>85</v>
      </c>
      <c r="G386">
        <v>2</v>
      </c>
      <c r="H386" s="42">
        <v>23.77</v>
      </c>
    </row>
    <row r="387" spans="1:11" x14ac:dyDescent="0.3">
      <c r="A387" t="s">
        <v>792</v>
      </c>
      <c r="B387" s="42">
        <v>103.01</v>
      </c>
      <c r="C387" t="s">
        <v>24</v>
      </c>
      <c r="D387">
        <v>12</v>
      </c>
      <c r="E387" s="42">
        <v>6.6</v>
      </c>
      <c r="F387" t="s">
        <v>72</v>
      </c>
      <c r="G387">
        <v>2</v>
      </c>
      <c r="H387" s="42">
        <v>11.89</v>
      </c>
    </row>
    <row r="388" spans="1:11" x14ac:dyDescent="0.3">
      <c r="A388" t="s">
        <v>794</v>
      </c>
      <c r="B388" s="42">
        <v>103.01</v>
      </c>
      <c r="C388" t="s">
        <v>24</v>
      </c>
      <c r="D388">
        <v>12</v>
      </c>
      <c r="E388" s="42">
        <v>6.6</v>
      </c>
      <c r="F388" t="s">
        <v>72</v>
      </c>
      <c r="G388">
        <v>2</v>
      </c>
      <c r="H388" s="42">
        <v>11.89</v>
      </c>
    </row>
    <row r="389" spans="1:11" x14ac:dyDescent="0.3">
      <c r="A389" t="s">
        <v>793</v>
      </c>
      <c r="B389" s="42">
        <v>103.01</v>
      </c>
      <c r="C389" t="s">
        <v>24</v>
      </c>
      <c r="D389">
        <v>12</v>
      </c>
      <c r="E389" s="42">
        <v>6.6</v>
      </c>
      <c r="F389" t="s">
        <v>72</v>
      </c>
      <c r="G389">
        <v>2</v>
      </c>
      <c r="H389" s="42">
        <v>11.89</v>
      </c>
    </row>
    <row r="390" spans="1:11" x14ac:dyDescent="0.3">
      <c r="A390" t="s">
        <v>798</v>
      </c>
      <c r="B390" s="42">
        <v>134.72999999999999</v>
      </c>
      <c r="C390" t="s">
        <v>27</v>
      </c>
      <c r="D390">
        <v>12</v>
      </c>
      <c r="E390" s="42">
        <v>9.25</v>
      </c>
      <c r="F390" t="s">
        <v>72</v>
      </c>
      <c r="G390">
        <v>2</v>
      </c>
      <c r="H390" s="42">
        <v>11.89</v>
      </c>
    </row>
    <row r="391" spans="1:11" x14ac:dyDescent="0.3">
      <c r="A391" t="s">
        <v>796</v>
      </c>
      <c r="B391" s="42">
        <v>134.72999999999999</v>
      </c>
      <c r="C391" t="s">
        <v>27</v>
      </c>
      <c r="D391">
        <v>12</v>
      </c>
      <c r="E391" s="42">
        <v>9.25</v>
      </c>
      <c r="F391" t="s">
        <v>72</v>
      </c>
      <c r="G391">
        <v>2</v>
      </c>
      <c r="H391" s="42">
        <v>11.89</v>
      </c>
    </row>
    <row r="392" spans="1:11" x14ac:dyDescent="0.3">
      <c r="A392" t="s">
        <v>797</v>
      </c>
      <c r="B392" s="42">
        <v>166.45</v>
      </c>
      <c r="C392" t="s">
        <v>65</v>
      </c>
      <c r="D392">
        <v>12</v>
      </c>
      <c r="E392" s="42">
        <v>11.89</v>
      </c>
      <c r="F392" t="s">
        <v>72</v>
      </c>
      <c r="G392">
        <v>2</v>
      </c>
      <c r="H392" s="42">
        <v>11.89</v>
      </c>
    </row>
    <row r="393" spans="1:11" x14ac:dyDescent="0.3">
      <c r="A393" t="s">
        <v>799</v>
      </c>
      <c r="B393" s="42">
        <v>134.72999999999999</v>
      </c>
      <c r="C393" t="s">
        <v>27</v>
      </c>
      <c r="D393">
        <v>12</v>
      </c>
      <c r="E393" s="42">
        <v>9.25</v>
      </c>
      <c r="F393" t="s">
        <v>72</v>
      </c>
      <c r="G393">
        <v>2</v>
      </c>
      <c r="H393" s="42">
        <v>11.89</v>
      </c>
    </row>
    <row r="394" spans="1:11" x14ac:dyDescent="0.3">
      <c r="A394" t="s">
        <v>802</v>
      </c>
      <c r="B394" s="42">
        <v>134.72999999999999</v>
      </c>
      <c r="C394" t="s">
        <v>27</v>
      </c>
      <c r="D394">
        <v>12</v>
      </c>
      <c r="E394" s="42">
        <v>9.25</v>
      </c>
      <c r="F394" t="s">
        <v>72</v>
      </c>
      <c r="G394">
        <v>2</v>
      </c>
      <c r="H394" s="42">
        <v>11.89</v>
      </c>
    </row>
    <row r="395" spans="1:11" x14ac:dyDescent="0.3">
      <c r="A395" t="s">
        <v>800</v>
      </c>
      <c r="B395" s="42">
        <v>166.45</v>
      </c>
      <c r="C395" t="s">
        <v>65</v>
      </c>
      <c r="D395">
        <v>12</v>
      </c>
      <c r="E395" s="42">
        <v>11.89</v>
      </c>
      <c r="F395" t="s">
        <v>72</v>
      </c>
      <c r="G395">
        <v>2</v>
      </c>
      <c r="H395" s="42">
        <v>11.89</v>
      </c>
    </row>
    <row r="396" spans="1:11" x14ac:dyDescent="0.3">
      <c r="A396" t="s">
        <v>801</v>
      </c>
      <c r="B396" s="42">
        <v>166.45</v>
      </c>
      <c r="C396" t="s">
        <v>65</v>
      </c>
      <c r="D396">
        <v>12</v>
      </c>
      <c r="E396" s="42">
        <v>11.89</v>
      </c>
      <c r="F396" t="s">
        <v>72</v>
      </c>
      <c r="G396">
        <v>2</v>
      </c>
      <c r="H396" s="42">
        <v>11.89</v>
      </c>
    </row>
    <row r="397" spans="1:11" x14ac:dyDescent="0.3">
      <c r="A397" t="s">
        <v>803</v>
      </c>
      <c r="B397" s="42">
        <v>134.72999999999999</v>
      </c>
      <c r="C397" t="s">
        <v>27</v>
      </c>
      <c r="D397">
        <v>12</v>
      </c>
      <c r="E397" s="42">
        <v>9.25</v>
      </c>
      <c r="F397" t="s">
        <v>72</v>
      </c>
      <c r="G397">
        <v>2</v>
      </c>
      <c r="H397" s="42">
        <v>11.89</v>
      </c>
    </row>
    <row r="398" spans="1:11" x14ac:dyDescent="0.3">
      <c r="A398" t="s">
        <v>804</v>
      </c>
      <c r="B398" s="42">
        <v>166.45</v>
      </c>
      <c r="C398" t="s">
        <v>65</v>
      </c>
      <c r="D398">
        <v>12</v>
      </c>
      <c r="E398" s="42">
        <v>11.89</v>
      </c>
      <c r="F398" t="s">
        <v>72</v>
      </c>
      <c r="G398">
        <v>2</v>
      </c>
      <c r="H398" s="42">
        <v>11.89</v>
      </c>
      <c r="K398" s="42"/>
    </row>
    <row r="399" spans="1:11" x14ac:dyDescent="0.3">
      <c r="A399" t="s">
        <v>805</v>
      </c>
      <c r="B399" s="42">
        <v>134.72999999999999</v>
      </c>
      <c r="C399" t="s">
        <v>27</v>
      </c>
      <c r="D399">
        <v>12</v>
      </c>
      <c r="E399" s="42">
        <v>9.25</v>
      </c>
      <c r="F399" t="s">
        <v>72</v>
      </c>
      <c r="G399">
        <v>2</v>
      </c>
      <c r="H399" s="42">
        <v>11.89</v>
      </c>
    </row>
    <row r="400" spans="1:11" x14ac:dyDescent="0.3">
      <c r="A400" t="s">
        <v>806</v>
      </c>
      <c r="B400" s="42">
        <v>134.72999999999999</v>
      </c>
      <c r="C400" t="s">
        <v>27</v>
      </c>
      <c r="D400">
        <v>12</v>
      </c>
      <c r="E400" s="42">
        <v>9.25</v>
      </c>
      <c r="F400" t="s">
        <v>72</v>
      </c>
      <c r="G400">
        <v>2</v>
      </c>
      <c r="H400" s="42">
        <v>11.89</v>
      </c>
    </row>
    <row r="401" spans="1:11" x14ac:dyDescent="0.3">
      <c r="A401" t="s">
        <v>808</v>
      </c>
      <c r="B401" s="42">
        <v>166.45</v>
      </c>
      <c r="C401" t="s">
        <v>65</v>
      </c>
      <c r="D401">
        <v>12</v>
      </c>
      <c r="E401" s="42">
        <v>11.89</v>
      </c>
      <c r="F401" t="s">
        <v>72</v>
      </c>
      <c r="G401">
        <v>2</v>
      </c>
      <c r="H401">
        <v>11.89</v>
      </c>
    </row>
    <row r="402" spans="1:11" x14ac:dyDescent="0.3">
      <c r="A402" t="s">
        <v>809</v>
      </c>
      <c r="B402" s="42">
        <v>166.45</v>
      </c>
      <c r="C402" t="s">
        <v>65</v>
      </c>
      <c r="D402">
        <v>12</v>
      </c>
      <c r="E402" s="42">
        <v>11.89</v>
      </c>
      <c r="F402" t="s">
        <v>72</v>
      </c>
      <c r="G402">
        <v>2</v>
      </c>
      <c r="H402" s="42">
        <v>11.89</v>
      </c>
    </row>
    <row r="403" spans="1:11" x14ac:dyDescent="0.3">
      <c r="A403" t="s">
        <v>807</v>
      </c>
      <c r="B403" s="42">
        <v>134.72999999999999</v>
      </c>
      <c r="C403" t="s">
        <v>27</v>
      </c>
      <c r="D403">
        <v>12</v>
      </c>
      <c r="E403" s="42">
        <v>9.25</v>
      </c>
      <c r="F403" t="s">
        <v>72</v>
      </c>
      <c r="G403">
        <v>2</v>
      </c>
      <c r="H403" s="42">
        <v>11.89</v>
      </c>
    </row>
    <row r="404" spans="1:11" x14ac:dyDescent="0.3">
      <c r="A404" t="s">
        <v>811</v>
      </c>
      <c r="B404" s="42">
        <v>166.45</v>
      </c>
      <c r="C404" t="s">
        <v>65</v>
      </c>
      <c r="D404">
        <v>12</v>
      </c>
      <c r="E404" s="42">
        <v>11.89</v>
      </c>
      <c r="F404" t="s">
        <v>72</v>
      </c>
      <c r="G404">
        <v>2</v>
      </c>
      <c r="H404" s="42">
        <v>11.89</v>
      </c>
    </row>
    <row r="405" spans="1:11" x14ac:dyDescent="0.3">
      <c r="A405" t="s">
        <v>810</v>
      </c>
      <c r="B405" s="42">
        <v>134.72999999999999</v>
      </c>
      <c r="C405" t="s">
        <v>27</v>
      </c>
      <c r="D405">
        <v>12</v>
      </c>
      <c r="E405" s="42">
        <v>9.25</v>
      </c>
      <c r="F405" t="s">
        <v>72</v>
      </c>
      <c r="G405">
        <v>2</v>
      </c>
      <c r="H405" s="42">
        <v>11.89</v>
      </c>
    </row>
    <row r="406" spans="1:11" x14ac:dyDescent="0.3">
      <c r="A406" t="s">
        <v>813</v>
      </c>
      <c r="B406" s="42">
        <v>166.45</v>
      </c>
      <c r="C406" t="s">
        <v>29</v>
      </c>
      <c r="D406">
        <v>12</v>
      </c>
      <c r="E406" s="42">
        <v>11.89</v>
      </c>
      <c r="F406" t="s">
        <v>74</v>
      </c>
      <c r="G406">
        <v>2</v>
      </c>
      <c r="H406" s="42">
        <v>11.89</v>
      </c>
    </row>
    <row r="407" spans="1:11" x14ac:dyDescent="0.3">
      <c r="A407" t="s">
        <v>812</v>
      </c>
      <c r="B407" s="42">
        <v>182.3</v>
      </c>
      <c r="C407" t="s">
        <v>29</v>
      </c>
      <c r="D407">
        <v>12</v>
      </c>
      <c r="E407" s="42">
        <v>11.89</v>
      </c>
      <c r="F407" t="s">
        <v>74</v>
      </c>
      <c r="G407">
        <v>2</v>
      </c>
      <c r="H407" s="42">
        <v>11.89</v>
      </c>
      <c r="I407" t="s">
        <v>164</v>
      </c>
      <c r="J407">
        <v>1</v>
      </c>
      <c r="K407">
        <v>15.85</v>
      </c>
    </row>
    <row r="408" spans="1:11" x14ac:dyDescent="0.3">
      <c r="A408" t="s">
        <v>814</v>
      </c>
      <c r="B408" s="42">
        <v>198.17</v>
      </c>
      <c r="C408" t="s">
        <v>67</v>
      </c>
      <c r="D408">
        <v>12</v>
      </c>
      <c r="E408" s="42">
        <v>14.53</v>
      </c>
      <c r="F408" t="s">
        <v>74</v>
      </c>
      <c r="G408">
        <v>2</v>
      </c>
      <c r="H408" s="42">
        <v>11.89</v>
      </c>
    </row>
    <row r="409" spans="1:11" x14ac:dyDescent="0.3">
      <c r="A409" t="s">
        <v>816</v>
      </c>
      <c r="B409" s="42">
        <v>166.45</v>
      </c>
      <c r="C409" t="s">
        <v>29</v>
      </c>
      <c r="D409">
        <v>12</v>
      </c>
      <c r="E409" s="42">
        <v>11.89</v>
      </c>
      <c r="F409" t="s">
        <v>74</v>
      </c>
      <c r="G409">
        <v>2</v>
      </c>
      <c r="H409" s="42">
        <v>11.89</v>
      </c>
    </row>
    <row r="410" spans="1:11" x14ac:dyDescent="0.3">
      <c r="A410" t="s">
        <v>815</v>
      </c>
      <c r="B410" s="42">
        <v>166.45</v>
      </c>
      <c r="C410" t="s">
        <v>29</v>
      </c>
      <c r="D410">
        <v>12</v>
      </c>
      <c r="E410" s="42">
        <v>11.89</v>
      </c>
      <c r="F410" t="s">
        <v>74</v>
      </c>
      <c r="G410">
        <v>2</v>
      </c>
      <c r="H410" s="42">
        <v>11.89</v>
      </c>
    </row>
    <row r="411" spans="1:11" x14ac:dyDescent="0.3">
      <c r="A411" t="s">
        <v>818</v>
      </c>
      <c r="B411" s="42">
        <v>166.45</v>
      </c>
      <c r="C411" t="s">
        <v>29</v>
      </c>
      <c r="D411">
        <v>12</v>
      </c>
      <c r="E411" s="42">
        <v>11.89</v>
      </c>
      <c r="F411" t="s">
        <v>74</v>
      </c>
      <c r="G411">
        <v>2</v>
      </c>
      <c r="H411" s="42">
        <v>11.89</v>
      </c>
    </row>
    <row r="412" spans="1:11" x14ac:dyDescent="0.3">
      <c r="A412" t="s">
        <v>820</v>
      </c>
      <c r="B412" s="42">
        <v>166.45</v>
      </c>
      <c r="C412" t="s">
        <v>29</v>
      </c>
      <c r="D412">
        <v>12</v>
      </c>
      <c r="E412" s="42">
        <v>11.89</v>
      </c>
      <c r="F412" t="s">
        <v>74</v>
      </c>
      <c r="G412">
        <v>2</v>
      </c>
      <c r="H412" s="42">
        <v>11.89</v>
      </c>
    </row>
    <row r="413" spans="1:11" x14ac:dyDescent="0.3">
      <c r="A413" t="s">
        <v>817</v>
      </c>
      <c r="B413" s="42">
        <v>166.45</v>
      </c>
      <c r="C413" t="s">
        <v>29</v>
      </c>
      <c r="D413">
        <v>12</v>
      </c>
      <c r="E413" s="42">
        <v>11.89</v>
      </c>
      <c r="F413" t="s">
        <v>74</v>
      </c>
      <c r="G413">
        <v>2</v>
      </c>
      <c r="H413" s="42">
        <v>11.89</v>
      </c>
    </row>
    <row r="414" spans="1:11" x14ac:dyDescent="0.3">
      <c r="A414" t="s">
        <v>821</v>
      </c>
      <c r="B414" s="42">
        <v>198.17</v>
      </c>
      <c r="C414" t="s">
        <v>67</v>
      </c>
      <c r="D414">
        <v>12</v>
      </c>
      <c r="E414" s="42">
        <v>14.53</v>
      </c>
      <c r="F414" t="s">
        <v>74</v>
      </c>
      <c r="G414">
        <v>2</v>
      </c>
      <c r="H414" s="42">
        <v>11.89</v>
      </c>
    </row>
    <row r="415" spans="1:11" x14ac:dyDescent="0.3">
      <c r="A415" t="s">
        <v>819</v>
      </c>
      <c r="B415" s="42">
        <v>166.45</v>
      </c>
      <c r="C415" t="s">
        <v>29</v>
      </c>
      <c r="D415">
        <v>12</v>
      </c>
      <c r="E415" s="42">
        <v>11.89</v>
      </c>
      <c r="F415" t="s">
        <v>74</v>
      </c>
      <c r="G415">
        <v>2</v>
      </c>
      <c r="H415" s="42">
        <v>11.89</v>
      </c>
    </row>
    <row r="416" spans="1:11" x14ac:dyDescent="0.3">
      <c r="A416" t="s">
        <v>823</v>
      </c>
      <c r="B416" s="42">
        <v>261.56</v>
      </c>
      <c r="C416" t="s">
        <v>31</v>
      </c>
      <c r="D416">
        <v>12</v>
      </c>
      <c r="E416" s="42">
        <v>14.53</v>
      </c>
      <c r="F416" t="s">
        <v>74</v>
      </c>
      <c r="G416">
        <v>2</v>
      </c>
      <c r="H416" s="42">
        <v>11.89</v>
      </c>
      <c r="I416" t="s">
        <v>150</v>
      </c>
      <c r="J416">
        <v>4</v>
      </c>
      <c r="K416">
        <v>15.85</v>
      </c>
    </row>
    <row r="417" spans="1:11" x14ac:dyDescent="0.3">
      <c r="A417" t="s">
        <v>822</v>
      </c>
      <c r="B417" s="42">
        <v>166.45</v>
      </c>
      <c r="C417" t="s">
        <v>29</v>
      </c>
      <c r="D417">
        <v>12</v>
      </c>
      <c r="E417" s="42">
        <v>11.89</v>
      </c>
      <c r="F417" t="s">
        <v>74</v>
      </c>
      <c r="G417">
        <v>2</v>
      </c>
      <c r="H417" s="42">
        <v>11.89</v>
      </c>
    </row>
    <row r="418" spans="1:11" x14ac:dyDescent="0.3">
      <c r="A418" t="s">
        <v>825</v>
      </c>
      <c r="B418" s="42">
        <v>198.17</v>
      </c>
      <c r="C418" t="s">
        <v>31</v>
      </c>
      <c r="D418">
        <v>12</v>
      </c>
      <c r="E418" s="42">
        <v>14.53</v>
      </c>
      <c r="F418" t="s">
        <v>74</v>
      </c>
      <c r="G418">
        <v>2</v>
      </c>
      <c r="H418" s="42">
        <v>11.89</v>
      </c>
    </row>
    <row r="419" spans="1:11" x14ac:dyDescent="0.3">
      <c r="A419" t="s">
        <v>964</v>
      </c>
      <c r="B419" s="42">
        <v>388.32</v>
      </c>
      <c r="C419" t="s">
        <v>69</v>
      </c>
      <c r="D419">
        <v>12</v>
      </c>
      <c r="E419" s="42">
        <v>17.170000000000002</v>
      </c>
      <c r="F419" t="s">
        <v>74</v>
      </c>
      <c r="G419">
        <v>2</v>
      </c>
      <c r="H419" s="42">
        <v>11.89</v>
      </c>
      <c r="I419" t="s">
        <v>150</v>
      </c>
      <c r="J419">
        <v>10</v>
      </c>
      <c r="K419">
        <v>15.85</v>
      </c>
    </row>
    <row r="420" spans="1:11" x14ac:dyDescent="0.3">
      <c r="A420" t="s">
        <v>828</v>
      </c>
      <c r="B420" s="42">
        <v>229.83</v>
      </c>
      <c r="C420" t="s">
        <v>69</v>
      </c>
      <c r="D420">
        <v>12</v>
      </c>
      <c r="E420" s="42">
        <v>17.170000000000002</v>
      </c>
      <c r="F420" t="s">
        <v>74</v>
      </c>
      <c r="G420">
        <v>2</v>
      </c>
      <c r="H420" s="42">
        <v>11.89</v>
      </c>
    </row>
    <row r="421" spans="1:11" x14ac:dyDescent="0.3">
      <c r="A421" t="s">
        <v>826</v>
      </c>
      <c r="B421" s="42">
        <v>229.83</v>
      </c>
      <c r="C421" t="s">
        <v>69</v>
      </c>
      <c r="D421">
        <v>12</v>
      </c>
      <c r="E421" s="42">
        <v>17.170000000000002</v>
      </c>
      <c r="F421" t="s">
        <v>74</v>
      </c>
      <c r="G421">
        <v>2</v>
      </c>
      <c r="H421" s="42">
        <v>11.89</v>
      </c>
    </row>
    <row r="422" spans="1:11" x14ac:dyDescent="0.3">
      <c r="A422" t="s">
        <v>827</v>
      </c>
      <c r="B422" s="42">
        <v>198.17</v>
      </c>
      <c r="C422" t="s">
        <v>31</v>
      </c>
      <c r="D422">
        <v>12</v>
      </c>
      <c r="E422" s="42">
        <v>14.53</v>
      </c>
      <c r="F422" t="s">
        <v>74</v>
      </c>
      <c r="G422">
        <v>2</v>
      </c>
      <c r="H422" s="42">
        <v>11.89</v>
      </c>
    </row>
    <row r="423" spans="1:11" x14ac:dyDescent="0.3">
      <c r="A423" t="s">
        <v>830</v>
      </c>
      <c r="B423" s="42">
        <v>198.17</v>
      </c>
      <c r="C423" t="s">
        <v>31</v>
      </c>
      <c r="D423">
        <v>12</v>
      </c>
      <c r="E423" s="42">
        <v>14.53</v>
      </c>
      <c r="F423" t="s">
        <v>74</v>
      </c>
      <c r="G423">
        <v>2</v>
      </c>
      <c r="H423" s="42">
        <v>11.89</v>
      </c>
    </row>
    <row r="424" spans="1:11" x14ac:dyDescent="0.3">
      <c r="A424" t="s">
        <v>831</v>
      </c>
      <c r="B424" s="42">
        <v>198.17</v>
      </c>
      <c r="C424" t="s">
        <v>31</v>
      </c>
      <c r="D424">
        <v>12</v>
      </c>
      <c r="E424" s="42">
        <v>14.53</v>
      </c>
      <c r="F424" t="s">
        <v>74</v>
      </c>
      <c r="G424">
        <v>2</v>
      </c>
      <c r="H424" s="42">
        <v>11.89</v>
      </c>
    </row>
    <row r="425" spans="1:11" x14ac:dyDescent="0.3">
      <c r="A425" t="s">
        <v>833</v>
      </c>
      <c r="B425" s="42">
        <v>198.17</v>
      </c>
      <c r="C425" t="s">
        <v>31</v>
      </c>
      <c r="D425">
        <v>12</v>
      </c>
      <c r="E425" s="42">
        <v>14.53</v>
      </c>
      <c r="F425" t="s">
        <v>74</v>
      </c>
      <c r="G425">
        <v>2</v>
      </c>
      <c r="H425" s="42">
        <v>11.89</v>
      </c>
    </row>
    <row r="426" spans="1:11" x14ac:dyDescent="0.3">
      <c r="A426" t="s">
        <v>832</v>
      </c>
      <c r="B426" s="42">
        <v>229.83</v>
      </c>
      <c r="C426" t="s">
        <v>69</v>
      </c>
      <c r="D426">
        <v>12</v>
      </c>
      <c r="E426" s="42">
        <v>17.170000000000002</v>
      </c>
      <c r="F426" t="s">
        <v>74</v>
      </c>
      <c r="G426">
        <v>2</v>
      </c>
      <c r="H426">
        <v>11.89</v>
      </c>
    </row>
    <row r="427" spans="1:11" x14ac:dyDescent="0.3">
      <c r="A427" t="s">
        <v>829</v>
      </c>
      <c r="B427" s="42">
        <v>198.17</v>
      </c>
      <c r="C427" t="s">
        <v>31</v>
      </c>
      <c r="D427">
        <v>12</v>
      </c>
      <c r="E427" s="42">
        <v>14.53</v>
      </c>
      <c r="F427" t="s">
        <v>74</v>
      </c>
      <c r="G427">
        <v>2</v>
      </c>
      <c r="H427" s="42">
        <v>11.89</v>
      </c>
    </row>
    <row r="428" spans="1:11" x14ac:dyDescent="0.3">
      <c r="A428" t="s">
        <v>835</v>
      </c>
      <c r="B428" s="42">
        <v>198.17</v>
      </c>
      <c r="C428" t="s">
        <v>31</v>
      </c>
      <c r="D428">
        <v>12</v>
      </c>
      <c r="E428" s="42">
        <v>14.53</v>
      </c>
      <c r="F428" t="s">
        <v>74</v>
      </c>
      <c r="G428">
        <v>2</v>
      </c>
      <c r="H428" s="42">
        <v>11.89</v>
      </c>
    </row>
    <row r="429" spans="1:11" x14ac:dyDescent="0.3">
      <c r="A429" t="s">
        <v>834</v>
      </c>
      <c r="B429" s="42">
        <v>229.83</v>
      </c>
      <c r="C429" t="s">
        <v>69</v>
      </c>
      <c r="D429">
        <v>12</v>
      </c>
      <c r="E429" s="42">
        <v>17.170000000000002</v>
      </c>
      <c r="F429" t="s">
        <v>74</v>
      </c>
      <c r="G429">
        <v>2</v>
      </c>
      <c r="H429" s="42">
        <v>11.89</v>
      </c>
    </row>
    <row r="430" spans="1:11" x14ac:dyDescent="0.3">
      <c r="A430" t="s">
        <v>838</v>
      </c>
      <c r="B430" s="42">
        <v>198.17</v>
      </c>
      <c r="C430" t="s">
        <v>31</v>
      </c>
      <c r="D430">
        <v>12</v>
      </c>
      <c r="E430" s="42">
        <v>14.53</v>
      </c>
      <c r="F430" t="s">
        <v>74</v>
      </c>
      <c r="G430">
        <v>2</v>
      </c>
      <c r="H430" s="42">
        <v>11.89</v>
      </c>
    </row>
    <row r="431" spans="1:11" x14ac:dyDescent="0.3">
      <c r="A431" t="s">
        <v>836</v>
      </c>
      <c r="B431" s="42">
        <v>198.17</v>
      </c>
      <c r="C431" t="s">
        <v>31</v>
      </c>
      <c r="D431">
        <v>12</v>
      </c>
      <c r="E431" s="42">
        <v>14.53</v>
      </c>
      <c r="F431" t="s">
        <v>74</v>
      </c>
      <c r="G431">
        <v>2</v>
      </c>
      <c r="H431" s="42">
        <v>11.89</v>
      </c>
    </row>
    <row r="432" spans="1:11" x14ac:dyDescent="0.3">
      <c r="A432" t="s">
        <v>837</v>
      </c>
      <c r="B432" s="42">
        <v>198.17</v>
      </c>
      <c r="C432" t="s">
        <v>31</v>
      </c>
      <c r="D432">
        <v>12</v>
      </c>
      <c r="E432" s="42">
        <v>14.53</v>
      </c>
      <c r="F432" t="s">
        <v>74</v>
      </c>
      <c r="G432">
        <v>2</v>
      </c>
      <c r="H432" s="42">
        <v>11.89</v>
      </c>
    </row>
    <row r="433" spans="1:11" x14ac:dyDescent="0.3">
      <c r="A433" t="s">
        <v>839</v>
      </c>
      <c r="B433" s="42">
        <v>198.17</v>
      </c>
      <c r="C433" t="s">
        <v>31</v>
      </c>
      <c r="D433">
        <v>12</v>
      </c>
      <c r="E433" s="42">
        <v>14.53</v>
      </c>
      <c r="F433" t="s">
        <v>74</v>
      </c>
      <c r="G433">
        <v>2</v>
      </c>
      <c r="H433" s="42">
        <v>11.89</v>
      </c>
    </row>
    <row r="434" spans="1:11" x14ac:dyDescent="0.3">
      <c r="A434" t="s">
        <v>841</v>
      </c>
      <c r="B434" s="42">
        <v>229.83</v>
      </c>
      <c r="C434" t="s">
        <v>69</v>
      </c>
      <c r="D434">
        <v>12</v>
      </c>
      <c r="E434" s="42">
        <v>17.170000000000002</v>
      </c>
      <c r="F434" t="s">
        <v>74</v>
      </c>
      <c r="G434">
        <v>2</v>
      </c>
      <c r="H434" s="42">
        <v>11.89</v>
      </c>
    </row>
    <row r="435" spans="1:11" x14ac:dyDescent="0.3">
      <c r="A435" t="s">
        <v>962</v>
      </c>
      <c r="B435" s="42">
        <v>198.17</v>
      </c>
      <c r="C435" t="s">
        <v>31</v>
      </c>
      <c r="D435">
        <v>12</v>
      </c>
      <c r="E435" s="42">
        <v>14.53</v>
      </c>
      <c r="F435" t="s">
        <v>74</v>
      </c>
      <c r="G435">
        <v>2</v>
      </c>
      <c r="H435" s="42">
        <v>11.89</v>
      </c>
    </row>
    <row r="436" spans="1:11" x14ac:dyDescent="0.3">
      <c r="A436" t="s">
        <v>840</v>
      </c>
      <c r="B436" s="42">
        <v>229.83</v>
      </c>
      <c r="C436" t="s">
        <v>69</v>
      </c>
      <c r="D436">
        <v>12</v>
      </c>
      <c r="E436" s="42">
        <v>17.170000000000002</v>
      </c>
      <c r="F436" t="s">
        <v>74</v>
      </c>
      <c r="G436">
        <v>2</v>
      </c>
      <c r="H436" s="42">
        <v>11.89</v>
      </c>
    </row>
    <row r="437" spans="1:11" x14ac:dyDescent="0.3">
      <c r="A437" t="s">
        <v>842</v>
      </c>
      <c r="B437" s="42">
        <v>198.17</v>
      </c>
      <c r="C437" t="s">
        <v>31</v>
      </c>
      <c r="D437">
        <v>12</v>
      </c>
      <c r="E437" s="42">
        <v>14.53</v>
      </c>
      <c r="F437" t="s">
        <v>74</v>
      </c>
      <c r="G437">
        <v>2</v>
      </c>
      <c r="H437">
        <v>11.89</v>
      </c>
    </row>
    <row r="438" spans="1:11" x14ac:dyDescent="0.3">
      <c r="A438" t="s">
        <v>843</v>
      </c>
      <c r="B438" s="42">
        <v>198.17</v>
      </c>
      <c r="C438" t="s">
        <v>31</v>
      </c>
      <c r="D438">
        <v>12</v>
      </c>
      <c r="E438" s="42">
        <v>14.53</v>
      </c>
      <c r="F438" t="s">
        <v>74</v>
      </c>
      <c r="G438">
        <v>2</v>
      </c>
      <c r="H438">
        <v>11.89</v>
      </c>
    </row>
    <row r="439" spans="1:11" x14ac:dyDescent="0.3">
      <c r="A439" t="s">
        <v>845</v>
      </c>
      <c r="B439" s="42">
        <v>198.17</v>
      </c>
      <c r="C439" t="s">
        <v>31</v>
      </c>
      <c r="D439">
        <v>12</v>
      </c>
      <c r="E439" s="42">
        <v>14.53</v>
      </c>
      <c r="F439" t="s">
        <v>74</v>
      </c>
      <c r="G439">
        <v>2</v>
      </c>
      <c r="H439">
        <v>11.89</v>
      </c>
    </row>
    <row r="440" spans="1:11" x14ac:dyDescent="0.3">
      <c r="A440" t="s">
        <v>844</v>
      </c>
      <c r="B440" s="42">
        <v>198.17</v>
      </c>
      <c r="C440" t="s">
        <v>31</v>
      </c>
      <c r="D440">
        <v>12</v>
      </c>
      <c r="E440" s="42">
        <v>14.53</v>
      </c>
      <c r="F440" t="s">
        <v>74</v>
      </c>
      <c r="G440">
        <v>2</v>
      </c>
      <c r="H440" s="42">
        <v>11.89</v>
      </c>
    </row>
    <row r="441" spans="1:11" x14ac:dyDescent="0.3">
      <c r="A441" t="s">
        <v>846</v>
      </c>
      <c r="B441" s="42">
        <v>198.17</v>
      </c>
      <c r="C441" t="s">
        <v>31</v>
      </c>
      <c r="D441">
        <v>12</v>
      </c>
      <c r="E441" s="42">
        <v>14.53</v>
      </c>
      <c r="F441" t="s">
        <v>74</v>
      </c>
      <c r="G441">
        <v>2</v>
      </c>
      <c r="H441" s="42">
        <v>11.89</v>
      </c>
    </row>
    <row r="442" spans="1:11" x14ac:dyDescent="0.3">
      <c r="A442" t="s">
        <v>847</v>
      </c>
      <c r="B442" s="42">
        <v>229.83</v>
      </c>
      <c r="C442" t="s">
        <v>69</v>
      </c>
      <c r="D442">
        <v>12</v>
      </c>
      <c r="E442" s="42">
        <v>17.170000000000002</v>
      </c>
      <c r="F442" t="s">
        <v>74</v>
      </c>
      <c r="G442">
        <v>2</v>
      </c>
      <c r="H442" s="42">
        <v>11.89</v>
      </c>
    </row>
    <row r="443" spans="1:11" x14ac:dyDescent="0.3">
      <c r="A443" t="s">
        <v>848</v>
      </c>
      <c r="B443" s="42">
        <v>198.17</v>
      </c>
      <c r="C443" t="s">
        <v>31</v>
      </c>
      <c r="D443">
        <v>12</v>
      </c>
      <c r="E443" s="42">
        <v>14.53</v>
      </c>
      <c r="F443" t="s">
        <v>74</v>
      </c>
      <c r="G443">
        <v>2</v>
      </c>
      <c r="H443" s="42">
        <v>11.89</v>
      </c>
    </row>
    <row r="444" spans="1:11" x14ac:dyDescent="0.3">
      <c r="A444" t="s">
        <v>850</v>
      </c>
      <c r="B444" s="42">
        <v>198.17</v>
      </c>
      <c r="C444" t="s">
        <v>31</v>
      </c>
      <c r="D444">
        <v>12</v>
      </c>
      <c r="E444" s="42">
        <v>14.53</v>
      </c>
      <c r="F444" t="s">
        <v>74</v>
      </c>
      <c r="G444">
        <v>2</v>
      </c>
      <c r="H444" s="42">
        <v>11.89</v>
      </c>
    </row>
    <row r="445" spans="1:11" x14ac:dyDescent="0.3">
      <c r="A445" t="s">
        <v>851</v>
      </c>
      <c r="B445" s="42">
        <v>229.83</v>
      </c>
      <c r="C445" t="s">
        <v>69</v>
      </c>
      <c r="D445">
        <v>12</v>
      </c>
      <c r="E445" s="42">
        <v>17.170000000000002</v>
      </c>
      <c r="F445" t="s">
        <v>74</v>
      </c>
      <c r="G445">
        <v>2</v>
      </c>
      <c r="H445" s="42">
        <v>11.89</v>
      </c>
    </row>
    <row r="446" spans="1:11" x14ac:dyDescent="0.3">
      <c r="A446" t="s">
        <v>849</v>
      </c>
      <c r="B446" s="42">
        <v>229.83</v>
      </c>
      <c r="C446" t="s">
        <v>69</v>
      </c>
      <c r="D446">
        <v>12</v>
      </c>
      <c r="E446" s="42">
        <v>17.170000000000002</v>
      </c>
      <c r="F446" t="s">
        <v>74</v>
      </c>
      <c r="G446">
        <v>2</v>
      </c>
      <c r="H446" s="42">
        <v>11.89</v>
      </c>
    </row>
    <row r="447" spans="1:11" x14ac:dyDescent="0.3">
      <c r="A447" t="s">
        <v>852</v>
      </c>
      <c r="B447" s="42">
        <v>229.83</v>
      </c>
      <c r="C447" t="s">
        <v>69</v>
      </c>
      <c r="D447">
        <v>12</v>
      </c>
      <c r="E447" s="42">
        <v>17.170000000000002</v>
      </c>
      <c r="F447" t="s">
        <v>74</v>
      </c>
      <c r="G447">
        <v>2</v>
      </c>
      <c r="H447" s="42">
        <v>11.89</v>
      </c>
      <c r="K447" s="42"/>
    </row>
    <row r="448" spans="1:11" x14ac:dyDescent="0.3">
      <c r="A448" t="s">
        <v>853</v>
      </c>
      <c r="B448" s="42">
        <v>198.17</v>
      </c>
      <c r="C448" t="s">
        <v>31</v>
      </c>
      <c r="D448">
        <v>12</v>
      </c>
      <c r="E448" s="42">
        <v>14.53</v>
      </c>
      <c r="F448" t="s">
        <v>74</v>
      </c>
      <c r="G448">
        <v>2</v>
      </c>
      <c r="H448" s="42">
        <v>11.89</v>
      </c>
      <c r="K448" s="42"/>
    </row>
    <row r="449" spans="1:11" x14ac:dyDescent="0.3">
      <c r="A449" t="s">
        <v>855</v>
      </c>
      <c r="B449" s="42">
        <v>285.3</v>
      </c>
      <c r="C449" t="s">
        <v>33</v>
      </c>
      <c r="D449">
        <v>12</v>
      </c>
      <c r="E449" s="42">
        <v>19.809999999999999</v>
      </c>
      <c r="F449" t="s">
        <v>79</v>
      </c>
      <c r="G449">
        <v>2</v>
      </c>
      <c r="H449" s="42">
        <v>23.77</v>
      </c>
    </row>
    <row r="450" spans="1:11" x14ac:dyDescent="0.3">
      <c r="A450" t="s">
        <v>854</v>
      </c>
      <c r="B450" s="42">
        <v>229.83</v>
      </c>
      <c r="C450" t="s">
        <v>69</v>
      </c>
      <c r="D450">
        <v>12</v>
      </c>
      <c r="E450" s="42">
        <v>17.170000000000002</v>
      </c>
      <c r="F450" t="s">
        <v>74</v>
      </c>
      <c r="G450">
        <v>2</v>
      </c>
      <c r="H450" s="42">
        <v>11.89</v>
      </c>
    </row>
    <row r="451" spans="1:11" x14ac:dyDescent="0.3">
      <c r="A451" t="s">
        <v>857</v>
      </c>
      <c r="B451" s="42">
        <v>285.3</v>
      </c>
      <c r="C451" t="s">
        <v>33</v>
      </c>
      <c r="D451">
        <v>12</v>
      </c>
      <c r="E451" s="42">
        <v>19.809999999999999</v>
      </c>
      <c r="F451" t="s">
        <v>79</v>
      </c>
      <c r="G451">
        <v>2</v>
      </c>
      <c r="H451">
        <v>23.77</v>
      </c>
    </row>
    <row r="452" spans="1:11" x14ac:dyDescent="0.3">
      <c r="A452" t="s">
        <v>858</v>
      </c>
      <c r="B452" s="42">
        <v>285.3</v>
      </c>
      <c r="C452" t="s">
        <v>33</v>
      </c>
      <c r="D452">
        <v>12</v>
      </c>
      <c r="E452" s="42">
        <v>19.809999999999999</v>
      </c>
      <c r="F452" t="s">
        <v>79</v>
      </c>
      <c r="G452">
        <v>2</v>
      </c>
      <c r="H452" s="42">
        <v>23.77</v>
      </c>
    </row>
    <row r="453" spans="1:11" x14ac:dyDescent="0.3">
      <c r="A453" t="s">
        <v>859</v>
      </c>
      <c r="B453" s="42">
        <v>317</v>
      </c>
      <c r="C453" t="s">
        <v>35</v>
      </c>
      <c r="D453">
        <v>12</v>
      </c>
      <c r="E453" s="42">
        <v>22.46</v>
      </c>
      <c r="F453" t="s">
        <v>79</v>
      </c>
      <c r="G453">
        <v>2</v>
      </c>
      <c r="H453" s="42">
        <v>23.77</v>
      </c>
      <c r="K453" s="42"/>
    </row>
    <row r="454" spans="1:11" x14ac:dyDescent="0.3">
      <c r="A454" t="s">
        <v>863</v>
      </c>
      <c r="B454" s="42">
        <v>142.66</v>
      </c>
      <c r="C454" t="s">
        <v>39</v>
      </c>
      <c r="D454">
        <v>12</v>
      </c>
      <c r="E454" s="42">
        <v>9.91</v>
      </c>
      <c r="F454" t="s">
        <v>72</v>
      </c>
      <c r="G454">
        <v>2</v>
      </c>
      <c r="H454" s="42">
        <v>11.89</v>
      </c>
    </row>
    <row r="455" spans="1:11" x14ac:dyDescent="0.3">
      <c r="A455" t="s">
        <v>862</v>
      </c>
      <c r="B455" s="42">
        <v>213.98</v>
      </c>
      <c r="C455" t="s">
        <v>43</v>
      </c>
      <c r="D455">
        <v>12</v>
      </c>
      <c r="E455" s="42">
        <v>15.85</v>
      </c>
      <c r="F455" t="s">
        <v>74</v>
      </c>
      <c r="G455">
        <v>2</v>
      </c>
      <c r="H455" s="42">
        <v>11.89</v>
      </c>
    </row>
    <row r="456" spans="1:11" x14ac:dyDescent="0.3">
      <c r="A456" t="s">
        <v>860</v>
      </c>
      <c r="B456" s="42">
        <v>142.66</v>
      </c>
      <c r="C456" t="s">
        <v>39</v>
      </c>
      <c r="D456">
        <v>12</v>
      </c>
      <c r="E456" s="42">
        <v>9.91</v>
      </c>
      <c r="F456" t="s">
        <v>72</v>
      </c>
      <c r="G456">
        <v>2</v>
      </c>
      <c r="H456" s="42">
        <v>11.89</v>
      </c>
    </row>
    <row r="457" spans="1:11" x14ac:dyDescent="0.3">
      <c r="A457" t="s">
        <v>861</v>
      </c>
      <c r="B457" s="42">
        <v>213.98</v>
      </c>
      <c r="C457" t="s">
        <v>43</v>
      </c>
      <c r="D457">
        <v>12</v>
      </c>
      <c r="E457" s="42">
        <v>15.85</v>
      </c>
      <c r="F457" t="s">
        <v>74</v>
      </c>
      <c r="G457">
        <v>2</v>
      </c>
      <c r="H457" s="42">
        <v>11.89</v>
      </c>
    </row>
    <row r="458" spans="1:11" x14ac:dyDescent="0.3">
      <c r="A458" t="s">
        <v>963</v>
      </c>
      <c r="B458" s="42">
        <v>213.98</v>
      </c>
      <c r="C458" t="s">
        <v>43</v>
      </c>
      <c r="D458">
        <v>12</v>
      </c>
      <c r="E458" s="42">
        <v>15.85</v>
      </c>
      <c r="F458" t="s">
        <v>74</v>
      </c>
      <c r="G458">
        <v>2</v>
      </c>
      <c r="H458" s="42">
        <v>11.89</v>
      </c>
    </row>
    <row r="459" spans="1:11" x14ac:dyDescent="0.3">
      <c r="A459" t="s">
        <v>865</v>
      </c>
      <c r="B459" s="42">
        <v>213.98</v>
      </c>
      <c r="C459" t="s">
        <v>43</v>
      </c>
      <c r="D459">
        <v>12</v>
      </c>
      <c r="E459" s="42">
        <v>15.85</v>
      </c>
      <c r="F459" t="s">
        <v>74</v>
      </c>
      <c r="G459">
        <v>2</v>
      </c>
      <c r="H459" s="42">
        <v>11.89</v>
      </c>
    </row>
    <row r="460" spans="1:11" x14ac:dyDescent="0.3">
      <c r="A460" t="s">
        <v>864</v>
      </c>
      <c r="B460" s="42">
        <v>213.98</v>
      </c>
      <c r="C460" t="s">
        <v>43</v>
      </c>
      <c r="D460">
        <v>12</v>
      </c>
      <c r="E460" s="42">
        <v>15.85</v>
      </c>
      <c r="F460" t="s">
        <v>74</v>
      </c>
      <c r="G460">
        <v>2</v>
      </c>
      <c r="H460" s="42">
        <v>11.89</v>
      </c>
    </row>
    <row r="461" spans="1:11" x14ac:dyDescent="0.3">
      <c r="A461" t="s">
        <v>866</v>
      </c>
      <c r="B461" s="42">
        <v>213.98</v>
      </c>
      <c r="C461" t="s">
        <v>43</v>
      </c>
      <c r="D461">
        <v>12</v>
      </c>
      <c r="E461" s="42">
        <v>15.85</v>
      </c>
      <c r="F461" t="s">
        <v>74</v>
      </c>
      <c r="G461">
        <v>2</v>
      </c>
      <c r="H461" s="42">
        <v>11.89</v>
      </c>
    </row>
    <row r="462" spans="1:11" x14ac:dyDescent="0.3">
      <c r="A462" t="s">
        <v>867</v>
      </c>
      <c r="B462" s="42">
        <v>364.55</v>
      </c>
      <c r="C462" t="s">
        <v>47</v>
      </c>
      <c r="D462">
        <v>12</v>
      </c>
      <c r="E462" s="42">
        <v>26.42</v>
      </c>
      <c r="F462" t="s">
        <v>79</v>
      </c>
      <c r="G462">
        <v>2</v>
      </c>
      <c r="H462" s="42">
        <v>23.77</v>
      </c>
    </row>
    <row r="463" spans="1:11" x14ac:dyDescent="0.3">
      <c r="A463" t="s">
        <v>869</v>
      </c>
      <c r="B463" s="42">
        <v>97.72</v>
      </c>
      <c r="C463" t="s">
        <v>24</v>
      </c>
      <c r="D463">
        <v>12</v>
      </c>
      <c r="E463" s="42">
        <v>6.6</v>
      </c>
      <c r="F463" t="s">
        <v>87</v>
      </c>
      <c r="G463">
        <v>2</v>
      </c>
      <c r="H463" s="42">
        <v>9.25</v>
      </c>
    </row>
    <row r="464" spans="1:11" x14ac:dyDescent="0.3">
      <c r="A464" t="s">
        <v>868</v>
      </c>
      <c r="B464" s="42">
        <v>129.44</v>
      </c>
      <c r="C464" t="s">
        <v>27</v>
      </c>
      <c r="D464">
        <v>12</v>
      </c>
      <c r="E464" s="42">
        <v>9.25</v>
      </c>
      <c r="F464" t="s">
        <v>87</v>
      </c>
      <c r="G464">
        <v>2</v>
      </c>
      <c r="H464" s="42">
        <v>9.25</v>
      </c>
    </row>
    <row r="465" spans="1:11" x14ac:dyDescent="0.3">
      <c r="A465" t="s">
        <v>870</v>
      </c>
      <c r="B465" s="42">
        <v>161.16</v>
      </c>
      <c r="C465" t="s">
        <v>29</v>
      </c>
      <c r="D465">
        <v>12</v>
      </c>
      <c r="E465" s="42">
        <v>11.89</v>
      </c>
      <c r="F465" t="s">
        <v>89</v>
      </c>
      <c r="G465">
        <v>2</v>
      </c>
      <c r="H465" s="42">
        <v>9.25</v>
      </c>
    </row>
    <row r="466" spans="1:11" x14ac:dyDescent="0.3">
      <c r="A466" t="s">
        <v>874</v>
      </c>
      <c r="B466" s="42">
        <v>110.95</v>
      </c>
      <c r="C466" t="s">
        <v>27</v>
      </c>
      <c r="D466">
        <v>12</v>
      </c>
      <c r="E466" s="42">
        <v>9.25</v>
      </c>
      <c r="H466" s="42"/>
    </row>
    <row r="467" spans="1:11" x14ac:dyDescent="0.3">
      <c r="A467" t="s">
        <v>871</v>
      </c>
      <c r="B467" s="42">
        <v>192.88</v>
      </c>
      <c r="C467" t="s">
        <v>31</v>
      </c>
      <c r="D467">
        <v>12</v>
      </c>
      <c r="E467" s="42">
        <v>14.53</v>
      </c>
      <c r="F467" t="s">
        <v>89</v>
      </c>
      <c r="G467">
        <v>2</v>
      </c>
      <c r="H467" s="42">
        <v>9.25</v>
      </c>
    </row>
    <row r="468" spans="1:11" x14ac:dyDescent="0.3">
      <c r="A468" t="s">
        <v>872</v>
      </c>
      <c r="B468" s="42">
        <v>192.88</v>
      </c>
      <c r="C468" t="s">
        <v>31</v>
      </c>
      <c r="D468">
        <v>12</v>
      </c>
      <c r="E468" s="42">
        <v>14.53</v>
      </c>
      <c r="F468" t="s">
        <v>89</v>
      </c>
      <c r="G468">
        <v>2</v>
      </c>
      <c r="H468" s="42">
        <v>9.25</v>
      </c>
    </row>
    <row r="469" spans="1:11" x14ac:dyDescent="0.3">
      <c r="A469" t="s">
        <v>873</v>
      </c>
      <c r="B469" s="42">
        <v>224.55</v>
      </c>
      <c r="C469" t="s">
        <v>69</v>
      </c>
      <c r="D469">
        <v>12</v>
      </c>
      <c r="E469" s="42">
        <v>17.170000000000002</v>
      </c>
      <c r="F469" t="s">
        <v>89</v>
      </c>
      <c r="G469">
        <v>2</v>
      </c>
      <c r="H469" s="42">
        <v>9.25</v>
      </c>
    </row>
    <row r="470" spans="1:11" x14ac:dyDescent="0.3">
      <c r="A470" t="s">
        <v>875</v>
      </c>
      <c r="B470" s="42">
        <v>142.66999999999999</v>
      </c>
      <c r="C470" t="s">
        <v>65</v>
      </c>
      <c r="D470">
        <v>12</v>
      </c>
      <c r="E470" s="42">
        <v>11.89</v>
      </c>
      <c r="H470" s="42"/>
    </row>
    <row r="471" spans="1:11" x14ac:dyDescent="0.3">
      <c r="A471" t="s">
        <v>965</v>
      </c>
      <c r="B471" s="42">
        <v>110.95</v>
      </c>
      <c r="C471" t="s">
        <v>27</v>
      </c>
      <c r="D471">
        <v>12</v>
      </c>
      <c r="E471" s="42">
        <v>9.25</v>
      </c>
      <c r="H471" s="42"/>
      <c r="K471" s="42"/>
    </row>
    <row r="472" spans="1:11" x14ac:dyDescent="0.3">
      <c r="A472" t="s">
        <v>876</v>
      </c>
      <c r="B472" s="42">
        <v>110.95</v>
      </c>
      <c r="C472" t="s">
        <v>27</v>
      </c>
      <c r="D472">
        <v>12</v>
      </c>
      <c r="E472" s="42">
        <v>9.25</v>
      </c>
      <c r="H472" s="42"/>
    </row>
    <row r="473" spans="1:11" x14ac:dyDescent="0.3">
      <c r="A473" t="s">
        <v>877</v>
      </c>
      <c r="B473" s="42">
        <v>142.66999999999999</v>
      </c>
      <c r="C473" t="s">
        <v>29</v>
      </c>
      <c r="D473">
        <v>12</v>
      </c>
      <c r="E473" s="42">
        <v>11.89</v>
      </c>
      <c r="H473" s="42"/>
    </row>
    <row r="474" spans="1:11" x14ac:dyDescent="0.3">
      <c r="A474" t="s">
        <v>878</v>
      </c>
      <c r="B474" s="42">
        <v>174.39</v>
      </c>
      <c r="C474" t="s">
        <v>31</v>
      </c>
      <c r="D474">
        <v>12</v>
      </c>
      <c r="E474" s="42">
        <v>14.53</v>
      </c>
      <c r="H474" s="42"/>
    </row>
    <row r="475" spans="1:11" x14ac:dyDescent="0.3">
      <c r="A475" t="s">
        <v>966</v>
      </c>
      <c r="B475" s="42">
        <v>314.36</v>
      </c>
      <c r="C475" t="s">
        <v>29</v>
      </c>
      <c r="D475">
        <v>12</v>
      </c>
      <c r="E475" s="42">
        <v>11.89</v>
      </c>
      <c r="F475" t="s">
        <v>99</v>
      </c>
      <c r="G475">
        <v>2</v>
      </c>
      <c r="H475" s="42">
        <v>6.6</v>
      </c>
      <c r="I475" t="s">
        <v>164</v>
      </c>
      <c r="J475">
        <v>10</v>
      </c>
      <c r="K475">
        <v>15.85</v>
      </c>
    </row>
    <row r="476" spans="1:11" x14ac:dyDescent="0.3">
      <c r="A476" t="s">
        <v>881</v>
      </c>
      <c r="B476" s="42">
        <v>187.59</v>
      </c>
      <c r="C476" t="s">
        <v>31</v>
      </c>
      <c r="D476">
        <v>12</v>
      </c>
      <c r="E476" s="42">
        <v>14.53</v>
      </c>
      <c r="F476" t="s">
        <v>99</v>
      </c>
      <c r="G476">
        <v>2</v>
      </c>
      <c r="H476">
        <v>6.6</v>
      </c>
    </row>
    <row r="477" spans="1:11" x14ac:dyDescent="0.3">
      <c r="A477" t="s">
        <v>883</v>
      </c>
      <c r="B477" s="42">
        <v>261.52</v>
      </c>
      <c r="C477" t="s">
        <v>31</v>
      </c>
      <c r="D477">
        <v>12</v>
      </c>
      <c r="E477" s="42">
        <v>14.53</v>
      </c>
      <c r="F477" t="s">
        <v>110</v>
      </c>
      <c r="G477">
        <v>2</v>
      </c>
      <c r="H477" s="42">
        <v>15.85</v>
      </c>
      <c r="I477" t="s">
        <v>137</v>
      </c>
      <c r="J477">
        <v>14</v>
      </c>
      <c r="K477">
        <v>3.96</v>
      </c>
    </row>
    <row r="478" spans="1:11" x14ac:dyDescent="0.3">
      <c r="A478" t="s">
        <v>879</v>
      </c>
      <c r="B478" s="42">
        <v>206.06</v>
      </c>
      <c r="C478" t="s">
        <v>69</v>
      </c>
      <c r="D478">
        <v>12</v>
      </c>
      <c r="E478" s="42">
        <v>17.170000000000002</v>
      </c>
      <c r="H478" s="42"/>
    </row>
    <row r="479" spans="1:11" x14ac:dyDescent="0.3">
      <c r="A479" t="s">
        <v>880</v>
      </c>
      <c r="B479" s="42">
        <v>124.16</v>
      </c>
      <c r="C479" t="s">
        <v>27</v>
      </c>
      <c r="D479">
        <v>12</v>
      </c>
      <c r="E479" s="42">
        <v>9.25</v>
      </c>
      <c r="F479" t="s">
        <v>99</v>
      </c>
      <c r="G479">
        <v>2</v>
      </c>
      <c r="H479" s="42">
        <v>6.6</v>
      </c>
    </row>
    <row r="480" spans="1:11" x14ac:dyDescent="0.3">
      <c r="A480" t="s">
        <v>882</v>
      </c>
      <c r="B480" s="42">
        <v>261.52</v>
      </c>
      <c r="C480" t="s">
        <v>31</v>
      </c>
      <c r="D480">
        <v>12</v>
      </c>
      <c r="E480" s="42">
        <v>14.53</v>
      </c>
      <c r="F480" t="s">
        <v>110</v>
      </c>
      <c r="G480">
        <v>2</v>
      </c>
      <c r="H480" s="42">
        <v>15.85</v>
      </c>
      <c r="I480" t="s">
        <v>137</v>
      </c>
      <c r="J480">
        <v>14</v>
      </c>
      <c r="K480">
        <v>3.96</v>
      </c>
    </row>
    <row r="481" spans="1:11" x14ac:dyDescent="0.3">
      <c r="A481" t="s">
        <v>884</v>
      </c>
      <c r="B481" s="42">
        <v>235.12</v>
      </c>
      <c r="C481" t="s">
        <v>53</v>
      </c>
      <c r="D481">
        <v>10</v>
      </c>
      <c r="E481" s="42">
        <v>21.13</v>
      </c>
      <c r="F481" t="s">
        <v>81</v>
      </c>
      <c r="G481">
        <v>2</v>
      </c>
      <c r="H481" s="42">
        <v>11.89</v>
      </c>
    </row>
    <row r="482" spans="1:11" x14ac:dyDescent="0.3">
      <c r="A482" t="s">
        <v>885</v>
      </c>
      <c r="B482" s="42">
        <v>293.18</v>
      </c>
      <c r="C482" t="s">
        <v>69</v>
      </c>
      <c r="D482">
        <v>12</v>
      </c>
      <c r="E482" s="42">
        <v>17.170000000000002</v>
      </c>
      <c r="F482" t="s">
        <v>110</v>
      </c>
      <c r="G482">
        <v>2</v>
      </c>
      <c r="H482" s="42">
        <v>15.85</v>
      </c>
      <c r="I482" t="s">
        <v>137</v>
      </c>
      <c r="J482">
        <v>14</v>
      </c>
      <c r="K482">
        <v>3.96</v>
      </c>
    </row>
    <row r="483" spans="1:11" x14ac:dyDescent="0.3">
      <c r="A483" t="s">
        <v>967</v>
      </c>
      <c r="B483" s="42">
        <v>89.8</v>
      </c>
      <c r="C483" t="s">
        <v>24</v>
      </c>
      <c r="D483">
        <v>10</v>
      </c>
      <c r="E483" s="42">
        <v>6.6</v>
      </c>
      <c r="F483" t="s">
        <v>72</v>
      </c>
      <c r="G483">
        <v>2</v>
      </c>
      <c r="H483" s="42">
        <v>11.89</v>
      </c>
    </row>
    <row r="484" spans="1:11" x14ac:dyDescent="0.3">
      <c r="A484" t="s">
        <v>887</v>
      </c>
      <c r="B484" s="42">
        <v>116.24</v>
      </c>
      <c r="C484" t="s">
        <v>27</v>
      </c>
      <c r="D484">
        <v>10</v>
      </c>
      <c r="E484" s="42">
        <v>9.25</v>
      </c>
      <c r="F484" t="s">
        <v>72</v>
      </c>
      <c r="G484">
        <v>2</v>
      </c>
      <c r="H484" s="42">
        <v>11.89</v>
      </c>
      <c r="K484" s="42"/>
    </row>
    <row r="485" spans="1:11" x14ac:dyDescent="0.3">
      <c r="A485" t="s">
        <v>886</v>
      </c>
      <c r="B485" s="42">
        <v>116.24</v>
      </c>
      <c r="C485" t="s">
        <v>27</v>
      </c>
      <c r="D485">
        <v>10</v>
      </c>
      <c r="E485" s="42">
        <v>9.25</v>
      </c>
      <c r="F485" t="s">
        <v>72</v>
      </c>
      <c r="G485">
        <v>2</v>
      </c>
      <c r="H485" s="42">
        <v>11.89</v>
      </c>
    </row>
    <row r="486" spans="1:11" x14ac:dyDescent="0.3">
      <c r="A486" t="s">
        <v>888</v>
      </c>
      <c r="B486" s="42">
        <v>116.24</v>
      </c>
      <c r="C486" t="s">
        <v>27</v>
      </c>
      <c r="D486">
        <v>10</v>
      </c>
      <c r="E486" s="42">
        <v>9.25</v>
      </c>
      <c r="F486" t="s">
        <v>72</v>
      </c>
      <c r="G486">
        <v>2</v>
      </c>
      <c r="H486" s="42">
        <v>11.89</v>
      </c>
    </row>
    <row r="487" spans="1:11" x14ac:dyDescent="0.3">
      <c r="A487" t="s">
        <v>890</v>
      </c>
      <c r="B487" s="42">
        <v>116.24</v>
      </c>
      <c r="C487" t="s">
        <v>27</v>
      </c>
      <c r="D487">
        <v>10</v>
      </c>
      <c r="E487" s="42">
        <v>9.25</v>
      </c>
      <c r="F487" t="s">
        <v>72</v>
      </c>
      <c r="G487">
        <v>2</v>
      </c>
      <c r="H487" s="42">
        <v>11.89</v>
      </c>
    </row>
    <row r="488" spans="1:11" x14ac:dyDescent="0.3">
      <c r="A488" t="s">
        <v>889</v>
      </c>
      <c r="B488" s="42">
        <v>116.24</v>
      </c>
      <c r="C488" t="s">
        <v>27</v>
      </c>
      <c r="D488">
        <v>10</v>
      </c>
      <c r="E488" s="42">
        <v>9.25</v>
      </c>
      <c r="F488" t="s">
        <v>72</v>
      </c>
      <c r="G488">
        <v>2</v>
      </c>
      <c r="H488" s="42">
        <v>11.89</v>
      </c>
    </row>
    <row r="489" spans="1:11" x14ac:dyDescent="0.3">
      <c r="A489" t="s">
        <v>892</v>
      </c>
      <c r="B489" s="42">
        <v>116.24</v>
      </c>
      <c r="C489" t="s">
        <v>27</v>
      </c>
      <c r="D489">
        <v>10</v>
      </c>
      <c r="E489" s="42">
        <v>9.25</v>
      </c>
      <c r="F489" t="s">
        <v>72</v>
      </c>
      <c r="G489">
        <v>2</v>
      </c>
      <c r="H489" s="42">
        <v>11.89</v>
      </c>
    </row>
    <row r="490" spans="1:11" x14ac:dyDescent="0.3">
      <c r="A490" t="s">
        <v>891</v>
      </c>
      <c r="B490" s="42">
        <v>116.24</v>
      </c>
      <c r="C490" t="s">
        <v>27</v>
      </c>
      <c r="D490">
        <v>10</v>
      </c>
      <c r="E490" s="42">
        <v>9.25</v>
      </c>
      <c r="F490" t="s">
        <v>72</v>
      </c>
      <c r="G490">
        <v>2</v>
      </c>
      <c r="H490" s="42">
        <v>11.89</v>
      </c>
    </row>
    <row r="491" spans="1:11" x14ac:dyDescent="0.3">
      <c r="A491" t="s">
        <v>894</v>
      </c>
      <c r="B491" s="42">
        <v>116.24</v>
      </c>
      <c r="C491" t="s">
        <v>27</v>
      </c>
      <c r="D491">
        <v>10</v>
      </c>
      <c r="E491" s="42">
        <v>9.25</v>
      </c>
      <c r="F491" t="s">
        <v>72</v>
      </c>
      <c r="G491">
        <v>2</v>
      </c>
      <c r="H491" s="42">
        <v>11.89</v>
      </c>
    </row>
    <row r="492" spans="1:11" x14ac:dyDescent="0.3">
      <c r="A492" t="s">
        <v>893</v>
      </c>
      <c r="B492" s="42">
        <v>116.24</v>
      </c>
      <c r="C492" t="s">
        <v>27</v>
      </c>
      <c r="D492">
        <v>10</v>
      </c>
      <c r="E492" s="42">
        <v>9.25</v>
      </c>
      <c r="F492" t="s">
        <v>72</v>
      </c>
      <c r="G492">
        <v>2</v>
      </c>
      <c r="H492" s="42">
        <v>11.89</v>
      </c>
    </row>
    <row r="493" spans="1:11" x14ac:dyDescent="0.3">
      <c r="A493" t="s">
        <v>895</v>
      </c>
      <c r="B493" s="42">
        <v>116.24</v>
      </c>
      <c r="C493" t="s">
        <v>27</v>
      </c>
      <c r="D493">
        <v>10</v>
      </c>
      <c r="E493" s="42">
        <v>9.25</v>
      </c>
      <c r="F493" t="s">
        <v>72</v>
      </c>
      <c r="G493">
        <v>2</v>
      </c>
      <c r="H493" s="42">
        <v>11.89</v>
      </c>
    </row>
    <row r="494" spans="1:11" x14ac:dyDescent="0.3">
      <c r="A494" t="s">
        <v>896</v>
      </c>
      <c r="B494" s="42">
        <v>169.1</v>
      </c>
      <c r="C494" t="s">
        <v>31</v>
      </c>
      <c r="D494">
        <v>10</v>
      </c>
      <c r="E494" s="42">
        <v>14.53</v>
      </c>
      <c r="F494" t="s">
        <v>74</v>
      </c>
      <c r="G494">
        <v>2</v>
      </c>
      <c r="H494" s="42">
        <v>11.89</v>
      </c>
    </row>
    <row r="495" spans="1:11" x14ac:dyDescent="0.3">
      <c r="A495" t="s">
        <v>898</v>
      </c>
      <c r="B495" s="42">
        <v>142.66999999999999</v>
      </c>
      <c r="C495" t="s">
        <v>29</v>
      </c>
      <c r="D495">
        <v>10</v>
      </c>
      <c r="E495" s="42">
        <v>11.89</v>
      </c>
      <c r="F495" t="s">
        <v>74</v>
      </c>
      <c r="G495">
        <v>2</v>
      </c>
      <c r="H495" s="42">
        <v>11.89</v>
      </c>
    </row>
    <row r="496" spans="1:11" x14ac:dyDescent="0.3">
      <c r="A496" t="s">
        <v>901</v>
      </c>
      <c r="B496" s="42">
        <v>169.1</v>
      </c>
      <c r="C496" t="s">
        <v>31</v>
      </c>
      <c r="D496">
        <v>10</v>
      </c>
      <c r="E496" s="42">
        <v>14.53</v>
      </c>
      <c r="F496" t="s">
        <v>74</v>
      </c>
      <c r="G496">
        <v>2</v>
      </c>
      <c r="H496" s="42">
        <v>11.89</v>
      </c>
    </row>
    <row r="497" spans="1:11" x14ac:dyDescent="0.3">
      <c r="A497" t="s">
        <v>900</v>
      </c>
      <c r="B497" s="42">
        <v>169.1</v>
      </c>
      <c r="C497" t="s">
        <v>31</v>
      </c>
      <c r="D497">
        <v>10</v>
      </c>
      <c r="E497" s="42">
        <v>14.53</v>
      </c>
      <c r="F497" t="s">
        <v>74</v>
      </c>
      <c r="G497">
        <v>2</v>
      </c>
      <c r="H497" s="42">
        <v>11.89</v>
      </c>
    </row>
    <row r="498" spans="1:11" x14ac:dyDescent="0.3">
      <c r="A498" t="s">
        <v>897</v>
      </c>
      <c r="B498" s="42">
        <v>195.49</v>
      </c>
      <c r="C498" t="s">
        <v>69</v>
      </c>
      <c r="D498">
        <v>10</v>
      </c>
      <c r="E498" s="42">
        <v>17.170000000000002</v>
      </c>
      <c r="F498" t="s">
        <v>74</v>
      </c>
      <c r="G498">
        <v>2</v>
      </c>
      <c r="H498" s="42">
        <v>11.89</v>
      </c>
      <c r="K498" s="42"/>
    </row>
    <row r="499" spans="1:11" x14ac:dyDescent="0.3">
      <c r="A499" t="s">
        <v>902</v>
      </c>
      <c r="B499" s="42">
        <v>169.1</v>
      </c>
      <c r="C499" t="s">
        <v>31</v>
      </c>
      <c r="D499">
        <v>10</v>
      </c>
      <c r="E499" s="42">
        <v>14.53</v>
      </c>
      <c r="F499" t="s">
        <v>74</v>
      </c>
      <c r="G499">
        <v>2</v>
      </c>
      <c r="H499" s="42">
        <v>11.89</v>
      </c>
    </row>
    <row r="500" spans="1:11" x14ac:dyDescent="0.3">
      <c r="A500" t="s">
        <v>904</v>
      </c>
      <c r="B500" s="42">
        <v>195.49</v>
      </c>
      <c r="C500" t="s">
        <v>69</v>
      </c>
      <c r="D500">
        <v>10</v>
      </c>
      <c r="E500" s="42">
        <v>17.170000000000002</v>
      </c>
      <c r="F500" t="s">
        <v>74</v>
      </c>
      <c r="G500">
        <v>2</v>
      </c>
      <c r="H500" s="42">
        <v>11.89</v>
      </c>
    </row>
    <row r="501" spans="1:11" x14ac:dyDescent="0.3">
      <c r="A501" t="s">
        <v>903</v>
      </c>
      <c r="B501" s="42">
        <v>169.1</v>
      </c>
      <c r="C501" t="s">
        <v>31</v>
      </c>
      <c r="D501">
        <v>10</v>
      </c>
      <c r="E501" s="42">
        <v>14.53</v>
      </c>
      <c r="F501" t="s">
        <v>74</v>
      </c>
      <c r="G501">
        <v>2</v>
      </c>
      <c r="H501" s="42">
        <v>11.89</v>
      </c>
    </row>
    <row r="502" spans="1:11" x14ac:dyDescent="0.3">
      <c r="A502" t="s">
        <v>905</v>
      </c>
      <c r="B502" s="42">
        <v>169.1</v>
      </c>
      <c r="C502" t="s">
        <v>31</v>
      </c>
      <c r="D502">
        <v>10</v>
      </c>
      <c r="E502" s="42">
        <v>14.53</v>
      </c>
      <c r="F502" t="s">
        <v>74</v>
      </c>
      <c r="G502">
        <v>2</v>
      </c>
      <c r="H502" s="42">
        <v>11.89</v>
      </c>
      <c r="K502" s="42"/>
    </row>
    <row r="503" spans="1:11" x14ac:dyDescent="0.3">
      <c r="A503" t="s">
        <v>906</v>
      </c>
      <c r="B503" s="42">
        <v>195.49</v>
      </c>
      <c r="C503" t="s">
        <v>69</v>
      </c>
      <c r="D503">
        <v>10</v>
      </c>
      <c r="E503" s="42">
        <v>17.170000000000002</v>
      </c>
      <c r="F503" t="s">
        <v>74</v>
      </c>
      <c r="G503">
        <v>2</v>
      </c>
      <c r="H503" s="42">
        <v>11.89</v>
      </c>
    </row>
    <row r="504" spans="1:11" x14ac:dyDescent="0.3">
      <c r="A504" t="s">
        <v>910</v>
      </c>
      <c r="B504" s="42">
        <v>118.89</v>
      </c>
      <c r="C504" t="s">
        <v>29</v>
      </c>
      <c r="D504">
        <v>10</v>
      </c>
      <c r="E504" s="42">
        <v>11.89</v>
      </c>
      <c r="H504" s="42"/>
    </row>
    <row r="505" spans="1:11" x14ac:dyDescent="0.3">
      <c r="A505" t="s">
        <v>908</v>
      </c>
      <c r="B505" s="42">
        <v>182.28</v>
      </c>
      <c r="C505" t="s">
        <v>43</v>
      </c>
      <c r="D505">
        <v>10</v>
      </c>
      <c r="E505" s="42">
        <v>15.85</v>
      </c>
      <c r="F505" t="s">
        <v>74</v>
      </c>
      <c r="G505">
        <v>2</v>
      </c>
      <c r="H505" s="42">
        <v>11.89</v>
      </c>
    </row>
    <row r="506" spans="1:11" x14ac:dyDescent="0.3">
      <c r="A506" t="s">
        <v>907</v>
      </c>
      <c r="B506" s="42">
        <v>169.1</v>
      </c>
      <c r="C506" t="s">
        <v>31</v>
      </c>
      <c r="D506">
        <v>10</v>
      </c>
      <c r="E506" s="42">
        <v>14.53</v>
      </c>
      <c r="F506" t="s">
        <v>74</v>
      </c>
      <c r="G506">
        <v>2</v>
      </c>
      <c r="H506" s="42">
        <v>11.89</v>
      </c>
    </row>
    <row r="507" spans="1:11" x14ac:dyDescent="0.3">
      <c r="A507" t="s">
        <v>912</v>
      </c>
      <c r="B507" s="42">
        <v>130.78</v>
      </c>
      <c r="C507" t="s">
        <v>65</v>
      </c>
      <c r="D507">
        <v>9</v>
      </c>
      <c r="E507" s="42">
        <v>11.89</v>
      </c>
      <c r="F507" t="s">
        <v>72</v>
      </c>
      <c r="G507">
        <v>2</v>
      </c>
      <c r="H507" s="42">
        <v>11.89</v>
      </c>
    </row>
    <row r="508" spans="1:11" x14ac:dyDescent="0.3">
      <c r="A508" t="s">
        <v>909</v>
      </c>
      <c r="B508" s="42">
        <v>66.03</v>
      </c>
      <c r="C508" t="s">
        <v>24</v>
      </c>
      <c r="D508">
        <v>10</v>
      </c>
      <c r="E508" s="42">
        <v>6.6</v>
      </c>
      <c r="H508" s="42"/>
    </row>
    <row r="509" spans="1:11" x14ac:dyDescent="0.3">
      <c r="A509" t="s">
        <v>911</v>
      </c>
      <c r="B509" s="42">
        <v>237.75</v>
      </c>
      <c r="C509" t="s">
        <v>45</v>
      </c>
      <c r="D509">
        <v>9</v>
      </c>
      <c r="E509" s="42">
        <v>21.14</v>
      </c>
      <c r="F509" t="s">
        <v>79</v>
      </c>
      <c r="G509">
        <v>2</v>
      </c>
      <c r="H509" s="42">
        <v>23.77</v>
      </c>
    </row>
    <row r="510" spans="1:11" x14ac:dyDescent="0.3">
      <c r="A510" t="s">
        <v>914</v>
      </c>
      <c r="B510" s="42">
        <v>125.49</v>
      </c>
      <c r="C510" t="s">
        <v>65</v>
      </c>
      <c r="D510">
        <v>9</v>
      </c>
      <c r="E510" s="42">
        <v>11.89</v>
      </c>
      <c r="F510" t="s">
        <v>87</v>
      </c>
      <c r="G510">
        <v>2</v>
      </c>
      <c r="H510" s="42">
        <v>9.25</v>
      </c>
    </row>
    <row r="511" spans="1:11" x14ac:dyDescent="0.3">
      <c r="A511" t="s">
        <v>913</v>
      </c>
      <c r="B511" s="42">
        <v>213.98</v>
      </c>
      <c r="C511" t="s">
        <v>57</v>
      </c>
      <c r="D511">
        <v>8</v>
      </c>
      <c r="E511" s="42">
        <v>23.78</v>
      </c>
      <c r="F511" t="s">
        <v>83</v>
      </c>
      <c r="G511">
        <v>2</v>
      </c>
      <c r="H511" s="42">
        <v>11.89</v>
      </c>
      <c r="K511" s="42"/>
    </row>
    <row r="512" spans="1:11" x14ac:dyDescent="0.3">
      <c r="A512" t="s">
        <v>915</v>
      </c>
      <c r="B512" s="42">
        <v>97.75</v>
      </c>
      <c r="C512" t="s">
        <v>27</v>
      </c>
      <c r="D512">
        <v>8</v>
      </c>
      <c r="E512" s="42">
        <v>9.25</v>
      </c>
      <c r="F512" t="s">
        <v>72</v>
      </c>
      <c r="G512">
        <v>2</v>
      </c>
      <c r="H512" s="42">
        <v>11.89</v>
      </c>
      <c r="K512" s="42"/>
    </row>
    <row r="513" spans="1:11" x14ac:dyDescent="0.3">
      <c r="A513" t="s">
        <v>917</v>
      </c>
      <c r="B513" s="42">
        <v>97.75</v>
      </c>
      <c r="C513" t="s">
        <v>27</v>
      </c>
      <c r="D513">
        <v>8</v>
      </c>
      <c r="E513" s="42">
        <v>9.25</v>
      </c>
      <c r="F513" t="s">
        <v>72</v>
      </c>
      <c r="G513">
        <v>2</v>
      </c>
      <c r="H513" s="42">
        <v>11.89</v>
      </c>
    </row>
    <row r="514" spans="1:11" x14ac:dyDescent="0.3">
      <c r="A514" t="s">
        <v>920</v>
      </c>
      <c r="B514" s="42">
        <v>97.75</v>
      </c>
      <c r="C514" t="s">
        <v>27</v>
      </c>
      <c r="D514">
        <v>8</v>
      </c>
      <c r="E514" s="42">
        <v>9.25</v>
      </c>
      <c r="F514" t="s">
        <v>72</v>
      </c>
      <c r="G514">
        <v>2</v>
      </c>
      <c r="H514" s="42">
        <v>11.89</v>
      </c>
    </row>
    <row r="515" spans="1:11" x14ac:dyDescent="0.3">
      <c r="A515" t="s">
        <v>918</v>
      </c>
      <c r="B515" s="42">
        <v>97.75</v>
      </c>
      <c r="C515" t="s">
        <v>27</v>
      </c>
      <c r="D515">
        <v>8</v>
      </c>
      <c r="E515" s="42">
        <v>9.25</v>
      </c>
      <c r="F515" t="s">
        <v>72</v>
      </c>
      <c r="G515">
        <v>2</v>
      </c>
      <c r="H515" s="42">
        <v>11.89</v>
      </c>
    </row>
    <row r="516" spans="1:11" x14ac:dyDescent="0.3">
      <c r="A516" t="s">
        <v>916</v>
      </c>
      <c r="B516" s="42">
        <v>97.75</v>
      </c>
      <c r="C516" t="s">
        <v>27</v>
      </c>
      <c r="D516">
        <v>8</v>
      </c>
      <c r="E516" s="42">
        <v>9.25</v>
      </c>
      <c r="F516" t="s">
        <v>72</v>
      </c>
      <c r="G516">
        <v>2</v>
      </c>
      <c r="H516" s="42">
        <v>11.89</v>
      </c>
    </row>
    <row r="517" spans="1:11" x14ac:dyDescent="0.3">
      <c r="A517" t="s">
        <v>919</v>
      </c>
      <c r="B517" s="42">
        <v>118.89</v>
      </c>
      <c r="C517" t="s">
        <v>65</v>
      </c>
      <c r="D517">
        <v>8</v>
      </c>
      <c r="E517" s="42">
        <v>11.89</v>
      </c>
      <c r="F517" t="s">
        <v>72</v>
      </c>
      <c r="G517">
        <v>2</v>
      </c>
      <c r="H517" s="42">
        <v>11.89</v>
      </c>
    </row>
    <row r="518" spans="1:11" x14ac:dyDescent="0.3">
      <c r="A518" t="s">
        <v>921</v>
      </c>
      <c r="B518" s="42">
        <v>118.89</v>
      </c>
      <c r="C518" t="s">
        <v>29</v>
      </c>
      <c r="D518">
        <v>8</v>
      </c>
      <c r="E518" s="42">
        <v>11.89</v>
      </c>
      <c r="F518" t="s">
        <v>74</v>
      </c>
      <c r="G518">
        <v>2</v>
      </c>
      <c r="H518" s="42">
        <v>11.89</v>
      </c>
    </row>
    <row r="519" spans="1:11" x14ac:dyDescent="0.3">
      <c r="A519" t="s">
        <v>968</v>
      </c>
      <c r="B519" s="42">
        <v>277.38</v>
      </c>
      <c r="C519" t="s">
        <v>29</v>
      </c>
      <c r="D519">
        <v>8</v>
      </c>
      <c r="E519" s="42">
        <v>11.89</v>
      </c>
      <c r="F519" t="s">
        <v>74</v>
      </c>
      <c r="G519">
        <v>2</v>
      </c>
      <c r="H519" s="42">
        <v>11.89</v>
      </c>
      <c r="I519" t="s">
        <v>150</v>
      </c>
      <c r="J519">
        <v>10</v>
      </c>
      <c r="K519">
        <v>15.85</v>
      </c>
    </row>
    <row r="520" spans="1:11" x14ac:dyDescent="0.3">
      <c r="A520" t="s">
        <v>923</v>
      </c>
      <c r="B520" s="42">
        <v>118.89</v>
      </c>
      <c r="C520" t="s">
        <v>29</v>
      </c>
      <c r="D520">
        <v>8</v>
      </c>
      <c r="E520" s="42">
        <v>11.89</v>
      </c>
      <c r="F520" t="s">
        <v>74</v>
      </c>
      <c r="G520">
        <v>2</v>
      </c>
      <c r="H520" s="42">
        <v>11.89</v>
      </c>
    </row>
    <row r="521" spans="1:11" x14ac:dyDescent="0.3">
      <c r="A521" t="s">
        <v>922</v>
      </c>
      <c r="B521" s="42">
        <v>140.04</v>
      </c>
      <c r="C521" t="s">
        <v>31</v>
      </c>
      <c r="D521">
        <v>8</v>
      </c>
      <c r="E521" s="42">
        <v>14.53</v>
      </c>
      <c r="F521" t="s">
        <v>74</v>
      </c>
      <c r="G521">
        <v>2</v>
      </c>
      <c r="H521" s="42">
        <v>11.89</v>
      </c>
    </row>
    <row r="522" spans="1:11" x14ac:dyDescent="0.3">
      <c r="A522" t="s">
        <v>924</v>
      </c>
      <c r="B522" s="42">
        <v>140.04</v>
      </c>
      <c r="C522" t="s">
        <v>31</v>
      </c>
      <c r="D522">
        <v>8</v>
      </c>
      <c r="E522" s="42">
        <v>14.53</v>
      </c>
      <c r="F522" t="s">
        <v>74</v>
      </c>
      <c r="G522">
        <v>2</v>
      </c>
      <c r="H522" s="42">
        <v>11.89</v>
      </c>
    </row>
    <row r="523" spans="1:11" x14ac:dyDescent="0.3">
      <c r="A523" t="s">
        <v>925</v>
      </c>
      <c r="B523" s="42">
        <v>140.04</v>
      </c>
      <c r="C523" t="s">
        <v>31</v>
      </c>
      <c r="D523">
        <v>8</v>
      </c>
      <c r="E523" s="42">
        <v>14.53</v>
      </c>
      <c r="F523" t="s">
        <v>74</v>
      </c>
      <c r="G523">
        <v>2</v>
      </c>
      <c r="H523" s="42">
        <v>11.89</v>
      </c>
      <c r="K523" s="42"/>
    </row>
    <row r="524" spans="1:11" x14ac:dyDescent="0.3">
      <c r="A524" t="s">
        <v>927</v>
      </c>
      <c r="B524" s="42">
        <v>116.26</v>
      </c>
      <c r="C524" t="s">
        <v>31</v>
      </c>
      <c r="D524">
        <v>8</v>
      </c>
      <c r="E524" s="42">
        <v>14.53</v>
      </c>
      <c r="H524" s="42"/>
    </row>
    <row r="525" spans="1:11" x14ac:dyDescent="0.3">
      <c r="A525" t="s">
        <v>929</v>
      </c>
      <c r="B525" s="42">
        <v>116.26</v>
      </c>
      <c r="C525" t="s">
        <v>67</v>
      </c>
      <c r="D525">
        <v>8</v>
      </c>
      <c r="E525" s="42">
        <v>14.53</v>
      </c>
      <c r="H525" s="42"/>
    </row>
    <row r="526" spans="1:11" x14ac:dyDescent="0.3">
      <c r="A526" t="s">
        <v>926</v>
      </c>
      <c r="B526" s="42">
        <v>206.04</v>
      </c>
      <c r="C526" t="s">
        <v>33</v>
      </c>
      <c r="D526">
        <v>8</v>
      </c>
      <c r="E526" s="42">
        <v>19.809999999999999</v>
      </c>
      <c r="F526" t="s">
        <v>79</v>
      </c>
      <c r="G526">
        <v>2</v>
      </c>
      <c r="H526" s="42">
        <v>23.77</v>
      </c>
    </row>
    <row r="527" spans="1:11" x14ac:dyDescent="0.3">
      <c r="A527" t="s">
        <v>928</v>
      </c>
      <c r="B527" s="42">
        <v>126.8</v>
      </c>
      <c r="C527" t="s">
        <v>41</v>
      </c>
      <c r="D527">
        <v>8</v>
      </c>
      <c r="E527" s="42">
        <v>12.88</v>
      </c>
      <c r="F527" t="s">
        <v>74</v>
      </c>
      <c r="G527">
        <v>2</v>
      </c>
      <c r="H527" s="42">
        <v>11.89</v>
      </c>
      <c r="K527" s="42"/>
    </row>
    <row r="528" spans="1:11" x14ac:dyDescent="0.3">
      <c r="A528" t="s">
        <v>930</v>
      </c>
      <c r="B528" s="42">
        <v>88.5</v>
      </c>
      <c r="C528" t="s">
        <v>27</v>
      </c>
      <c r="D528">
        <v>7</v>
      </c>
      <c r="E528" s="42">
        <v>9.25</v>
      </c>
      <c r="F528" t="s">
        <v>72</v>
      </c>
      <c r="G528">
        <v>2</v>
      </c>
      <c r="H528" s="42">
        <v>11.89</v>
      </c>
      <c r="K528" s="42"/>
    </row>
    <row r="529" spans="1:8" x14ac:dyDescent="0.3">
      <c r="A529" t="s">
        <v>932</v>
      </c>
      <c r="B529" s="42">
        <v>83.22</v>
      </c>
      <c r="C529" t="s">
        <v>29</v>
      </c>
      <c r="D529">
        <v>7</v>
      </c>
      <c r="E529" s="42">
        <v>11.89</v>
      </c>
      <c r="H529" s="42"/>
    </row>
    <row r="530" spans="1:8" x14ac:dyDescent="0.3">
      <c r="A530" t="s">
        <v>931</v>
      </c>
      <c r="B530" s="42">
        <v>150.58000000000001</v>
      </c>
      <c r="C530" t="s">
        <v>53</v>
      </c>
      <c r="D530">
        <v>6</v>
      </c>
      <c r="E530" s="42">
        <v>21.13</v>
      </c>
      <c r="F530" t="s">
        <v>81</v>
      </c>
      <c r="G530">
        <v>2</v>
      </c>
      <c r="H530" s="42">
        <v>11.89</v>
      </c>
    </row>
    <row r="531" spans="1:8" x14ac:dyDescent="0.3">
      <c r="A531" t="s">
        <v>933</v>
      </c>
      <c r="B531" s="42">
        <v>63.39</v>
      </c>
      <c r="C531" t="s">
        <v>24</v>
      </c>
      <c r="D531">
        <v>6</v>
      </c>
      <c r="E531" s="42">
        <v>6.6</v>
      </c>
      <c r="F531" t="s">
        <v>72</v>
      </c>
      <c r="G531">
        <v>2</v>
      </c>
      <c r="H531" s="42">
        <v>11.89</v>
      </c>
    </row>
    <row r="532" spans="1:8" x14ac:dyDescent="0.3">
      <c r="A532" t="s">
        <v>934</v>
      </c>
      <c r="B532" s="42">
        <v>79.25</v>
      </c>
      <c r="C532" t="s">
        <v>63</v>
      </c>
      <c r="D532">
        <v>6</v>
      </c>
      <c r="E532" s="42">
        <v>9.25</v>
      </c>
      <c r="F532" t="s">
        <v>72</v>
      </c>
      <c r="G532">
        <v>2</v>
      </c>
      <c r="H532" s="42">
        <v>11.89</v>
      </c>
    </row>
    <row r="533" spans="1:8" x14ac:dyDescent="0.3">
      <c r="A533" t="s">
        <v>935</v>
      </c>
      <c r="B533" s="42">
        <v>79.25</v>
      </c>
      <c r="C533" t="s">
        <v>27</v>
      </c>
      <c r="D533">
        <v>6</v>
      </c>
      <c r="E533" s="42">
        <v>9.25</v>
      </c>
      <c r="F533" t="s">
        <v>72</v>
      </c>
      <c r="G533">
        <v>2</v>
      </c>
      <c r="H533" s="42">
        <v>11.89</v>
      </c>
    </row>
    <row r="534" spans="1:8" x14ac:dyDescent="0.3">
      <c r="A534" t="s">
        <v>937</v>
      </c>
      <c r="B534" s="42">
        <v>79.25</v>
      </c>
      <c r="C534" t="s">
        <v>27</v>
      </c>
      <c r="D534">
        <v>6</v>
      </c>
      <c r="E534" s="42">
        <v>9.25</v>
      </c>
      <c r="F534" t="s">
        <v>72</v>
      </c>
      <c r="G534">
        <v>2</v>
      </c>
      <c r="H534" s="42">
        <v>11.89</v>
      </c>
    </row>
    <row r="535" spans="1:8" x14ac:dyDescent="0.3">
      <c r="A535" t="s">
        <v>940</v>
      </c>
      <c r="B535" s="42">
        <v>95.11</v>
      </c>
      <c r="C535" t="s">
        <v>65</v>
      </c>
      <c r="D535">
        <v>6</v>
      </c>
      <c r="E535" s="42">
        <v>11.89</v>
      </c>
      <c r="F535" t="s">
        <v>72</v>
      </c>
      <c r="G535">
        <v>2</v>
      </c>
      <c r="H535" s="42">
        <v>11.89</v>
      </c>
    </row>
    <row r="536" spans="1:8" x14ac:dyDescent="0.3">
      <c r="A536" t="s">
        <v>936</v>
      </c>
      <c r="B536" s="42">
        <v>63.39</v>
      </c>
      <c r="C536" t="s">
        <v>24</v>
      </c>
      <c r="D536">
        <v>6</v>
      </c>
      <c r="E536" s="42">
        <v>6.6</v>
      </c>
      <c r="F536" t="s">
        <v>72</v>
      </c>
      <c r="G536">
        <v>2</v>
      </c>
      <c r="H536" s="42">
        <v>11.89</v>
      </c>
    </row>
    <row r="537" spans="1:8" x14ac:dyDescent="0.3">
      <c r="A537" t="s">
        <v>939</v>
      </c>
      <c r="B537" s="42">
        <v>79.25</v>
      </c>
      <c r="C537" t="s">
        <v>27</v>
      </c>
      <c r="D537">
        <v>6</v>
      </c>
      <c r="E537" s="42">
        <v>9.25</v>
      </c>
      <c r="F537" t="s">
        <v>72</v>
      </c>
      <c r="G537">
        <v>2</v>
      </c>
      <c r="H537" s="42">
        <v>11.89</v>
      </c>
    </row>
    <row r="538" spans="1:8" x14ac:dyDescent="0.3">
      <c r="A538" t="s">
        <v>942</v>
      </c>
      <c r="B538" s="42">
        <v>79.25</v>
      </c>
      <c r="C538" t="s">
        <v>27</v>
      </c>
      <c r="D538">
        <v>6</v>
      </c>
      <c r="E538" s="42">
        <v>9.25</v>
      </c>
      <c r="F538" t="s">
        <v>72</v>
      </c>
      <c r="G538">
        <v>2</v>
      </c>
      <c r="H538" s="42">
        <v>11.89</v>
      </c>
    </row>
    <row r="539" spans="1:8" x14ac:dyDescent="0.3">
      <c r="A539" t="s">
        <v>941</v>
      </c>
      <c r="B539" s="42">
        <v>79.25</v>
      </c>
      <c r="C539" t="s">
        <v>27</v>
      </c>
      <c r="D539">
        <v>6</v>
      </c>
      <c r="E539" s="42">
        <v>9.25</v>
      </c>
      <c r="F539" t="s">
        <v>72</v>
      </c>
      <c r="G539">
        <v>2</v>
      </c>
      <c r="H539" s="42">
        <v>11.89</v>
      </c>
    </row>
    <row r="540" spans="1:8" x14ac:dyDescent="0.3">
      <c r="A540" t="s">
        <v>944</v>
      </c>
      <c r="B540" s="42">
        <v>79.25</v>
      </c>
      <c r="C540" t="s">
        <v>27</v>
      </c>
      <c r="D540">
        <v>6</v>
      </c>
      <c r="E540" s="42">
        <v>9.25</v>
      </c>
      <c r="F540" t="s">
        <v>72</v>
      </c>
      <c r="G540">
        <v>2</v>
      </c>
      <c r="H540">
        <v>11.89</v>
      </c>
    </row>
    <row r="541" spans="1:8" x14ac:dyDescent="0.3">
      <c r="A541" t="s">
        <v>945</v>
      </c>
      <c r="B541" s="42">
        <v>79.25</v>
      </c>
      <c r="C541" t="s">
        <v>27</v>
      </c>
      <c r="D541">
        <v>6</v>
      </c>
      <c r="E541" s="42">
        <v>9.25</v>
      </c>
      <c r="F541" t="s">
        <v>72</v>
      </c>
      <c r="G541">
        <v>2</v>
      </c>
      <c r="H541" s="42">
        <v>11.89</v>
      </c>
    </row>
    <row r="542" spans="1:8" x14ac:dyDescent="0.3">
      <c r="A542" t="s">
        <v>943</v>
      </c>
      <c r="B542" s="42">
        <v>95.11</v>
      </c>
      <c r="C542" t="s">
        <v>65</v>
      </c>
      <c r="D542">
        <v>6</v>
      </c>
      <c r="E542" s="42">
        <v>11.89</v>
      </c>
      <c r="F542" t="s">
        <v>72</v>
      </c>
      <c r="G542">
        <v>2</v>
      </c>
      <c r="H542" s="42">
        <v>11.89</v>
      </c>
    </row>
    <row r="543" spans="1:8" x14ac:dyDescent="0.3">
      <c r="A543" t="s">
        <v>949</v>
      </c>
      <c r="B543" s="42">
        <v>110.97</v>
      </c>
      <c r="C543" t="s">
        <v>31</v>
      </c>
      <c r="D543">
        <v>6</v>
      </c>
      <c r="E543" s="42">
        <v>14.53</v>
      </c>
      <c r="F543" t="s">
        <v>74</v>
      </c>
      <c r="G543">
        <v>2</v>
      </c>
      <c r="H543" s="42">
        <v>11.89</v>
      </c>
    </row>
    <row r="544" spans="1:8" x14ac:dyDescent="0.3">
      <c r="A544" t="s">
        <v>947</v>
      </c>
      <c r="B544" s="42">
        <v>95.11</v>
      </c>
      <c r="C544" t="s">
        <v>29</v>
      </c>
      <c r="D544">
        <v>6</v>
      </c>
      <c r="E544" s="42">
        <v>11.89</v>
      </c>
      <c r="F544" t="s">
        <v>74</v>
      </c>
      <c r="G544">
        <v>2</v>
      </c>
      <c r="H544" s="42">
        <v>11.89</v>
      </c>
    </row>
    <row r="545" spans="1:11" x14ac:dyDescent="0.3">
      <c r="A545" t="s">
        <v>946</v>
      </c>
      <c r="B545" s="42">
        <v>95.11</v>
      </c>
      <c r="C545" t="s">
        <v>29</v>
      </c>
      <c r="D545">
        <v>6</v>
      </c>
      <c r="E545" s="42">
        <v>11.89</v>
      </c>
      <c r="F545" t="s">
        <v>74</v>
      </c>
      <c r="G545">
        <v>2</v>
      </c>
      <c r="H545" s="42">
        <v>11.89</v>
      </c>
    </row>
    <row r="546" spans="1:11" x14ac:dyDescent="0.3">
      <c r="A546" t="s">
        <v>950</v>
      </c>
      <c r="B546" s="42">
        <v>126.81</v>
      </c>
      <c r="C546" t="s">
        <v>69</v>
      </c>
      <c r="D546">
        <v>6</v>
      </c>
      <c r="E546" s="42">
        <v>17.170000000000002</v>
      </c>
      <c r="F546" t="s">
        <v>74</v>
      </c>
      <c r="G546">
        <v>2</v>
      </c>
      <c r="H546" s="42">
        <v>11.89</v>
      </c>
    </row>
    <row r="547" spans="1:11" x14ac:dyDescent="0.3">
      <c r="A547" t="s">
        <v>952</v>
      </c>
      <c r="B547" s="42">
        <v>110.97</v>
      </c>
      <c r="C547" t="s">
        <v>31</v>
      </c>
      <c r="D547">
        <v>6</v>
      </c>
      <c r="E547" s="42">
        <v>14.53</v>
      </c>
      <c r="F547" t="s">
        <v>74</v>
      </c>
      <c r="G547">
        <v>2</v>
      </c>
      <c r="H547">
        <v>11.89</v>
      </c>
    </row>
    <row r="548" spans="1:11" x14ac:dyDescent="0.3">
      <c r="A548" t="s">
        <v>953</v>
      </c>
      <c r="B548" s="42">
        <v>110.97</v>
      </c>
      <c r="C548" t="s">
        <v>31</v>
      </c>
      <c r="D548">
        <v>6</v>
      </c>
      <c r="E548" s="42">
        <v>14.53</v>
      </c>
      <c r="F548" t="s">
        <v>74</v>
      </c>
      <c r="G548">
        <v>2</v>
      </c>
      <c r="H548" s="42">
        <v>11.89</v>
      </c>
    </row>
    <row r="549" spans="1:11" x14ac:dyDescent="0.3">
      <c r="A549" t="s">
        <v>951</v>
      </c>
      <c r="B549" s="42">
        <v>58.11</v>
      </c>
      <c r="C549" t="s">
        <v>24</v>
      </c>
      <c r="D549">
        <v>6</v>
      </c>
      <c r="E549" s="42">
        <v>6.6</v>
      </c>
      <c r="F549" t="s">
        <v>87</v>
      </c>
      <c r="G549">
        <v>2</v>
      </c>
      <c r="H549" s="42">
        <v>9.25</v>
      </c>
    </row>
    <row r="550" spans="1:11" x14ac:dyDescent="0.3">
      <c r="A550" t="s">
        <v>956</v>
      </c>
      <c r="B550" s="42">
        <v>89.83</v>
      </c>
      <c r="C550" t="s">
        <v>65</v>
      </c>
      <c r="D550">
        <v>6</v>
      </c>
      <c r="E550" s="42">
        <v>11.89</v>
      </c>
      <c r="F550" t="s">
        <v>87</v>
      </c>
      <c r="G550">
        <v>2</v>
      </c>
      <c r="H550" s="42">
        <v>9.25</v>
      </c>
    </row>
    <row r="551" spans="1:11" x14ac:dyDescent="0.3">
      <c r="A551" t="s">
        <v>969</v>
      </c>
      <c r="B551" s="42">
        <v>73.97</v>
      </c>
      <c r="C551" t="s">
        <v>27</v>
      </c>
      <c r="D551">
        <v>6</v>
      </c>
      <c r="E551" s="42">
        <v>9.25</v>
      </c>
      <c r="F551" t="s">
        <v>87</v>
      </c>
      <c r="G551">
        <v>2</v>
      </c>
      <c r="H551" s="42">
        <v>9.25</v>
      </c>
      <c r="K551" s="42"/>
    </row>
    <row r="552" spans="1:11" x14ac:dyDescent="0.3">
      <c r="A552" t="s">
        <v>955</v>
      </c>
      <c r="B552" s="42">
        <v>39.619999999999997</v>
      </c>
      <c r="C552" t="s">
        <v>24</v>
      </c>
      <c r="D552">
        <v>6</v>
      </c>
      <c r="E552" s="42">
        <v>6.6</v>
      </c>
      <c r="H552" s="42"/>
      <c r="K552" s="42"/>
    </row>
    <row r="553" spans="1:11" x14ac:dyDescent="0.3">
      <c r="A553" t="s">
        <v>971</v>
      </c>
      <c r="B553" s="42">
        <v>166.4</v>
      </c>
      <c r="C553" t="s">
        <v>69</v>
      </c>
      <c r="D553">
        <v>6</v>
      </c>
      <c r="E553" s="42">
        <v>17.170000000000002</v>
      </c>
      <c r="F553" t="s">
        <v>110</v>
      </c>
      <c r="G553">
        <v>2</v>
      </c>
      <c r="H553" s="42">
        <v>15.85</v>
      </c>
      <c r="I553" t="s">
        <v>137</v>
      </c>
      <c r="J553">
        <v>8</v>
      </c>
      <c r="K553" s="42">
        <v>3.96</v>
      </c>
    </row>
    <row r="554" spans="1:11" x14ac:dyDescent="0.3">
      <c r="A554" t="s">
        <v>970</v>
      </c>
      <c r="B554" s="42">
        <v>55.48</v>
      </c>
      <c r="C554" t="s">
        <v>27</v>
      </c>
      <c r="D554">
        <v>6</v>
      </c>
      <c r="E554" s="42">
        <v>9.25</v>
      </c>
      <c r="H554" s="42"/>
    </row>
    <row r="555" spans="1:11" x14ac:dyDescent="0.3">
      <c r="A555" t="s">
        <v>954</v>
      </c>
      <c r="B555" s="42">
        <v>150.57</v>
      </c>
      <c r="C555" t="s">
        <v>31</v>
      </c>
      <c r="D555">
        <v>6</v>
      </c>
      <c r="E555" s="42">
        <v>14.53</v>
      </c>
      <c r="F555" t="s">
        <v>110</v>
      </c>
      <c r="G555">
        <v>2</v>
      </c>
      <c r="H555" s="42">
        <v>15.85</v>
      </c>
      <c r="I555" t="s">
        <v>137</v>
      </c>
      <c r="J555">
        <v>8</v>
      </c>
      <c r="K555">
        <v>3.96</v>
      </c>
    </row>
    <row r="556" spans="1:11" x14ac:dyDescent="0.3">
      <c r="A556" t="s">
        <v>957</v>
      </c>
      <c r="B556" s="42">
        <v>372.56</v>
      </c>
      <c r="C556" t="s">
        <v>31</v>
      </c>
      <c r="D556">
        <v>24</v>
      </c>
      <c r="E556" s="42">
        <v>14.53</v>
      </c>
      <c r="F556" t="s">
        <v>74</v>
      </c>
      <c r="G556">
        <v>2</v>
      </c>
      <c r="H556" s="42">
        <v>11.89</v>
      </c>
    </row>
    <row r="557" spans="1:11" x14ac:dyDescent="0.3">
      <c r="A557" t="s">
        <v>958</v>
      </c>
      <c r="B557" s="42">
        <v>372.56</v>
      </c>
      <c r="C557" t="s">
        <v>31</v>
      </c>
      <c r="D557">
        <v>24</v>
      </c>
      <c r="E557" s="42">
        <v>14.53</v>
      </c>
      <c r="F557" t="s">
        <v>74</v>
      </c>
      <c r="G557">
        <v>2</v>
      </c>
      <c r="H557" s="42">
        <v>11.89</v>
      </c>
    </row>
    <row r="558" spans="1:11" x14ac:dyDescent="0.3">
      <c r="A558" t="s">
        <v>972</v>
      </c>
      <c r="B558" s="42">
        <v>198.17</v>
      </c>
      <c r="C558" t="s">
        <v>31</v>
      </c>
      <c r="D558">
        <v>12</v>
      </c>
      <c r="E558" s="42">
        <v>14.53</v>
      </c>
      <c r="F558" t="s">
        <v>74</v>
      </c>
      <c r="G558">
        <v>2</v>
      </c>
      <c r="H558" s="42">
        <v>11.89</v>
      </c>
    </row>
    <row r="559" spans="1:11" x14ac:dyDescent="0.3">
      <c r="A559" t="s">
        <v>974</v>
      </c>
      <c r="B559" s="42">
        <v>198.17</v>
      </c>
      <c r="C559" t="s">
        <v>31</v>
      </c>
      <c r="D559">
        <v>12</v>
      </c>
      <c r="E559" s="42">
        <v>14.53</v>
      </c>
      <c r="F559" t="s">
        <v>74</v>
      </c>
      <c r="G559">
        <v>2</v>
      </c>
      <c r="H559" s="42">
        <v>11.89</v>
      </c>
    </row>
    <row r="560" spans="1:11" x14ac:dyDescent="0.3">
      <c r="A560" t="s">
        <v>959</v>
      </c>
      <c r="B560" s="42">
        <v>404.18</v>
      </c>
      <c r="C560" t="s">
        <v>33</v>
      </c>
      <c r="D560">
        <v>18</v>
      </c>
      <c r="E560" s="42">
        <v>19.809999999999999</v>
      </c>
      <c r="F560" t="s">
        <v>79</v>
      </c>
      <c r="G560">
        <v>2</v>
      </c>
      <c r="H560" s="42">
        <v>23.77</v>
      </c>
    </row>
    <row r="561" spans="1:11" x14ac:dyDescent="0.3">
      <c r="A561" t="s">
        <v>961</v>
      </c>
      <c r="B561" s="42">
        <v>285.3</v>
      </c>
      <c r="C561" t="s">
        <v>33</v>
      </c>
      <c r="D561">
        <v>12</v>
      </c>
      <c r="E561" s="42">
        <v>19.809999999999999</v>
      </c>
      <c r="F561" t="s">
        <v>79</v>
      </c>
      <c r="G561">
        <v>2</v>
      </c>
      <c r="H561" s="42">
        <v>23.77</v>
      </c>
    </row>
    <row r="562" spans="1:11" x14ac:dyDescent="0.3">
      <c r="A562" t="s">
        <v>960</v>
      </c>
      <c r="B562" s="42">
        <v>285.3</v>
      </c>
      <c r="C562" t="s">
        <v>33</v>
      </c>
      <c r="D562">
        <v>12</v>
      </c>
      <c r="E562" s="42">
        <v>19.809999999999999</v>
      </c>
      <c r="F562" t="s">
        <v>79</v>
      </c>
      <c r="G562">
        <v>2</v>
      </c>
      <c r="H562" s="42">
        <v>23.77</v>
      </c>
    </row>
    <row r="563" spans="1:11" x14ac:dyDescent="0.3">
      <c r="A563" t="s">
        <v>973</v>
      </c>
      <c r="B563" s="42">
        <v>641.94000000000005</v>
      </c>
      <c r="C563" t="s">
        <v>33</v>
      </c>
      <c r="D563">
        <v>30</v>
      </c>
      <c r="E563" s="42">
        <v>19.809999999999999</v>
      </c>
      <c r="F563" t="s">
        <v>79</v>
      </c>
      <c r="G563">
        <v>2</v>
      </c>
      <c r="H563" s="42">
        <v>23.77</v>
      </c>
    </row>
    <row r="564" spans="1:11" x14ac:dyDescent="0.3">
      <c r="A564" t="s">
        <v>609</v>
      </c>
      <c r="B564" s="42">
        <v>372.56</v>
      </c>
      <c r="C564" t="s">
        <v>31</v>
      </c>
      <c r="D564">
        <v>24</v>
      </c>
      <c r="E564" s="42">
        <v>14.53</v>
      </c>
      <c r="F564" t="s">
        <v>74</v>
      </c>
      <c r="G564">
        <v>2</v>
      </c>
      <c r="H564" s="42">
        <v>11.89</v>
      </c>
    </row>
    <row r="565" spans="1:11" x14ac:dyDescent="0.3">
      <c r="A565" t="s">
        <v>504</v>
      </c>
      <c r="B565" s="42">
        <v>546.94000000000005</v>
      </c>
      <c r="C565" t="s">
        <v>31</v>
      </c>
      <c r="D565">
        <v>36</v>
      </c>
      <c r="E565" s="42">
        <v>14.53</v>
      </c>
      <c r="F565" t="s">
        <v>74</v>
      </c>
      <c r="G565">
        <v>2</v>
      </c>
      <c r="H565" s="42">
        <v>11.89</v>
      </c>
    </row>
    <row r="566" spans="1:11" x14ac:dyDescent="0.3">
      <c r="A566" t="s">
        <v>621</v>
      </c>
      <c r="B566" s="42">
        <v>435.89</v>
      </c>
      <c r="C566" t="s">
        <v>69</v>
      </c>
      <c r="D566">
        <v>24</v>
      </c>
      <c r="E566" s="42">
        <v>17.170000000000002</v>
      </c>
      <c r="F566" t="s">
        <v>74</v>
      </c>
      <c r="G566">
        <v>2</v>
      </c>
      <c r="H566">
        <v>11.89</v>
      </c>
    </row>
    <row r="567" spans="1:11" x14ac:dyDescent="0.3">
      <c r="A567" t="s">
        <v>510</v>
      </c>
      <c r="B567" s="42">
        <v>641.95000000000005</v>
      </c>
      <c r="C567" t="s">
        <v>69</v>
      </c>
      <c r="D567">
        <v>36</v>
      </c>
      <c r="E567" s="42">
        <v>17.170000000000002</v>
      </c>
      <c r="F567" t="s">
        <v>74</v>
      </c>
      <c r="G567">
        <v>2</v>
      </c>
      <c r="H567" s="42">
        <v>11.89</v>
      </c>
    </row>
    <row r="568" spans="1:11" x14ac:dyDescent="0.3">
      <c r="A568" t="s">
        <v>700</v>
      </c>
      <c r="B568" s="42">
        <v>285.36</v>
      </c>
      <c r="C568" t="s">
        <v>31</v>
      </c>
      <c r="D568">
        <v>18</v>
      </c>
      <c r="E568" s="42">
        <v>14.53</v>
      </c>
      <c r="F568" t="s">
        <v>74</v>
      </c>
      <c r="G568">
        <v>2</v>
      </c>
      <c r="H568" s="42">
        <v>11.89</v>
      </c>
    </row>
    <row r="569" spans="1:11" x14ac:dyDescent="0.3">
      <c r="A569" t="s">
        <v>740</v>
      </c>
      <c r="B569" s="42">
        <v>298.52</v>
      </c>
      <c r="C569" t="s">
        <v>69</v>
      </c>
      <c r="D569">
        <v>16</v>
      </c>
      <c r="E569" s="42">
        <v>17.170000000000002</v>
      </c>
      <c r="F569" t="s">
        <v>74</v>
      </c>
      <c r="G569">
        <v>2</v>
      </c>
      <c r="H569" s="42">
        <v>11.89</v>
      </c>
    </row>
    <row r="570" spans="1:11" x14ac:dyDescent="0.3">
      <c r="A570" t="s">
        <v>704</v>
      </c>
      <c r="B570" s="42">
        <v>285.36</v>
      </c>
      <c r="C570" t="s">
        <v>31</v>
      </c>
      <c r="D570">
        <v>18</v>
      </c>
      <c r="E570" s="42">
        <v>14.53</v>
      </c>
      <c r="F570" t="s">
        <v>74</v>
      </c>
      <c r="G570">
        <v>2</v>
      </c>
      <c r="H570" s="42">
        <v>11.89</v>
      </c>
    </row>
    <row r="571" spans="1:11" x14ac:dyDescent="0.3">
      <c r="A571" t="s">
        <v>762</v>
      </c>
      <c r="B571" s="42">
        <v>153.22</v>
      </c>
      <c r="C571" t="s">
        <v>27</v>
      </c>
      <c r="D571">
        <v>14</v>
      </c>
      <c r="E571" s="42">
        <v>9.25</v>
      </c>
      <c r="F571" t="s">
        <v>72</v>
      </c>
      <c r="G571">
        <v>2</v>
      </c>
      <c r="H571" s="42">
        <v>11.89</v>
      </c>
    </row>
    <row r="572" spans="1:11" x14ac:dyDescent="0.3">
      <c r="A572" t="s">
        <v>777</v>
      </c>
      <c r="B572" s="42">
        <v>227.23</v>
      </c>
      <c r="C572" t="s">
        <v>31</v>
      </c>
      <c r="D572">
        <v>14</v>
      </c>
      <c r="E572" s="42">
        <v>14.53</v>
      </c>
      <c r="F572" t="s">
        <v>74</v>
      </c>
      <c r="G572">
        <v>2</v>
      </c>
      <c r="H572" s="42">
        <v>11.89</v>
      </c>
    </row>
    <row r="573" spans="1:11" x14ac:dyDescent="0.3">
      <c r="A573" t="s">
        <v>791</v>
      </c>
      <c r="B573" s="42">
        <v>364.55</v>
      </c>
      <c r="C573" t="s">
        <v>59</v>
      </c>
      <c r="D573">
        <v>12</v>
      </c>
      <c r="E573" s="42">
        <v>26.42</v>
      </c>
      <c r="F573" t="s">
        <v>85</v>
      </c>
      <c r="G573">
        <v>2</v>
      </c>
      <c r="H573" s="42">
        <v>23.77</v>
      </c>
    </row>
    <row r="574" spans="1:11" x14ac:dyDescent="0.3">
      <c r="A574" t="s">
        <v>856</v>
      </c>
      <c r="B574" s="42">
        <v>285.3</v>
      </c>
      <c r="C574" t="s">
        <v>33</v>
      </c>
      <c r="D574">
        <v>12</v>
      </c>
      <c r="E574" s="42">
        <v>19.809999999999999</v>
      </c>
      <c r="F574" t="s">
        <v>79</v>
      </c>
      <c r="G574">
        <v>2</v>
      </c>
      <c r="H574" s="42">
        <v>23.77</v>
      </c>
    </row>
    <row r="575" spans="1:11" x14ac:dyDescent="0.3">
      <c r="A575" t="s">
        <v>795</v>
      </c>
      <c r="B575" s="42">
        <v>261.52</v>
      </c>
      <c r="C575" t="s">
        <v>27</v>
      </c>
      <c r="D575">
        <v>12</v>
      </c>
      <c r="E575" s="42">
        <v>9.25</v>
      </c>
      <c r="F575" t="s">
        <v>72</v>
      </c>
      <c r="G575">
        <v>2</v>
      </c>
      <c r="H575" s="42">
        <v>11.89</v>
      </c>
      <c r="I575" t="s">
        <v>160</v>
      </c>
      <c r="J575">
        <v>8</v>
      </c>
      <c r="K575">
        <v>15.85</v>
      </c>
    </row>
    <row r="576" spans="1:11" x14ac:dyDescent="0.3">
      <c r="A576" t="s">
        <v>824</v>
      </c>
      <c r="B576" s="42">
        <v>388.32</v>
      </c>
      <c r="C576" t="s">
        <v>69</v>
      </c>
      <c r="D576">
        <v>12</v>
      </c>
      <c r="E576" s="42">
        <v>17.170000000000002</v>
      </c>
      <c r="F576" t="s">
        <v>74</v>
      </c>
      <c r="G576">
        <v>2</v>
      </c>
      <c r="H576" s="42">
        <v>11.89</v>
      </c>
      <c r="I576" t="s">
        <v>160</v>
      </c>
      <c r="J576">
        <v>10</v>
      </c>
      <c r="K576">
        <v>15.85</v>
      </c>
    </row>
    <row r="577" spans="1:11" x14ac:dyDescent="0.3">
      <c r="A577" t="s">
        <v>899</v>
      </c>
      <c r="B577" s="42">
        <v>169.1</v>
      </c>
      <c r="C577" t="s">
        <v>31</v>
      </c>
      <c r="D577">
        <v>10</v>
      </c>
      <c r="E577" s="42">
        <v>14.53</v>
      </c>
      <c r="F577" t="s">
        <v>74</v>
      </c>
      <c r="G577">
        <v>2</v>
      </c>
      <c r="H577" s="42">
        <v>11.89</v>
      </c>
      <c r="K577" s="42"/>
    </row>
    <row r="578" spans="1:11" x14ac:dyDescent="0.3">
      <c r="A578" t="s">
        <v>938</v>
      </c>
      <c r="B578" s="42">
        <v>79.25</v>
      </c>
      <c r="C578" t="s">
        <v>27</v>
      </c>
      <c r="D578">
        <v>6</v>
      </c>
      <c r="E578" s="42">
        <v>9.25</v>
      </c>
      <c r="F578" t="s">
        <v>72</v>
      </c>
      <c r="G578">
        <v>2</v>
      </c>
      <c r="H578" s="42">
        <v>11.89</v>
      </c>
      <c r="K578" s="42"/>
    </row>
    <row r="579" spans="1:11" x14ac:dyDescent="0.3">
      <c r="A579" t="s">
        <v>948</v>
      </c>
      <c r="B579" s="42">
        <v>158.52000000000001</v>
      </c>
      <c r="C579" t="s">
        <v>31</v>
      </c>
      <c r="D579">
        <v>6</v>
      </c>
      <c r="E579" s="42">
        <v>14.53</v>
      </c>
      <c r="F579" t="s">
        <v>74</v>
      </c>
      <c r="G579">
        <v>2</v>
      </c>
      <c r="H579" s="42">
        <v>11.89</v>
      </c>
      <c r="I579" t="s">
        <v>164</v>
      </c>
      <c r="J579">
        <v>3</v>
      </c>
      <c r="K579" s="42">
        <v>15.85</v>
      </c>
    </row>
    <row r="580" spans="1:11" x14ac:dyDescent="0.3">
      <c r="A580" t="s">
        <v>975</v>
      </c>
      <c r="B580" s="42">
        <v>523.05999999999995</v>
      </c>
      <c r="C580" t="s">
        <v>33</v>
      </c>
      <c r="D580">
        <v>24</v>
      </c>
      <c r="E580" s="42">
        <v>19.809999999999999</v>
      </c>
      <c r="F580" t="s">
        <v>79</v>
      </c>
      <c r="G580">
        <v>2</v>
      </c>
      <c r="H580" s="42">
        <v>23.77</v>
      </c>
      <c r="K580" s="42"/>
    </row>
    <row r="581" spans="1:11" x14ac:dyDescent="0.3">
      <c r="A581" t="s">
        <v>771</v>
      </c>
      <c r="B581" s="42">
        <v>227.23</v>
      </c>
      <c r="C581" t="s">
        <v>31</v>
      </c>
      <c r="D581">
        <v>14</v>
      </c>
      <c r="E581" s="42">
        <v>14.53</v>
      </c>
      <c r="F581" t="s">
        <v>74</v>
      </c>
      <c r="G581">
        <v>2</v>
      </c>
      <c r="H581" s="42">
        <v>11.89</v>
      </c>
      <c r="K581" s="4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D32F5-A57C-476E-8CF6-47B3CC3CE664}">
  <sheetPr codeName="Sheet11"/>
  <dimension ref="A1:K1162"/>
  <sheetViews>
    <sheetView topLeftCell="A16" workbookViewId="0">
      <selection activeCell="M37" sqref="M37"/>
    </sheetView>
  </sheetViews>
  <sheetFormatPr defaultRowHeight="14.4" x14ac:dyDescent="0.3"/>
  <cols>
    <col min="1" max="1" width="17.44140625" bestFit="1" customWidth="1"/>
    <col min="2" max="2" width="10" bestFit="1" customWidth="1"/>
  </cols>
  <sheetData>
    <row r="1" spans="1:8" x14ac:dyDescent="0.3">
      <c r="A1" t="s">
        <v>396</v>
      </c>
      <c r="B1" s="43">
        <v>2164</v>
      </c>
      <c r="C1" t="s">
        <v>31</v>
      </c>
      <c r="D1">
        <v>144</v>
      </c>
      <c r="E1" s="43">
        <v>14.53</v>
      </c>
      <c r="F1" t="s">
        <v>74</v>
      </c>
      <c r="G1">
        <v>6</v>
      </c>
      <c r="H1" s="43">
        <v>11.89</v>
      </c>
    </row>
    <row r="2" spans="1:8" s="40" customFormat="1" x14ac:dyDescent="0.3">
      <c r="A2" s="41" t="s">
        <v>976</v>
      </c>
      <c r="B2" s="40">
        <f>D1*E2+G1*H2+J1*K2</f>
        <v>2164.0008000000003</v>
      </c>
      <c r="E2" s="40">
        <v>14.532400000000001</v>
      </c>
      <c r="H2" s="40">
        <v>11.889200000000001</v>
      </c>
    </row>
    <row r="3" spans="1:8" x14ac:dyDescent="0.3">
      <c r="A3" t="s">
        <v>397</v>
      </c>
      <c r="B3" s="43">
        <v>1168.95</v>
      </c>
      <c r="C3" t="s">
        <v>27</v>
      </c>
      <c r="D3">
        <v>120</v>
      </c>
      <c r="E3" s="43">
        <v>9.25</v>
      </c>
      <c r="F3" t="s">
        <v>72</v>
      </c>
      <c r="G3">
        <v>5</v>
      </c>
      <c r="H3" s="43">
        <v>11.89</v>
      </c>
    </row>
    <row r="4" spans="1:8" s="40" customFormat="1" x14ac:dyDescent="0.3">
      <c r="A4" s="41" t="s">
        <v>976</v>
      </c>
      <c r="B4" s="40">
        <f>D3*E4+G3*H4+J3*K4</f>
        <v>1168.954</v>
      </c>
      <c r="E4" s="40">
        <v>9.2459000000000007</v>
      </c>
      <c r="H4" s="40">
        <v>11.889200000000001</v>
      </c>
    </row>
    <row r="5" spans="1:8" x14ac:dyDescent="0.3">
      <c r="A5" t="s">
        <v>404</v>
      </c>
      <c r="B5" s="43">
        <v>2496.46</v>
      </c>
      <c r="C5" t="s">
        <v>33</v>
      </c>
      <c r="D5">
        <v>120</v>
      </c>
      <c r="E5" s="43">
        <v>19.809999999999999</v>
      </c>
      <c r="F5" t="s">
        <v>79</v>
      </c>
      <c r="G5">
        <v>5</v>
      </c>
      <c r="H5" s="43">
        <v>23.77</v>
      </c>
    </row>
    <row r="6" spans="1:8" s="40" customFormat="1" x14ac:dyDescent="0.3">
      <c r="A6" s="41" t="s">
        <v>976</v>
      </c>
      <c r="B6" s="40">
        <f>D5*E6+G5*H6+J5*K6</f>
        <v>2496.4565000000002</v>
      </c>
      <c r="E6" s="40">
        <v>19.813500000000001</v>
      </c>
      <c r="H6" s="40">
        <v>23.767299999999999</v>
      </c>
    </row>
    <row r="7" spans="1:8" x14ac:dyDescent="0.3">
      <c r="A7" t="s">
        <v>395</v>
      </c>
      <c r="B7" s="43">
        <v>1402.74</v>
      </c>
      <c r="C7" t="s">
        <v>27</v>
      </c>
      <c r="D7">
        <v>144</v>
      </c>
      <c r="E7" s="43">
        <v>9.25</v>
      </c>
      <c r="F7" t="s">
        <v>72</v>
      </c>
      <c r="G7">
        <v>6</v>
      </c>
      <c r="H7" s="43">
        <v>11.89</v>
      </c>
    </row>
    <row r="8" spans="1:8" s="40" customFormat="1" x14ac:dyDescent="0.3">
      <c r="A8" s="41" t="s">
        <v>976</v>
      </c>
      <c r="B8" s="40">
        <f>D7*E8+G7*H8+J7*K8</f>
        <v>1402.7448000000002</v>
      </c>
      <c r="E8" s="40">
        <v>9.2459000000000007</v>
      </c>
      <c r="H8" s="40">
        <v>11.889200000000001</v>
      </c>
    </row>
    <row r="9" spans="1:8" x14ac:dyDescent="0.3">
      <c r="A9" t="s">
        <v>401</v>
      </c>
      <c r="B9" s="43">
        <v>1803.33</v>
      </c>
      <c r="C9" t="s">
        <v>31</v>
      </c>
      <c r="D9">
        <v>120</v>
      </c>
      <c r="E9" s="43">
        <v>14.53</v>
      </c>
      <c r="F9" t="s">
        <v>74</v>
      </c>
      <c r="G9">
        <v>5</v>
      </c>
      <c r="H9" s="43">
        <v>11.89</v>
      </c>
    </row>
    <row r="10" spans="1:8" s="40" customFormat="1" x14ac:dyDescent="0.3">
      <c r="A10" s="41" t="s">
        <v>976</v>
      </c>
      <c r="B10" s="40">
        <f>D9*E10+G9*H10+J9*K10</f>
        <v>1803.3340000000001</v>
      </c>
      <c r="E10" s="40">
        <v>14.532400000000001</v>
      </c>
      <c r="H10" s="40">
        <v>11.889200000000001</v>
      </c>
    </row>
    <row r="11" spans="1:8" x14ac:dyDescent="0.3">
      <c r="A11" t="s">
        <v>398</v>
      </c>
      <c r="B11" s="43">
        <v>1168.95</v>
      </c>
      <c r="C11" t="s">
        <v>27</v>
      </c>
      <c r="D11">
        <v>120</v>
      </c>
      <c r="E11" s="43">
        <v>9.25</v>
      </c>
      <c r="F11" t="s">
        <v>72</v>
      </c>
      <c r="G11">
        <v>5</v>
      </c>
      <c r="H11" s="43">
        <v>11.89</v>
      </c>
    </row>
    <row r="12" spans="1:8" s="40" customFormat="1" x14ac:dyDescent="0.3">
      <c r="A12" s="41" t="s">
        <v>976</v>
      </c>
      <c r="B12" s="40">
        <f>D11*E12+G11*H12+J11*K12</f>
        <v>1168.954</v>
      </c>
      <c r="E12" s="40">
        <v>9.2459000000000007</v>
      </c>
      <c r="H12" s="40">
        <v>11.889200000000001</v>
      </c>
    </row>
    <row r="13" spans="1:8" x14ac:dyDescent="0.3">
      <c r="A13" t="s">
        <v>399</v>
      </c>
      <c r="B13" s="43">
        <v>1803.33</v>
      </c>
      <c r="C13" t="s">
        <v>67</v>
      </c>
      <c r="D13">
        <v>120</v>
      </c>
      <c r="E13" s="43">
        <v>14.53</v>
      </c>
      <c r="F13" t="s">
        <v>74</v>
      </c>
      <c r="G13">
        <v>5</v>
      </c>
      <c r="H13" s="43">
        <v>11.89</v>
      </c>
    </row>
    <row r="14" spans="1:8" s="40" customFormat="1" x14ac:dyDescent="0.3">
      <c r="A14" s="41" t="s">
        <v>976</v>
      </c>
      <c r="B14" s="40">
        <f>D13*E14+G13*H14+J13*K14</f>
        <v>1803.3340000000001</v>
      </c>
      <c r="E14" s="40">
        <v>14.532400000000001</v>
      </c>
      <c r="H14" s="40">
        <v>11.889200000000001</v>
      </c>
    </row>
    <row r="15" spans="1:8" x14ac:dyDescent="0.3">
      <c r="A15" t="s">
        <v>400</v>
      </c>
      <c r="B15" s="43">
        <v>2120</v>
      </c>
      <c r="C15" t="s">
        <v>69</v>
      </c>
      <c r="D15">
        <v>120</v>
      </c>
      <c r="E15" s="43">
        <v>17.170000000000002</v>
      </c>
      <c r="F15" t="s">
        <v>74</v>
      </c>
      <c r="G15">
        <v>5</v>
      </c>
      <c r="H15" s="43">
        <v>11.89</v>
      </c>
    </row>
    <row r="16" spans="1:8" s="40" customFormat="1" x14ac:dyDescent="0.3">
      <c r="A16" s="41" t="s">
        <v>976</v>
      </c>
      <c r="B16" s="40">
        <f>D15*E16+G15*H16+J15*K16</f>
        <v>2120.002</v>
      </c>
      <c r="E16" s="40">
        <v>17.171299999999999</v>
      </c>
      <c r="H16" s="40">
        <v>11.889200000000001</v>
      </c>
    </row>
    <row r="17" spans="1:8" x14ac:dyDescent="0.3">
      <c r="A17" t="s">
        <v>402</v>
      </c>
      <c r="B17" s="43">
        <v>1961.47</v>
      </c>
      <c r="C17" t="s">
        <v>43</v>
      </c>
      <c r="D17">
        <v>120</v>
      </c>
      <c r="E17" s="43">
        <v>15.85</v>
      </c>
      <c r="F17" t="s">
        <v>74</v>
      </c>
      <c r="G17">
        <v>5</v>
      </c>
      <c r="H17" s="43">
        <v>11.89</v>
      </c>
    </row>
    <row r="18" spans="1:8" s="40" customFormat="1" x14ac:dyDescent="0.3">
      <c r="A18" s="41" t="s">
        <v>976</v>
      </c>
      <c r="B18" s="40">
        <f>D17*E18+G17*H18+J17*K18</f>
        <v>1961.4699999999998</v>
      </c>
      <c r="E18" s="40">
        <v>15.850199999999999</v>
      </c>
      <c r="H18" s="40">
        <v>11.889200000000001</v>
      </c>
    </row>
    <row r="19" spans="1:8" x14ac:dyDescent="0.3">
      <c r="A19" t="s">
        <v>405</v>
      </c>
      <c r="B19" s="43">
        <v>1961.47</v>
      </c>
      <c r="C19" t="s">
        <v>43</v>
      </c>
      <c r="D19">
        <v>120</v>
      </c>
      <c r="E19" s="43">
        <v>15.85</v>
      </c>
      <c r="F19" t="s">
        <v>74</v>
      </c>
      <c r="G19">
        <v>5</v>
      </c>
      <c r="H19" s="43">
        <v>11.89</v>
      </c>
    </row>
    <row r="20" spans="1:8" s="40" customFormat="1" x14ac:dyDescent="0.3">
      <c r="A20" s="41" t="s">
        <v>976</v>
      </c>
      <c r="B20" s="40">
        <f>D19*E20+G19*H20+J19*K20</f>
        <v>1961.4699999999998</v>
      </c>
      <c r="E20" s="40">
        <v>15.850199999999999</v>
      </c>
      <c r="H20" s="40">
        <v>11.889200000000001</v>
      </c>
    </row>
    <row r="21" spans="1:8" x14ac:dyDescent="0.3">
      <c r="A21" t="s">
        <v>403</v>
      </c>
      <c r="B21" s="43">
        <v>935.16</v>
      </c>
      <c r="C21" t="s">
        <v>27</v>
      </c>
      <c r="D21">
        <v>96</v>
      </c>
      <c r="E21" s="43">
        <v>9.25</v>
      </c>
      <c r="F21" t="s">
        <v>72</v>
      </c>
      <c r="G21">
        <v>4</v>
      </c>
      <c r="H21" s="43">
        <v>11.89</v>
      </c>
    </row>
    <row r="22" spans="1:8" s="40" customFormat="1" x14ac:dyDescent="0.3">
      <c r="A22" s="41" t="s">
        <v>976</v>
      </c>
      <c r="B22" s="40">
        <f>D21*E22+G21*H22+J21*K22</f>
        <v>935.16320000000007</v>
      </c>
      <c r="E22" s="40">
        <v>9.2459000000000007</v>
      </c>
      <c r="H22" s="40">
        <v>11.889200000000001</v>
      </c>
    </row>
    <row r="23" spans="1:8" x14ac:dyDescent="0.3">
      <c r="A23" t="s">
        <v>408</v>
      </c>
      <c r="B23" s="43">
        <v>1188.92</v>
      </c>
      <c r="C23" t="s">
        <v>29</v>
      </c>
      <c r="D23">
        <v>96</v>
      </c>
      <c r="E23" s="43">
        <v>11.89</v>
      </c>
      <c r="F23" t="s">
        <v>74</v>
      </c>
      <c r="G23">
        <v>4</v>
      </c>
      <c r="H23" s="43">
        <v>11.89</v>
      </c>
    </row>
    <row r="24" spans="1:8" s="40" customFormat="1" x14ac:dyDescent="0.3">
      <c r="A24" s="41" t="s">
        <v>976</v>
      </c>
      <c r="B24" s="40">
        <f>D23*E24+G23*H24+J23*K24</f>
        <v>1188.92</v>
      </c>
      <c r="E24" s="40">
        <v>11.889200000000001</v>
      </c>
      <c r="H24" s="40">
        <v>11.889200000000001</v>
      </c>
    </row>
    <row r="25" spans="1:8" x14ac:dyDescent="0.3">
      <c r="A25" t="s">
        <v>409</v>
      </c>
      <c r="B25" s="43">
        <v>935.16</v>
      </c>
      <c r="C25" t="s">
        <v>27</v>
      </c>
      <c r="D25">
        <v>96</v>
      </c>
      <c r="E25" s="43">
        <v>9.25</v>
      </c>
      <c r="F25" t="s">
        <v>72</v>
      </c>
      <c r="G25">
        <v>4</v>
      </c>
      <c r="H25" s="43">
        <v>11.89</v>
      </c>
    </row>
    <row r="26" spans="1:8" s="40" customFormat="1" x14ac:dyDescent="0.3">
      <c r="A26" s="41" t="s">
        <v>976</v>
      </c>
      <c r="B26" s="40">
        <f>D25*E26+G25*H26+J25*K26</f>
        <v>935.16320000000007</v>
      </c>
      <c r="E26" s="40">
        <v>9.2459000000000007</v>
      </c>
      <c r="H26" s="40">
        <v>11.889200000000001</v>
      </c>
    </row>
    <row r="27" spans="1:8" x14ac:dyDescent="0.3">
      <c r="A27" t="s">
        <v>406</v>
      </c>
      <c r="B27" s="43">
        <v>1188.92</v>
      </c>
      <c r="C27" t="s">
        <v>29</v>
      </c>
      <c r="D27">
        <v>96</v>
      </c>
      <c r="E27" s="43">
        <v>11.89</v>
      </c>
      <c r="F27" t="s">
        <v>74</v>
      </c>
      <c r="G27">
        <v>4</v>
      </c>
      <c r="H27" s="43">
        <v>11.89</v>
      </c>
    </row>
    <row r="28" spans="1:8" s="40" customFormat="1" x14ac:dyDescent="0.3">
      <c r="A28" s="41" t="s">
        <v>976</v>
      </c>
      <c r="B28" s="40">
        <f>D27*E28+G27*H28+J27*K28</f>
        <v>1188.92</v>
      </c>
      <c r="E28" s="40">
        <v>11.889200000000001</v>
      </c>
      <c r="H28" s="40">
        <v>11.889200000000001</v>
      </c>
    </row>
    <row r="29" spans="1:8" x14ac:dyDescent="0.3">
      <c r="A29" t="s">
        <v>407</v>
      </c>
      <c r="B29" s="43">
        <v>935.16</v>
      </c>
      <c r="C29" t="s">
        <v>27</v>
      </c>
      <c r="D29">
        <v>96</v>
      </c>
      <c r="E29" s="43">
        <v>9.25</v>
      </c>
      <c r="F29" t="s">
        <v>72</v>
      </c>
      <c r="G29">
        <v>4</v>
      </c>
      <c r="H29" s="43">
        <v>11.89</v>
      </c>
    </row>
    <row r="30" spans="1:8" s="40" customFormat="1" x14ac:dyDescent="0.3">
      <c r="A30" s="41" t="s">
        <v>976</v>
      </c>
      <c r="B30" s="40">
        <f>D29*E30+G29*H30+J29*K30</f>
        <v>935.16320000000007</v>
      </c>
      <c r="E30" s="40">
        <v>9.2459000000000007</v>
      </c>
      <c r="H30" s="40">
        <v>11.889200000000001</v>
      </c>
    </row>
    <row r="31" spans="1:8" x14ac:dyDescent="0.3">
      <c r="A31" t="s">
        <v>411</v>
      </c>
      <c r="B31" s="43">
        <v>1442.67</v>
      </c>
      <c r="C31" t="s">
        <v>31</v>
      </c>
      <c r="D31">
        <v>96</v>
      </c>
      <c r="E31" s="43">
        <v>14.53</v>
      </c>
      <c r="F31" t="s">
        <v>74</v>
      </c>
      <c r="G31">
        <v>4</v>
      </c>
      <c r="H31" s="43">
        <v>11.89</v>
      </c>
    </row>
    <row r="32" spans="1:8" s="40" customFormat="1" x14ac:dyDescent="0.3">
      <c r="A32" s="41" t="s">
        <v>976</v>
      </c>
      <c r="B32" s="40">
        <f>D31*E32+G31*H32+J31*K32</f>
        <v>1442.6672000000001</v>
      </c>
      <c r="E32" s="40">
        <v>14.532400000000001</v>
      </c>
      <c r="H32" s="40">
        <v>11.889200000000001</v>
      </c>
    </row>
    <row r="33" spans="1:8" x14ac:dyDescent="0.3">
      <c r="A33" t="s">
        <v>418</v>
      </c>
      <c r="B33" s="43">
        <v>1082</v>
      </c>
      <c r="C33" t="s">
        <v>31</v>
      </c>
      <c r="D33">
        <v>72</v>
      </c>
      <c r="E33" s="43">
        <v>14.53</v>
      </c>
      <c r="F33" t="s">
        <v>74</v>
      </c>
      <c r="G33">
        <v>3</v>
      </c>
      <c r="H33" s="43">
        <v>11.89</v>
      </c>
    </row>
    <row r="34" spans="1:8" s="40" customFormat="1" x14ac:dyDescent="0.3">
      <c r="A34" s="41" t="s">
        <v>976</v>
      </c>
      <c r="B34" s="40">
        <f>D33*E34+G33*H34+J33*K34</f>
        <v>1082.0004000000001</v>
      </c>
      <c r="E34" s="40">
        <v>14.532400000000001</v>
      </c>
      <c r="H34" s="40">
        <v>11.889200000000001</v>
      </c>
    </row>
    <row r="35" spans="1:8" x14ac:dyDescent="0.3">
      <c r="A35" t="s">
        <v>410</v>
      </c>
      <c r="B35" s="43">
        <v>887.61</v>
      </c>
      <c r="C35" t="s">
        <v>27</v>
      </c>
      <c r="D35">
        <v>96</v>
      </c>
      <c r="E35" s="43">
        <v>9.25</v>
      </c>
    </row>
    <row r="36" spans="1:8" s="40" customFormat="1" x14ac:dyDescent="0.3">
      <c r="A36" s="41" t="s">
        <v>976</v>
      </c>
      <c r="B36" s="40">
        <f>D35*E36+G35*H36+J35*K36</f>
        <v>887.60640000000012</v>
      </c>
      <c r="E36" s="40">
        <v>9.2459000000000007</v>
      </c>
    </row>
    <row r="37" spans="1:8" x14ac:dyDescent="0.3">
      <c r="A37" t="s">
        <v>412</v>
      </c>
      <c r="B37" s="43">
        <v>1442.67</v>
      </c>
      <c r="C37" t="s">
        <v>31</v>
      </c>
      <c r="D37">
        <v>96</v>
      </c>
      <c r="E37" s="43">
        <v>14.53</v>
      </c>
      <c r="F37" t="s">
        <v>74</v>
      </c>
      <c r="G37">
        <v>4</v>
      </c>
      <c r="H37" s="43">
        <v>11.89</v>
      </c>
    </row>
    <row r="38" spans="1:8" s="40" customFormat="1" x14ac:dyDescent="0.3">
      <c r="A38" s="41" t="s">
        <v>976</v>
      </c>
      <c r="B38" s="40">
        <f>D37*E38+G37*H38+J37*K38</f>
        <v>1442.6672000000001</v>
      </c>
      <c r="E38" s="40">
        <v>14.532400000000001</v>
      </c>
      <c r="H38" s="40">
        <v>11.889200000000001</v>
      </c>
    </row>
    <row r="39" spans="1:8" x14ac:dyDescent="0.3">
      <c r="A39" t="s">
        <v>419</v>
      </c>
      <c r="B39" s="43">
        <v>891.69</v>
      </c>
      <c r="C39" t="s">
        <v>29</v>
      </c>
      <c r="D39">
        <v>72</v>
      </c>
      <c r="E39" s="43">
        <v>11.89</v>
      </c>
      <c r="F39" t="s">
        <v>74</v>
      </c>
      <c r="G39">
        <v>3</v>
      </c>
      <c r="H39" s="43">
        <v>11.89</v>
      </c>
    </row>
    <row r="40" spans="1:8" s="40" customFormat="1" x14ac:dyDescent="0.3">
      <c r="A40" s="41" t="s">
        <v>976</v>
      </c>
      <c r="B40" s="40">
        <f>D39*E40+G39*H40+J39*K40</f>
        <v>891.69</v>
      </c>
      <c r="E40" s="40">
        <v>11.889200000000001</v>
      </c>
      <c r="H40" s="40">
        <v>11.889200000000001</v>
      </c>
    </row>
    <row r="41" spans="1:8" x14ac:dyDescent="0.3">
      <c r="A41" t="s">
        <v>416</v>
      </c>
      <c r="B41" s="43">
        <v>1210.1500000000001</v>
      </c>
      <c r="C41" t="s">
        <v>31</v>
      </c>
      <c r="D41">
        <v>80</v>
      </c>
      <c r="E41" s="43">
        <v>14.53</v>
      </c>
      <c r="F41" t="s">
        <v>74</v>
      </c>
      <c r="G41">
        <v>4</v>
      </c>
      <c r="H41" s="43">
        <v>11.89</v>
      </c>
    </row>
    <row r="42" spans="1:8" s="40" customFormat="1" x14ac:dyDescent="0.3">
      <c r="A42" s="41" t="s">
        <v>976</v>
      </c>
      <c r="B42" s="40">
        <f>D41*E42+G41*H42+J41*K42</f>
        <v>1210.1488000000002</v>
      </c>
      <c r="E42" s="40">
        <v>14.532400000000001</v>
      </c>
      <c r="H42" s="40">
        <v>11.889200000000001</v>
      </c>
    </row>
    <row r="43" spans="1:8" x14ac:dyDescent="0.3">
      <c r="A43" t="s">
        <v>417</v>
      </c>
      <c r="B43" s="43">
        <v>511.05</v>
      </c>
      <c r="C43" t="s">
        <v>24</v>
      </c>
      <c r="D43">
        <v>72</v>
      </c>
      <c r="E43" s="43">
        <v>6.6</v>
      </c>
      <c r="F43" t="s">
        <v>72</v>
      </c>
      <c r="G43">
        <v>3</v>
      </c>
      <c r="H43" s="43">
        <v>11.89</v>
      </c>
    </row>
    <row r="44" spans="1:8" s="40" customFormat="1" x14ac:dyDescent="0.3">
      <c r="A44" s="41" t="s">
        <v>976</v>
      </c>
      <c r="B44" s="40">
        <f>D43*E44+G43*H44+J43*K44</f>
        <v>511.0548</v>
      </c>
      <c r="E44" s="40">
        <v>6.6025999999999998</v>
      </c>
      <c r="H44" s="40">
        <v>11.889200000000001</v>
      </c>
    </row>
    <row r="45" spans="1:8" x14ac:dyDescent="0.3">
      <c r="A45" t="s">
        <v>413</v>
      </c>
      <c r="B45" s="43">
        <v>1442.67</v>
      </c>
      <c r="C45" t="s">
        <v>31</v>
      </c>
      <c r="D45">
        <v>96</v>
      </c>
      <c r="E45" s="43">
        <v>14.53</v>
      </c>
      <c r="F45" t="s">
        <v>74</v>
      </c>
      <c r="G45">
        <v>4</v>
      </c>
      <c r="H45" s="43">
        <v>11.89</v>
      </c>
    </row>
    <row r="46" spans="1:8" s="40" customFormat="1" x14ac:dyDescent="0.3">
      <c r="A46" s="41" t="s">
        <v>976</v>
      </c>
      <c r="B46" s="40">
        <f>D45*E46+G45*H46+J45*K46</f>
        <v>1442.6672000000001</v>
      </c>
      <c r="E46" s="40">
        <v>14.532400000000001</v>
      </c>
      <c r="H46" s="40">
        <v>11.889200000000001</v>
      </c>
    </row>
    <row r="47" spans="1:8" x14ac:dyDescent="0.3">
      <c r="A47" t="s">
        <v>414</v>
      </c>
      <c r="B47" s="43">
        <v>1268.28</v>
      </c>
      <c r="C47" t="s">
        <v>67</v>
      </c>
      <c r="D47">
        <v>84</v>
      </c>
      <c r="E47" s="43">
        <v>14.53</v>
      </c>
      <c r="F47" t="s">
        <v>74</v>
      </c>
      <c r="G47">
        <v>4</v>
      </c>
      <c r="H47" s="43">
        <v>11.89</v>
      </c>
    </row>
    <row r="48" spans="1:8" s="40" customFormat="1" x14ac:dyDescent="0.3">
      <c r="A48" s="41" t="s">
        <v>976</v>
      </c>
      <c r="B48" s="40">
        <f>D47*E48+G47*H48+J47*K48</f>
        <v>1268.2784000000001</v>
      </c>
      <c r="E48" s="40">
        <v>14.532400000000001</v>
      </c>
      <c r="H48" s="40">
        <v>11.889200000000001</v>
      </c>
    </row>
    <row r="49" spans="1:8" x14ac:dyDescent="0.3">
      <c r="A49" t="s">
        <v>415</v>
      </c>
      <c r="B49" s="43">
        <v>803.07</v>
      </c>
      <c r="C49" t="s">
        <v>27</v>
      </c>
      <c r="D49">
        <v>84</v>
      </c>
      <c r="E49" s="43">
        <v>9.25</v>
      </c>
      <c r="F49" t="s">
        <v>99</v>
      </c>
      <c r="G49">
        <v>4</v>
      </c>
      <c r="H49" s="43">
        <v>6.6</v>
      </c>
    </row>
    <row r="50" spans="1:8" s="40" customFormat="1" x14ac:dyDescent="0.3">
      <c r="A50" s="41" t="s">
        <v>976</v>
      </c>
      <c r="B50" s="40">
        <f>D49*E50+G49*H50+J49*K50</f>
        <v>803.06600000000003</v>
      </c>
      <c r="E50" s="40">
        <v>9.2459000000000007</v>
      </c>
      <c r="H50" s="40">
        <v>6.6025999999999998</v>
      </c>
    </row>
    <row r="51" spans="1:8" x14ac:dyDescent="0.3">
      <c r="A51" t="s">
        <v>420</v>
      </c>
      <c r="B51" s="43">
        <v>701.37</v>
      </c>
      <c r="C51" t="s">
        <v>27</v>
      </c>
      <c r="D51">
        <v>72</v>
      </c>
      <c r="E51" s="43">
        <v>9.25</v>
      </c>
      <c r="F51" t="s">
        <v>72</v>
      </c>
      <c r="G51">
        <v>3</v>
      </c>
      <c r="H51" s="43">
        <v>11.89</v>
      </c>
    </row>
    <row r="52" spans="1:8" s="40" customFormat="1" x14ac:dyDescent="0.3">
      <c r="A52" s="41" t="s">
        <v>976</v>
      </c>
      <c r="B52" s="40">
        <f>D51*E52+G51*H52+J51*K52</f>
        <v>701.37240000000008</v>
      </c>
      <c r="E52" s="40">
        <v>9.2459000000000007</v>
      </c>
      <c r="H52" s="40">
        <v>11.889200000000001</v>
      </c>
    </row>
    <row r="53" spans="1:8" x14ac:dyDescent="0.3">
      <c r="A53" t="s">
        <v>421</v>
      </c>
      <c r="B53" s="43">
        <v>1082</v>
      </c>
      <c r="C53" t="s">
        <v>31</v>
      </c>
      <c r="D53">
        <v>72</v>
      </c>
      <c r="E53" s="43">
        <v>14.53</v>
      </c>
      <c r="F53" t="s">
        <v>74</v>
      </c>
      <c r="G53">
        <v>3</v>
      </c>
      <c r="H53" s="43">
        <v>11.89</v>
      </c>
    </row>
    <row r="54" spans="1:8" s="40" customFormat="1" x14ac:dyDescent="0.3">
      <c r="A54" s="41" t="s">
        <v>976</v>
      </c>
      <c r="B54" s="40">
        <f>D53*E54+G53*H54+J53*K54</f>
        <v>1082.0004000000001</v>
      </c>
      <c r="E54" s="40">
        <v>14.532400000000001</v>
      </c>
      <c r="H54" s="40">
        <v>11.889200000000001</v>
      </c>
    </row>
    <row r="55" spans="1:8" x14ac:dyDescent="0.3">
      <c r="A55" t="s">
        <v>428</v>
      </c>
      <c r="B55" s="43">
        <v>907.61</v>
      </c>
      <c r="C55" t="s">
        <v>67</v>
      </c>
      <c r="D55">
        <v>60</v>
      </c>
      <c r="E55" s="43">
        <v>14.53</v>
      </c>
      <c r="F55" t="s">
        <v>74</v>
      </c>
      <c r="G55">
        <v>3</v>
      </c>
      <c r="H55" s="43">
        <v>11.89</v>
      </c>
    </row>
    <row r="56" spans="1:8" s="40" customFormat="1" x14ac:dyDescent="0.3">
      <c r="A56" s="41" t="s">
        <v>976</v>
      </c>
      <c r="B56" s="40">
        <f>D55*E56+G55*H56+J55*K56</f>
        <v>907.61160000000007</v>
      </c>
      <c r="E56" s="40">
        <v>14.532400000000001</v>
      </c>
      <c r="H56" s="40">
        <v>11.889200000000001</v>
      </c>
    </row>
    <row r="57" spans="1:8" x14ac:dyDescent="0.3">
      <c r="A57" t="s">
        <v>430</v>
      </c>
      <c r="B57" s="43">
        <v>1065.95</v>
      </c>
      <c r="C57" t="s">
        <v>69</v>
      </c>
      <c r="D57">
        <v>60</v>
      </c>
      <c r="E57" s="43">
        <v>17.170000000000002</v>
      </c>
      <c r="F57" t="s">
        <v>74</v>
      </c>
      <c r="G57">
        <v>3</v>
      </c>
      <c r="H57" s="43">
        <v>11.89</v>
      </c>
    </row>
    <row r="58" spans="1:8" s="40" customFormat="1" x14ac:dyDescent="0.3">
      <c r="A58" s="41" t="s">
        <v>976</v>
      </c>
      <c r="B58" s="40">
        <f>D57*E58+G57*H58+J57*K58</f>
        <v>1065.9456</v>
      </c>
      <c r="E58" s="40">
        <v>17.171299999999999</v>
      </c>
      <c r="H58" s="40">
        <v>11.889200000000001</v>
      </c>
    </row>
    <row r="59" spans="1:8" x14ac:dyDescent="0.3">
      <c r="A59" t="s">
        <v>424</v>
      </c>
      <c r="B59" s="43">
        <v>1462.2</v>
      </c>
      <c r="C59" t="s">
        <v>57</v>
      </c>
      <c r="D59">
        <v>60</v>
      </c>
      <c r="E59" s="43">
        <v>23.78</v>
      </c>
      <c r="F59" t="s">
        <v>83</v>
      </c>
      <c r="G59">
        <v>3</v>
      </c>
      <c r="H59" s="43">
        <v>11.89</v>
      </c>
    </row>
    <row r="60" spans="1:8" s="40" customFormat="1" x14ac:dyDescent="0.3">
      <c r="A60" s="41" t="s">
        <v>976</v>
      </c>
      <c r="B60" s="40">
        <f>D59*E60+G59*H60+J59*K60</f>
        <v>1462.2036000000001</v>
      </c>
      <c r="E60" s="40">
        <v>23.775600000000001</v>
      </c>
      <c r="H60" s="40">
        <v>11.889200000000001</v>
      </c>
    </row>
    <row r="61" spans="1:8" x14ac:dyDescent="0.3">
      <c r="A61" t="s">
        <v>425</v>
      </c>
      <c r="B61" s="43">
        <v>590.41999999999996</v>
      </c>
      <c r="C61" t="s">
        <v>27</v>
      </c>
      <c r="D61">
        <v>60</v>
      </c>
      <c r="E61" s="43">
        <v>9.25</v>
      </c>
      <c r="F61" t="s">
        <v>72</v>
      </c>
      <c r="G61">
        <v>3</v>
      </c>
      <c r="H61" s="43">
        <v>11.89</v>
      </c>
    </row>
    <row r="62" spans="1:8" s="40" customFormat="1" x14ac:dyDescent="0.3">
      <c r="A62" s="41" t="s">
        <v>976</v>
      </c>
      <c r="B62" s="40">
        <f>D61*E62+G61*H62+J61*K62</f>
        <v>590.42160000000001</v>
      </c>
      <c r="E62" s="40">
        <v>9.2459000000000007</v>
      </c>
      <c r="H62" s="40">
        <v>11.889200000000001</v>
      </c>
    </row>
    <row r="63" spans="1:8" x14ac:dyDescent="0.3">
      <c r="A63" t="s">
        <v>423</v>
      </c>
      <c r="B63" s="43">
        <v>1082</v>
      </c>
      <c r="C63" t="s">
        <v>31</v>
      </c>
      <c r="D63">
        <v>72</v>
      </c>
      <c r="E63" s="43">
        <v>14.53</v>
      </c>
      <c r="F63" t="s">
        <v>74</v>
      </c>
      <c r="G63">
        <v>3</v>
      </c>
      <c r="H63" s="43">
        <v>11.89</v>
      </c>
    </row>
    <row r="64" spans="1:8" s="40" customFormat="1" x14ac:dyDescent="0.3">
      <c r="A64" s="41" t="s">
        <v>976</v>
      </c>
      <c r="B64" s="40">
        <f>D63*E64+G63*H64+J63*K64</f>
        <v>1082.0004000000001</v>
      </c>
      <c r="E64" s="40">
        <v>14.532400000000001</v>
      </c>
      <c r="H64" s="40">
        <v>11.889200000000001</v>
      </c>
    </row>
    <row r="65" spans="1:8" x14ac:dyDescent="0.3">
      <c r="A65" t="s">
        <v>426</v>
      </c>
      <c r="B65" s="43">
        <v>590.41999999999996</v>
      </c>
      <c r="C65" t="s">
        <v>27</v>
      </c>
      <c r="D65">
        <v>60</v>
      </c>
      <c r="E65" s="43">
        <v>9.25</v>
      </c>
      <c r="F65" t="s">
        <v>72</v>
      </c>
      <c r="G65">
        <v>3</v>
      </c>
      <c r="H65" s="43">
        <v>11.89</v>
      </c>
    </row>
    <row r="66" spans="1:8" s="40" customFormat="1" x14ac:dyDescent="0.3">
      <c r="A66" s="41" t="s">
        <v>976</v>
      </c>
      <c r="B66" s="40">
        <f>D65*E66+G65*H66+J65*K66</f>
        <v>590.42160000000001</v>
      </c>
      <c r="E66" s="40">
        <v>9.2459000000000007</v>
      </c>
      <c r="H66" s="40">
        <v>11.889200000000001</v>
      </c>
    </row>
    <row r="67" spans="1:8" x14ac:dyDescent="0.3">
      <c r="A67" t="s">
        <v>422</v>
      </c>
      <c r="B67" s="43">
        <v>682.88</v>
      </c>
      <c r="C67" t="s">
        <v>27</v>
      </c>
      <c r="D67">
        <v>70</v>
      </c>
      <c r="E67" s="43">
        <v>9.25</v>
      </c>
      <c r="F67" t="s">
        <v>72</v>
      </c>
      <c r="G67">
        <v>3</v>
      </c>
      <c r="H67" s="43">
        <v>11.89</v>
      </c>
    </row>
    <row r="68" spans="1:8" s="40" customFormat="1" x14ac:dyDescent="0.3">
      <c r="A68" s="41" t="s">
        <v>976</v>
      </c>
      <c r="B68" s="40">
        <f>D67*E68+G67*H68+J67*K68</f>
        <v>682.88060000000007</v>
      </c>
      <c r="E68" s="40">
        <v>9.2459000000000007</v>
      </c>
      <c r="H68" s="40">
        <v>11.889200000000001</v>
      </c>
    </row>
    <row r="69" spans="1:8" x14ac:dyDescent="0.3">
      <c r="A69" t="s">
        <v>427</v>
      </c>
      <c r="B69" s="43">
        <v>590.41999999999996</v>
      </c>
      <c r="C69" t="s">
        <v>27</v>
      </c>
      <c r="D69">
        <v>60</v>
      </c>
      <c r="E69" s="43">
        <v>9.25</v>
      </c>
      <c r="F69" t="s">
        <v>72</v>
      </c>
      <c r="G69">
        <v>3</v>
      </c>
      <c r="H69" s="43">
        <v>11.89</v>
      </c>
    </row>
    <row r="70" spans="1:8" s="40" customFormat="1" x14ac:dyDescent="0.3">
      <c r="A70" s="41" t="s">
        <v>976</v>
      </c>
      <c r="B70" s="40">
        <f>D69*E70+G69*H70+J69*K70</f>
        <v>590.42160000000001</v>
      </c>
      <c r="E70" s="40">
        <v>9.2459000000000007</v>
      </c>
      <c r="H70" s="40">
        <v>11.889200000000001</v>
      </c>
    </row>
    <row r="71" spans="1:8" x14ac:dyDescent="0.3">
      <c r="A71" t="s">
        <v>429</v>
      </c>
      <c r="B71" s="43">
        <v>907.61</v>
      </c>
      <c r="C71" t="s">
        <v>31</v>
      </c>
      <c r="D71">
        <v>60</v>
      </c>
      <c r="E71" s="43">
        <v>14.53</v>
      </c>
      <c r="F71" t="s">
        <v>74</v>
      </c>
      <c r="G71">
        <v>3</v>
      </c>
      <c r="H71" s="43">
        <v>11.89</v>
      </c>
    </row>
    <row r="72" spans="1:8" s="40" customFormat="1" x14ac:dyDescent="0.3">
      <c r="A72" s="41" t="s">
        <v>976</v>
      </c>
      <c r="B72" s="40">
        <f>D71*E72+G71*H72+J71*K72</f>
        <v>907.61160000000007</v>
      </c>
      <c r="E72" s="40">
        <v>14.532400000000001</v>
      </c>
      <c r="H72" s="40">
        <v>11.889200000000001</v>
      </c>
    </row>
    <row r="73" spans="1:8" x14ac:dyDescent="0.3">
      <c r="A73" t="s">
        <v>431</v>
      </c>
      <c r="B73" s="43">
        <v>907.61</v>
      </c>
      <c r="C73" t="s">
        <v>31</v>
      </c>
      <c r="D73">
        <v>60</v>
      </c>
      <c r="E73" s="43">
        <v>14.53</v>
      </c>
      <c r="F73" t="s">
        <v>74</v>
      </c>
      <c r="G73">
        <v>3</v>
      </c>
      <c r="H73" s="43">
        <v>11.89</v>
      </c>
    </row>
    <row r="74" spans="1:8" s="40" customFormat="1" x14ac:dyDescent="0.3">
      <c r="A74" s="41" t="s">
        <v>976</v>
      </c>
      <c r="B74" s="40">
        <f>D73*E74+G73*H74+J73*K74</f>
        <v>907.61160000000007</v>
      </c>
      <c r="E74" s="40">
        <v>14.532400000000001</v>
      </c>
      <c r="H74" s="40">
        <v>11.889200000000001</v>
      </c>
    </row>
    <row r="75" spans="1:8" x14ac:dyDescent="0.3">
      <c r="A75" t="s">
        <v>434</v>
      </c>
      <c r="B75" s="43">
        <v>986.68</v>
      </c>
      <c r="C75" t="s">
        <v>43</v>
      </c>
      <c r="D75">
        <v>60</v>
      </c>
      <c r="E75" s="43">
        <v>15.85</v>
      </c>
      <c r="F75" t="s">
        <v>74</v>
      </c>
      <c r="G75">
        <v>3</v>
      </c>
      <c r="H75" s="43">
        <v>11.89</v>
      </c>
    </row>
    <row r="76" spans="1:8" s="40" customFormat="1" x14ac:dyDescent="0.3">
      <c r="A76" s="41" t="s">
        <v>976</v>
      </c>
      <c r="B76" s="40">
        <f>D75*E76+G75*H76+J75*K76</f>
        <v>986.67959999999994</v>
      </c>
      <c r="E76" s="40">
        <v>15.850199999999999</v>
      </c>
      <c r="H76" s="40">
        <v>11.889200000000001</v>
      </c>
    </row>
    <row r="77" spans="1:8" x14ac:dyDescent="0.3">
      <c r="A77" t="s">
        <v>432</v>
      </c>
      <c r="B77" s="43">
        <v>1260.1099999999999</v>
      </c>
      <c r="C77" t="s">
        <v>33</v>
      </c>
      <c r="D77">
        <v>60</v>
      </c>
      <c r="E77" s="43">
        <v>19.809999999999999</v>
      </c>
      <c r="F77" t="s">
        <v>79</v>
      </c>
      <c r="G77">
        <v>3</v>
      </c>
      <c r="H77" s="43">
        <v>23.77</v>
      </c>
    </row>
    <row r="78" spans="1:8" s="40" customFormat="1" x14ac:dyDescent="0.3">
      <c r="A78" s="41" t="s">
        <v>976</v>
      </c>
      <c r="B78" s="40">
        <f>D77*E78+G77*H78+J77*K78</f>
        <v>1260.1119000000001</v>
      </c>
      <c r="E78" s="40">
        <v>19.813500000000001</v>
      </c>
      <c r="H78" s="40">
        <v>23.767299999999999</v>
      </c>
    </row>
    <row r="79" spans="1:8" x14ac:dyDescent="0.3">
      <c r="A79" t="s">
        <v>437</v>
      </c>
      <c r="B79" s="43">
        <v>677.68</v>
      </c>
      <c r="C79" t="s">
        <v>29</v>
      </c>
      <c r="D79">
        <v>54</v>
      </c>
      <c r="E79" s="43">
        <v>11.89</v>
      </c>
      <c r="F79" t="s">
        <v>74</v>
      </c>
      <c r="G79">
        <v>3</v>
      </c>
      <c r="H79" s="43">
        <v>11.89</v>
      </c>
    </row>
    <row r="80" spans="1:8" s="40" customFormat="1" x14ac:dyDescent="0.3">
      <c r="A80" s="41" t="s">
        <v>976</v>
      </c>
      <c r="B80" s="40">
        <f>D79*E80+G79*H80+J79*K80</f>
        <v>677.68439999999998</v>
      </c>
      <c r="E80" s="40">
        <v>11.889200000000001</v>
      </c>
      <c r="H80" s="40">
        <v>11.889200000000001</v>
      </c>
    </row>
    <row r="81" spans="1:8" x14ac:dyDescent="0.3">
      <c r="A81" t="s">
        <v>435</v>
      </c>
      <c r="B81" s="43">
        <v>553.44000000000005</v>
      </c>
      <c r="C81" t="s">
        <v>27</v>
      </c>
      <c r="D81">
        <v>56</v>
      </c>
      <c r="E81" s="43">
        <v>9.25</v>
      </c>
      <c r="F81" t="s">
        <v>72</v>
      </c>
      <c r="G81">
        <v>3</v>
      </c>
      <c r="H81" s="43">
        <v>11.89</v>
      </c>
    </row>
    <row r="82" spans="1:8" s="40" customFormat="1" x14ac:dyDescent="0.3">
      <c r="A82" s="41" t="s">
        <v>976</v>
      </c>
      <c r="B82" s="40">
        <f>D81*E82+G81*H82+J81*K82</f>
        <v>553.43799999999999</v>
      </c>
      <c r="E82" s="40">
        <v>9.2459000000000007</v>
      </c>
      <c r="H82" s="40">
        <v>11.889200000000001</v>
      </c>
    </row>
    <row r="83" spans="1:8" x14ac:dyDescent="0.3">
      <c r="A83" t="s">
        <v>436</v>
      </c>
      <c r="B83" s="43">
        <v>497.96</v>
      </c>
      <c r="C83" t="s">
        <v>27</v>
      </c>
      <c r="D83">
        <v>50</v>
      </c>
      <c r="E83" s="43">
        <v>9.25</v>
      </c>
      <c r="F83" t="s">
        <v>72</v>
      </c>
      <c r="G83">
        <v>3</v>
      </c>
      <c r="H83" s="43">
        <v>11.89</v>
      </c>
    </row>
    <row r="84" spans="1:8" s="40" customFormat="1" x14ac:dyDescent="0.3">
      <c r="A84" s="41" t="s">
        <v>976</v>
      </c>
      <c r="B84" s="40">
        <f>D83*E84+G83*H84+J83*K84</f>
        <v>497.96260000000001</v>
      </c>
      <c r="E84" s="40">
        <v>9.2459000000000007</v>
      </c>
      <c r="H84" s="40">
        <v>11.889200000000001</v>
      </c>
    </row>
    <row r="85" spans="1:8" x14ac:dyDescent="0.3">
      <c r="A85" t="s">
        <v>433</v>
      </c>
      <c r="B85" s="43">
        <v>986.68</v>
      </c>
      <c r="C85" t="s">
        <v>43</v>
      </c>
      <c r="D85">
        <v>60</v>
      </c>
      <c r="E85" s="43">
        <v>15.85</v>
      </c>
      <c r="F85" t="s">
        <v>74</v>
      </c>
      <c r="G85">
        <v>3</v>
      </c>
      <c r="H85" s="43">
        <v>11.89</v>
      </c>
    </row>
    <row r="86" spans="1:8" s="40" customFormat="1" x14ac:dyDescent="0.3">
      <c r="A86" s="41" t="s">
        <v>976</v>
      </c>
      <c r="B86" s="40">
        <f>D85*E86+G85*H86+J85*K86</f>
        <v>986.67959999999994</v>
      </c>
      <c r="E86" s="40">
        <v>15.850199999999999</v>
      </c>
      <c r="H86" s="40">
        <v>11.889200000000001</v>
      </c>
    </row>
    <row r="87" spans="1:8" x14ac:dyDescent="0.3">
      <c r="A87" t="s">
        <v>438</v>
      </c>
      <c r="B87" s="43">
        <v>1176.9000000000001</v>
      </c>
      <c r="C87" t="s">
        <v>57</v>
      </c>
      <c r="D87">
        <v>48</v>
      </c>
      <c r="E87" s="43">
        <v>23.78</v>
      </c>
      <c r="F87" t="s">
        <v>83</v>
      </c>
      <c r="G87">
        <v>3</v>
      </c>
      <c r="H87" s="43">
        <v>11.89</v>
      </c>
    </row>
    <row r="88" spans="1:8" s="40" customFormat="1" x14ac:dyDescent="0.3">
      <c r="A88" s="41" t="s">
        <v>976</v>
      </c>
      <c r="B88" s="40">
        <f>D87*E88+G87*H88+J87*K88</f>
        <v>1176.8964000000001</v>
      </c>
      <c r="E88" s="40">
        <v>23.775600000000001</v>
      </c>
      <c r="H88" s="40">
        <v>11.889200000000001</v>
      </c>
    </row>
    <row r="89" spans="1:8" x14ac:dyDescent="0.3">
      <c r="A89" t="s">
        <v>439</v>
      </c>
      <c r="B89" s="43">
        <v>762.29</v>
      </c>
      <c r="C89" t="s">
        <v>31</v>
      </c>
      <c r="D89">
        <v>50</v>
      </c>
      <c r="E89" s="43">
        <v>14.53</v>
      </c>
      <c r="F89" t="s">
        <v>74</v>
      </c>
      <c r="G89">
        <v>3</v>
      </c>
      <c r="H89" s="43">
        <v>11.89</v>
      </c>
    </row>
    <row r="90" spans="1:8" s="40" customFormat="1" x14ac:dyDescent="0.3">
      <c r="A90" s="41" t="s">
        <v>976</v>
      </c>
      <c r="B90" s="40">
        <f>D89*E90+G89*H90+J89*K90</f>
        <v>762.2876</v>
      </c>
      <c r="E90" s="40">
        <v>14.532400000000001</v>
      </c>
      <c r="H90" s="40">
        <v>11.889200000000001</v>
      </c>
    </row>
    <row r="91" spans="1:8" x14ac:dyDescent="0.3">
      <c r="A91" t="s">
        <v>441</v>
      </c>
      <c r="B91" s="43">
        <v>352.59</v>
      </c>
      <c r="C91" t="s">
        <v>24</v>
      </c>
      <c r="D91">
        <v>48</v>
      </c>
      <c r="E91" s="43">
        <v>6.6</v>
      </c>
      <c r="F91" t="s">
        <v>72</v>
      </c>
      <c r="G91">
        <v>3</v>
      </c>
      <c r="H91" s="43">
        <v>11.89</v>
      </c>
    </row>
    <row r="92" spans="1:8" s="40" customFormat="1" x14ac:dyDescent="0.3">
      <c r="A92" s="41" t="s">
        <v>976</v>
      </c>
      <c r="B92" s="40">
        <f>D91*E92+G91*H92+J91*K92</f>
        <v>352.5924</v>
      </c>
      <c r="E92" s="40">
        <v>6.6025999999999998</v>
      </c>
      <c r="H92" s="40">
        <v>11.889200000000001</v>
      </c>
    </row>
    <row r="93" spans="1:8" x14ac:dyDescent="0.3">
      <c r="A93" t="s">
        <v>440</v>
      </c>
      <c r="B93" s="43">
        <v>479.47</v>
      </c>
      <c r="C93" t="s">
        <v>27</v>
      </c>
      <c r="D93">
        <v>48</v>
      </c>
      <c r="E93" s="43">
        <v>9.25</v>
      </c>
      <c r="F93" t="s">
        <v>72</v>
      </c>
      <c r="G93">
        <v>3</v>
      </c>
      <c r="H93" s="43">
        <v>11.89</v>
      </c>
    </row>
    <row r="94" spans="1:8" s="40" customFormat="1" x14ac:dyDescent="0.3">
      <c r="A94" s="41" t="s">
        <v>976</v>
      </c>
      <c r="B94" s="40">
        <f>D93*E94+G93*H94+J93*K94</f>
        <v>479.47080000000005</v>
      </c>
      <c r="E94" s="40">
        <v>9.2459000000000007</v>
      </c>
      <c r="H94" s="40">
        <v>11.889200000000001</v>
      </c>
    </row>
    <row r="95" spans="1:8" x14ac:dyDescent="0.3">
      <c r="A95" t="s">
        <v>444</v>
      </c>
      <c r="B95" s="43">
        <v>479.47</v>
      </c>
      <c r="C95" t="s">
        <v>27</v>
      </c>
      <c r="D95">
        <v>48</v>
      </c>
      <c r="E95" s="43">
        <v>9.25</v>
      </c>
      <c r="F95" t="s">
        <v>72</v>
      </c>
      <c r="G95">
        <v>3</v>
      </c>
      <c r="H95" s="43">
        <v>11.89</v>
      </c>
    </row>
    <row r="96" spans="1:8" s="40" customFormat="1" x14ac:dyDescent="0.3">
      <c r="A96" s="41" t="s">
        <v>976</v>
      </c>
      <c r="B96" s="40">
        <f>D95*E96+G95*H96+J95*K96</f>
        <v>479.47080000000005</v>
      </c>
      <c r="E96" s="40">
        <v>9.2459000000000007</v>
      </c>
      <c r="H96" s="40">
        <v>11.889200000000001</v>
      </c>
    </row>
    <row r="97" spans="1:8" x14ac:dyDescent="0.3">
      <c r="A97" t="s">
        <v>447</v>
      </c>
      <c r="B97" s="43">
        <v>733.22</v>
      </c>
      <c r="C97" t="s">
        <v>67</v>
      </c>
      <c r="D97">
        <v>48</v>
      </c>
      <c r="E97" s="43">
        <v>14.53</v>
      </c>
      <c r="F97" t="s">
        <v>74</v>
      </c>
      <c r="G97">
        <v>3</v>
      </c>
      <c r="H97" s="43">
        <v>11.89</v>
      </c>
    </row>
    <row r="98" spans="1:8" s="40" customFormat="1" x14ac:dyDescent="0.3">
      <c r="A98" s="41" t="s">
        <v>976</v>
      </c>
      <c r="B98" s="40">
        <f>D97*E98+G97*H98+J97*K98</f>
        <v>733.22280000000001</v>
      </c>
      <c r="E98" s="40">
        <v>14.532400000000001</v>
      </c>
      <c r="H98" s="40">
        <v>11.889200000000001</v>
      </c>
    </row>
    <row r="99" spans="1:8" x14ac:dyDescent="0.3">
      <c r="A99" t="s">
        <v>445</v>
      </c>
      <c r="B99" s="43">
        <v>606.35</v>
      </c>
      <c r="C99" t="s">
        <v>29</v>
      </c>
      <c r="D99">
        <v>48</v>
      </c>
      <c r="E99" s="43">
        <v>11.89</v>
      </c>
      <c r="F99" t="s">
        <v>74</v>
      </c>
      <c r="G99">
        <v>3</v>
      </c>
      <c r="H99" s="43">
        <v>11.89</v>
      </c>
    </row>
    <row r="100" spans="1:8" s="40" customFormat="1" x14ac:dyDescent="0.3">
      <c r="A100" s="41" t="s">
        <v>976</v>
      </c>
      <c r="B100" s="40">
        <f>D99*E100+G99*H100+J99*K100</f>
        <v>606.3492</v>
      </c>
      <c r="E100" s="40">
        <v>11.889200000000001</v>
      </c>
      <c r="H100" s="40">
        <v>11.889200000000001</v>
      </c>
    </row>
    <row r="101" spans="1:8" x14ac:dyDescent="0.3">
      <c r="A101" t="s">
        <v>442</v>
      </c>
      <c r="B101" s="43">
        <v>479.47</v>
      </c>
      <c r="C101" t="s">
        <v>27</v>
      </c>
      <c r="D101">
        <v>48</v>
      </c>
      <c r="E101" s="43">
        <v>9.25</v>
      </c>
      <c r="F101" t="s">
        <v>72</v>
      </c>
      <c r="G101">
        <v>3</v>
      </c>
      <c r="H101" s="43">
        <v>11.89</v>
      </c>
    </row>
    <row r="102" spans="1:8" s="40" customFormat="1" x14ac:dyDescent="0.3">
      <c r="A102" s="41" t="s">
        <v>976</v>
      </c>
      <c r="B102" s="40">
        <f>D101*E102+G101*H102+J101*K102</f>
        <v>479.47080000000005</v>
      </c>
      <c r="E102" s="40">
        <v>9.2459000000000007</v>
      </c>
      <c r="H102" s="40">
        <v>11.889200000000001</v>
      </c>
    </row>
    <row r="103" spans="1:8" x14ac:dyDescent="0.3">
      <c r="A103" t="s">
        <v>443</v>
      </c>
      <c r="B103" s="43">
        <v>479.47</v>
      </c>
      <c r="C103" t="s">
        <v>27</v>
      </c>
      <c r="D103">
        <v>48</v>
      </c>
      <c r="E103" s="43">
        <v>9.25</v>
      </c>
      <c r="F103" t="s">
        <v>72</v>
      </c>
      <c r="G103">
        <v>3</v>
      </c>
      <c r="H103" s="43">
        <v>11.89</v>
      </c>
    </row>
    <row r="104" spans="1:8" s="40" customFormat="1" x14ac:dyDescent="0.3">
      <c r="A104" s="41" t="s">
        <v>976</v>
      </c>
      <c r="B104" s="40">
        <f>D103*E104+G103*H104+J103*K104</f>
        <v>479.47080000000005</v>
      </c>
      <c r="E104" s="40">
        <v>9.2459000000000007</v>
      </c>
      <c r="H104" s="40">
        <v>11.889200000000001</v>
      </c>
    </row>
    <row r="105" spans="1:8" x14ac:dyDescent="0.3">
      <c r="A105" t="s">
        <v>449</v>
      </c>
      <c r="B105" s="43">
        <v>733.22</v>
      </c>
      <c r="C105" t="s">
        <v>31</v>
      </c>
      <c r="D105">
        <v>48</v>
      </c>
      <c r="E105" s="43">
        <v>14.53</v>
      </c>
      <c r="F105" t="s">
        <v>74</v>
      </c>
      <c r="G105">
        <v>3</v>
      </c>
      <c r="H105" s="43">
        <v>11.89</v>
      </c>
    </row>
    <row r="106" spans="1:8" s="40" customFormat="1" x14ac:dyDescent="0.3">
      <c r="A106" s="41" t="s">
        <v>976</v>
      </c>
      <c r="B106" s="40">
        <f>D105*E106+G105*H106+J105*K106</f>
        <v>733.22280000000001</v>
      </c>
      <c r="E106" s="40">
        <v>14.532400000000001</v>
      </c>
      <c r="H106" s="40">
        <v>11.889200000000001</v>
      </c>
    </row>
    <row r="107" spans="1:8" x14ac:dyDescent="0.3">
      <c r="A107" t="s">
        <v>450</v>
      </c>
      <c r="B107" s="43">
        <v>733.22</v>
      </c>
      <c r="C107" t="s">
        <v>31</v>
      </c>
      <c r="D107">
        <v>48</v>
      </c>
      <c r="E107" s="43">
        <v>14.53</v>
      </c>
      <c r="F107" t="s">
        <v>74</v>
      </c>
      <c r="G107">
        <v>3</v>
      </c>
      <c r="H107" s="43">
        <v>11.89</v>
      </c>
    </row>
    <row r="108" spans="1:8" s="40" customFormat="1" x14ac:dyDescent="0.3">
      <c r="A108" s="41" t="s">
        <v>976</v>
      </c>
      <c r="B108" s="40">
        <f>D107*E108+G107*H108+J107*K108</f>
        <v>733.22280000000001</v>
      </c>
      <c r="E108" s="40">
        <v>14.532400000000001</v>
      </c>
      <c r="H108" s="40">
        <v>11.889200000000001</v>
      </c>
    </row>
    <row r="109" spans="1:8" x14ac:dyDescent="0.3">
      <c r="A109" t="s">
        <v>448</v>
      </c>
      <c r="B109" s="43">
        <v>733.22</v>
      </c>
      <c r="C109" t="s">
        <v>31</v>
      </c>
      <c r="D109">
        <v>48</v>
      </c>
      <c r="E109" s="43">
        <v>14.53</v>
      </c>
      <c r="F109" t="s">
        <v>74</v>
      </c>
      <c r="G109">
        <v>3</v>
      </c>
      <c r="H109">
        <v>11.89</v>
      </c>
    </row>
    <row r="110" spans="1:8" s="40" customFormat="1" x14ac:dyDescent="0.3">
      <c r="A110" s="41" t="s">
        <v>976</v>
      </c>
      <c r="B110" s="40">
        <f>D109*E110+G109*H110+J109*K110</f>
        <v>733.22280000000001</v>
      </c>
      <c r="E110" s="40">
        <v>14.532400000000001</v>
      </c>
      <c r="H110" s="40">
        <v>11.889200000000001</v>
      </c>
    </row>
    <row r="111" spans="1:8" x14ac:dyDescent="0.3">
      <c r="A111" t="s">
        <v>446</v>
      </c>
      <c r="B111" s="43">
        <v>606.35</v>
      </c>
      <c r="C111" t="s">
        <v>29</v>
      </c>
      <c r="D111">
        <v>48</v>
      </c>
      <c r="E111" s="43">
        <v>11.89</v>
      </c>
      <c r="F111" t="s">
        <v>74</v>
      </c>
      <c r="G111">
        <v>3</v>
      </c>
      <c r="H111">
        <v>11.89</v>
      </c>
    </row>
    <row r="112" spans="1:8" s="40" customFormat="1" x14ac:dyDescent="0.3">
      <c r="A112" s="41" t="s">
        <v>976</v>
      </c>
      <c r="B112" s="40">
        <f>D111*E112+G111*H112+J111*K112</f>
        <v>606.3492</v>
      </c>
      <c r="E112" s="40">
        <v>11.889200000000001</v>
      </c>
      <c r="H112" s="40">
        <v>11.889200000000001</v>
      </c>
    </row>
    <row r="113" spans="1:8" x14ac:dyDescent="0.3">
      <c r="A113" t="s">
        <v>569</v>
      </c>
      <c r="B113" s="43">
        <v>733.22</v>
      </c>
      <c r="C113" t="s">
        <v>31</v>
      </c>
      <c r="D113">
        <v>48</v>
      </c>
      <c r="E113" s="43">
        <v>14.53</v>
      </c>
      <c r="F113" t="s">
        <v>74</v>
      </c>
      <c r="G113">
        <v>3</v>
      </c>
      <c r="H113" s="43">
        <v>11.89</v>
      </c>
    </row>
    <row r="114" spans="1:8" s="40" customFormat="1" x14ac:dyDescent="0.3">
      <c r="A114" s="41" t="s">
        <v>976</v>
      </c>
      <c r="B114" s="40">
        <f>D113*E114+G113*H114+J113*K114</f>
        <v>733.22280000000001</v>
      </c>
      <c r="E114" s="40">
        <v>14.532400000000001</v>
      </c>
      <c r="H114" s="40">
        <v>11.889200000000001</v>
      </c>
    </row>
    <row r="115" spans="1:8" x14ac:dyDescent="0.3">
      <c r="A115" t="s">
        <v>452</v>
      </c>
      <c r="B115" s="43">
        <v>733.22</v>
      </c>
      <c r="C115" t="s">
        <v>31</v>
      </c>
      <c r="D115">
        <v>48</v>
      </c>
      <c r="E115" s="43">
        <v>14.53</v>
      </c>
      <c r="F115" t="s">
        <v>74</v>
      </c>
      <c r="G115">
        <v>3</v>
      </c>
      <c r="H115" s="43">
        <v>11.89</v>
      </c>
    </row>
    <row r="116" spans="1:8" s="40" customFormat="1" x14ac:dyDescent="0.3">
      <c r="A116" s="41" t="s">
        <v>976</v>
      </c>
      <c r="B116" s="40">
        <f>D115*E116+G115*H116+J115*K116</f>
        <v>733.22280000000001</v>
      </c>
      <c r="E116" s="40">
        <v>14.532400000000001</v>
      </c>
      <c r="H116" s="40">
        <v>11.889200000000001</v>
      </c>
    </row>
    <row r="117" spans="1:8" x14ac:dyDescent="0.3">
      <c r="A117" t="s">
        <v>454</v>
      </c>
      <c r="B117" s="43">
        <v>733.22</v>
      </c>
      <c r="C117" t="s">
        <v>31</v>
      </c>
      <c r="D117">
        <v>48</v>
      </c>
      <c r="E117" s="43">
        <v>14.53</v>
      </c>
      <c r="F117" t="s">
        <v>74</v>
      </c>
      <c r="G117">
        <v>3</v>
      </c>
      <c r="H117" s="43">
        <v>11.89</v>
      </c>
    </row>
    <row r="118" spans="1:8" s="40" customFormat="1" x14ac:dyDescent="0.3">
      <c r="A118" s="41" t="s">
        <v>976</v>
      </c>
      <c r="B118" s="40">
        <f>D117*E118+G117*H118+J117*K118</f>
        <v>733.22280000000001</v>
      </c>
      <c r="E118" s="40">
        <v>14.532400000000001</v>
      </c>
      <c r="H118" s="40">
        <v>11.889200000000001</v>
      </c>
    </row>
    <row r="119" spans="1:8" x14ac:dyDescent="0.3">
      <c r="A119" t="s">
        <v>451</v>
      </c>
      <c r="B119" s="43">
        <v>859.89</v>
      </c>
      <c r="C119" t="s">
        <v>69</v>
      </c>
      <c r="D119">
        <v>48</v>
      </c>
      <c r="E119" s="43">
        <v>17.170000000000002</v>
      </c>
      <c r="F119" t="s">
        <v>74</v>
      </c>
      <c r="G119">
        <v>3</v>
      </c>
      <c r="H119" s="43">
        <v>11.89</v>
      </c>
    </row>
    <row r="120" spans="1:8" s="40" customFormat="1" x14ac:dyDescent="0.3">
      <c r="A120" s="41" t="s">
        <v>976</v>
      </c>
      <c r="B120" s="40">
        <f>D119*E120+G119*H120+J119*K120</f>
        <v>859.88999999999987</v>
      </c>
      <c r="E120" s="40">
        <v>17.171299999999999</v>
      </c>
      <c r="H120" s="40">
        <v>11.889200000000001</v>
      </c>
    </row>
    <row r="121" spans="1:8" x14ac:dyDescent="0.3">
      <c r="A121" t="s">
        <v>453</v>
      </c>
      <c r="B121" s="43">
        <v>733.22</v>
      </c>
      <c r="C121" t="s">
        <v>31</v>
      </c>
      <c r="D121">
        <v>48</v>
      </c>
      <c r="E121" s="43">
        <v>14.53</v>
      </c>
      <c r="F121" t="s">
        <v>74</v>
      </c>
      <c r="G121">
        <v>3</v>
      </c>
      <c r="H121" s="43">
        <v>11.89</v>
      </c>
    </row>
    <row r="122" spans="1:8" s="40" customFormat="1" x14ac:dyDescent="0.3">
      <c r="A122" s="41" t="s">
        <v>976</v>
      </c>
      <c r="B122" s="40">
        <f>D121*E122+G121*H122+J121*K122</f>
        <v>733.22280000000001</v>
      </c>
      <c r="E122" s="40">
        <v>14.532400000000001</v>
      </c>
      <c r="H122" s="40">
        <v>11.889200000000001</v>
      </c>
    </row>
    <row r="123" spans="1:8" x14ac:dyDescent="0.3">
      <c r="A123" t="s">
        <v>457</v>
      </c>
      <c r="B123" s="43">
        <v>1022.35</v>
      </c>
      <c r="C123" t="s">
        <v>33</v>
      </c>
      <c r="D123">
        <v>48</v>
      </c>
      <c r="E123" s="43">
        <v>19.809999999999999</v>
      </c>
      <c r="F123" t="s">
        <v>79</v>
      </c>
      <c r="G123">
        <v>3</v>
      </c>
      <c r="H123" s="43">
        <v>23.77</v>
      </c>
    </row>
    <row r="124" spans="1:8" s="40" customFormat="1" x14ac:dyDescent="0.3">
      <c r="A124" s="41" t="s">
        <v>976</v>
      </c>
      <c r="B124" s="40">
        <f>D123*E124+G123*H124+J123*K124</f>
        <v>1022.3498999999999</v>
      </c>
      <c r="E124" s="40">
        <v>19.813500000000001</v>
      </c>
      <c r="H124" s="40">
        <v>23.767299999999999</v>
      </c>
    </row>
    <row r="125" spans="1:8" x14ac:dyDescent="0.3">
      <c r="A125" t="s">
        <v>455</v>
      </c>
      <c r="B125" s="43">
        <v>733.22</v>
      </c>
      <c r="C125" t="s">
        <v>31</v>
      </c>
      <c r="D125">
        <v>48</v>
      </c>
      <c r="E125" s="43">
        <v>14.53</v>
      </c>
      <c r="F125" t="s">
        <v>74</v>
      </c>
      <c r="G125">
        <v>3</v>
      </c>
      <c r="H125" s="43">
        <v>11.89</v>
      </c>
    </row>
    <row r="126" spans="1:8" s="40" customFormat="1" x14ac:dyDescent="0.3">
      <c r="A126" s="41" t="s">
        <v>976</v>
      </c>
      <c r="B126" s="40">
        <f>D125*E126+G125*H126+J125*K126</f>
        <v>733.22280000000001</v>
      </c>
      <c r="E126" s="40">
        <v>14.532400000000001</v>
      </c>
      <c r="H126" s="40">
        <v>11.889200000000001</v>
      </c>
    </row>
    <row r="127" spans="1:8" x14ac:dyDescent="0.3">
      <c r="A127" t="s">
        <v>458</v>
      </c>
      <c r="B127" s="43">
        <v>733.22</v>
      </c>
      <c r="C127" t="s">
        <v>31</v>
      </c>
      <c r="D127">
        <v>48</v>
      </c>
      <c r="E127" s="43">
        <v>14.53</v>
      </c>
      <c r="F127" t="s">
        <v>74</v>
      </c>
      <c r="G127">
        <v>3</v>
      </c>
      <c r="H127" s="43">
        <v>11.89</v>
      </c>
    </row>
    <row r="128" spans="1:8" s="40" customFormat="1" x14ac:dyDescent="0.3">
      <c r="A128" s="41" t="s">
        <v>976</v>
      </c>
      <c r="B128" s="40">
        <f>D127*E128+G127*H128+J127*K128</f>
        <v>733.22280000000001</v>
      </c>
      <c r="E128" s="40">
        <v>14.532400000000001</v>
      </c>
      <c r="H128" s="40">
        <v>11.889200000000001</v>
      </c>
    </row>
    <row r="129" spans="1:8" x14ac:dyDescent="0.3">
      <c r="A129" t="s">
        <v>460</v>
      </c>
      <c r="B129" s="43">
        <v>1022.35</v>
      </c>
      <c r="C129" t="s">
        <v>33</v>
      </c>
      <c r="D129">
        <v>48</v>
      </c>
      <c r="E129" s="43">
        <v>19.809999999999999</v>
      </c>
      <c r="F129" t="s">
        <v>79</v>
      </c>
      <c r="G129">
        <v>3</v>
      </c>
      <c r="H129" s="43">
        <v>23.77</v>
      </c>
    </row>
    <row r="130" spans="1:8" s="40" customFormat="1" x14ac:dyDescent="0.3">
      <c r="A130" s="41" t="s">
        <v>976</v>
      </c>
      <c r="B130" s="40">
        <f>D129*E130+G129*H130+J129*K130</f>
        <v>1022.3498999999999</v>
      </c>
      <c r="E130" s="40">
        <v>19.813500000000001</v>
      </c>
      <c r="H130" s="40">
        <v>23.767299999999999</v>
      </c>
    </row>
    <row r="131" spans="1:8" x14ac:dyDescent="0.3">
      <c r="A131" t="s">
        <v>456</v>
      </c>
      <c r="B131" s="43">
        <v>859.89</v>
      </c>
      <c r="C131" t="s">
        <v>69</v>
      </c>
      <c r="D131">
        <v>48</v>
      </c>
      <c r="E131" s="43">
        <v>17.170000000000002</v>
      </c>
      <c r="F131" t="s">
        <v>74</v>
      </c>
      <c r="G131">
        <v>3</v>
      </c>
      <c r="H131" s="43">
        <v>11.89</v>
      </c>
    </row>
    <row r="132" spans="1:8" s="40" customFormat="1" x14ac:dyDescent="0.3">
      <c r="A132" s="41" t="s">
        <v>976</v>
      </c>
      <c r="B132" s="40">
        <f>D131*E132+G131*H132+J131*K132</f>
        <v>859.88999999999987</v>
      </c>
      <c r="E132" s="40">
        <v>17.171299999999999</v>
      </c>
      <c r="H132" s="40">
        <v>11.889200000000001</v>
      </c>
    </row>
    <row r="133" spans="1:8" x14ac:dyDescent="0.3">
      <c r="A133" t="s">
        <v>459</v>
      </c>
      <c r="B133" s="43">
        <v>1022.35</v>
      </c>
      <c r="C133" t="s">
        <v>33</v>
      </c>
      <c r="D133">
        <v>48</v>
      </c>
      <c r="E133" s="43">
        <v>19.809999999999999</v>
      </c>
      <c r="F133" t="s">
        <v>79</v>
      </c>
      <c r="G133">
        <v>3</v>
      </c>
      <c r="H133" s="43">
        <v>23.77</v>
      </c>
    </row>
    <row r="134" spans="1:8" s="40" customFormat="1" x14ac:dyDescent="0.3">
      <c r="A134" s="41" t="s">
        <v>976</v>
      </c>
      <c r="B134" s="40">
        <f>D133*E134+G133*H134+J133*K134</f>
        <v>1022.3498999999999</v>
      </c>
      <c r="E134" s="40">
        <v>19.813500000000001</v>
      </c>
      <c r="H134" s="40">
        <v>23.767299999999999</v>
      </c>
    </row>
    <row r="135" spans="1:8" x14ac:dyDescent="0.3">
      <c r="A135" t="s">
        <v>461</v>
      </c>
      <c r="B135" s="43">
        <v>796.48</v>
      </c>
      <c r="C135" t="s">
        <v>43</v>
      </c>
      <c r="D135">
        <v>48</v>
      </c>
      <c r="E135" s="43">
        <v>15.85</v>
      </c>
      <c r="F135" t="s">
        <v>74</v>
      </c>
      <c r="G135">
        <v>3</v>
      </c>
      <c r="H135" s="43">
        <v>11.89</v>
      </c>
    </row>
    <row r="136" spans="1:8" s="40" customFormat="1" x14ac:dyDescent="0.3">
      <c r="A136" s="41" t="s">
        <v>976</v>
      </c>
      <c r="B136" s="40">
        <f>D135*E136+G135*H136+J135*K136</f>
        <v>796.47719999999993</v>
      </c>
      <c r="E136" s="40">
        <v>15.850199999999999</v>
      </c>
      <c r="H136" s="40">
        <v>11.889200000000001</v>
      </c>
    </row>
    <row r="137" spans="1:8" x14ac:dyDescent="0.3">
      <c r="A137" t="s">
        <v>463</v>
      </c>
      <c r="B137" s="43">
        <v>796.48</v>
      </c>
      <c r="C137" t="s">
        <v>43</v>
      </c>
      <c r="D137">
        <v>48</v>
      </c>
      <c r="E137" s="43">
        <v>15.85</v>
      </c>
      <c r="F137" t="s">
        <v>74</v>
      </c>
      <c r="G137">
        <v>3</v>
      </c>
      <c r="H137" s="43">
        <v>11.89</v>
      </c>
    </row>
    <row r="138" spans="1:8" s="40" customFormat="1" x14ac:dyDescent="0.3">
      <c r="A138" s="41" t="s">
        <v>976</v>
      </c>
      <c r="B138" s="40">
        <f>D137*E138+G137*H138+J137*K138</f>
        <v>796.47719999999993</v>
      </c>
      <c r="E138" s="40">
        <v>15.850199999999999</v>
      </c>
      <c r="H138" s="40">
        <v>11.889200000000001</v>
      </c>
    </row>
    <row r="139" spans="1:8" x14ac:dyDescent="0.3">
      <c r="A139" t="s">
        <v>470</v>
      </c>
      <c r="B139" s="43">
        <v>443.8</v>
      </c>
      <c r="C139" t="s">
        <v>27</v>
      </c>
      <c r="D139">
        <v>48</v>
      </c>
      <c r="E139" s="43">
        <v>9.25</v>
      </c>
    </row>
    <row r="140" spans="1:8" s="40" customFormat="1" x14ac:dyDescent="0.3">
      <c r="A140" s="41" t="s">
        <v>976</v>
      </c>
      <c r="B140" s="40">
        <f>D139*E140+G139*H140+J139*K140</f>
        <v>443.80320000000006</v>
      </c>
      <c r="E140" s="40">
        <v>9.2459000000000007</v>
      </c>
    </row>
    <row r="141" spans="1:8" x14ac:dyDescent="0.3">
      <c r="A141" t="s">
        <v>464</v>
      </c>
      <c r="B141" s="43">
        <v>796.48</v>
      </c>
      <c r="C141" t="s">
        <v>43</v>
      </c>
      <c r="D141">
        <v>48</v>
      </c>
      <c r="E141" s="43">
        <v>15.85</v>
      </c>
      <c r="F141" t="s">
        <v>74</v>
      </c>
      <c r="G141">
        <v>3</v>
      </c>
      <c r="H141" s="43">
        <v>11.89</v>
      </c>
    </row>
    <row r="142" spans="1:8" s="40" customFormat="1" x14ac:dyDescent="0.3">
      <c r="A142" s="41" t="s">
        <v>976</v>
      </c>
      <c r="B142" s="40">
        <f>D141*E142+G141*H142+J141*K142</f>
        <v>796.47719999999993</v>
      </c>
      <c r="E142" s="40">
        <v>15.850199999999999</v>
      </c>
      <c r="H142" s="40">
        <v>11.889200000000001</v>
      </c>
    </row>
    <row r="143" spans="1:8" x14ac:dyDescent="0.3">
      <c r="A143" t="s">
        <v>466</v>
      </c>
      <c r="B143" s="43">
        <v>796.48</v>
      </c>
      <c r="C143" t="s">
        <v>43</v>
      </c>
      <c r="D143">
        <v>48</v>
      </c>
      <c r="E143" s="43">
        <v>15.85</v>
      </c>
      <c r="F143" t="s">
        <v>74</v>
      </c>
      <c r="G143">
        <v>3</v>
      </c>
      <c r="H143" s="43">
        <v>11.89</v>
      </c>
    </row>
    <row r="144" spans="1:8" s="40" customFormat="1" x14ac:dyDescent="0.3">
      <c r="A144" s="41" t="s">
        <v>976</v>
      </c>
      <c r="B144" s="40">
        <f>D143*E144+G143*H144+J143*K144</f>
        <v>796.47719999999993</v>
      </c>
      <c r="E144" s="40">
        <v>15.850199999999999</v>
      </c>
      <c r="H144" s="40">
        <v>11.889200000000001</v>
      </c>
    </row>
    <row r="145" spans="1:11" x14ac:dyDescent="0.3">
      <c r="A145" t="s">
        <v>462</v>
      </c>
      <c r="B145" s="43">
        <v>511.18</v>
      </c>
      <c r="C145" t="s">
        <v>39</v>
      </c>
      <c r="D145">
        <v>48</v>
      </c>
      <c r="E145" s="43">
        <v>9.91</v>
      </c>
      <c r="F145" t="s">
        <v>72</v>
      </c>
      <c r="G145">
        <v>3</v>
      </c>
      <c r="H145" s="43">
        <v>11.89</v>
      </c>
    </row>
    <row r="146" spans="1:11" s="40" customFormat="1" x14ac:dyDescent="0.3">
      <c r="A146" s="41" t="s">
        <v>976</v>
      </c>
      <c r="B146" s="40">
        <f>D145*E146+G145*H146+J145*K146</f>
        <v>511.17959999999994</v>
      </c>
      <c r="E146" s="40">
        <v>9.9064999999999994</v>
      </c>
      <c r="H146" s="40">
        <v>11.889200000000001</v>
      </c>
    </row>
    <row r="147" spans="1:11" x14ac:dyDescent="0.3">
      <c r="A147" t="s">
        <v>468</v>
      </c>
      <c r="B147" s="43">
        <v>697.56</v>
      </c>
      <c r="C147" t="s">
        <v>31</v>
      </c>
      <c r="D147">
        <v>48</v>
      </c>
      <c r="E147" s="43">
        <v>14.53</v>
      </c>
    </row>
    <row r="148" spans="1:11" s="40" customFormat="1" x14ac:dyDescent="0.3">
      <c r="A148" s="41" t="s">
        <v>976</v>
      </c>
      <c r="B148" s="40">
        <f>D147*E148+G147*H148+J147*K148</f>
        <v>697.55520000000001</v>
      </c>
      <c r="E148" s="40">
        <v>14.532400000000001</v>
      </c>
    </row>
    <row r="149" spans="1:11" x14ac:dyDescent="0.3">
      <c r="A149" t="s">
        <v>465</v>
      </c>
      <c r="B149" s="43">
        <v>796.48</v>
      </c>
      <c r="C149" t="s">
        <v>43</v>
      </c>
      <c r="D149">
        <v>48</v>
      </c>
      <c r="E149" s="43">
        <v>15.85</v>
      </c>
      <c r="F149" t="s">
        <v>74</v>
      </c>
      <c r="G149">
        <v>3</v>
      </c>
      <c r="H149" s="43">
        <v>11.89</v>
      </c>
    </row>
    <row r="150" spans="1:11" s="40" customFormat="1" x14ac:dyDescent="0.3">
      <c r="A150" s="41" t="s">
        <v>976</v>
      </c>
      <c r="B150" s="40">
        <f>D149*E150+G149*H150+J149*K150</f>
        <v>796.47719999999993</v>
      </c>
      <c r="E150" s="40">
        <v>15.850199999999999</v>
      </c>
      <c r="H150" s="40">
        <v>11.889200000000001</v>
      </c>
    </row>
    <row r="151" spans="1:11" x14ac:dyDescent="0.3">
      <c r="A151" t="s">
        <v>467</v>
      </c>
      <c r="B151" s="43">
        <v>796.48</v>
      </c>
      <c r="C151" t="s">
        <v>43</v>
      </c>
      <c r="D151">
        <v>48</v>
      </c>
      <c r="E151" s="43">
        <v>15.85</v>
      </c>
      <c r="F151" t="s">
        <v>74</v>
      </c>
      <c r="G151">
        <v>3</v>
      </c>
      <c r="H151" s="43">
        <v>11.89</v>
      </c>
    </row>
    <row r="152" spans="1:11" s="40" customFormat="1" x14ac:dyDescent="0.3">
      <c r="A152" s="41" t="s">
        <v>976</v>
      </c>
      <c r="B152" s="40">
        <f>D151*E152+G151*H152+J151*K152</f>
        <v>796.47719999999993</v>
      </c>
      <c r="E152" s="40">
        <v>15.850199999999999</v>
      </c>
      <c r="H152" s="40">
        <v>11.889200000000001</v>
      </c>
    </row>
    <row r="153" spans="1:11" x14ac:dyDescent="0.3">
      <c r="A153" t="s">
        <v>472</v>
      </c>
      <c r="B153" s="43">
        <v>1386.74</v>
      </c>
      <c r="C153" t="s">
        <v>57</v>
      </c>
      <c r="D153">
        <v>48</v>
      </c>
      <c r="E153" s="43">
        <v>23.78</v>
      </c>
      <c r="F153" t="s">
        <v>119</v>
      </c>
      <c r="G153">
        <v>3</v>
      </c>
      <c r="H153" s="43">
        <v>15.85</v>
      </c>
      <c r="I153" t="s">
        <v>137</v>
      </c>
      <c r="J153">
        <v>50</v>
      </c>
      <c r="K153">
        <v>3.96</v>
      </c>
    </row>
    <row r="154" spans="1:11" s="40" customFormat="1" x14ac:dyDescent="0.3">
      <c r="A154" s="41" t="s">
        <v>976</v>
      </c>
      <c r="B154" s="40">
        <f>D153*E154+G153*H154+J153*K154</f>
        <v>1386.7446000000002</v>
      </c>
      <c r="E154" s="40">
        <v>23.775600000000001</v>
      </c>
      <c r="H154" s="40">
        <v>15.848599999999999</v>
      </c>
      <c r="K154" s="40">
        <v>3.9594</v>
      </c>
    </row>
    <row r="155" spans="1:11" x14ac:dyDescent="0.3">
      <c r="A155" t="s">
        <v>469</v>
      </c>
      <c r="B155" s="43">
        <v>1386.74</v>
      </c>
      <c r="C155" t="s">
        <v>57</v>
      </c>
      <c r="D155">
        <v>48</v>
      </c>
      <c r="E155" s="43">
        <v>23.78</v>
      </c>
      <c r="F155" t="s">
        <v>119</v>
      </c>
      <c r="G155">
        <v>3</v>
      </c>
      <c r="H155" s="43">
        <v>15.85</v>
      </c>
      <c r="I155" t="s">
        <v>137</v>
      </c>
      <c r="J155">
        <v>50</v>
      </c>
      <c r="K155">
        <v>3.96</v>
      </c>
    </row>
    <row r="156" spans="1:11" s="40" customFormat="1" x14ac:dyDescent="0.3">
      <c r="A156" s="41" t="s">
        <v>976</v>
      </c>
      <c r="B156" s="40">
        <f>D155*E156+G155*H156+J155*K156</f>
        <v>1386.7446000000002</v>
      </c>
      <c r="E156" s="40">
        <v>23.775600000000001</v>
      </c>
      <c r="H156" s="40">
        <v>15.848599999999999</v>
      </c>
      <c r="K156" s="40">
        <v>3.9594</v>
      </c>
    </row>
    <row r="157" spans="1:11" x14ac:dyDescent="0.3">
      <c r="A157" t="s">
        <v>471</v>
      </c>
      <c r="B157" s="43">
        <v>943.07</v>
      </c>
      <c r="C157" t="s">
        <v>31</v>
      </c>
      <c r="D157">
        <v>48</v>
      </c>
      <c r="E157" s="43">
        <v>14.53</v>
      </c>
      <c r="F157" t="s">
        <v>110</v>
      </c>
      <c r="G157">
        <v>3</v>
      </c>
      <c r="H157" s="43">
        <v>15.85</v>
      </c>
      <c r="I157" t="s">
        <v>137</v>
      </c>
      <c r="J157">
        <v>50</v>
      </c>
      <c r="K157">
        <v>3.96</v>
      </c>
    </row>
    <row r="158" spans="1:11" s="40" customFormat="1" x14ac:dyDescent="0.3">
      <c r="A158" s="41" t="s">
        <v>976</v>
      </c>
      <c r="B158" s="40">
        <f>D157*E158+G157*H158+J157*K158</f>
        <v>943.07100000000003</v>
      </c>
      <c r="E158" s="40">
        <v>14.532400000000001</v>
      </c>
      <c r="H158" s="40">
        <v>15.848599999999999</v>
      </c>
      <c r="K158" s="40">
        <v>3.9594</v>
      </c>
    </row>
    <row r="159" spans="1:11" x14ac:dyDescent="0.3">
      <c r="A159" t="s">
        <v>476</v>
      </c>
      <c r="B159" s="43">
        <v>646.03</v>
      </c>
      <c r="C159" t="s">
        <v>31</v>
      </c>
      <c r="D159">
        <v>42</v>
      </c>
      <c r="E159" s="43">
        <v>14.53</v>
      </c>
      <c r="F159" t="s">
        <v>74</v>
      </c>
      <c r="G159">
        <v>3</v>
      </c>
      <c r="H159" s="43">
        <v>11.89</v>
      </c>
    </row>
    <row r="160" spans="1:11" s="40" customFormat="1" x14ac:dyDescent="0.3">
      <c r="A160" s="41" t="s">
        <v>976</v>
      </c>
      <c r="B160" s="40">
        <f>D159*E160+G159*H160+J159*K160</f>
        <v>646.02840000000003</v>
      </c>
      <c r="E160" s="40">
        <v>14.532400000000001</v>
      </c>
      <c r="H160" s="40">
        <v>11.889200000000001</v>
      </c>
    </row>
    <row r="161" spans="1:11" x14ac:dyDescent="0.3">
      <c r="A161" t="s">
        <v>473</v>
      </c>
      <c r="B161" s="43">
        <v>1458.23</v>
      </c>
      <c r="C161" t="s">
        <v>61</v>
      </c>
      <c r="D161">
        <v>42</v>
      </c>
      <c r="E161" s="43">
        <v>33.020000000000003</v>
      </c>
      <c r="F161" t="s">
        <v>85</v>
      </c>
      <c r="G161">
        <v>3</v>
      </c>
      <c r="H161" s="43">
        <v>23.77</v>
      </c>
    </row>
    <row r="162" spans="1:11" s="40" customFormat="1" x14ac:dyDescent="0.3">
      <c r="A162" s="41" t="s">
        <v>976</v>
      </c>
      <c r="B162" s="40">
        <f>D161*E162+G161*H162+J161*K162</f>
        <v>1458.2301</v>
      </c>
      <c r="E162" s="40">
        <v>33.022100000000002</v>
      </c>
      <c r="H162" s="40">
        <v>23.767299999999999</v>
      </c>
    </row>
    <row r="163" spans="1:11" x14ac:dyDescent="0.3">
      <c r="A163" t="s">
        <v>475</v>
      </c>
      <c r="B163" s="43">
        <v>646.03</v>
      </c>
      <c r="C163" t="s">
        <v>31</v>
      </c>
      <c r="D163">
        <v>42</v>
      </c>
      <c r="E163" s="43">
        <v>14.53</v>
      </c>
      <c r="F163" t="s">
        <v>74</v>
      </c>
      <c r="G163">
        <v>3</v>
      </c>
      <c r="H163" s="43">
        <v>11.89</v>
      </c>
    </row>
    <row r="164" spans="1:11" s="40" customFormat="1" x14ac:dyDescent="0.3">
      <c r="A164" s="41" t="s">
        <v>976</v>
      </c>
      <c r="B164" s="40">
        <f>D163*E164+G163*H164+J163*K164</f>
        <v>646.02840000000003</v>
      </c>
      <c r="E164" s="40">
        <v>14.532400000000001</v>
      </c>
      <c r="H164" s="40">
        <v>11.889200000000001</v>
      </c>
    </row>
    <row r="165" spans="1:11" x14ac:dyDescent="0.3">
      <c r="A165" t="s">
        <v>474</v>
      </c>
      <c r="B165" s="43">
        <v>1069.74</v>
      </c>
      <c r="C165" t="s">
        <v>69</v>
      </c>
      <c r="D165">
        <v>48</v>
      </c>
      <c r="E165" s="43">
        <v>17.170000000000002</v>
      </c>
      <c r="F165" t="s">
        <v>110</v>
      </c>
      <c r="G165">
        <v>3</v>
      </c>
      <c r="H165" s="43">
        <v>15.85</v>
      </c>
      <c r="I165" t="s">
        <v>137</v>
      </c>
      <c r="J165">
        <v>50</v>
      </c>
      <c r="K165">
        <v>3.96</v>
      </c>
    </row>
    <row r="166" spans="1:11" s="40" customFormat="1" x14ac:dyDescent="0.3">
      <c r="A166" s="41" t="s">
        <v>976</v>
      </c>
      <c r="B166" s="40">
        <f>D165*E166+G165*H166+J165*K166</f>
        <v>1069.7381999999998</v>
      </c>
      <c r="E166" s="40">
        <v>17.171299999999999</v>
      </c>
      <c r="H166" s="40">
        <v>15.848599999999999</v>
      </c>
      <c r="K166" s="40">
        <v>3.9594</v>
      </c>
    </row>
    <row r="167" spans="1:11" x14ac:dyDescent="0.3">
      <c r="A167" t="s">
        <v>477</v>
      </c>
      <c r="B167" s="43">
        <v>1180.8499999999999</v>
      </c>
      <c r="C167" t="s">
        <v>47</v>
      </c>
      <c r="D167">
        <v>42</v>
      </c>
      <c r="E167" s="43">
        <v>26.42</v>
      </c>
      <c r="F167" t="s">
        <v>79</v>
      </c>
      <c r="G167">
        <v>3</v>
      </c>
      <c r="H167" s="43">
        <v>23.77</v>
      </c>
    </row>
    <row r="168" spans="1:11" s="40" customFormat="1" x14ac:dyDescent="0.3">
      <c r="A168" s="41" t="s">
        <v>976</v>
      </c>
      <c r="B168" s="40">
        <f>D167*E168+G167*H168+J167*K168</f>
        <v>1180.8494999999998</v>
      </c>
      <c r="E168" s="40">
        <v>26.4178</v>
      </c>
      <c r="H168" s="40">
        <v>23.767299999999999</v>
      </c>
    </row>
    <row r="169" spans="1:11" x14ac:dyDescent="0.3">
      <c r="A169" t="s">
        <v>479</v>
      </c>
      <c r="B169" s="43">
        <v>616.96</v>
      </c>
      <c r="C169" t="s">
        <v>31</v>
      </c>
      <c r="D169">
        <v>40</v>
      </c>
      <c r="E169" s="43">
        <v>14.53</v>
      </c>
      <c r="F169" t="s">
        <v>74</v>
      </c>
      <c r="G169">
        <v>3</v>
      </c>
      <c r="H169" s="43">
        <v>11.89</v>
      </c>
    </row>
    <row r="170" spans="1:11" s="40" customFormat="1" x14ac:dyDescent="0.3">
      <c r="A170" s="41" t="s">
        <v>976</v>
      </c>
      <c r="B170" s="40">
        <f>D169*E170+G169*H170+J169*K170</f>
        <v>616.96360000000004</v>
      </c>
      <c r="E170" s="40">
        <v>14.532400000000001</v>
      </c>
      <c r="H170" s="40">
        <v>11.889200000000001</v>
      </c>
    </row>
    <row r="171" spans="1:11" x14ac:dyDescent="0.3">
      <c r="A171" t="s">
        <v>478</v>
      </c>
      <c r="B171" s="43">
        <v>511.24</v>
      </c>
      <c r="C171" t="s">
        <v>65</v>
      </c>
      <c r="D171">
        <v>40</v>
      </c>
      <c r="E171" s="43">
        <v>11.89</v>
      </c>
      <c r="F171" t="s">
        <v>72</v>
      </c>
      <c r="G171">
        <v>3</v>
      </c>
      <c r="H171" s="43">
        <v>11.89</v>
      </c>
    </row>
    <row r="172" spans="1:11" s="40" customFormat="1" x14ac:dyDescent="0.3">
      <c r="A172" s="41" t="s">
        <v>976</v>
      </c>
      <c r="B172" s="40">
        <f>D171*E172+G171*H172+J171*K172</f>
        <v>511.23560000000003</v>
      </c>
      <c r="E172" s="40">
        <v>11.889200000000001</v>
      </c>
      <c r="H172" s="40">
        <v>11.889200000000001</v>
      </c>
    </row>
    <row r="173" spans="1:11" x14ac:dyDescent="0.3">
      <c r="A173" t="s">
        <v>481</v>
      </c>
      <c r="B173" s="43">
        <v>795.14</v>
      </c>
      <c r="C173" t="s">
        <v>31</v>
      </c>
      <c r="D173">
        <v>40</v>
      </c>
      <c r="E173" s="43">
        <v>14.53</v>
      </c>
      <c r="F173" t="s">
        <v>110</v>
      </c>
      <c r="G173">
        <v>3</v>
      </c>
      <c r="H173" s="43">
        <v>15.85</v>
      </c>
      <c r="I173" t="s">
        <v>137</v>
      </c>
      <c r="J173">
        <v>42</v>
      </c>
      <c r="K173">
        <v>3.96</v>
      </c>
    </row>
    <row r="174" spans="1:11" s="40" customFormat="1" x14ac:dyDescent="0.3">
      <c r="A174" s="41" t="s">
        <v>976</v>
      </c>
      <c r="B174" s="40">
        <f>D173*E174+G173*H174+J173*K174</f>
        <v>795.13660000000004</v>
      </c>
      <c r="E174" s="40">
        <v>14.532400000000001</v>
      </c>
      <c r="H174" s="40">
        <v>15.848599999999999</v>
      </c>
      <c r="K174" s="40">
        <v>3.9594</v>
      </c>
    </row>
    <row r="175" spans="1:11" x14ac:dyDescent="0.3">
      <c r="A175" t="s">
        <v>480</v>
      </c>
      <c r="B175" s="43">
        <v>397.57</v>
      </c>
      <c r="C175" t="s">
        <v>27</v>
      </c>
      <c r="D175">
        <v>40</v>
      </c>
      <c r="E175" s="43">
        <v>9.25</v>
      </c>
      <c r="F175" t="s">
        <v>87</v>
      </c>
      <c r="G175">
        <v>3</v>
      </c>
      <c r="H175" s="43">
        <v>9.25</v>
      </c>
    </row>
    <row r="176" spans="1:11" s="40" customFormat="1" x14ac:dyDescent="0.3">
      <c r="A176" s="41" t="s">
        <v>976</v>
      </c>
      <c r="B176" s="40">
        <f>D175*E176+G175*H176+J175*K176</f>
        <v>397.57370000000003</v>
      </c>
      <c r="E176" s="40">
        <v>9.2459000000000007</v>
      </c>
      <c r="H176" s="40">
        <v>9.2459000000000007</v>
      </c>
    </row>
    <row r="177" spans="1:8" x14ac:dyDescent="0.3">
      <c r="A177" t="s">
        <v>483</v>
      </c>
      <c r="B177" s="43">
        <v>998.58</v>
      </c>
      <c r="C177" t="s">
        <v>59</v>
      </c>
      <c r="D177">
        <v>36</v>
      </c>
      <c r="E177" s="43">
        <v>26.42</v>
      </c>
      <c r="F177" t="s">
        <v>85</v>
      </c>
      <c r="G177">
        <v>2</v>
      </c>
      <c r="H177" s="43">
        <v>23.77</v>
      </c>
    </row>
    <row r="178" spans="1:8" s="40" customFormat="1" x14ac:dyDescent="0.3">
      <c r="A178" s="41" t="s">
        <v>976</v>
      </c>
      <c r="B178" s="40">
        <f>D177*E178+G177*H178+J177*K178</f>
        <v>998.57539999999995</v>
      </c>
      <c r="E178" s="40">
        <v>26.4178</v>
      </c>
      <c r="H178" s="40">
        <v>23.767299999999999</v>
      </c>
    </row>
    <row r="179" spans="1:8" x14ac:dyDescent="0.3">
      <c r="A179" t="s">
        <v>484</v>
      </c>
      <c r="B179" s="43">
        <v>998.58</v>
      </c>
      <c r="C179" t="s">
        <v>59</v>
      </c>
      <c r="D179">
        <v>36</v>
      </c>
      <c r="E179" s="43">
        <v>26.42</v>
      </c>
      <c r="F179" t="s">
        <v>85</v>
      </c>
      <c r="G179">
        <v>2</v>
      </c>
      <c r="H179" s="43">
        <v>23.77</v>
      </c>
    </row>
    <row r="180" spans="1:8" s="40" customFormat="1" x14ac:dyDescent="0.3">
      <c r="A180" s="41" t="s">
        <v>976</v>
      </c>
      <c r="B180" s="40">
        <f>D179*E180+G179*H180+J179*K180</f>
        <v>998.57539999999995</v>
      </c>
      <c r="E180" s="40">
        <v>26.4178</v>
      </c>
      <c r="H180" s="40">
        <v>23.767299999999999</v>
      </c>
    </row>
    <row r="181" spans="1:8" x14ac:dyDescent="0.3">
      <c r="A181" t="s">
        <v>482</v>
      </c>
      <c r="B181" s="43">
        <v>879.7</v>
      </c>
      <c r="C181" t="s">
        <v>57</v>
      </c>
      <c r="D181">
        <v>36</v>
      </c>
      <c r="E181" s="43">
        <v>23.78</v>
      </c>
      <c r="F181" t="s">
        <v>83</v>
      </c>
      <c r="G181">
        <v>2</v>
      </c>
      <c r="H181" s="43">
        <v>11.89</v>
      </c>
    </row>
    <row r="182" spans="1:8" s="40" customFormat="1" x14ac:dyDescent="0.3">
      <c r="A182" s="41" t="s">
        <v>976</v>
      </c>
      <c r="B182" s="40">
        <f>D181*E182+G181*H182+J181*K182</f>
        <v>879.7</v>
      </c>
      <c r="E182" s="40">
        <v>23.775600000000001</v>
      </c>
      <c r="H182" s="40">
        <v>11.889200000000001</v>
      </c>
    </row>
    <row r="183" spans="1:8" x14ac:dyDescent="0.3">
      <c r="A183" t="s">
        <v>486</v>
      </c>
      <c r="B183" s="43">
        <v>356.63</v>
      </c>
      <c r="C183" t="s">
        <v>27</v>
      </c>
      <c r="D183">
        <v>36</v>
      </c>
      <c r="E183" s="43">
        <v>9.25</v>
      </c>
      <c r="F183" t="s">
        <v>72</v>
      </c>
      <c r="G183">
        <v>2</v>
      </c>
      <c r="H183" s="43">
        <v>11.89</v>
      </c>
    </row>
    <row r="184" spans="1:8" s="40" customFormat="1" x14ac:dyDescent="0.3">
      <c r="A184" s="41" t="s">
        <v>976</v>
      </c>
      <c r="B184" s="40">
        <f>D183*E184+G183*H184+J183*K184</f>
        <v>356.63080000000002</v>
      </c>
      <c r="E184" s="40">
        <v>9.2459000000000007</v>
      </c>
      <c r="H184" s="40">
        <v>11.889200000000001</v>
      </c>
    </row>
    <row r="185" spans="1:8" x14ac:dyDescent="0.3">
      <c r="A185" t="s">
        <v>485</v>
      </c>
      <c r="B185" s="43">
        <v>356.63</v>
      </c>
      <c r="C185" t="s">
        <v>27</v>
      </c>
      <c r="D185">
        <v>36</v>
      </c>
      <c r="E185" s="43">
        <v>9.25</v>
      </c>
      <c r="F185" t="s">
        <v>72</v>
      </c>
      <c r="G185">
        <v>2</v>
      </c>
      <c r="H185" s="43">
        <v>11.89</v>
      </c>
    </row>
    <row r="186" spans="1:8" s="40" customFormat="1" x14ac:dyDescent="0.3">
      <c r="A186" s="41" t="s">
        <v>976</v>
      </c>
      <c r="B186" s="40">
        <f>D185*E186+G185*H186+J185*K186</f>
        <v>356.63080000000002</v>
      </c>
      <c r="E186" s="40">
        <v>9.2459000000000007</v>
      </c>
      <c r="H186" s="40">
        <v>11.889200000000001</v>
      </c>
    </row>
    <row r="187" spans="1:8" x14ac:dyDescent="0.3">
      <c r="A187" t="s">
        <v>487</v>
      </c>
      <c r="B187" s="43">
        <v>356.63</v>
      </c>
      <c r="C187" t="s">
        <v>27</v>
      </c>
      <c r="D187">
        <v>36</v>
      </c>
      <c r="E187" s="43">
        <v>9.25</v>
      </c>
      <c r="F187" t="s">
        <v>72</v>
      </c>
      <c r="G187">
        <v>2</v>
      </c>
      <c r="H187" s="43">
        <v>11.89</v>
      </c>
    </row>
    <row r="188" spans="1:8" s="40" customFormat="1" x14ac:dyDescent="0.3">
      <c r="A188" s="41" t="s">
        <v>976</v>
      </c>
      <c r="B188" s="40">
        <f>D187*E188+G187*H188+J187*K188</f>
        <v>356.63080000000002</v>
      </c>
      <c r="E188" s="40">
        <v>9.2459000000000007</v>
      </c>
      <c r="H188" s="40">
        <v>11.889200000000001</v>
      </c>
    </row>
    <row r="189" spans="1:8" x14ac:dyDescent="0.3">
      <c r="A189" t="s">
        <v>488</v>
      </c>
      <c r="B189" s="43">
        <v>356.63</v>
      </c>
      <c r="C189" t="s">
        <v>27</v>
      </c>
      <c r="D189">
        <v>36</v>
      </c>
      <c r="E189" s="43">
        <v>9.25</v>
      </c>
      <c r="F189" t="s">
        <v>72</v>
      </c>
      <c r="G189">
        <v>2</v>
      </c>
      <c r="H189" s="43">
        <v>11.89</v>
      </c>
    </row>
    <row r="190" spans="1:8" s="40" customFormat="1" x14ac:dyDescent="0.3">
      <c r="A190" s="41" t="s">
        <v>976</v>
      </c>
      <c r="B190" s="40">
        <f>D189*E190+G189*H190+J189*K190</f>
        <v>356.63080000000002</v>
      </c>
      <c r="E190" s="40">
        <v>9.2459000000000007</v>
      </c>
      <c r="H190" s="40">
        <v>11.889200000000001</v>
      </c>
    </row>
    <row r="191" spans="1:8" x14ac:dyDescent="0.3">
      <c r="A191" t="s">
        <v>489</v>
      </c>
      <c r="B191" s="43">
        <v>356.63</v>
      </c>
      <c r="C191" t="s">
        <v>27</v>
      </c>
      <c r="D191">
        <v>36</v>
      </c>
      <c r="E191" s="43">
        <v>9.25</v>
      </c>
      <c r="F191" t="s">
        <v>72</v>
      </c>
      <c r="G191">
        <v>2</v>
      </c>
      <c r="H191" s="43">
        <v>11.89</v>
      </c>
    </row>
    <row r="192" spans="1:8" s="40" customFormat="1" x14ac:dyDescent="0.3">
      <c r="A192" s="41" t="s">
        <v>976</v>
      </c>
      <c r="B192" s="40">
        <f>D191*E192+G191*H192+J191*K192</f>
        <v>356.63080000000002</v>
      </c>
      <c r="E192" s="40">
        <v>9.2459000000000007</v>
      </c>
      <c r="H192" s="40">
        <v>11.889200000000001</v>
      </c>
    </row>
    <row r="193" spans="1:8" x14ac:dyDescent="0.3">
      <c r="A193" t="s">
        <v>493</v>
      </c>
      <c r="B193" s="43">
        <v>451.79</v>
      </c>
      <c r="C193" t="s">
        <v>29</v>
      </c>
      <c r="D193">
        <v>36</v>
      </c>
      <c r="E193" s="43">
        <v>11.89</v>
      </c>
      <c r="F193" t="s">
        <v>74</v>
      </c>
      <c r="G193">
        <v>2</v>
      </c>
      <c r="H193" s="43">
        <v>11.89</v>
      </c>
    </row>
    <row r="194" spans="1:8" s="40" customFormat="1" x14ac:dyDescent="0.3">
      <c r="A194" s="41" t="s">
        <v>976</v>
      </c>
      <c r="B194" s="40">
        <f>D193*E194+G193*H194+J193*K194</f>
        <v>451.78960000000001</v>
      </c>
      <c r="E194" s="40">
        <v>11.889200000000001</v>
      </c>
      <c r="H194" s="40">
        <v>11.889200000000001</v>
      </c>
    </row>
    <row r="195" spans="1:8" x14ac:dyDescent="0.3">
      <c r="A195" t="s">
        <v>492</v>
      </c>
      <c r="B195" s="43">
        <v>546.94000000000005</v>
      </c>
      <c r="C195" t="s">
        <v>67</v>
      </c>
      <c r="D195">
        <v>36</v>
      </c>
      <c r="E195" s="43">
        <v>14.53</v>
      </c>
      <c r="F195" t="s">
        <v>74</v>
      </c>
      <c r="G195">
        <v>2</v>
      </c>
      <c r="H195">
        <v>11.89</v>
      </c>
    </row>
    <row r="196" spans="1:8" s="40" customFormat="1" x14ac:dyDescent="0.3">
      <c r="A196" s="41" t="s">
        <v>976</v>
      </c>
      <c r="B196" s="40">
        <f>D195*E196+G195*H196+J195*K196</f>
        <v>546.9448000000001</v>
      </c>
      <c r="E196" s="40">
        <v>14.532400000000001</v>
      </c>
      <c r="H196" s="40">
        <v>11.889200000000001</v>
      </c>
    </row>
    <row r="197" spans="1:8" x14ac:dyDescent="0.3">
      <c r="A197" t="s">
        <v>490</v>
      </c>
      <c r="B197" s="43">
        <v>356.63</v>
      </c>
      <c r="C197" t="s">
        <v>27</v>
      </c>
      <c r="D197">
        <v>36</v>
      </c>
      <c r="E197" s="43">
        <v>9.25</v>
      </c>
      <c r="F197" t="s">
        <v>72</v>
      </c>
      <c r="G197">
        <v>2</v>
      </c>
      <c r="H197" s="43">
        <v>11.89</v>
      </c>
    </row>
    <row r="198" spans="1:8" s="40" customFormat="1" x14ac:dyDescent="0.3">
      <c r="A198" s="41" t="s">
        <v>976</v>
      </c>
      <c r="B198" s="40">
        <f>D197*E198+G197*H198+J197*K198</f>
        <v>356.63080000000002</v>
      </c>
      <c r="E198" s="40">
        <v>9.2459000000000007</v>
      </c>
      <c r="H198" s="40">
        <v>11.889200000000001</v>
      </c>
    </row>
    <row r="199" spans="1:8" x14ac:dyDescent="0.3">
      <c r="A199" t="s">
        <v>491</v>
      </c>
      <c r="B199" s="43">
        <v>451.79</v>
      </c>
      <c r="C199" t="s">
        <v>65</v>
      </c>
      <c r="D199">
        <v>36</v>
      </c>
      <c r="E199" s="43">
        <v>11.89</v>
      </c>
      <c r="F199" t="s">
        <v>72</v>
      </c>
      <c r="G199">
        <v>2</v>
      </c>
      <c r="H199" s="43">
        <v>11.89</v>
      </c>
    </row>
    <row r="200" spans="1:8" s="40" customFormat="1" x14ac:dyDescent="0.3">
      <c r="A200" s="41" t="s">
        <v>976</v>
      </c>
      <c r="B200" s="40">
        <f>D199*E200+G199*H200+J199*K200</f>
        <v>451.78960000000001</v>
      </c>
      <c r="E200" s="40">
        <v>11.889200000000001</v>
      </c>
      <c r="H200" s="40">
        <v>11.889200000000001</v>
      </c>
    </row>
    <row r="201" spans="1:8" x14ac:dyDescent="0.3">
      <c r="A201" t="s">
        <v>494</v>
      </c>
      <c r="B201" s="43">
        <v>451.79</v>
      </c>
      <c r="C201" t="s">
        <v>29</v>
      </c>
      <c r="D201">
        <v>36</v>
      </c>
      <c r="E201" s="43">
        <v>11.89</v>
      </c>
      <c r="F201" t="s">
        <v>74</v>
      </c>
      <c r="G201">
        <v>2</v>
      </c>
      <c r="H201" s="43">
        <v>11.89</v>
      </c>
    </row>
    <row r="202" spans="1:8" s="40" customFormat="1" x14ac:dyDescent="0.3">
      <c r="A202" s="41" t="s">
        <v>976</v>
      </c>
      <c r="B202" s="40">
        <f>D201*E202+G201*H202+J201*K202</f>
        <v>451.78960000000001</v>
      </c>
      <c r="E202" s="40">
        <v>11.889200000000001</v>
      </c>
      <c r="H202" s="40">
        <v>11.889200000000001</v>
      </c>
    </row>
    <row r="203" spans="1:8" x14ac:dyDescent="0.3">
      <c r="A203" t="s">
        <v>495</v>
      </c>
      <c r="B203" s="43">
        <v>546.94000000000005</v>
      </c>
      <c r="C203" t="s">
        <v>67</v>
      </c>
      <c r="D203">
        <v>36</v>
      </c>
      <c r="E203" s="43">
        <v>14.53</v>
      </c>
      <c r="F203" t="s">
        <v>74</v>
      </c>
      <c r="G203">
        <v>2</v>
      </c>
      <c r="H203" s="43">
        <v>11.89</v>
      </c>
    </row>
    <row r="204" spans="1:8" s="40" customFormat="1" x14ac:dyDescent="0.3">
      <c r="A204" s="41" t="s">
        <v>976</v>
      </c>
      <c r="B204" s="40">
        <f>D203*E204+G203*H204+J203*K204</f>
        <v>546.9448000000001</v>
      </c>
      <c r="E204" s="40">
        <v>14.532400000000001</v>
      </c>
      <c r="H204" s="40">
        <v>11.889200000000001</v>
      </c>
    </row>
    <row r="205" spans="1:8" x14ac:dyDescent="0.3">
      <c r="A205" t="s">
        <v>497</v>
      </c>
      <c r="B205" s="43">
        <v>451.79</v>
      </c>
      <c r="C205" t="s">
        <v>29</v>
      </c>
      <c r="D205">
        <v>36</v>
      </c>
      <c r="E205" s="43">
        <v>11.89</v>
      </c>
      <c r="F205" t="s">
        <v>74</v>
      </c>
      <c r="G205">
        <v>2</v>
      </c>
      <c r="H205" s="43">
        <v>11.89</v>
      </c>
    </row>
    <row r="206" spans="1:8" s="40" customFormat="1" x14ac:dyDescent="0.3">
      <c r="A206" s="41" t="s">
        <v>976</v>
      </c>
      <c r="B206" s="40">
        <f>D205*E206+G205*H206+J205*K206</f>
        <v>451.78960000000001</v>
      </c>
      <c r="E206" s="40">
        <v>11.889200000000001</v>
      </c>
      <c r="H206" s="40">
        <v>11.889200000000001</v>
      </c>
    </row>
    <row r="207" spans="1:8" x14ac:dyDescent="0.3">
      <c r="A207" t="s">
        <v>498</v>
      </c>
      <c r="B207" s="43">
        <v>641.95000000000005</v>
      </c>
      <c r="C207" t="s">
        <v>69</v>
      </c>
      <c r="D207">
        <v>36</v>
      </c>
      <c r="E207" s="43">
        <v>17.170000000000002</v>
      </c>
      <c r="F207" t="s">
        <v>74</v>
      </c>
      <c r="G207">
        <v>2</v>
      </c>
      <c r="H207" s="43">
        <v>11.89</v>
      </c>
    </row>
    <row r="208" spans="1:8" s="40" customFormat="1" x14ac:dyDescent="0.3">
      <c r="A208" s="41" t="s">
        <v>976</v>
      </c>
      <c r="B208" s="40">
        <f>D207*E208+G207*H208+J207*K208</f>
        <v>641.9452</v>
      </c>
      <c r="E208" s="40">
        <v>17.171299999999999</v>
      </c>
      <c r="H208" s="40">
        <v>11.889200000000001</v>
      </c>
    </row>
    <row r="209" spans="1:8" x14ac:dyDescent="0.3">
      <c r="A209" t="s">
        <v>496</v>
      </c>
      <c r="B209" s="43">
        <v>546.94000000000005</v>
      </c>
      <c r="C209" t="s">
        <v>31</v>
      </c>
      <c r="D209">
        <v>36</v>
      </c>
      <c r="E209" s="43">
        <v>14.53</v>
      </c>
      <c r="F209" t="s">
        <v>74</v>
      </c>
      <c r="G209">
        <v>2</v>
      </c>
      <c r="H209" s="43">
        <v>11.89</v>
      </c>
    </row>
    <row r="210" spans="1:8" s="40" customFormat="1" x14ac:dyDescent="0.3">
      <c r="A210" s="41" t="s">
        <v>976</v>
      </c>
      <c r="B210" s="40">
        <f>D209*E210+G209*H210+J209*K210</f>
        <v>546.9448000000001</v>
      </c>
      <c r="E210" s="40">
        <v>14.532400000000001</v>
      </c>
      <c r="H210" s="40">
        <v>11.889200000000001</v>
      </c>
    </row>
    <row r="211" spans="1:8" x14ac:dyDescent="0.3">
      <c r="A211" t="s">
        <v>567</v>
      </c>
      <c r="B211" s="43">
        <v>546.94000000000005</v>
      </c>
      <c r="C211" t="s">
        <v>31</v>
      </c>
      <c r="D211">
        <v>36</v>
      </c>
      <c r="E211" s="43">
        <v>14.53</v>
      </c>
      <c r="F211" t="s">
        <v>74</v>
      </c>
      <c r="G211">
        <v>2</v>
      </c>
      <c r="H211" s="43">
        <v>11.89</v>
      </c>
    </row>
    <row r="212" spans="1:8" s="40" customFormat="1" x14ac:dyDescent="0.3">
      <c r="A212" s="41" t="s">
        <v>976</v>
      </c>
      <c r="B212" s="40">
        <f>D211*E212+G211*H212+J211*K212</f>
        <v>546.9448000000001</v>
      </c>
      <c r="E212" s="40">
        <v>14.532400000000001</v>
      </c>
      <c r="H212" s="40">
        <v>11.889200000000001</v>
      </c>
    </row>
    <row r="213" spans="1:8" x14ac:dyDescent="0.3">
      <c r="A213" t="s">
        <v>499</v>
      </c>
      <c r="B213" s="43">
        <v>546.94000000000005</v>
      </c>
      <c r="C213" t="s">
        <v>31</v>
      </c>
      <c r="D213">
        <v>36</v>
      </c>
      <c r="E213" s="43">
        <v>14.53</v>
      </c>
      <c r="F213" t="s">
        <v>74</v>
      </c>
      <c r="G213">
        <v>2</v>
      </c>
      <c r="H213" s="43">
        <v>11.89</v>
      </c>
    </row>
    <row r="214" spans="1:8" s="40" customFormat="1" x14ac:dyDescent="0.3">
      <c r="A214" s="41" t="s">
        <v>976</v>
      </c>
      <c r="B214" s="40">
        <f>D213*E214+G213*H214+J213*K214</f>
        <v>546.9448000000001</v>
      </c>
      <c r="E214" s="40">
        <v>14.532400000000001</v>
      </c>
      <c r="H214" s="40">
        <v>11.889200000000001</v>
      </c>
    </row>
    <row r="215" spans="1:8" x14ac:dyDescent="0.3">
      <c r="A215" t="s">
        <v>501</v>
      </c>
      <c r="B215" s="43">
        <v>641.95000000000005</v>
      </c>
      <c r="C215" t="s">
        <v>69</v>
      </c>
      <c r="D215">
        <v>36</v>
      </c>
      <c r="E215" s="43">
        <v>17.170000000000002</v>
      </c>
      <c r="F215" t="s">
        <v>74</v>
      </c>
      <c r="G215">
        <v>2</v>
      </c>
      <c r="H215" s="43">
        <v>11.89</v>
      </c>
    </row>
    <row r="216" spans="1:8" s="40" customFormat="1" x14ac:dyDescent="0.3">
      <c r="A216" s="41" t="s">
        <v>976</v>
      </c>
      <c r="B216" s="40">
        <f>D215*E216+G215*H216+J215*K216</f>
        <v>641.9452</v>
      </c>
      <c r="E216" s="40">
        <v>17.171299999999999</v>
      </c>
      <c r="H216" s="40">
        <v>11.889200000000001</v>
      </c>
    </row>
    <row r="217" spans="1:8" x14ac:dyDescent="0.3">
      <c r="A217" t="s">
        <v>500</v>
      </c>
      <c r="B217" s="43">
        <v>546.94000000000005</v>
      </c>
      <c r="C217" t="s">
        <v>31</v>
      </c>
      <c r="D217">
        <v>36</v>
      </c>
      <c r="E217" s="43">
        <v>14.53</v>
      </c>
      <c r="F217" t="s">
        <v>74</v>
      </c>
      <c r="G217">
        <v>2</v>
      </c>
      <c r="H217" s="43">
        <v>11.89</v>
      </c>
    </row>
    <row r="218" spans="1:8" s="40" customFormat="1" x14ac:dyDescent="0.3">
      <c r="A218" s="41" t="s">
        <v>976</v>
      </c>
      <c r="B218" s="40">
        <f>D217*E218+G217*H218+J217*K218</f>
        <v>546.9448000000001</v>
      </c>
      <c r="E218" s="40">
        <v>14.532400000000001</v>
      </c>
      <c r="H218" s="40">
        <v>11.889200000000001</v>
      </c>
    </row>
    <row r="219" spans="1:8" x14ac:dyDescent="0.3">
      <c r="A219" t="s">
        <v>503</v>
      </c>
      <c r="B219" s="43">
        <v>546.94000000000005</v>
      </c>
      <c r="C219" t="s">
        <v>31</v>
      </c>
      <c r="D219">
        <v>36</v>
      </c>
      <c r="E219" s="43">
        <v>14.53</v>
      </c>
      <c r="F219" t="s">
        <v>74</v>
      </c>
      <c r="G219">
        <v>2</v>
      </c>
      <c r="H219" s="43">
        <v>11.89</v>
      </c>
    </row>
    <row r="220" spans="1:8" s="40" customFormat="1" x14ac:dyDescent="0.3">
      <c r="A220" s="41" t="s">
        <v>976</v>
      </c>
      <c r="B220" s="40">
        <f>D219*E220+G219*H220+J219*K220</f>
        <v>546.9448000000001</v>
      </c>
      <c r="E220" s="40">
        <v>14.532400000000001</v>
      </c>
      <c r="H220" s="40">
        <v>11.889200000000001</v>
      </c>
    </row>
    <row r="221" spans="1:8" x14ac:dyDescent="0.3">
      <c r="A221" t="s">
        <v>502</v>
      </c>
      <c r="B221" s="43">
        <v>546.94000000000005</v>
      </c>
      <c r="C221" t="s">
        <v>31</v>
      </c>
      <c r="D221">
        <v>36</v>
      </c>
      <c r="E221" s="43">
        <v>14.53</v>
      </c>
      <c r="F221" t="s">
        <v>74</v>
      </c>
      <c r="G221">
        <v>2</v>
      </c>
      <c r="H221" s="43">
        <v>11.89</v>
      </c>
    </row>
    <row r="222" spans="1:8" s="40" customFormat="1" x14ac:dyDescent="0.3">
      <c r="A222" s="41" t="s">
        <v>976</v>
      </c>
      <c r="B222" s="40">
        <f>D221*E222+G221*H222+J221*K222</f>
        <v>546.9448000000001</v>
      </c>
      <c r="E222" s="40">
        <v>14.532400000000001</v>
      </c>
      <c r="H222" s="40">
        <v>11.889200000000001</v>
      </c>
    </row>
    <row r="223" spans="1:8" x14ac:dyDescent="0.3">
      <c r="A223" t="s">
        <v>505</v>
      </c>
      <c r="B223" s="43">
        <v>546.94000000000005</v>
      </c>
      <c r="C223" t="s">
        <v>31</v>
      </c>
      <c r="D223">
        <v>36</v>
      </c>
      <c r="E223" s="43">
        <v>14.53</v>
      </c>
      <c r="F223" t="s">
        <v>74</v>
      </c>
      <c r="G223">
        <v>2</v>
      </c>
      <c r="H223" s="43">
        <v>11.89</v>
      </c>
    </row>
    <row r="224" spans="1:8" s="40" customFormat="1" x14ac:dyDescent="0.3">
      <c r="A224" s="41" t="s">
        <v>976</v>
      </c>
      <c r="B224" s="40">
        <f>D223*E224+G223*H224+J223*K224</f>
        <v>546.9448000000001</v>
      </c>
      <c r="E224" s="40">
        <v>14.532400000000001</v>
      </c>
      <c r="H224" s="40">
        <v>11.889200000000001</v>
      </c>
    </row>
    <row r="225" spans="1:8" x14ac:dyDescent="0.3">
      <c r="A225" t="s">
        <v>506</v>
      </c>
      <c r="B225" s="43">
        <v>546.94000000000005</v>
      </c>
      <c r="C225" t="s">
        <v>31</v>
      </c>
      <c r="D225">
        <v>36</v>
      </c>
      <c r="E225" s="43">
        <v>14.53</v>
      </c>
      <c r="F225" t="s">
        <v>74</v>
      </c>
      <c r="G225">
        <v>2</v>
      </c>
      <c r="H225" s="43">
        <v>11.89</v>
      </c>
    </row>
    <row r="226" spans="1:8" s="40" customFormat="1" x14ac:dyDescent="0.3">
      <c r="A226" s="41" t="s">
        <v>976</v>
      </c>
      <c r="B226" s="40">
        <f>D225*E226+G225*H226+J225*K226</f>
        <v>546.9448000000001</v>
      </c>
      <c r="E226" s="40">
        <v>14.532400000000001</v>
      </c>
      <c r="H226" s="40">
        <v>11.889200000000001</v>
      </c>
    </row>
    <row r="227" spans="1:8" x14ac:dyDescent="0.3">
      <c r="A227" t="s">
        <v>507</v>
      </c>
      <c r="B227" s="43">
        <v>641.95000000000005</v>
      </c>
      <c r="C227" t="s">
        <v>69</v>
      </c>
      <c r="D227">
        <v>36</v>
      </c>
      <c r="E227" s="43">
        <v>17.170000000000002</v>
      </c>
      <c r="F227" t="s">
        <v>74</v>
      </c>
      <c r="G227">
        <v>2</v>
      </c>
      <c r="H227" s="43">
        <v>11.89</v>
      </c>
    </row>
    <row r="228" spans="1:8" s="40" customFormat="1" x14ac:dyDescent="0.3">
      <c r="A228" s="41" t="s">
        <v>976</v>
      </c>
      <c r="B228" s="40">
        <f>D227*E228+G227*H228+J227*K228</f>
        <v>641.9452</v>
      </c>
      <c r="E228" s="40">
        <v>17.171299999999999</v>
      </c>
      <c r="H228" s="40">
        <v>11.889200000000001</v>
      </c>
    </row>
    <row r="229" spans="1:8" x14ac:dyDescent="0.3">
      <c r="A229" t="s">
        <v>508</v>
      </c>
      <c r="B229" s="43">
        <v>546.94000000000005</v>
      </c>
      <c r="C229" t="s">
        <v>31</v>
      </c>
      <c r="D229">
        <v>36</v>
      </c>
      <c r="E229" s="43">
        <v>14.53</v>
      </c>
      <c r="F229" t="s">
        <v>74</v>
      </c>
      <c r="G229">
        <v>2</v>
      </c>
      <c r="H229" s="43">
        <v>11.89</v>
      </c>
    </row>
    <row r="230" spans="1:8" s="40" customFormat="1" x14ac:dyDescent="0.3">
      <c r="A230" s="41" t="s">
        <v>976</v>
      </c>
      <c r="B230" s="40">
        <f>D229*E230+G229*H230+J229*K230</f>
        <v>546.9448000000001</v>
      </c>
      <c r="E230" s="40">
        <v>14.532400000000001</v>
      </c>
      <c r="H230" s="40">
        <v>11.889200000000001</v>
      </c>
    </row>
    <row r="231" spans="1:8" x14ac:dyDescent="0.3">
      <c r="A231" t="s">
        <v>511</v>
      </c>
      <c r="B231" s="43">
        <v>546.94000000000005</v>
      </c>
      <c r="C231" t="s">
        <v>31</v>
      </c>
      <c r="D231">
        <v>36</v>
      </c>
      <c r="E231" s="43">
        <v>14.53</v>
      </c>
      <c r="F231" t="s">
        <v>74</v>
      </c>
      <c r="G231">
        <v>2</v>
      </c>
      <c r="H231" s="43">
        <v>11.89</v>
      </c>
    </row>
    <row r="232" spans="1:8" s="40" customFormat="1" x14ac:dyDescent="0.3">
      <c r="A232" s="41" t="s">
        <v>976</v>
      </c>
      <c r="B232" s="40">
        <f>D231*E232+G231*H232+J231*K232</f>
        <v>546.9448000000001</v>
      </c>
      <c r="E232" s="40">
        <v>14.532400000000001</v>
      </c>
      <c r="H232" s="40">
        <v>11.889200000000001</v>
      </c>
    </row>
    <row r="233" spans="1:8" x14ac:dyDescent="0.3">
      <c r="A233" t="s">
        <v>509</v>
      </c>
      <c r="B233" s="43">
        <v>546.94000000000005</v>
      </c>
      <c r="C233" t="s">
        <v>31</v>
      </c>
      <c r="D233">
        <v>36</v>
      </c>
      <c r="E233" s="43">
        <v>14.53</v>
      </c>
      <c r="F233" t="s">
        <v>74</v>
      </c>
      <c r="G233">
        <v>2</v>
      </c>
      <c r="H233" s="43">
        <v>11.89</v>
      </c>
    </row>
    <row r="234" spans="1:8" s="40" customFormat="1" x14ac:dyDescent="0.3">
      <c r="A234" s="41" t="s">
        <v>976</v>
      </c>
      <c r="B234" s="40">
        <f>D233*E234+G233*H234+J233*K234</f>
        <v>546.9448000000001</v>
      </c>
      <c r="E234" s="40">
        <v>14.532400000000001</v>
      </c>
      <c r="H234" s="40">
        <v>11.889200000000001</v>
      </c>
    </row>
    <row r="235" spans="1:8" x14ac:dyDescent="0.3">
      <c r="A235" t="s">
        <v>512</v>
      </c>
      <c r="B235" s="43">
        <v>546.94000000000005</v>
      </c>
      <c r="C235" t="s">
        <v>31</v>
      </c>
      <c r="D235">
        <v>36</v>
      </c>
      <c r="E235" s="43">
        <v>14.53</v>
      </c>
      <c r="F235" t="s">
        <v>74</v>
      </c>
      <c r="G235">
        <v>2</v>
      </c>
      <c r="H235">
        <v>11.89</v>
      </c>
    </row>
    <row r="236" spans="1:8" s="40" customFormat="1" x14ac:dyDescent="0.3">
      <c r="A236" s="41" t="s">
        <v>976</v>
      </c>
      <c r="B236" s="40">
        <f>D235*E236+G235*H236+J235*K236</f>
        <v>546.9448000000001</v>
      </c>
      <c r="E236" s="40">
        <v>14.532400000000001</v>
      </c>
      <c r="H236" s="40">
        <v>11.889200000000001</v>
      </c>
    </row>
    <row r="237" spans="1:8" x14ac:dyDescent="0.3">
      <c r="A237" t="s">
        <v>513</v>
      </c>
      <c r="B237" s="43">
        <v>760.82</v>
      </c>
      <c r="C237" t="s">
        <v>33</v>
      </c>
      <c r="D237">
        <v>36</v>
      </c>
      <c r="E237" s="43">
        <v>19.809999999999999</v>
      </c>
      <c r="F237" t="s">
        <v>79</v>
      </c>
      <c r="G237">
        <v>2</v>
      </c>
      <c r="H237" s="43">
        <v>23.77</v>
      </c>
    </row>
    <row r="238" spans="1:8" s="40" customFormat="1" x14ac:dyDescent="0.3">
      <c r="A238" s="41" t="s">
        <v>976</v>
      </c>
      <c r="B238" s="40">
        <f>D237*E238+G237*H238+J237*K238</f>
        <v>760.82060000000001</v>
      </c>
      <c r="E238" s="40">
        <v>19.813500000000001</v>
      </c>
      <c r="H238" s="40">
        <v>23.767299999999999</v>
      </c>
    </row>
    <row r="239" spans="1:8" x14ac:dyDescent="0.3">
      <c r="A239" t="s">
        <v>514</v>
      </c>
      <c r="B239" s="43">
        <v>760.82</v>
      </c>
      <c r="C239" t="s">
        <v>33</v>
      </c>
      <c r="D239">
        <v>36</v>
      </c>
      <c r="E239" s="43">
        <v>19.809999999999999</v>
      </c>
      <c r="F239" t="s">
        <v>79</v>
      </c>
      <c r="G239">
        <v>2</v>
      </c>
      <c r="H239" s="43">
        <v>23.77</v>
      </c>
    </row>
    <row r="240" spans="1:8" s="40" customFormat="1" x14ac:dyDescent="0.3">
      <c r="A240" s="41" t="s">
        <v>976</v>
      </c>
      <c r="B240" s="40">
        <f>D239*E240+G239*H240+J239*K240</f>
        <v>760.82060000000001</v>
      </c>
      <c r="E240" s="40">
        <v>19.813500000000001</v>
      </c>
      <c r="H240" s="40">
        <v>23.767299999999999</v>
      </c>
    </row>
    <row r="241" spans="1:8" x14ac:dyDescent="0.3">
      <c r="A241" t="s">
        <v>515</v>
      </c>
      <c r="B241" s="43">
        <v>760.82</v>
      </c>
      <c r="C241" t="s">
        <v>33</v>
      </c>
      <c r="D241">
        <v>36</v>
      </c>
      <c r="E241" s="43">
        <v>19.809999999999999</v>
      </c>
      <c r="F241" t="s">
        <v>79</v>
      </c>
      <c r="G241">
        <v>2</v>
      </c>
      <c r="H241" s="43">
        <v>23.77</v>
      </c>
    </row>
    <row r="242" spans="1:8" s="40" customFormat="1" x14ac:dyDescent="0.3">
      <c r="A242" s="41" t="s">
        <v>976</v>
      </c>
      <c r="B242" s="40">
        <f>D241*E242+G241*H242+J241*K242</f>
        <v>760.82060000000001</v>
      </c>
      <c r="E242" s="40">
        <v>19.813500000000001</v>
      </c>
      <c r="H242" s="40">
        <v>23.767299999999999</v>
      </c>
    </row>
    <row r="243" spans="1:8" x14ac:dyDescent="0.3">
      <c r="A243" t="s">
        <v>516</v>
      </c>
      <c r="B243" s="43">
        <v>760.82</v>
      </c>
      <c r="C243" t="s">
        <v>33</v>
      </c>
      <c r="D243">
        <v>36</v>
      </c>
      <c r="E243" s="43">
        <v>19.809999999999999</v>
      </c>
      <c r="F243" t="s">
        <v>79</v>
      </c>
      <c r="G243">
        <v>2</v>
      </c>
      <c r="H243" s="43">
        <v>23.77</v>
      </c>
    </row>
    <row r="244" spans="1:8" s="40" customFormat="1" x14ac:dyDescent="0.3">
      <c r="A244" s="41" t="s">
        <v>976</v>
      </c>
      <c r="B244" s="40">
        <f>D243*E244+G243*H244+J243*K244</f>
        <v>760.82060000000001</v>
      </c>
      <c r="E244" s="40">
        <v>19.813500000000001</v>
      </c>
      <c r="H244" s="40">
        <v>23.767299999999999</v>
      </c>
    </row>
    <row r="245" spans="1:8" x14ac:dyDescent="0.3">
      <c r="A245" t="s">
        <v>517</v>
      </c>
      <c r="B245" s="43">
        <v>760.82</v>
      </c>
      <c r="C245" t="s">
        <v>33</v>
      </c>
      <c r="D245">
        <v>36</v>
      </c>
      <c r="E245" s="43">
        <v>19.809999999999999</v>
      </c>
      <c r="F245" t="s">
        <v>79</v>
      </c>
      <c r="G245">
        <v>2</v>
      </c>
      <c r="H245" s="43">
        <v>23.77</v>
      </c>
    </row>
    <row r="246" spans="1:8" s="40" customFormat="1" x14ac:dyDescent="0.3">
      <c r="A246" s="41" t="s">
        <v>976</v>
      </c>
      <c r="B246" s="40">
        <f>D245*E246+G245*H246+J245*K246</f>
        <v>760.82060000000001</v>
      </c>
      <c r="E246" s="40">
        <v>19.813500000000001</v>
      </c>
      <c r="H246" s="40">
        <v>23.767299999999999</v>
      </c>
    </row>
    <row r="247" spans="1:8" x14ac:dyDescent="0.3">
      <c r="A247" t="s">
        <v>518</v>
      </c>
      <c r="B247" s="43">
        <v>760.82</v>
      </c>
      <c r="C247" t="s">
        <v>33</v>
      </c>
      <c r="D247">
        <v>36</v>
      </c>
      <c r="E247" s="43">
        <v>19.809999999999999</v>
      </c>
      <c r="F247" t="s">
        <v>79</v>
      </c>
      <c r="G247">
        <v>2</v>
      </c>
      <c r="H247" s="43">
        <v>23.77</v>
      </c>
    </row>
    <row r="248" spans="1:8" s="40" customFormat="1" x14ac:dyDescent="0.3">
      <c r="A248" s="41" t="s">
        <v>976</v>
      </c>
      <c r="B248" s="40">
        <f>D247*E248+G247*H248+J247*K248</f>
        <v>760.82060000000001</v>
      </c>
      <c r="E248" s="40">
        <v>19.813500000000001</v>
      </c>
      <c r="H248" s="40">
        <v>23.767299999999999</v>
      </c>
    </row>
    <row r="249" spans="1:8" x14ac:dyDescent="0.3">
      <c r="A249" t="s">
        <v>519</v>
      </c>
      <c r="B249" s="43">
        <v>855.92</v>
      </c>
      <c r="C249" t="s">
        <v>35</v>
      </c>
      <c r="D249">
        <v>36</v>
      </c>
      <c r="E249" s="43">
        <v>22.46</v>
      </c>
      <c r="F249" t="s">
        <v>79</v>
      </c>
      <c r="G249">
        <v>2</v>
      </c>
      <c r="H249" s="43">
        <v>23.77</v>
      </c>
    </row>
    <row r="250" spans="1:8" s="40" customFormat="1" x14ac:dyDescent="0.3">
      <c r="A250" s="41" t="s">
        <v>976</v>
      </c>
      <c r="B250" s="40">
        <f>D249*E250+G249*H250+J249*K250</f>
        <v>855.91820000000007</v>
      </c>
      <c r="E250" s="40">
        <v>22.455100000000002</v>
      </c>
      <c r="H250" s="40">
        <v>23.767299999999999</v>
      </c>
    </row>
    <row r="251" spans="1:8" x14ac:dyDescent="0.3">
      <c r="A251" t="s">
        <v>521</v>
      </c>
      <c r="B251" s="43">
        <v>855.92</v>
      </c>
      <c r="C251" t="s">
        <v>35</v>
      </c>
      <c r="D251">
        <v>36</v>
      </c>
      <c r="E251" s="43">
        <v>22.46</v>
      </c>
      <c r="F251" t="s">
        <v>79</v>
      </c>
      <c r="G251">
        <v>2</v>
      </c>
      <c r="H251" s="43">
        <v>23.77</v>
      </c>
    </row>
    <row r="252" spans="1:8" s="40" customFormat="1" x14ac:dyDescent="0.3">
      <c r="A252" s="41" t="s">
        <v>976</v>
      </c>
      <c r="B252" s="40">
        <f>D251*E252+G251*H252+J251*K252</f>
        <v>855.91820000000007</v>
      </c>
      <c r="E252" s="40">
        <v>22.455100000000002</v>
      </c>
      <c r="H252" s="40">
        <v>23.767299999999999</v>
      </c>
    </row>
    <row r="253" spans="1:8" x14ac:dyDescent="0.3">
      <c r="A253" t="s">
        <v>524</v>
      </c>
      <c r="B253" s="43">
        <v>998.58</v>
      </c>
      <c r="C253" t="s">
        <v>47</v>
      </c>
      <c r="D253">
        <v>36</v>
      </c>
      <c r="E253" s="43">
        <v>26.42</v>
      </c>
      <c r="F253" t="s">
        <v>79</v>
      </c>
      <c r="G253">
        <v>2</v>
      </c>
      <c r="H253" s="43">
        <v>23.77</v>
      </c>
    </row>
    <row r="254" spans="1:8" s="40" customFormat="1" x14ac:dyDescent="0.3">
      <c r="A254" s="41" t="s">
        <v>976</v>
      </c>
      <c r="B254" s="40">
        <f>D253*E254+G253*H254+J253*K254</f>
        <v>998.57539999999995</v>
      </c>
      <c r="E254" s="40">
        <v>26.4178</v>
      </c>
      <c r="H254" s="40">
        <v>23.767299999999999</v>
      </c>
    </row>
    <row r="255" spans="1:8" x14ac:dyDescent="0.3">
      <c r="A255" t="s">
        <v>523</v>
      </c>
      <c r="B255" s="43">
        <v>594.39</v>
      </c>
      <c r="C255" t="s">
        <v>43</v>
      </c>
      <c r="D255">
        <v>36</v>
      </c>
      <c r="E255" s="43">
        <v>15.85</v>
      </c>
      <c r="F255" t="s">
        <v>74</v>
      </c>
      <c r="G255">
        <v>2</v>
      </c>
      <c r="H255" s="43">
        <v>11.89</v>
      </c>
    </row>
    <row r="256" spans="1:8" s="40" customFormat="1" x14ac:dyDescent="0.3">
      <c r="A256" s="41" t="s">
        <v>976</v>
      </c>
      <c r="B256" s="40">
        <f>D255*E256+G255*H256+J255*K256</f>
        <v>594.38559999999995</v>
      </c>
      <c r="E256" s="40">
        <v>15.850199999999999</v>
      </c>
      <c r="H256" s="40">
        <v>11.889200000000001</v>
      </c>
    </row>
    <row r="257" spans="1:11" x14ac:dyDescent="0.3">
      <c r="A257" t="s">
        <v>522</v>
      </c>
      <c r="B257" s="43">
        <v>380.41</v>
      </c>
      <c r="C257" t="s">
        <v>39</v>
      </c>
      <c r="D257">
        <v>36</v>
      </c>
      <c r="E257" s="43">
        <v>9.91</v>
      </c>
      <c r="F257" t="s">
        <v>72</v>
      </c>
      <c r="G257">
        <v>2</v>
      </c>
      <c r="H257" s="43">
        <v>11.89</v>
      </c>
    </row>
    <row r="258" spans="1:11" s="40" customFormat="1" x14ac:dyDescent="0.3">
      <c r="A258" s="41" t="s">
        <v>976</v>
      </c>
      <c r="B258" s="40">
        <f>D257*E258+G257*H258+J257*K258</f>
        <v>380.41239999999993</v>
      </c>
      <c r="E258" s="40">
        <v>9.9064999999999994</v>
      </c>
      <c r="H258" s="40">
        <v>11.889200000000001</v>
      </c>
    </row>
    <row r="259" spans="1:11" x14ac:dyDescent="0.3">
      <c r="A259" t="s">
        <v>520</v>
      </c>
      <c r="B259" s="43">
        <v>855.92</v>
      </c>
      <c r="C259" t="s">
        <v>35</v>
      </c>
      <c r="D259">
        <v>36</v>
      </c>
      <c r="E259" s="43">
        <v>22.46</v>
      </c>
      <c r="F259" t="s">
        <v>79</v>
      </c>
      <c r="G259">
        <v>2</v>
      </c>
      <c r="H259" s="43">
        <v>23.77</v>
      </c>
    </row>
    <row r="260" spans="1:11" s="40" customFormat="1" x14ac:dyDescent="0.3">
      <c r="A260" s="41" t="s">
        <v>976</v>
      </c>
      <c r="B260" s="40">
        <f>D259*E260+G259*H260+J259*K260</f>
        <v>855.91820000000007</v>
      </c>
      <c r="E260" s="40">
        <v>22.455100000000002</v>
      </c>
      <c r="H260" s="40">
        <v>23.767299999999999</v>
      </c>
    </row>
    <row r="261" spans="1:11" x14ac:dyDescent="0.3">
      <c r="A261" t="s">
        <v>525</v>
      </c>
      <c r="B261" s="43">
        <v>332.85</v>
      </c>
      <c r="C261" t="s">
        <v>27</v>
      </c>
      <c r="D261">
        <v>36</v>
      </c>
      <c r="E261" s="43">
        <v>9.25</v>
      </c>
    </row>
    <row r="262" spans="1:11" s="40" customFormat="1" x14ac:dyDescent="0.3">
      <c r="A262" s="41" t="s">
        <v>976</v>
      </c>
      <c r="B262" s="40">
        <f>D261*E262+G261*H262+J261*K262</f>
        <v>332.85240000000005</v>
      </c>
      <c r="E262" s="40">
        <v>9.2459000000000007</v>
      </c>
    </row>
    <row r="263" spans="1:11" x14ac:dyDescent="0.3">
      <c r="A263" t="s">
        <v>526</v>
      </c>
      <c r="B263" s="43">
        <v>1038.07</v>
      </c>
      <c r="C263" t="s">
        <v>57</v>
      </c>
      <c r="D263">
        <v>36</v>
      </c>
      <c r="E263" s="43">
        <v>23.78</v>
      </c>
      <c r="F263" t="s">
        <v>119</v>
      </c>
      <c r="G263">
        <v>2</v>
      </c>
      <c r="H263" s="43">
        <v>15.85</v>
      </c>
      <c r="I263" t="s">
        <v>137</v>
      </c>
      <c r="J263">
        <v>38</v>
      </c>
      <c r="K263">
        <v>3.96</v>
      </c>
    </row>
    <row r="264" spans="1:11" s="40" customFormat="1" x14ac:dyDescent="0.3">
      <c r="A264" s="41" t="s">
        <v>976</v>
      </c>
      <c r="B264" s="40">
        <f>D263*E264+G263*H264+J263*K264</f>
        <v>1038.076</v>
      </c>
      <c r="E264" s="40">
        <v>23.775600000000001</v>
      </c>
      <c r="H264" s="40">
        <v>15.848599999999999</v>
      </c>
      <c r="K264" s="40">
        <v>3.9594</v>
      </c>
    </row>
    <row r="265" spans="1:11" x14ac:dyDescent="0.3">
      <c r="A265" t="s">
        <v>527</v>
      </c>
      <c r="B265" s="43">
        <v>599.70000000000005</v>
      </c>
      <c r="C265" t="s">
        <v>29</v>
      </c>
      <c r="D265">
        <v>36</v>
      </c>
      <c r="E265" s="43">
        <v>11.89</v>
      </c>
      <c r="F265" t="s">
        <v>99</v>
      </c>
      <c r="G265">
        <v>2</v>
      </c>
      <c r="H265" s="43">
        <v>6.6</v>
      </c>
      <c r="I265" t="s">
        <v>164</v>
      </c>
      <c r="J265">
        <v>10</v>
      </c>
      <c r="K265">
        <v>15.85</v>
      </c>
    </row>
    <row r="266" spans="1:11" s="40" customFormat="1" x14ac:dyDescent="0.3">
      <c r="A266" s="41" t="s">
        <v>976</v>
      </c>
      <c r="B266" s="40">
        <f>D265*E266+G265*H266+J265*K266</f>
        <v>599.70240000000001</v>
      </c>
      <c r="E266" s="40">
        <v>11.889200000000001</v>
      </c>
      <c r="H266" s="40">
        <v>6.6025999999999998</v>
      </c>
      <c r="K266" s="40">
        <v>15.848599999999999</v>
      </c>
    </row>
    <row r="267" spans="1:11" x14ac:dyDescent="0.3">
      <c r="A267" t="s">
        <v>528</v>
      </c>
      <c r="B267" s="43">
        <v>1038.07</v>
      </c>
      <c r="C267" t="s">
        <v>57</v>
      </c>
      <c r="D267">
        <v>36</v>
      </c>
      <c r="E267" s="43">
        <v>23.78</v>
      </c>
      <c r="F267" t="s">
        <v>119</v>
      </c>
      <c r="G267">
        <v>2</v>
      </c>
      <c r="H267" s="43">
        <v>15.85</v>
      </c>
      <c r="I267" t="s">
        <v>137</v>
      </c>
      <c r="J267">
        <v>38</v>
      </c>
      <c r="K267">
        <v>3.96</v>
      </c>
    </row>
    <row r="268" spans="1:11" s="40" customFormat="1" x14ac:dyDescent="0.3">
      <c r="A268" s="41" t="s">
        <v>976</v>
      </c>
      <c r="B268" s="40">
        <f>D267*E268+G267*H268+J267*K268</f>
        <v>1038.076</v>
      </c>
      <c r="E268" s="40">
        <v>23.775600000000001</v>
      </c>
      <c r="H268" s="40">
        <v>15.848599999999999</v>
      </c>
      <c r="K268" s="40">
        <v>3.9594</v>
      </c>
    </row>
    <row r="269" spans="1:11" x14ac:dyDescent="0.3">
      <c r="A269" t="s">
        <v>529</v>
      </c>
      <c r="B269" s="43">
        <v>705.32</v>
      </c>
      <c r="C269" t="s">
        <v>31</v>
      </c>
      <c r="D269">
        <v>36</v>
      </c>
      <c r="E269" s="43">
        <v>14.53</v>
      </c>
      <c r="F269" t="s">
        <v>110</v>
      </c>
      <c r="G269">
        <v>2</v>
      </c>
      <c r="H269" s="43">
        <v>15.85</v>
      </c>
      <c r="I269" t="s">
        <v>137</v>
      </c>
      <c r="J269">
        <v>38</v>
      </c>
      <c r="K269">
        <v>3.96</v>
      </c>
    </row>
    <row r="270" spans="1:11" s="40" customFormat="1" x14ac:dyDescent="0.3">
      <c r="A270" s="41" t="s">
        <v>976</v>
      </c>
      <c r="B270" s="40">
        <f>D269*E270+G269*H270+J269*K270</f>
        <v>705.32079999999996</v>
      </c>
      <c r="E270" s="40">
        <v>14.532400000000001</v>
      </c>
      <c r="H270" s="40">
        <v>15.848599999999999</v>
      </c>
      <c r="K270" s="40">
        <v>3.9594</v>
      </c>
    </row>
    <row r="271" spans="1:11" x14ac:dyDescent="0.3">
      <c r="A271" t="s">
        <v>531</v>
      </c>
      <c r="B271" s="43">
        <v>517.88</v>
      </c>
      <c r="C271" t="s">
        <v>31</v>
      </c>
      <c r="D271">
        <v>34</v>
      </c>
      <c r="E271" s="43">
        <v>14.53</v>
      </c>
      <c r="F271" t="s">
        <v>74</v>
      </c>
      <c r="G271">
        <v>2</v>
      </c>
      <c r="H271" s="43">
        <v>11.89</v>
      </c>
    </row>
    <row r="272" spans="1:11" s="40" customFormat="1" x14ac:dyDescent="0.3">
      <c r="A272" s="41" t="s">
        <v>976</v>
      </c>
      <c r="B272" s="40">
        <f>D271*E272+G271*H272+J271*K272</f>
        <v>517.88</v>
      </c>
      <c r="E272" s="40">
        <v>14.532400000000001</v>
      </c>
      <c r="H272" s="40">
        <v>11.889200000000001</v>
      </c>
    </row>
    <row r="273" spans="1:8" x14ac:dyDescent="0.3">
      <c r="A273" t="s">
        <v>530</v>
      </c>
      <c r="B273" s="43">
        <v>517.88</v>
      </c>
      <c r="C273" t="s">
        <v>31</v>
      </c>
      <c r="D273">
        <v>34</v>
      </c>
      <c r="E273" s="43">
        <v>14.53</v>
      </c>
      <c r="F273" t="s">
        <v>74</v>
      </c>
      <c r="G273">
        <v>2</v>
      </c>
      <c r="H273" s="43">
        <v>11.89</v>
      </c>
    </row>
    <row r="274" spans="1:8" s="40" customFormat="1" x14ac:dyDescent="0.3">
      <c r="A274" s="41" t="s">
        <v>976</v>
      </c>
      <c r="B274" s="40">
        <f>D273*E274+G273*H274+J273*K274</f>
        <v>517.88</v>
      </c>
      <c r="E274" s="40">
        <v>14.532400000000001</v>
      </c>
      <c r="H274" s="40">
        <v>11.889200000000001</v>
      </c>
    </row>
    <row r="275" spans="1:8" x14ac:dyDescent="0.3">
      <c r="A275" t="s">
        <v>532</v>
      </c>
      <c r="B275" s="43">
        <v>590.42999999999995</v>
      </c>
      <c r="C275" t="s">
        <v>69</v>
      </c>
      <c r="D275">
        <v>33</v>
      </c>
      <c r="E275" s="43">
        <v>17.170000000000002</v>
      </c>
      <c r="F275" t="s">
        <v>74</v>
      </c>
      <c r="G275">
        <v>2</v>
      </c>
      <c r="H275" s="43">
        <v>11.89</v>
      </c>
    </row>
    <row r="276" spans="1:8" s="40" customFormat="1" x14ac:dyDescent="0.3">
      <c r="A276" s="41" t="s">
        <v>976</v>
      </c>
      <c r="B276" s="40">
        <f>D275*E276+G275*H276+J275*K276</f>
        <v>590.43129999999996</v>
      </c>
      <c r="E276" s="40">
        <v>17.171299999999999</v>
      </c>
      <c r="H276" s="40">
        <v>11.889200000000001</v>
      </c>
    </row>
    <row r="277" spans="1:8" x14ac:dyDescent="0.3">
      <c r="A277" t="s">
        <v>533</v>
      </c>
      <c r="B277" s="43">
        <v>585.14</v>
      </c>
      <c r="C277" t="s">
        <v>69</v>
      </c>
      <c r="D277">
        <v>33</v>
      </c>
      <c r="E277" s="43">
        <v>17.170000000000002</v>
      </c>
      <c r="F277" t="s">
        <v>89</v>
      </c>
      <c r="G277">
        <v>2</v>
      </c>
      <c r="H277" s="43">
        <v>9.25</v>
      </c>
    </row>
    <row r="278" spans="1:8" s="40" customFormat="1" x14ac:dyDescent="0.3">
      <c r="A278" s="41" t="s">
        <v>976</v>
      </c>
      <c r="B278" s="40">
        <f>D277*E278+G277*H278+J277*K278</f>
        <v>585.14469999999994</v>
      </c>
      <c r="E278" s="40">
        <v>17.171299999999999</v>
      </c>
      <c r="H278" s="40">
        <v>9.2459000000000007</v>
      </c>
    </row>
    <row r="279" spans="1:8" x14ac:dyDescent="0.3">
      <c r="A279" t="s">
        <v>536</v>
      </c>
      <c r="B279" s="43">
        <v>488.82</v>
      </c>
      <c r="C279" t="s">
        <v>31</v>
      </c>
      <c r="D279">
        <v>32</v>
      </c>
      <c r="E279" s="43">
        <v>14.53</v>
      </c>
      <c r="F279" t="s">
        <v>74</v>
      </c>
      <c r="G279">
        <v>2</v>
      </c>
      <c r="H279" s="43">
        <v>11.89</v>
      </c>
    </row>
    <row r="280" spans="1:8" s="40" customFormat="1" x14ac:dyDescent="0.3">
      <c r="A280" s="41" t="s">
        <v>976</v>
      </c>
      <c r="B280" s="40">
        <f>D279*E280+G279*H280+J279*K280</f>
        <v>488.8152</v>
      </c>
      <c r="E280" s="40">
        <v>14.532400000000001</v>
      </c>
      <c r="H280" s="40">
        <v>11.889200000000001</v>
      </c>
    </row>
    <row r="281" spans="1:8" x14ac:dyDescent="0.3">
      <c r="A281" t="s">
        <v>534</v>
      </c>
      <c r="B281" s="43">
        <v>488.82</v>
      </c>
      <c r="C281" t="s">
        <v>31</v>
      </c>
      <c r="D281">
        <v>32</v>
      </c>
      <c r="E281" s="43">
        <v>14.53</v>
      </c>
      <c r="F281" t="s">
        <v>74</v>
      </c>
      <c r="G281">
        <v>2</v>
      </c>
      <c r="H281" s="43">
        <v>11.89</v>
      </c>
    </row>
    <row r="282" spans="1:8" s="40" customFormat="1" x14ac:dyDescent="0.3">
      <c r="A282" s="41" t="s">
        <v>976</v>
      </c>
      <c r="B282" s="40">
        <f>D281*E282+G281*H282+J281*K282</f>
        <v>488.8152</v>
      </c>
      <c r="E282" s="40">
        <v>14.532400000000001</v>
      </c>
      <c r="H282" s="40">
        <v>11.889200000000001</v>
      </c>
    </row>
    <row r="283" spans="1:8" x14ac:dyDescent="0.3">
      <c r="A283" t="s">
        <v>535</v>
      </c>
      <c r="B283" s="43">
        <v>488.82</v>
      </c>
      <c r="C283" t="s">
        <v>31</v>
      </c>
      <c r="D283">
        <v>32</v>
      </c>
      <c r="E283" s="43">
        <v>14.53</v>
      </c>
      <c r="F283" t="s">
        <v>74</v>
      </c>
      <c r="G283">
        <v>2</v>
      </c>
      <c r="H283" s="43">
        <v>11.89</v>
      </c>
    </row>
    <row r="284" spans="1:8" s="40" customFormat="1" x14ac:dyDescent="0.3">
      <c r="A284" s="41" t="s">
        <v>976</v>
      </c>
      <c r="B284" s="40">
        <f>D283*E284+G283*H284+J283*K284</f>
        <v>488.8152</v>
      </c>
      <c r="E284" s="40">
        <v>14.532400000000001</v>
      </c>
      <c r="H284" s="40">
        <v>11.889200000000001</v>
      </c>
    </row>
    <row r="285" spans="1:8" x14ac:dyDescent="0.3">
      <c r="A285" t="s">
        <v>538</v>
      </c>
      <c r="B285" s="43">
        <v>301.16000000000003</v>
      </c>
      <c r="C285" t="s">
        <v>27</v>
      </c>
      <c r="D285">
        <v>30</v>
      </c>
      <c r="E285" s="43">
        <v>9.25</v>
      </c>
      <c r="F285" t="s">
        <v>72</v>
      </c>
      <c r="G285">
        <v>2</v>
      </c>
      <c r="H285" s="43">
        <v>11.89</v>
      </c>
    </row>
    <row r="286" spans="1:8" s="40" customFormat="1" x14ac:dyDescent="0.3">
      <c r="A286" s="41" t="s">
        <v>976</v>
      </c>
      <c r="B286" s="40">
        <f>D285*E286+G285*H286+J285*K286</f>
        <v>301.15539999999999</v>
      </c>
      <c r="E286" s="40">
        <v>9.2459000000000007</v>
      </c>
      <c r="H286" s="40">
        <v>11.889200000000001</v>
      </c>
    </row>
    <row r="287" spans="1:8" x14ac:dyDescent="0.3">
      <c r="A287" t="s">
        <v>537</v>
      </c>
      <c r="B287" s="43">
        <v>301.16000000000003</v>
      </c>
      <c r="C287" t="s">
        <v>27</v>
      </c>
      <c r="D287">
        <v>30</v>
      </c>
      <c r="E287" s="43">
        <v>9.25</v>
      </c>
      <c r="F287" t="s">
        <v>72</v>
      </c>
      <c r="G287">
        <v>2</v>
      </c>
      <c r="H287" s="43">
        <v>11.89</v>
      </c>
    </row>
    <row r="288" spans="1:8" s="40" customFormat="1" x14ac:dyDescent="0.3">
      <c r="A288" s="41" t="s">
        <v>976</v>
      </c>
      <c r="B288" s="40">
        <f>D287*E288+G287*H288+J287*K288</f>
        <v>301.15539999999999</v>
      </c>
      <c r="E288" s="40">
        <v>9.2459000000000007</v>
      </c>
      <c r="H288" s="40">
        <v>11.889200000000001</v>
      </c>
    </row>
    <row r="289" spans="1:8" x14ac:dyDescent="0.3">
      <c r="A289" t="s">
        <v>539</v>
      </c>
      <c r="B289" s="43">
        <v>380.45</v>
      </c>
      <c r="C289" t="s">
        <v>65</v>
      </c>
      <c r="D289">
        <v>30</v>
      </c>
      <c r="E289" s="43">
        <v>11.89</v>
      </c>
      <c r="F289" t="s">
        <v>72</v>
      </c>
      <c r="G289">
        <v>2</v>
      </c>
      <c r="H289" s="43">
        <v>11.89</v>
      </c>
    </row>
    <row r="290" spans="1:8" s="40" customFormat="1" x14ac:dyDescent="0.3">
      <c r="A290" s="41" t="s">
        <v>976</v>
      </c>
      <c r="B290" s="40">
        <f>D289*E290+G289*H290+J289*K290</f>
        <v>380.45440000000002</v>
      </c>
      <c r="E290" s="40">
        <v>11.889200000000001</v>
      </c>
      <c r="H290" s="40">
        <v>11.889200000000001</v>
      </c>
    </row>
    <row r="291" spans="1:8" x14ac:dyDescent="0.3">
      <c r="A291" t="s">
        <v>541</v>
      </c>
      <c r="B291" s="43">
        <v>380.45</v>
      </c>
      <c r="C291" t="s">
        <v>29</v>
      </c>
      <c r="D291">
        <v>30</v>
      </c>
      <c r="E291" s="43">
        <v>11.89</v>
      </c>
      <c r="F291" t="s">
        <v>74</v>
      </c>
      <c r="G291">
        <v>2</v>
      </c>
      <c r="H291" s="43">
        <v>11.89</v>
      </c>
    </row>
    <row r="292" spans="1:8" s="40" customFormat="1" x14ac:dyDescent="0.3">
      <c r="A292" s="41" t="s">
        <v>976</v>
      </c>
      <c r="B292" s="40">
        <f>D291*E292+G291*H292+J291*K292</f>
        <v>380.45440000000002</v>
      </c>
      <c r="E292" s="40">
        <v>11.889200000000001</v>
      </c>
      <c r="H292" s="40">
        <v>11.889200000000001</v>
      </c>
    </row>
    <row r="293" spans="1:8" x14ac:dyDescent="0.3">
      <c r="A293" t="s">
        <v>542</v>
      </c>
      <c r="B293" s="43">
        <v>459.75</v>
      </c>
      <c r="C293" t="s">
        <v>31</v>
      </c>
      <c r="D293">
        <v>30</v>
      </c>
      <c r="E293" s="43">
        <v>14.53</v>
      </c>
      <c r="F293" t="s">
        <v>74</v>
      </c>
      <c r="G293">
        <v>2</v>
      </c>
      <c r="H293" s="43">
        <v>11.89</v>
      </c>
    </row>
    <row r="294" spans="1:8" s="40" customFormat="1" x14ac:dyDescent="0.3">
      <c r="A294" s="41" t="s">
        <v>976</v>
      </c>
      <c r="B294" s="40">
        <f>D293*E294+G293*H294+J293*K294</f>
        <v>459.75040000000001</v>
      </c>
      <c r="E294" s="40">
        <v>14.532400000000001</v>
      </c>
      <c r="H294" s="40">
        <v>11.889200000000001</v>
      </c>
    </row>
    <row r="295" spans="1:8" x14ac:dyDescent="0.3">
      <c r="A295" t="s">
        <v>540</v>
      </c>
      <c r="B295" s="43">
        <v>301.16000000000003</v>
      </c>
      <c r="C295" t="s">
        <v>27</v>
      </c>
      <c r="D295">
        <v>30</v>
      </c>
      <c r="E295" s="43">
        <v>9.25</v>
      </c>
      <c r="F295" t="s">
        <v>72</v>
      </c>
      <c r="G295">
        <v>2</v>
      </c>
      <c r="H295" s="43">
        <v>11.89</v>
      </c>
    </row>
    <row r="296" spans="1:8" s="40" customFormat="1" x14ac:dyDescent="0.3">
      <c r="A296" s="41" t="s">
        <v>976</v>
      </c>
      <c r="B296" s="40">
        <f>D295*E296+G295*H296+J295*K296</f>
        <v>301.15539999999999</v>
      </c>
      <c r="E296" s="40">
        <v>9.2459000000000007</v>
      </c>
      <c r="H296" s="40">
        <v>11.889200000000001</v>
      </c>
    </row>
    <row r="297" spans="1:8" x14ac:dyDescent="0.3">
      <c r="A297" t="s">
        <v>543</v>
      </c>
      <c r="B297" s="43">
        <v>459.75</v>
      </c>
      <c r="C297" t="s">
        <v>31</v>
      </c>
      <c r="D297">
        <v>30</v>
      </c>
      <c r="E297" s="43">
        <v>14.53</v>
      </c>
      <c r="F297" t="s">
        <v>74</v>
      </c>
      <c r="G297">
        <v>2</v>
      </c>
      <c r="H297" s="43">
        <v>11.89</v>
      </c>
    </row>
    <row r="298" spans="1:8" s="40" customFormat="1" x14ac:dyDescent="0.3">
      <c r="A298" s="41" t="s">
        <v>976</v>
      </c>
      <c r="B298" s="40">
        <f>D297*E298+G297*H298+J297*K298</f>
        <v>459.75040000000001</v>
      </c>
      <c r="E298" s="40">
        <v>14.532400000000001</v>
      </c>
      <c r="H298" s="40">
        <v>11.889200000000001</v>
      </c>
    </row>
    <row r="299" spans="1:8" x14ac:dyDescent="0.3">
      <c r="A299" t="s">
        <v>545</v>
      </c>
      <c r="B299" s="43">
        <v>459.75</v>
      </c>
      <c r="C299" t="s">
        <v>31</v>
      </c>
      <c r="D299">
        <v>30</v>
      </c>
      <c r="E299" s="43">
        <v>14.53</v>
      </c>
      <c r="F299" t="s">
        <v>74</v>
      </c>
      <c r="G299">
        <v>2</v>
      </c>
      <c r="H299" s="43">
        <v>11.89</v>
      </c>
    </row>
    <row r="300" spans="1:8" s="40" customFormat="1" x14ac:dyDescent="0.3">
      <c r="A300" s="41" t="s">
        <v>976</v>
      </c>
      <c r="B300" s="40">
        <f>D299*E300+G299*H300+J299*K300</f>
        <v>459.75040000000001</v>
      </c>
      <c r="E300" s="40">
        <v>14.532400000000001</v>
      </c>
      <c r="H300" s="40">
        <v>11.889200000000001</v>
      </c>
    </row>
    <row r="301" spans="1:8" x14ac:dyDescent="0.3">
      <c r="A301" t="s">
        <v>544</v>
      </c>
      <c r="B301" s="43">
        <v>538.91999999999996</v>
      </c>
      <c r="C301" t="s">
        <v>69</v>
      </c>
      <c r="D301">
        <v>30</v>
      </c>
      <c r="E301" s="43">
        <v>17.170000000000002</v>
      </c>
      <c r="F301" t="s">
        <v>74</v>
      </c>
      <c r="G301">
        <v>2</v>
      </c>
      <c r="H301" s="43">
        <v>11.89</v>
      </c>
    </row>
    <row r="302" spans="1:8" s="40" customFormat="1" x14ac:dyDescent="0.3">
      <c r="A302" s="41" t="s">
        <v>976</v>
      </c>
      <c r="B302" s="40">
        <f>D301*E302+G301*H302+J301*K302</f>
        <v>538.91740000000004</v>
      </c>
      <c r="E302" s="40">
        <v>17.171299999999999</v>
      </c>
      <c r="H302" s="40">
        <v>11.889200000000001</v>
      </c>
    </row>
    <row r="303" spans="1:8" x14ac:dyDescent="0.3">
      <c r="A303" t="s">
        <v>546</v>
      </c>
      <c r="B303" s="43">
        <v>459.75</v>
      </c>
      <c r="C303" t="s">
        <v>31</v>
      </c>
      <c r="D303">
        <v>30</v>
      </c>
      <c r="E303" s="43">
        <v>14.53</v>
      </c>
      <c r="F303" t="s">
        <v>74</v>
      </c>
      <c r="G303">
        <v>2</v>
      </c>
      <c r="H303" s="43">
        <v>11.89</v>
      </c>
    </row>
    <row r="304" spans="1:8" s="40" customFormat="1" x14ac:dyDescent="0.3">
      <c r="A304" s="41" t="s">
        <v>976</v>
      </c>
      <c r="B304" s="40">
        <f>D303*E304+G303*H304+J303*K304</f>
        <v>459.75040000000001</v>
      </c>
      <c r="E304" s="40">
        <v>14.532400000000001</v>
      </c>
      <c r="H304" s="40">
        <v>11.889200000000001</v>
      </c>
    </row>
    <row r="305" spans="1:8" x14ac:dyDescent="0.3">
      <c r="A305" t="s">
        <v>548</v>
      </c>
      <c r="B305" s="43">
        <v>641.94000000000005</v>
      </c>
      <c r="C305" t="s">
        <v>33</v>
      </c>
      <c r="D305">
        <v>30</v>
      </c>
      <c r="E305" s="43">
        <v>19.809999999999999</v>
      </c>
      <c r="F305" t="s">
        <v>79</v>
      </c>
      <c r="G305">
        <v>2</v>
      </c>
      <c r="H305" s="43">
        <v>23.77</v>
      </c>
    </row>
    <row r="306" spans="1:8" s="40" customFormat="1" x14ac:dyDescent="0.3">
      <c r="A306" s="41" t="s">
        <v>976</v>
      </c>
      <c r="B306" s="40">
        <f>D305*E306+G305*H306+J305*K306</f>
        <v>641.93960000000004</v>
      </c>
      <c r="E306" s="40">
        <v>19.813500000000001</v>
      </c>
      <c r="H306" s="40">
        <v>23.767299999999999</v>
      </c>
    </row>
    <row r="307" spans="1:8" x14ac:dyDescent="0.3">
      <c r="A307" t="s">
        <v>547</v>
      </c>
      <c r="B307" s="43">
        <v>641.94000000000005</v>
      </c>
      <c r="C307" t="s">
        <v>33</v>
      </c>
      <c r="D307">
        <v>30</v>
      </c>
      <c r="E307" s="43">
        <v>19.809999999999999</v>
      </c>
      <c r="F307" t="s">
        <v>79</v>
      </c>
      <c r="G307">
        <v>2</v>
      </c>
      <c r="H307" s="43">
        <v>23.77</v>
      </c>
    </row>
    <row r="308" spans="1:8" s="40" customFormat="1" x14ac:dyDescent="0.3">
      <c r="A308" s="41" t="s">
        <v>976</v>
      </c>
      <c r="B308" s="40">
        <f>D307*E308+G307*H308+J307*K308</f>
        <v>641.93960000000004</v>
      </c>
      <c r="E308" s="40">
        <v>19.813500000000001</v>
      </c>
      <c r="H308" s="40">
        <v>23.767299999999999</v>
      </c>
    </row>
    <row r="309" spans="1:8" x14ac:dyDescent="0.3">
      <c r="A309" t="s">
        <v>549</v>
      </c>
      <c r="B309" s="43">
        <v>721.19</v>
      </c>
      <c r="C309" t="s">
        <v>35</v>
      </c>
      <c r="D309">
        <v>30</v>
      </c>
      <c r="E309" s="43">
        <v>22.46</v>
      </c>
      <c r="F309" t="s">
        <v>79</v>
      </c>
      <c r="G309">
        <v>2</v>
      </c>
      <c r="H309" s="43">
        <v>23.77</v>
      </c>
    </row>
    <row r="310" spans="1:8" s="40" customFormat="1" x14ac:dyDescent="0.3">
      <c r="A310" s="41" t="s">
        <v>976</v>
      </c>
      <c r="B310" s="40">
        <f>D309*E310+G309*H310+J309*K310</f>
        <v>721.18759999999997</v>
      </c>
      <c r="E310" s="40">
        <v>22.455100000000002</v>
      </c>
      <c r="H310" s="40">
        <v>23.767299999999999</v>
      </c>
    </row>
    <row r="311" spans="1:8" x14ac:dyDescent="0.3">
      <c r="A311" t="s">
        <v>551</v>
      </c>
      <c r="B311" s="43">
        <v>499.28</v>
      </c>
      <c r="C311" t="s">
        <v>43</v>
      </c>
      <c r="D311">
        <v>30</v>
      </c>
      <c r="E311" s="43">
        <v>15.85</v>
      </c>
      <c r="F311" t="s">
        <v>74</v>
      </c>
      <c r="G311">
        <v>2</v>
      </c>
      <c r="H311" s="43">
        <v>11.89</v>
      </c>
    </row>
    <row r="312" spans="1:8" s="40" customFormat="1" x14ac:dyDescent="0.3">
      <c r="A312" s="41" t="s">
        <v>976</v>
      </c>
      <c r="B312" s="40">
        <f>D311*E312+G311*H312+J311*K312</f>
        <v>499.28439999999995</v>
      </c>
      <c r="E312" s="40">
        <v>15.850199999999999</v>
      </c>
      <c r="H312" s="40">
        <v>11.889200000000001</v>
      </c>
    </row>
    <row r="313" spans="1:8" x14ac:dyDescent="0.3">
      <c r="A313" t="s">
        <v>550</v>
      </c>
      <c r="B313" s="43">
        <v>499.28</v>
      </c>
      <c r="C313" t="s">
        <v>43</v>
      </c>
      <c r="D313">
        <v>30</v>
      </c>
      <c r="E313" s="43">
        <v>15.85</v>
      </c>
      <c r="F313" t="s">
        <v>74</v>
      </c>
      <c r="G313">
        <v>2</v>
      </c>
      <c r="H313" s="43">
        <v>11.89</v>
      </c>
    </row>
    <row r="314" spans="1:8" s="40" customFormat="1" x14ac:dyDescent="0.3">
      <c r="A314" s="41" t="s">
        <v>976</v>
      </c>
      <c r="B314" s="40">
        <f>D313*E314+G313*H314+J313*K314</f>
        <v>499.28439999999995</v>
      </c>
      <c r="E314" s="40">
        <v>15.850199999999999</v>
      </c>
      <c r="H314" s="40">
        <v>11.889200000000001</v>
      </c>
    </row>
    <row r="315" spans="1:8" x14ac:dyDescent="0.3">
      <c r="A315" t="s">
        <v>552</v>
      </c>
      <c r="B315" s="43">
        <v>840.07</v>
      </c>
      <c r="C315" t="s">
        <v>47</v>
      </c>
      <c r="D315">
        <v>30</v>
      </c>
      <c r="E315" s="43">
        <v>26.42</v>
      </c>
      <c r="F315" t="s">
        <v>79</v>
      </c>
      <c r="G315">
        <v>2</v>
      </c>
      <c r="H315" s="43">
        <v>23.77</v>
      </c>
    </row>
    <row r="316" spans="1:8" s="40" customFormat="1" x14ac:dyDescent="0.3">
      <c r="A316" s="41" t="s">
        <v>976</v>
      </c>
      <c r="B316" s="40">
        <f>D315*E316+G315*H316+J315*K316</f>
        <v>840.06859999999995</v>
      </c>
      <c r="E316" s="40">
        <v>26.4178</v>
      </c>
      <c r="H316" s="40">
        <v>23.767299999999999</v>
      </c>
    </row>
    <row r="317" spans="1:8" x14ac:dyDescent="0.3">
      <c r="A317" t="s">
        <v>553</v>
      </c>
      <c r="B317" s="43">
        <v>375.17</v>
      </c>
      <c r="C317" t="s">
        <v>65</v>
      </c>
      <c r="D317">
        <v>30</v>
      </c>
      <c r="E317" s="43">
        <v>11.89</v>
      </c>
      <c r="F317" t="s">
        <v>87</v>
      </c>
      <c r="G317">
        <v>2</v>
      </c>
      <c r="H317" s="43">
        <v>9.25</v>
      </c>
    </row>
    <row r="318" spans="1:8" s="40" customFormat="1" x14ac:dyDescent="0.3">
      <c r="A318" s="41" t="s">
        <v>976</v>
      </c>
      <c r="B318" s="40">
        <f>D317*E318+G317*H318+J317*K318</f>
        <v>375.16780000000006</v>
      </c>
      <c r="E318" s="40">
        <v>11.889200000000001</v>
      </c>
      <c r="H318" s="40">
        <v>9.2459000000000007</v>
      </c>
    </row>
    <row r="319" spans="1:8" x14ac:dyDescent="0.3">
      <c r="A319" t="s">
        <v>555</v>
      </c>
      <c r="B319" s="43">
        <v>375.17</v>
      </c>
      <c r="C319" t="s">
        <v>29</v>
      </c>
      <c r="D319">
        <v>30</v>
      </c>
      <c r="E319" s="43">
        <v>11.89</v>
      </c>
      <c r="F319" t="s">
        <v>89</v>
      </c>
      <c r="G319">
        <v>2</v>
      </c>
      <c r="H319" s="43">
        <v>9.25</v>
      </c>
    </row>
    <row r="320" spans="1:8" s="40" customFormat="1" x14ac:dyDescent="0.3">
      <c r="A320" s="41" t="s">
        <v>976</v>
      </c>
      <c r="B320" s="40">
        <f>D319*E320+G319*H320+J319*K320</f>
        <v>375.16780000000006</v>
      </c>
      <c r="E320" s="40">
        <v>11.889200000000001</v>
      </c>
      <c r="H320" s="40">
        <v>9.2459000000000007</v>
      </c>
    </row>
    <row r="321" spans="1:11" x14ac:dyDescent="0.3">
      <c r="A321" t="s">
        <v>554</v>
      </c>
      <c r="B321" s="43">
        <v>634.02</v>
      </c>
      <c r="C321" t="s">
        <v>53</v>
      </c>
      <c r="D321">
        <v>30</v>
      </c>
      <c r="E321" s="43">
        <v>21.13</v>
      </c>
    </row>
    <row r="322" spans="1:11" s="40" customFormat="1" x14ac:dyDescent="0.3">
      <c r="A322" s="41" t="s">
        <v>976</v>
      </c>
      <c r="B322" s="40">
        <f>D321*E322+G321*H322+J321*K322</f>
        <v>634.02</v>
      </c>
      <c r="E322" s="40">
        <v>21.134</v>
      </c>
    </row>
    <row r="323" spans="1:11" x14ac:dyDescent="0.3">
      <c r="A323" t="s">
        <v>557</v>
      </c>
      <c r="B323" s="43">
        <v>430.69</v>
      </c>
      <c r="C323" t="s">
        <v>31</v>
      </c>
      <c r="D323">
        <v>28</v>
      </c>
      <c r="E323" s="43">
        <v>14.53</v>
      </c>
      <c r="F323" t="s">
        <v>74</v>
      </c>
      <c r="G323">
        <v>2</v>
      </c>
      <c r="H323" s="43">
        <v>11.89</v>
      </c>
    </row>
    <row r="324" spans="1:11" s="40" customFormat="1" x14ac:dyDescent="0.3">
      <c r="A324" s="41" t="s">
        <v>976</v>
      </c>
      <c r="B324" s="40">
        <f>D323*E324+G323*H324+J323*K324</f>
        <v>430.68560000000002</v>
      </c>
      <c r="E324" s="40">
        <v>14.532400000000001</v>
      </c>
      <c r="H324" s="40">
        <v>11.889200000000001</v>
      </c>
    </row>
    <row r="325" spans="1:11" x14ac:dyDescent="0.3">
      <c r="A325" t="s">
        <v>556</v>
      </c>
      <c r="B325" s="43">
        <v>504.57</v>
      </c>
      <c r="C325" t="s">
        <v>69</v>
      </c>
      <c r="D325">
        <v>28</v>
      </c>
      <c r="E325" s="43">
        <v>17.170000000000002</v>
      </c>
      <c r="F325" t="s">
        <v>74</v>
      </c>
      <c r="G325">
        <v>2</v>
      </c>
      <c r="H325" s="43">
        <v>11.89</v>
      </c>
    </row>
    <row r="326" spans="1:11" s="40" customFormat="1" x14ac:dyDescent="0.3">
      <c r="A326" s="41" t="s">
        <v>976</v>
      </c>
      <c r="B326" s="40">
        <f>D325*E326+G325*H326+J325*K326</f>
        <v>504.57479999999993</v>
      </c>
      <c r="E326" s="40">
        <v>17.171299999999999</v>
      </c>
      <c r="H326" s="40">
        <v>11.889200000000001</v>
      </c>
    </row>
    <row r="327" spans="1:11" x14ac:dyDescent="0.3">
      <c r="A327" t="s">
        <v>559</v>
      </c>
      <c r="B327" s="43">
        <v>430.69</v>
      </c>
      <c r="C327" t="s">
        <v>31</v>
      </c>
      <c r="D327">
        <v>28</v>
      </c>
      <c r="E327" s="43">
        <v>14.53</v>
      </c>
      <c r="F327" t="s">
        <v>74</v>
      </c>
      <c r="G327">
        <v>2</v>
      </c>
      <c r="H327" s="43">
        <v>11.89</v>
      </c>
    </row>
    <row r="328" spans="1:11" s="40" customFormat="1" x14ac:dyDescent="0.3">
      <c r="A328" s="41" t="s">
        <v>976</v>
      </c>
      <c r="B328" s="40">
        <f>D327*E328+G327*H328+J327*K328</f>
        <v>430.68560000000002</v>
      </c>
      <c r="E328" s="40">
        <v>14.532400000000001</v>
      </c>
      <c r="H328" s="40">
        <v>11.889200000000001</v>
      </c>
    </row>
    <row r="329" spans="1:11" x14ac:dyDescent="0.3">
      <c r="A329" t="s">
        <v>558</v>
      </c>
      <c r="B329" s="43">
        <v>406.91</v>
      </c>
      <c r="C329" t="s">
        <v>31</v>
      </c>
      <c r="D329">
        <v>28</v>
      </c>
      <c r="E329" s="43">
        <v>14.53</v>
      </c>
    </row>
    <row r="330" spans="1:11" s="40" customFormat="1" x14ac:dyDescent="0.3">
      <c r="A330" s="41" t="s">
        <v>976</v>
      </c>
      <c r="B330" s="40">
        <f>D329*E330+G329*H330+J329*K330</f>
        <v>406.90720000000005</v>
      </c>
      <c r="E330" s="40">
        <v>14.532400000000001</v>
      </c>
    </row>
    <row r="331" spans="1:11" x14ac:dyDescent="0.3">
      <c r="A331" t="s">
        <v>563</v>
      </c>
      <c r="B331" s="43">
        <v>530.99</v>
      </c>
      <c r="C331" t="s">
        <v>53</v>
      </c>
      <c r="D331">
        <v>24</v>
      </c>
      <c r="E331" s="43">
        <v>21.13</v>
      </c>
      <c r="F331" t="s">
        <v>81</v>
      </c>
      <c r="G331">
        <v>2</v>
      </c>
      <c r="H331" s="43">
        <v>11.89</v>
      </c>
    </row>
    <row r="332" spans="1:11" s="40" customFormat="1" x14ac:dyDescent="0.3">
      <c r="A332" s="41" t="s">
        <v>976</v>
      </c>
      <c r="B332" s="40">
        <f>D331*E332+G331*H332+J331*K332</f>
        <v>530.99440000000004</v>
      </c>
      <c r="E332" s="40">
        <v>21.134</v>
      </c>
      <c r="H332" s="40">
        <v>11.889200000000001</v>
      </c>
    </row>
    <row r="333" spans="1:11" x14ac:dyDescent="0.3">
      <c r="A333" t="s">
        <v>560</v>
      </c>
      <c r="B333" s="43">
        <v>760.73</v>
      </c>
      <c r="C333" t="s">
        <v>57</v>
      </c>
      <c r="D333">
        <v>26</v>
      </c>
      <c r="E333" s="43">
        <v>23.78</v>
      </c>
      <c r="F333" t="s">
        <v>119</v>
      </c>
      <c r="G333">
        <v>2</v>
      </c>
      <c r="H333">
        <v>15.85</v>
      </c>
      <c r="I333" t="s">
        <v>137</v>
      </c>
      <c r="J333">
        <v>28</v>
      </c>
      <c r="K333">
        <v>3.96</v>
      </c>
    </row>
    <row r="334" spans="1:11" s="40" customFormat="1" x14ac:dyDescent="0.3">
      <c r="A334" s="41" t="s">
        <v>976</v>
      </c>
      <c r="B334" s="40">
        <f>D333*E334+G333*H334+J333*K334</f>
        <v>760.726</v>
      </c>
      <c r="E334" s="40">
        <v>23.775600000000001</v>
      </c>
      <c r="H334" s="40">
        <v>15.848599999999999</v>
      </c>
      <c r="K334" s="40">
        <v>3.9594</v>
      </c>
    </row>
    <row r="335" spans="1:11" x14ac:dyDescent="0.3">
      <c r="A335" t="s">
        <v>561</v>
      </c>
      <c r="B335" s="43">
        <v>530.99</v>
      </c>
      <c r="C335" t="s">
        <v>53</v>
      </c>
      <c r="D335">
        <v>24</v>
      </c>
      <c r="E335" s="43">
        <v>21.13</v>
      </c>
      <c r="F335" t="s">
        <v>81</v>
      </c>
      <c r="G335">
        <v>2</v>
      </c>
      <c r="H335">
        <v>11.89</v>
      </c>
    </row>
    <row r="336" spans="1:11" s="40" customFormat="1" x14ac:dyDescent="0.3">
      <c r="A336" s="41" t="s">
        <v>976</v>
      </c>
      <c r="B336" s="40">
        <f>D335*E336+G335*H336+J335*K336</f>
        <v>530.99440000000004</v>
      </c>
      <c r="E336" s="40">
        <v>21.134</v>
      </c>
      <c r="H336" s="40">
        <v>11.889200000000001</v>
      </c>
    </row>
    <row r="337" spans="1:8" x14ac:dyDescent="0.3">
      <c r="A337" t="s">
        <v>562</v>
      </c>
      <c r="B337" s="43">
        <v>594.39</v>
      </c>
      <c r="C337" t="s">
        <v>57</v>
      </c>
      <c r="D337">
        <v>24</v>
      </c>
      <c r="E337" s="43">
        <v>23.78</v>
      </c>
      <c r="F337" t="s">
        <v>83</v>
      </c>
      <c r="G337">
        <v>2</v>
      </c>
      <c r="H337" s="43">
        <v>11.89</v>
      </c>
    </row>
    <row r="338" spans="1:8" s="40" customFormat="1" x14ac:dyDescent="0.3">
      <c r="A338" s="41" t="s">
        <v>976</v>
      </c>
      <c r="B338" s="40">
        <f>D337*E338+G337*H338+J337*K338</f>
        <v>594.39280000000008</v>
      </c>
      <c r="E338" s="40">
        <v>23.775600000000001</v>
      </c>
      <c r="H338" s="40">
        <v>11.889200000000001</v>
      </c>
    </row>
    <row r="339" spans="1:8" x14ac:dyDescent="0.3">
      <c r="A339" t="s">
        <v>564</v>
      </c>
      <c r="B339" s="43">
        <v>594.39</v>
      </c>
      <c r="C339" t="s">
        <v>57</v>
      </c>
      <c r="D339">
        <v>24</v>
      </c>
      <c r="E339" s="43">
        <v>23.78</v>
      </c>
      <c r="F339" t="s">
        <v>83</v>
      </c>
      <c r="G339">
        <v>2</v>
      </c>
      <c r="H339" s="43">
        <v>11.89</v>
      </c>
    </row>
    <row r="340" spans="1:8" s="40" customFormat="1" x14ac:dyDescent="0.3">
      <c r="A340" s="41" t="s">
        <v>976</v>
      </c>
      <c r="B340" s="40">
        <f>D339*E340+G339*H340+J339*K340</f>
        <v>594.39280000000008</v>
      </c>
      <c r="E340" s="40">
        <v>23.775600000000001</v>
      </c>
      <c r="H340" s="40">
        <v>11.889200000000001</v>
      </c>
    </row>
    <row r="341" spans="1:8" x14ac:dyDescent="0.3">
      <c r="A341" t="s">
        <v>565</v>
      </c>
      <c r="B341" s="43">
        <v>681.56</v>
      </c>
      <c r="C341" t="s">
        <v>59</v>
      </c>
      <c r="D341">
        <v>24</v>
      </c>
      <c r="E341" s="43">
        <v>26.42</v>
      </c>
      <c r="F341" t="s">
        <v>85</v>
      </c>
      <c r="G341">
        <v>2</v>
      </c>
      <c r="H341" s="43">
        <v>23.77</v>
      </c>
    </row>
    <row r="342" spans="1:8" s="40" customFormat="1" x14ac:dyDescent="0.3">
      <c r="A342" s="41" t="s">
        <v>976</v>
      </c>
      <c r="B342" s="40">
        <f>D341*E342+G341*H342+J341*K342</f>
        <v>681.56179999999995</v>
      </c>
      <c r="E342" s="40">
        <v>26.4178</v>
      </c>
      <c r="H342" s="40">
        <v>23.767299999999999</v>
      </c>
    </row>
    <row r="343" spans="1:8" x14ac:dyDescent="0.3">
      <c r="A343" t="s">
        <v>570</v>
      </c>
      <c r="B343" s="43">
        <v>681.56</v>
      </c>
      <c r="C343" t="s">
        <v>59</v>
      </c>
      <c r="D343">
        <v>24</v>
      </c>
      <c r="E343" s="43">
        <v>26.42</v>
      </c>
      <c r="F343" t="s">
        <v>85</v>
      </c>
      <c r="G343">
        <v>2</v>
      </c>
      <c r="H343" s="43">
        <v>23.77</v>
      </c>
    </row>
    <row r="344" spans="1:8" s="40" customFormat="1" x14ac:dyDescent="0.3">
      <c r="A344" s="41" t="s">
        <v>976</v>
      </c>
      <c r="B344" s="40">
        <f>D343*E344+G343*H344+J343*K344</f>
        <v>681.56179999999995</v>
      </c>
      <c r="E344" s="40">
        <v>26.4178</v>
      </c>
      <c r="H344" s="40">
        <v>23.767299999999999</v>
      </c>
    </row>
    <row r="345" spans="1:8" x14ac:dyDescent="0.3">
      <c r="A345" t="s">
        <v>568</v>
      </c>
      <c r="B345" s="43">
        <v>840.07</v>
      </c>
      <c r="C345" t="s">
        <v>61</v>
      </c>
      <c r="D345">
        <v>24</v>
      </c>
      <c r="E345" s="43">
        <v>33.020000000000003</v>
      </c>
      <c r="F345" t="s">
        <v>85</v>
      </c>
      <c r="G345">
        <v>2</v>
      </c>
      <c r="H345" s="43">
        <v>23.77</v>
      </c>
    </row>
    <row r="346" spans="1:8" s="40" customFormat="1" x14ac:dyDescent="0.3">
      <c r="A346" s="41" t="s">
        <v>976</v>
      </c>
      <c r="B346" s="40">
        <f>D345*E346+G345*H346+J345*K346</f>
        <v>840.06500000000005</v>
      </c>
      <c r="E346" s="40">
        <v>33.022100000000002</v>
      </c>
      <c r="H346" s="40">
        <v>23.767299999999999</v>
      </c>
    </row>
    <row r="347" spans="1:8" x14ac:dyDescent="0.3">
      <c r="A347" t="s">
        <v>566</v>
      </c>
      <c r="B347" s="43">
        <v>681.56</v>
      </c>
      <c r="C347" t="s">
        <v>59</v>
      </c>
      <c r="D347">
        <v>24</v>
      </c>
      <c r="E347" s="43">
        <v>26.42</v>
      </c>
      <c r="F347" t="s">
        <v>85</v>
      </c>
      <c r="G347">
        <v>2</v>
      </c>
      <c r="H347" s="43">
        <v>23.77</v>
      </c>
    </row>
    <row r="348" spans="1:8" s="40" customFormat="1" x14ac:dyDescent="0.3">
      <c r="A348" s="41" t="s">
        <v>976</v>
      </c>
      <c r="B348" s="40">
        <f>D347*E348+G347*H348+J347*K348</f>
        <v>681.56179999999995</v>
      </c>
      <c r="E348" s="40">
        <v>26.4178</v>
      </c>
      <c r="H348" s="40">
        <v>23.767299999999999</v>
      </c>
    </row>
    <row r="349" spans="1:8" x14ac:dyDescent="0.3">
      <c r="A349" t="s">
        <v>571</v>
      </c>
      <c r="B349" s="43">
        <v>182.24</v>
      </c>
      <c r="C349" t="s">
        <v>24</v>
      </c>
      <c r="D349">
        <v>24</v>
      </c>
      <c r="E349" s="43">
        <v>6.6</v>
      </c>
      <c r="F349" t="s">
        <v>72</v>
      </c>
      <c r="G349">
        <v>2</v>
      </c>
      <c r="H349" s="43">
        <v>11.89</v>
      </c>
    </row>
    <row r="350" spans="1:8" s="40" customFormat="1" x14ac:dyDescent="0.3">
      <c r="A350" s="41" t="s">
        <v>976</v>
      </c>
      <c r="B350" s="40">
        <f>D349*E350+G349*H350+J349*K350</f>
        <v>182.24080000000001</v>
      </c>
      <c r="E350" s="40">
        <v>6.6025999999999998</v>
      </c>
      <c r="H350" s="40">
        <v>11.889200000000001</v>
      </c>
    </row>
    <row r="351" spans="1:8" x14ac:dyDescent="0.3">
      <c r="A351" t="s">
        <v>572</v>
      </c>
      <c r="B351" s="43">
        <v>245.68</v>
      </c>
      <c r="C351" t="s">
        <v>27</v>
      </c>
      <c r="D351">
        <v>24</v>
      </c>
      <c r="E351" s="43">
        <v>9.25</v>
      </c>
      <c r="F351" t="s">
        <v>72</v>
      </c>
      <c r="G351">
        <v>2</v>
      </c>
      <c r="H351" s="43">
        <v>11.89</v>
      </c>
    </row>
    <row r="352" spans="1:8" s="40" customFormat="1" x14ac:dyDescent="0.3">
      <c r="A352" s="41" t="s">
        <v>976</v>
      </c>
      <c r="B352" s="40">
        <f>D351*E352+G351*H352+J351*K352</f>
        <v>245.68000000000004</v>
      </c>
      <c r="E352" s="40">
        <v>9.2459000000000007</v>
      </c>
      <c r="H352" s="40">
        <v>11.889200000000001</v>
      </c>
    </row>
    <row r="353" spans="1:8" x14ac:dyDescent="0.3">
      <c r="A353" t="s">
        <v>574</v>
      </c>
      <c r="B353" s="43">
        <v>309.12</v>
      </c>
      <c r="C353" t="s">
        <v>65</v>
      </c>
      <c r="D353">
        <v>24</v>
      </c>
      <c r="E353" s="43">
        <v>11.89</v>
      </c>
      <c r="F353" t="s">
        <v>72</v>
      </c>
      <c r="G353">
        <v>2</v>
      </c>
      <c r="H353" s="43">
        <v>11.89</v>
      </c>
    </row>
    <row r="354" spans="1:8" s="40" customFormat="1" x14ac:dyDescent="0.3">
      <c r="A354" s="41" t="s">
        <v>976</v>
      </c>
      <c r="B354" s="40">
        <f>D353*E354+G353*H354+J353*K354</f>
        <v>309.11919999999998</v>
      </c>
      <c r="E354" s="40">
        <v>11.889200000000001</v>
      </c>
      <c r="H354" s="40">
        <v>11.889200000000001</v>
      </c>
    </row>
    <row r="355" spans="1:8" x14ac:dyDescent="0.3">
      <c r="A355" t="s">
        <v>576</v>
      </c>
      <c r="B355" s="43">
        <v>245.68</v>
      </c>
      <c r="C355" t="s">
        <v>27</v>
      </c>
      <c r="D355">
        <v>24</v>
      </c>
      <c r="E355" s="43">
        <v>9.25</v>
      </c>
      <c r="F355" t="s">
        <v>72</v>
      </c>
      <c r="G355">
        <v>2</v>
      </c>
      <c r="H355" s="43">
        <v>11.89</v>
      </c>
    </row>
    <row r="356" spans="1:8" s="40" customFormat="1" x14ac:dyDescent="0.3">
      <c r="A356" s="41" t="s">
        <v>976</v>
      </c>
      <c r="B356" s="40">
        <f>D355*E356+G355*H356+J355*K356</f>
        <v>245.68000000000004</v>
      </c>
      <c r="E356" s="40">
        <v>9.2459000000000007</v>
      </c>
      <c r="H356" s="40">
        <v>11.889200000000001</v>
      </c>
    </row>
    <row r="357" spans="1:8" x14ac:dyDescent="0.3">
      <c r="A357" t="s">
        <v>573</v>
      </c>
      <c r="B357" s="43">
        <v>245.68</v>
      </c>
      <c r="C357" t="s">
        <v>27</v>
      </c>
      <c r="D357">
        <v>24</v>
      </c>
      <c r="E357" s="43">
        <v>9.25</v>
      </c>
      <c r="F357" t="s">
        <v>72</v>
      </c>
      <c r="G357">
        <v>2</v>
      </c>
      <c r="H357" s="43">
        <v>11.89</v>
      </c>
    </row>
    <row r="358" spans="1:8" s="40" customFormat="1" x14ac:dyDescent="0.3">
      <c r="A358" s="41" t="s">
        <v>976</v>
      </c>
      <c r="B358" s="40">
        <f>D357*E358+G357*H358+J357*K358</f>
        <v>245.68000000000004</v>
      </c>
      <c r="E358" s="40">
        <v>9.2459000000000007</v>
      </c>
      <c r="H358" s="40">
        <v>11.889200000000001</v>
      </c>
    </row>
    <row r="359" spans="1:8" x14ac:dyDescent="0.3">
      <c r="A359" t="s">
        <v>575</v>
      </c>
      <c r="B359" s="43">
        <v>245.68</v>
      </c>
      <c r="C359" t="s">
        <v>27</v>
      </c>
      <c r="D359">
        <v>24</v>
      </c>
      <c r="E359" s="43">
        <v>9.25</v>
      </c>
      <c r="F359" t="s">
        <v>72</v>
      </c>
      <c r="G359">
        <v>2</v>
      </c>
      <c r="H359" s="43">
        <v>11.89</v>
      </c>
    </row>
    <row r="360" spans="1:8" s="40" customFormat="1" x14ac:dyDescent="0.3">
      <c r="A360" s="41" t="s">
        <v>976</v>
      </c>
      <c r="B360" s="40">
        <f>D359*E360+G359*H360+J359*K360</f>
        <v>245.68000000000004</v>
      </c>
      <c r="E360" s="40">
        <v>9.2459000000000007</v>
      </c>
      <c r="H360" s="40">
        <v>11.889200000000001</v>
      </c>
    </row>
    <row r="361" spans="1:8" x14ac:dyDescent="0.3">
      <c r="A361" t="s">
        <v>577</v>
      </c>
      <c r="B361" s="43">
        <v>309.12</v>
      </c>
      <c r="C361" t="s">
        <v>65</v>
      </c>
      <c r="D361">
        <v>24</v>
      </c>
      <c r="E361" s="43">
        <v>11.89</v>
      </c>
      <c r="F361" t="s">
        <v>72</v>
      </c>
      <c r="G361">
        <v>2</v>
      </c>
      <c r="H361" s="43">
        <v>11.89</v>
      </c>
    </row>
    <row r="362" spans="1:8" s="40" customFormat="1" x14ac:dyDescent="0.3">
      <c r="A362" s="41" t="s">
        <v>976</v>
      </c>
      <c r="B362" s="40">
        <f>D361*E362+G361*H362+J361*K362</f>
        <v>309.11919999999998</v>
      </c>
      <c r="E362" s="40">
        <v>11.889200000000001</v>
      </c>
      <c r="H362" s="40">
        <v>11.889200000000001</v>
      </c>
    </row>
    <row r="363" spans="1:8" x14ac:dyDescent="0.3">
      <c r="A363" t="s">
        <v>578</v>
      </c>
      <c r="B363" s="43">
        <v>245.68</v>
      </c>
      <c r="C363" t="s">
        <v>27</v>
      </c>
      <c r="D363">
        <v>24</v>
      </c>
      <c r="E363" s="43">
        <v>9.25</v>
      </c>
      <c r="F363" t="s">
        <v>72</v>
      </c>
      <c r="G363">
        <v>2</v>
      </c>
      <c r="H363" s="43">
        <v>11.89</v>
      </c>
    </row>
    <row r="364" spans="1:8" s="40" customFormat="1" x14ac:dyDescent="0.3">
      <c r="A364" s="41" t="s">
        <v>976</v>
      </c>
      <c r="B364" s="40">
        <f>D363*E364+G363*H364+J363*K364</f>
        <v>245.68000000000004</v>
      </c>
      <c r="E364" s="40">
        <v>9.2459000000000007</v>
      </c>
      <c r="H364" s="40">
        <v>11.889200000000001</v>
      </c>
    </row>
    <row r="365" spans="1:8" x14ac:dyDescent="0.3">
      <c r="A365" t="s">
        <v>579</v>
      </c>
      <c r="B365" s="43">
        <v>245.68</v>
      </c>
      <c r="C365" t="s">
        <v>27</v>
      </c>
      <c r="D365">
        <v>24</v>
      </c>
      <c r="E365" s="43">
        <v>9.25</v>
      </c>
      <c r="F365" t="s">
        <v>72</v>
      </c>
      <c r="G365">
        <v>2</v>
      </c>
      <c r="H365" s="43">
        <v>11.89</v>
      </c>
    </row>
    <row r="366" spans="1:8" s="40" customFormat="1" x14ac:dyDescent="0.3">
      <c r="A366" s="41" t="s">
        <v>976</v>
      </c>
      <c r="B366" s="40">
        <f>D365*E366+G365*H366+J365*K366</f>
        <v>245.68000000000004</v>
      </c>
      <c r="E366" s="40">
        <v>9.2459000000000007</v>
      </c>
      <c r="H366" s="40">
        <v>11.889200000000001</v>
      </c>
    </row>
    <row r="367" spans="1:8" x14ac:dyDescent="0.3">
      <c r="A367" t="s">
        <v>581</v>
      </c>
      <c r="B367" s="43">
        <v>309.12</v>
      </c>
      <c r="C367" t="s">
        <v>65</v>
      </c>
      <c r="D367">
        <v>24</v>
      </c>
      <c r="E367" s="43">
        <v>11.89</v>
      </c>
      <c r="F367" t="s">
        <v>72</v>
      </c>
      <c r="G367">
        <v>2</v>
      </c>
      <c r="H367" s="43">
        <v>11.89</v>
      </c>
    </row>
    <row r="368" spans="1:8" s="40" customFormat="1" x14ac:dyDescent="0.3">
      <c r="A368" s="41" t="s">
        <v>976</v>
      </c>
      <c r="B368" s="40">
        <f>D367*E368+G367*H368+J367*K368</f>
        <v>309.11919999999998</v>
      </c>
      <c r="E368" s="40">
        <v>11.889200000000001</v>
      </c>
      <c r="H368" s="40">
        <v>11.889200000000001</v>
      </c>
    </row>
    <row r="369" spans="1:8" x14ac:dyDescent="0.3">
      <c r="A369" t="s">
        <v>580</v>
      </c>
      <c r="B369" s="43">
        <v>245.68</v>
      </c>
      <c r="C369" t="s">
        <v>27</v>
      </c>
      <c r="D369">
        <v>24</v>
      </c>
      <c r="E369" s="43">
        <v>9.25</v>
      </c>
      <c r="F369" t="s">
        <v>72</v>
      </c>
      <c r="G369">
        <v>2</v>
      </c>
      <c r="H369" s="43">
        <v>11.89</v>
      </c>
    </row>
    <row r="370" spans="1:8" s="40" customFormat="1" x14ac:dyDescent="0.3">
      <c r="A370" s="41" t="s">
        <v>976</v>
      </c>
      <c r="B370" s="40">
        <f>D369*E370+G369*H370+J369*K370</f>
        <v>245.68000000000004</v>
      </c>
      <c r="E370" s="40">
        <v>9.2459000000000007</v>
      </c>
      <c r="H370" s="40">
        <v>11.889200000000001</v>
      </c>
    </row>
    <row r="371" spans="1:8" x14ac:dyDescent="0.3">
      <c r="A371" t="s">
        <v>582</v>
      </c>
      <c r="B371" s="43">
        <v>245.68</v>
      </c>
      <c r="C371" t="s">
        <v>27</v>
      </c>
      <c r="D371">
        <v>24</v>
      </c>
      <c r="E371" s="43">
        <v>9.25</v>
      </c>
      <c r="F371" t="s">
        <v>72</v>
      </c>
      <c r="G371">
        <v>2</v>
      </c>
      <c r="H371" s="43">
        <v>11.89</v>
      </c>
    </row>
    <row r="372" spans="1:8" s="40" customFormat="1" x14ac:dyDescent="0.3">
      <c r="A372" s="41" t="s">
        <v>976</v>
      </c>
      <c r="B372" s="40">
        <f>D371*E372+G371*H372+J371*K372</f>
        <v>245.68000000000004</v>
      </c>
      <c r="E372" s="40">
        <v>9.2459000000000007</v>
      </c>
      <c r="H372" s="40">
        <v>11.889200000000001</v>
      </c>
    </row>
    <row r="373" spans="1:8" x14ac:dyDescent="0.3">
      <c r="A373" t="s">
        <v>601</v>
      </c>
      <c r="B373" s="43">
        <v>309.12</v>
      </c>
      <c r="C373" t="s">
        <v>29</v>
      </c>
      <c r="D373">
        <v>24</v>
      </c>
      <c r="E373" s="43">
        <v>11.89</v>
      </c>
      <c r="F373" t="s">
        <v>74</v>
      </c>
      <c r="G373">
        <v>2</v>
      </c>
      <c r="H373" s="43">
        <v>11.89</v>
      </c>
    </row>
    <row r="374" spans="1:8" s="40" customFormat="1" x14ac:dyDescent="0.3">
      <c r="A374" s="41" t="s">
        <v>976</v>
      </c>
      <c r="B374" s="40">
        <f>D373*E374+G373*H374+J373*K374</f>
        <v>309.11919999999998</v>
      </c>
      <c r="E374" s="40">
        <v>11.889200000000001</v>
      </c>
      <c r="H374" s="40">
        <v>11.889200000000001</v>
      </c>
    </row>
    <row r="375" spans="1:8" x14ac:dyDescent="0.3">
      <c r="A375" t="s">
        <v>583</v>
      </c>
      <c r="B375" s="43">
        <v>245.68</v>
      </c>
      <c r="C375" t="s">
        <v>27</v>
      </c>
      <c r="D375">
        <v>24</v>
      </c>
      <c r="E375" s="43">
        <v>9.25</v>
      </c>
      <c r="F375" t="s">
        <v>72</v>
      </c>
      <c r="G375">
        <v>2</v>
      </c>
      <c r="H375" s="43">
        <v>11.89</v>
      </c>
    </row>
    <row r="376" spans="1:8" s="40" customFormat="1" x14ac:dyDescent="0.3">
      <c r="A376" s="41" t="s">
        <v>976</v>
      </c>
      <c r="B376" s="40">
        <f>D375*E376+G375*H376+J375*K376</f>
        <v>245.68000000000004</v>
      </c>
      <c r="E376" s="40">
        <v>9.2459000000000007</v>
      </c>
      <c r="H376" s="40">
        <v>11.889200000000001</v>
      </c>
    </row>
    <row r="377" spans="1:8" x14ac:dyDescent="0.3">
      <c r="A377" t="s">
        <v>584</v>
      </c>
      <c r="B377" s="43">
        <v>309.12</v>
      </c>
      <c r="C377" t="s">
        <v>29</v>
      </c>
      <c r="D377">
        <v>24</v>
      </c>
      <c r="E377" s="43">
        <v>11.89</v>
      </c>
      <c r="F377" t="s">
        <v>74</v>
      </c>
      <c r="G377">
        <v>2</v>
      </c>
      <c r="H377" s="43">
        <v>11.89</v>
      </c>
    </row>
    <row r="378" spans="1:8" s="40" customFormat="1" x14ac:dyDescent="0.3">
      <c r="A378" s="41" t="s">
        <v>976</v>
      </c>
      <c r="B378" s="40">
        <f>D377*E378+G377*H378+J377*K378</f>
        <v>309.11919999999998</v>
      </c>
      <c r="E378" s="40">
        <v>11.889200000000001</v>
      </c>
      <c r="H378" s="40">
        <v>11.889200000000001</v>
      </c>
    </row>
    <row r="379" spans="1:8" x14ac:dyDescent="0.3">
      <c r="A379" t="s">
        <v>585</v>
      </c>
      <c r="B379" s="43">
        <v>309.12</v>
      </c>
      <c r="C379" t="s">
        <v>29</v>
      </c>
      <c r="D379">
        <v>24</v>
      </c>
      <c r="E379" s="43">
        <v>11.89</v>
      </c>
      <c r="F379" t="s">
        <v>74</v>
      </c>
      <c r="G379">
        <v>2</v>
      </c>
      <c r="H379" s="43">
        <v>11.89</v>
      </c>
    </row>
    <row r="380" spans="1:8" s="40" customFormat="1" x14ac:dyDescent="0.3">
      <c r="A380" s="41" t="s">
        <v>976</v>
      </c>
      <c r="B380" s="40">
        <f>D379*E380+G379*H380+J379*K380</f>
        <v>309.11919999999998</v>
      </c>
      <c r="E380" s="40">
        <v>11.889200000000001</v>
      </c>
      <c r="H380" s="40">
        <v>11.889200000000001</v>
      </c>
    </row>
    <row r="381" spans="1:8" x14ac:dyDescent="0.3">
      <c r="A381" t="s">
        <v>586</v>
      </c>
      <c r="B381" s="43">
        <v>372.56</v>
      </c>
      <c r="C381" t="s">
        <v>67</v>
      </c>
      <c r="D381">
        <v>24</v>
      </c>
      <c r="E381" s="43">
        <v>14.53</v>
      </c>
      <c r="F381" t="s">
        <v>74</v>
      </c>
      <c r="G381">
        <v>2</v>
      </c>
      <c r="H381" s="43">
        <v>11.89</v>
      </c>
    </row>
    <row r="382" spans="1:8" s="40" customFormat="1" x14ac:dyDescent="0.3">
      <c r="A382" s="41" t="s">
        <v>976</v>
      </c>
      <c r="B382" s="40">
        <f>D381*E382+G381*H382+J381*K382</f>
        <v>372.55599999999998</v>
      </c>
      <c r="E382" s="40">
        <v>14.532400000000001</v>
      </c>
      <c r="H382" s="40">
        <v>11.889200000000001</v>
      </c>
    </row>
    <row r="383" spans="1:8" x14ac:dyDescent="0.3">
      <c r="A383" t="s">
        <v>587</v>
      </c>
      <c r="B383" s="43">
        <v>309.12</v>
      </c>
      <c r="C383" t="s">
        <v>29</v>
      </c>
      <c r="D383">
        <v>24</v>
      </c>
      <c r="E383" s="43">
        <v>11.89</v>
      </c>
      <c r="F383" t="s">
        <v>74</v>
      </c>
      <c r="G383">
        <v>2</v>
      </c>
      <c r="H383" s="43">
        <v>11.89</v>
      </c>
    </row>
    <row r="384" spans="1:8" s="40" customFormat="1" x14ac:dyDescent="0.3">
      <c r="A384" s="41" t="s">
        <v>976</v>
      </c>
      <c r="B384" s="40">
        <f>D383*E384+G383*H384+J383*K384</f>
        <v>309.11919999999998</v>
      </c>
      <c r="E384" s="40">
        <v>11.889200000000001</v>
      </c>
      <c r="H384" s="40">
        <v>11.889200000000001</v>
      </c>
    </row>
    <row r="385" spans="1:8" x14ac:dyDescent="0.3">
      <c r="A385" t="s">
        <v>602</v>
      </c>
      <c r="B385" s="43">
        <v>372.56</v>
      </c>
      <c r="C385" t="s">
        <v>67</v>
      </c>
      <c r="D385">
        <v>24</v>
      </c>
      <c r="E385" s="43">
        <v>14.53</v>
      </c>
      <c r="F385" t="s">
        <v>74</v>
      </c>
      <c r="G385">
        <v>2</v>
      </c>
      <c r="H385" s="43">
        <v>11.89</v>
      </c>
    </row>
    <row r="386" spans="1:8" s="40" customFormat="1" x14ac:dyDescent="0.3">
      <c r="A386" s="41" t="s">
        <v>976</v>
      </c>
      <c r="B386" s="40">
        <f>D385*E386+G385*H386+J385*K386</f>
        <v>372.55599999999998</v>
      </c>
      <c r="E386" s="40">
        <v>14.532400000000001</v>
      </c>
      <c r="H386" s="40">
        <v>11.889200000000001</v>
      </c>
    </row>
    <row r="387" spans="1:8" x14ac:dyDescent="0.3">
      <c r="A387" t="s">
        <v>588</v>
      </c>
      <c r="B387" s="43">
        <v>372.56</v>
      </c>
      <c r="C387" t="s">
        <v>67</v>
      </c>
      <c r="D387">
        <v>24</v>
      </c>
      <c r="E387" s="43">
        <v>14.53</v>
      </c>
      <c r="F387" t="s">
        <v>74</v>
      </c>
      <c r="G387">
        <v>2</v>
      </c>
      <c r="H387" s="43">
        <v>11.89</v>
      </c>
    </row>
    <row r="388" spans="1:8" s="40" customFormat="1" x14ac:dyDescent="0.3">
      <c r="A388" s="41" t="s">
        <v>976</v>
      </c>
      <c r="B388" s="40">
        <f>D387*E388+G387*H388+J387*K388</f>
        <v>372.55599999999998</v>
      </c>
      <c r="E388" s="40">
        <v>14.532400000000001</v>
      </c>
      <c r="H388" s="40">
        <v>11.889200000000001</v>
      </c>
    </row>
    <row r="389" spans="1:8" x14ac:dyDescent="0.3">
      <c r="A389" t="s">
        <v>589</v>
      </c>
      <c r="B389" s="43">
        <v>309.12</v>
      </c>
      <c r="C389" t="s">
        <v>29</v>
      </c>
      <c r="D389">
        <v>24</v>
      </c>
      <c r="E389" s="43">
        <v>11.89</v>
      </c>
      <c r="F389" t="s">
        <v>74</v>
      </c>
      <c r="G389">
        <v>2</v>
      </c>
      <c r="H389" s="43">
        <v>11.89</v>
      </c>
    </row>
    <row r="390" spans="1:8" s="40" customFormat="1" x14ac:dyDescent="0.3">
      <c r="A390" s="41" t="s">
        <v>976</v>
      </c>
      <c r="B390" s="40">
        <f>D389*E390+G389*H390+J389*K390</f>
        <v>309.11919999999998</v>
      </c>
      <c r="E390" s="40">
        <v>11.889200000000001</v>
      </c>
      <c r="H390" s="40">
        <v>11.889200000000001</v>
      </c>
    </row>
    <row r="391" spans="1:8" x14ac:dyDescent="0.3">
      <c r="A391" t="s">
        <v>591</v>
      </c>
      <c r="B391" s="43">
        <v>309.12</v>
      </c>
      <c r="C391" t="s">
        <v>29</v>
      </c>
      <c r="D391">
        <v>24</v>
      </c>
      <c r="E391" s="43">
        <v>11.89</v>
      </c>
      <c r="F391" t="s">
        <v>74</v>
      </c>
      <c r="G391">
        <v>2</v>
      </c>
      <c r="H391" s="43">
        <v>11.89</v>
      </c>
    </row>
    <row r="392" spans="1:8" s="40" customFormat="1" x14ac:dyDescent="0.3">
      <c r="A392" s="41" t="s">
        <v>976</v>
      </c>
      <c r="B392" s="40">
        <f>D391*E392+G391*H392+J391*K392</f>
        <v>309.11919999999998</v>
      </c>
      <c r="E392" s="40">
        <v>11.889200000000001</v>
      </c>
      <c r="H392" s="40">
        <v>11.889200000000001</v>
      </c>
    </row>
    <row r="393" spans="1:8" x14ac:dyDescent="0.3">
      <c r="A393" t="s">
        <v>590</v>
      </c>
      <c r="B393" s="43">
        <v>309.12</v>
      </c>
      <c r="C393" t="s">
        <v>29</v>
      </c>
      <c r="D393">
        <v>24</v>
      </c>
      <c r="E393" s="43">
        <v>11.89</v>
      </c>
      <c r="F393" t="s">
        <v>74</v>
      </c>
      <c r="G393">
        <v>2</v>
      </c>
      <c r="H393" s="43">
        <v>11.89</v>
      </c>
    </row>
    <row r="394" spans="1:8" s="40" customFormat="1" x14ac:dyDescent="0.3">
      <c r="A394" s="41" t="s">
        <v>976</v>
      </c>
      <c r="B394" s="40">
        <f>D393*E394+G393*H394+J393*K394</f>
        <v>309.11919999999998</v>
      </c>
      <c r="E394" s="40">
        <v>11.889200000000001</v>
      </c>
      <c r="H394" s="40">
        <v>11.889200000000001</v>
      </c>
    </row>
    <row r="395" spans="1:8" x14ac:dyDescent="0.3">
      <c r="A395" t="s">
        <v>592</v>
      </c>
      <c r="B395" s="43">
        <v>372.56</v>
      </c>
      <c r="C395" t="s">
        <v>67</v>
      </c>
      <c r="D395">
        <v>24</v>
      </c>
      <c r="E395" s="43">
        <v>14.53</v>
      </c>
      <c r="F395" t="s">
        <v>74</v>
      </c>
      <c r="G395">
        <v>2</v>
      </c>
      <c r="H395" s="43">
        <v>11.89</v>
      </c>
    </row>
    <row r="396" spans="1:8" s="40" customFormat="1" x14ac:dyDescent="0.3">
      <c r="A396" s="41" t="s">
        <v>976</v>
      </c>
      <c r="B396" s="40">
        <f>D395*E396+G395*H396+J395*K396</f>
        <v>372.55599999999998</v>
      </c>
      <c r="E396" s="40">
        <v>14.532400000000001</v>
      </c>
      <c r="H396" s="40">
        <v>11.889200000000001</v>
      </c>
    </row>
    <row r="397" spans="1:8" x14ac:dyDescent="0.3">
      <c r="A397" t="s">
        <v>593</v>
      </c>
      <c r="B397" s="43">
        <v>309.12</v>
      </c>
      <c r="C397" t="s">
        <v>29</v>
      </c>
      <c r="D397">
        <v>24</v>
      </c>
      <c r="E397" s="43">
        <v>11.89</v>
      </c>
      <c r="F397" t="s">
        <v>74</v>
      </c>
      <c r="G397">
        <v>2</v>
      </c>
      <c r="H397" s="43">
        <v>11.89</v>
      </c>
    </row>
    <row r="398" spans="1:8" s="40" customFormat="1" x14ac:dyDescent="0.3">
      <c r="A398" s="41" t="s">
        <v>976</v>
      </c>
      <c r="B398" s="40">
        <f>D397*E398+G397*H398+J397*K398</f>
        <v>309.11919999999998</v>
      </c>
      <c r="E398" s="40">
        <v>11.889200000000001</v>
      </c>
      <c r="H398" s="40">
        <v>11.889200000000001</v>
      </c>
    </row>
    <row r="399" spans="1:8" x14ac:dyDescent="0.3">
      <c r="A399" t="s">
        <v>595</v>
      </c>
      <c r="B399" s="43">
        <v>372.56</v>
      </c>
      <c r="C399" t="s">
        <v>31</v>
      </c>
      <c r="D399">
        <v>24</v>
      </c>
      <c r="E399" s="43">
        <v>14.53</v>
      </c>
      <c r="F399" t="s">
        <v>74</v>
      </c>
      <c r="G399">
        <v>2</v>
      </c>
      <c r="H399" s="43">
        <v>11.89</v>
      </c>
    </row>
    <row r="400" spans="1:8" s="40" customFormat="1" x14ac:dyDescent="0.3">
      <c r="A400" s="41" t="s">
        <v>976</v>
      </c>
      <c r="B400" s="40">
        <f>D399*E400+G399*H400+J399*K400</f>
        <v>372.55599999999998</v>
      </c>
      <c r="E400" s="40">
        <v>14.532400000000001</v>
      </c>
      <c r="H400" s="40">
        <v>11.889200000000001</v>
      </c>
    </row>
    <row r="401" spans="1:8" x14ac:dyDescent="0.3">
      <c r="A401" t="s">
        <v>594</v>
      </c>
      <c r="B401" s="43">
        <v>435.89</v>
      </c>
      <c r="C401" t="s">
        <v>69</v>
      </c>
      <c r="D401">
        <v>24</v>
      </c>
      <c r="E401" s="43">
        <v>17.170000000000002</v>
      </c>
      <c r="F401" t="s">
        <v>74</v>
      </c>
      <c r="G401">
        <v>2</v>
      </c>
      <c r="H401" s="43">
        <v>11.89</v>
      </c>
    </row>
    <row r="402" spans="1:8" s="40" customFormat="1" x14ac:dyDescent="0.3">
      <c r="A402" s="41" t="s">
        <v>976</v>
      </c>
      <c r="B402" s="40">
        <f>D401*E402+G401*H402+J401*K402</f>
        <v>435.88959999999992</v>
      </c>
      <c r="E402" s="40">
        <v>17.171299999999999</v>
      </c>
      <c r="H402" s="40">
        <v>11.889200000000001</v>
      </c>
    </row>
    <row r="403" spans="1:8" x14ac:dyDescent="0.3">
      <c r="A403" t="s">
        <v>596</v>
      </c>
      <c r="B403" s="43">
        <v>372.56</v>
      </c>
      <c r="C403" t="s">
        <v>31</v>
      </c>
      <c r="D403">
        <v>24</v>
      </c>
      <c r="E403" s="43">
        <v>14.53</v>
      </c>
      <c r="F403" t="s">
        <v>74</v>
      </c>
      <c r="G403">
        <v>2</v>
      </c>
      <c r="H403" s="43">
        <v>11.89</v>
      </c>
    </row>
    <row r="404" spans="1:8" s="40" customFormat="1" x14ac:dyDescent="0.3">
      <c r="A404" s="41" t="s">
        <v>976</v>
      </c>
      <c r="B404" s="40">
        <f>D403*E404+G403*H404+J403*K404</f>
        <v>372.55599999999998</v>
      </c>
      <c r="E404" s="40">
        <v>14.532400000000001</v>
      </c>
      <c r="H404" s="40">
        <v>11.889200000000001</v>
      </c>
    </row>
    <row r="405" spans="1:8" x14ac:dyDescent="0.3">
      <c r="A405" t="s">
        <v>598</v>
      </c>
      <c r="B405" s="43">
        <v>435.89</v>
      </c>
      <c r="C405" t="s">
        <v>69</v>
      </c>
      <c r="D405">
        <v>24</v>
      </c>
      <c r="E405" s="43">
        <v>17.170000000000002</v>
      </c>
      <c r="F405" t="s">
        <v>74</v>
      </c>
      <c r="G405">
        <v>2</v>
      </c>
      <c r="H405" s="43">
        <v>11.89</v>
      </c>
    </row>
    <row r="406" spans="1:8" s="40" customFormat="1" x14ac:dyDescent="0.3">
      <c r="A406" s="41" t="s">
        <v>976</v>
      </c>
      <c r="B406" s="40">
        <f>D405*E406+G405*H406+J405*K406</f>
        <v>435.88959999999992</v>
      </c>
      <c r="E406" s="40">
        <v>17.171299999999999</v>
      </c>
      <c r="H406" s="40">
        <v>11.889200000000001</v>
      </c>
    </row>
    <row r="407" spans="1:8" x14ac:dyDescent="0.3">
      <c r="A407" t="s">
        <v>597</v>
      </c>
      <c r="B407" s="43">
        <v>372.56</v>
      </c>
      <c r="C407" t="s">
        <v>31</v>
      </c>
      <c r="D407">
        <v>24</v>
      </c>
      <c r="E407" s="43">
        <v>14.53</v>
      </c>
      <c r="F407" t="s">
        <v>74</v>
      </c>
      <c r="G407">
        <v>2</v>
      </c>
      <c r="H407" s="43">
        <v>11.89</v>
      </c>
    </row>
    <row r="408" spans="1:8" s="40" customFormat="1" x14ac:dyDescent="0.3">
      <c r="A408" s="41" t="s">
        <v>976</v>
      </c>
      <c r="B408" s="40">
        <f>D407*E408+G407*H408+J407*K408</f>
        <v>372.55599999999998</v>
      </c>
      <c r="E408" s="40">
        <v>14.532400000000001</v>
      </c>
      <c r="H408" s="40">
        <v>11.889200000000001</v>
      </c>
    </row>
    <row r="409" spans="1:8" x14ac:dyDescent="0.3">
      <c r="A409" t="s">
        <v>599</v>
      </c>
      <c r="B409" s="43">
        <v>372.56</v>
      </c>
      <c r="C409" t="s">
        <v>31</v>
      </c>
      <c r="D409">
        <v>24</v>
      </c>
      <c r="E409" s="43">
        <v>14.53</v>
      </c>
      <c r="F409" t="s">
        <v>74</v>
      </c>
      <c r="G409">
        <v>2</v>
      </c>
      <c r="H409" s="43">
        <v>11.89</v>
      </c>
    </row>
    <row r="410" spans="1:8" s="40" customFormat="1" x14ac:dyDescent="0.3">
      <c r="A410" s="41" t="s">
        <v>976</v>
      </c>
      <c r="B410" s="40">
        <f>D409*E410+G409*H410+J409*K410</f>
        <v>372.55599999999998</v>
      </c>
      <c r="E410" s="40">
        <v>14.532400000000001</v>
      </c>
      <c r="H410" s="40">
        <v>11.889200000000001</v>
      </c>
    </row>
    <row r="411" spans="1:8" x14ac:dyDescent="0.3">
      <c r="A411" t="s">
        <v>605</v>
      </c>
      <c r="B411" s="43">
        <v>435.89</v>
      </c>
      <c r="C411" t="s">
        <v>69</v>
      </c>
      <c r="D411">
        <v>24</v>
      </c>
      <c r="E411" s="43">
        <v>17.170000000000002</v>
      </c>
      <c r="F411" t="s">
        <v>74</v>
      </c>
      <c r="G411">
        <v>2</v>
      </c>
      <c r="H411" s="43">
        <v>11.89</v>
      </c>
    </row>
    <row r="412" spans="1:8" s="40" customFormat="1" x14ac:dyDescent="0.3">
      <c r="A412" s="41" t="s">
        <v>976</v>
      </c>
      <c r="B412" s="40">
        <f>D411*E412+G411*H412+J411*K412</f>
        <v>435.88959999999992</v>
      </c>
      <c r="E412" s="40">
        <v>17.171299999999999</v>
      </c>
      <c r="H412" s="40">
        <v>11.889200000000001</v>
      </c>
    </row>
    <row r="413" spans="1:8" x14ac:dyDescent="0.3">
      <c r="A413" t="s">
        <v>604</v>
      </c>
      <c r="B413" s="43">
        <v>372.56</v>
      </c>
      <c r="C413" t="s">
        <v>31</v>
      </c>
      <c r="D413">
        <v>24</v>
      </c>
      <c r="E413" s="43">
        <v>14.53</v>
      </c>
      <c r="F413" t="s">
        <v>74</v>
      </c>
      <c r="G413">
        <v>2</v>
      </c>
      <c r="H413" s="43">
        <v>11.89</v>
      </c>
    </row>
    <row r="414" spans="1:8" s="40" customFormat="1" x14ac:dyDescent="0.3">
      <c r="A414" s="41" t="s">
        <v>976</v>
      </c>
      <c r="B414" s="40">
        <f>D413*E414+G413*H414+J413*K414</f>
        <v>372.55599999999998</v>
      </c>
      <c r="E414" s="40">
        <v>14.532400000000001</v>
      </c>
      <c r="H414" s="40">
        <v>11.889200000000001</v>
      </c>
    </row>
    <row r="415" spans="1:8" x14ac:dyDescent="0.3">
      <c r="A415" t="s">
        <v>607</v>
      </c>
      <c r="B415" s="43">
        <v>372.56</v>
      </c>
      <c r="C415" t="s">
        <v>31</v>
      </c>
      <c r="D415">
        <v>24</v>
      </c>
      <c r="E415" s="43">
        <v>14.53</v>
      </c>
      <c r="F415" t="s">
        <v>74</v>
      </c>
      <c r="G415">
        <v>2</v>
      </c>
      <c r="H415" s="43">
        <v>11.89</v>
      </c>
    </row>
    <row r="416" spans="1:8" s="40" customFormat="1" x14ac:dyDescent="0.3">
      <c r="A416" s="41" t="s">
        <v>976</v>
      </c>
      <c r="B416" s="40">
        <f>D415*E416+G415*H416+J415*K416</f>
        <v>372.55599999999998</v>
      </c>
      <c r="E416" s="40">
        <v>14.532400000000001</v>
      </c>
      <c r="H416" s="40">
        <v>11.889200000000001</v>
      </c>
    </row>
    <row r="417" spans="1:8" x14ac:dyDescent="0.3">
      <c r="A417" t="s">
        <v>606</v>
      </c>
      <c r="B417" s="43">
        <v>435.89</v>
      </c>
      <c r="C417" t="s">
        <v>69</v>
      </c>
      <c r="D417">
        <v>24</v>
      </c>
      <c r="E417" s="43">
        <v>17.170000000000002</v>
      </c>
      <c r="F417" t="s">
        <v>74</v>
      </c>
      <c r="G417">
        <v>2</v>
      </c>
      <c r="H417" s="43">
        <v>11.89</v>
      </c>
    </row>
    <row r="418" spans="1:8" s="40" customFormat="1" x14ac:dyDescent="0.3">
      <c r="A418" s="41" t="s">
        <v>976</v>
      </c>
      <c r="B418" s="40">
        <f>D417*E418+G417*H418+J417*K418</f>
        <v>435.88959999999992</v>
      </c>
      <c r="E418" s="40">
        <v>17.171299999999999</v>
      </c>
      <c r="H418" s="40">
        <v>11.889200000000001</v>
      </c>
    </row>
    <row r="419" spans="1:8" x14ac:dyDescent="0.3">
      <c r="A419" t="s">
        <v>600</v>
      </c>
      <c r="B419" s="43">
        <v>372.56</v>
      </c>
      <c r="C419" t="s">
        <v>31</v>
      </c>
      <c r="D419">
        <v>24</v>
      </c>
      <c r="E419" s="43">
        <v>14.53</v>
      </c>
      <c r="F419" t="s">
        <v>74</v>
      </c>
      <c r="G419">
        <v>2</v>
      </c>
      <c r="H419" s="43">
        <v>11.89</v>
      </c>
    </row>
    <row r="420" spans="1:8" s="40" customFormat="1" x14ac:dyDescent="0.3">
      <c r="A420" s="41" t="s">
        <v>976</v>
      </c>
      <c r="B420" s="40">
        <f>D419*E420+G419*H420+J419*K420</f>
        <v>372.55599999999998</v>
      </c>
      <c r="E420" s="40">
        <v>14.532400000000001</v>
      </c>
      <c r="H420" s="40">
        <v>11.889200000000001</v>
      </c>
    </row>
    <row r="421" spans="1:8" x14ac:dyDescent="0.3">
      <c r="A421" t="s">
        <v>603</v>
      </c>
      <c r="B421" s="43">
        <v>435.89</v>
      </c>
      <c r="C421" t="s">
        <v>69</v>
      </c>
      <c r="D421">
        <v>24</v>
      </c>
      <c r="E421" s="43">
        <v>17.170000000000002</v>
      </c>
      <c r="F421" t="s">
        <v>74</v>
      </c>
      <c r="G421">
        <v>2</v>
      </c>
      <c r="H421" s="43">
        <v>11.89</v>
      </c>
    </row>
    <row r="422" spans="1:8" s="40" customFormat="1" x14ac:dyDescent="0.3">
      <c r="A422" s="41" t="s">
        <v>976</v>
      </c>
      <c r="B422" s="40">
        <f>D421*E422+G421*H422+J421*K422</f>
        <v>435.88959999999992</v>
      </c>
      <c r="E422" s="40">
        <v>17.171299999999999</v>
      </c>
      <c r="H422" s="40">
        <v>11.889200000000001</v>
      </c>
    </row>
    <row r="423" spans="1:8" x14ac:dyDescent="0.3">
      <c r="A423" t="s">
        <v>615</v>
      </c>
      <c r="B423" s="43">
        <v>435.89</v>
      </c>
      <c r="C423" t="s">
        <v>69</v>
      </c>
      <c r="D423">
        <v>24</v>
      </c>
      <c r="E423" s="43">
        <v>17.170000000000002</v>
      </c>
      <c r="F423" t="s">
        <v>74</v>
      </c>
      <c r="G423">
        <v>2</v>
      </c>
      <c r="H423" s="43">
        <v>11.89</v>
      </c>
    </row>
    <row r="424" spans="1:8" s="40" customFormat="1" x14ac:dyDescent="0.3">
      <c r="A424" s="41" t="s">
        <v>976</v>
      </c>
      <c r="B424" s="40">
        <f>D423*E424+G423*H424+J423*K424</f>
        <v>435.88959999999992</v>
      </c>
      <c r="E424" s="40">
        <v>17.171299999999999</v>
      </c>
      <c r="H424" s="40">
        <v>11.889200000000001</v>
      </c>
    </row>
    <row r="425" spans="1:8" x14ac:dyDescent="0.3">
      <c r="A425" t="s">
        <v>610</v>
      </c>
      <c r="B425" s="43">
        <v>372.56</v>
      </c>
      <c r="C425" t="s">
        <v>31</v>
      </c>
      <c r="D425">
        <v>24</v>
      </c>
      <c r="E425" s="43">
        <v>14.53</v>
      </c>
      <c r="F425" t="s">
        <v>74</v>
      </c>
      <c r="G425">
        <v>2</v>
      </c>
      <c r="H425" s="43">
        <v>11.89</v>
      </c>
    </row>
    <row r="426" spans="1:8" s="40" customFormat="1" x14ac:dyDescent="0.3">
      <c r="A426" s="41" t="s">
        <v>976</v>
      </c>
      <c r="B426" s="40">
        <f>D425*E426+G425*H426+J425*K426</f>
        <v>372.55599999999998</v>
      </c>
      <c r="E426" s="40">
        <v>14.532400000000001</v>
      </c>
      <c r="H426" s="40">
        <v>11.889200000000001</v>
      </c>
    </row>
    <row r="427" spans="1:8" x14ac:dyDescent="0.3">
      <c r="A427" t="s">
        <v>608</v>
      </c>
      <c r="B427" s="43">
        <v>372.56</v>
      </c>
      <c r="C427" t="s">
        <v>31</v>
      </c>
      <c r="D427">
        <v>24</v>
      </c>
      <c r="E427" s="43">
        <v>14.53</v>
      </c>
      <c r="F427" t="s">
        <v>74</v>
      </c>
      <c r="G427">
        <v>2</v>
      </c>
      <c r="H427" s="43">
        <v>11.89</v>
      </c>
    </row>
    <row r="428" spans="1:8" s="40" customFormat="1" x14ac:dyDescent="0.3">
      <c r="A428" s="41" t="s">
        <v>976</v>
      </c>
      <c r="B428" s="40">
        <f>D427*E428+G427*H428+J427*K428</f>
        <v>372.55599999999998</v>
      </c>
      <c r="E428" s="40">
        <v>14.532400000000001</v>
      </c>
      <c r="H428" s="40">
        <v>11.889200000000001</v>
      </c>
    </row>
    <row r="429" spans="1:8" x14ac:dyDescent="0.3">
      <c r="A429" t="s">
        <v>613</v>
      </c>
      <c r="B429" s="43">
        <v>435.89</v>
      </c>
      <c r="C429" t="s">
        <v>69</v>
      </c>
      <c r="D429">
        <v>24</v>
      </c>
      <c r="E429" s="43">
        <v>17.170000000000002</v>
      </c>
      <c r="F429" t="s">
        <v>74</v>
      </c>
      <c r="G429">
        <v>2</v>
      </c>
      <c r="H429" s="43">
        <v>11.89</v>
      </c>
    </row>
    <row r="430" spans="1:8" s="40" customFormat="1" x14ac:dyDescent="0.3">
      <c r="A430" s="41" t="s">
        <v>976</v>
      </c>
      <c r="B430" s="40">
        <f>D429*E430+G429*H430+J429*K430</f>
        <v>435.88959999999992</v>
      </c>
      <c r="E430" s="40">
        <v>17.171299999999999</v>
      </c>
      <c r="H430" s="40">
        <v>11.889200000000001</v>
      </c>
    </row>
    <row r="431" spans="1:8" x14ac:dyDescent="0.3">
      <c r="A431" t="s">
        <v>612</v>
      </c>
      <c r="B431" s="43">
        <v>435.89</v>
      </c>
      <c r="C431" t="s">
        <v>69</v>
      </c>
      <c r="D431">
        <v>24</v>
      </c>
      <c r="E431" s="43">
        <v>17.170000000000002</v>
      </c>
      <c r="F431" t="s">
        <v>74</v>
      </c>
      <c r="G431">
        <v>2</v>
      </c>
      <c r="H431" s="43">
        <v>11.89</v>
      </c>
    </row>
    <row r="432" spans="1:8" s="40" customFormat="1" x14ac:dyDescent="0.3">
      <c r="A432" s="41" t="s">
        <v>976</v>
      </c>
      <c r="B432" s="40">
        <f>D431*E432+G431*H432+J431*K432</f>
        <v>435.88959999999992</v>
      </c>
      <c r="E432" s="40">
        <v>17.171299999999999</v>
      </c>
      <c r="H432" s="40">
        <v>11.889200000000001</v>
      </c>
    </row>
    <row r="433" spans="1:8" x14ac:dyDescent="0.3">
      <c r="A433" t="s">
        <v>614</v>
      </c>
      <c r="B433" s="43">
        <v>372.56</v>
      </c>
      <c r="C433" t="s">
        <v>31</v>
      </c>
      <c r="D433">
        <v>24</v>
      </c>
      <c r="E433" s="43">
        <v>14.53</v>
      </c>
      <c r="F433" t="s">
        <v>74</v>
      </c>
      <c r="G433">
        <v>2</v>
      </c>
      <c r="H433" s="43">
        <v>11.89</v>
      </c>
    </row>
    <row r="434" spans="1:8" s="40" customFormat="1" x14ac:dyDescent="0.3">
      <c r="A434" s="41" t="s">
        <v>976</v>
      </c>
      <c r="B434" s="40">
        <f>D433*E434+G433*H434+J433*K434</f>
        <v>372.55599999999998</v>
      </c>
      <c r="E434" s="40">
        <v>14.532400000000001</v>
      </c>
      <c r="H434" s="40">
        <v>11.889200000000001</v>
      </c>
    </row>
    <row r="435" spans="1:8" x14ac:dyDescent="0.3">
      <c r="A435" t="s">
        <v>611</v>
      </c>
      <c r="B435" s="43">
        <v>435.89</v>
      </c>
      <c r="C435" t="s">
        <v>69</v>
      </c>
      <c r="D435">
        <v>24</v>
      </c>
      <c r="E435" s="43">
        <v>17.170000000000002</v>
      </c>
      <c r="F435" t="s">
        <v>74</v>
      </c>
      <c r="G435">
        <v>2</v>
      </c>
      <c r="H435">
        <v>11.89</v>
      </c>
    </row>
    <row r="436" spans="1:8" s="40" customFormat="1" x14ac:dyDescent="0.3">
      <c r="A436" s="41" t="s">
        <v>976</v>
      </c>
      <c r="B436" s="40">
        <f>D435*E436+G435*H436+J435*K436</f>
        <v>435.88959999999992</v>
      </c>
      <c r="E436" s="40">
        <v>17.171299999999999</v>
      </c>
      <c r="H436" s="40">
        <v>11.889200000000001</v>
      </c>
    </row>
    <row r="437" spans="1:8" x14ac:dyDescent="0.3">
      <c r="A437" t="s">
        <v>616</v>
      </c>
      <c r="B437" s="43">
        <v>372.56</v>
      </c>
      <c r="C437" t="s">
        <v>31</v>
      </c>
      <c r="D437">
        <v>24</v>
      </c>
      <c r="E437" s="43">
        <v>14.53</v>
      </c>
      <c r="F437" t="s">
        <v>74</v>
      </c>
      <c r="G437">
        <v>2</v>
      </c>
      <c r="H437">
        <v>11.89</v>
      </c>
    </row>
    <row r="438" spans="1:8" s="40" customFormat="1" x14ac:dyDescent="0.3">
      <c r="A438" s="41" t="s">
        <v>976</v>
      </c>
      <c r="B438" s="40">
        <f>D437*E438+G437*H438+J437*K438</f>
        <v>372.55599999999998</v>
      </c>
      <c r="E438" s="40">
        <v>14.532400000000001</v>
      </c>
      <c r="H438" s="40">
        <v>11.889200000000001</v>
      </c>
    </row>
    <row r="439" spans="1:8" x14ac:dyDescent="0.3">
      <c r="A439" t="s">
        <v>622</v>
      </c>
      <c r="B439" s="43">
        <v>435.89</v>
      </c>
      <c r="C439" t="s">
        <v>69</v>
      </c>
      <c r="D439">
        <v>24</v>
      </c>
      <c r="E439" s="43">
        <v>17.170000000000002</v>
      </c>
      <c r="F439" t="s">
        <v>74</v>
      </c>
      <c r="G439">
        <v>2</v>
      </c>
      <c r="H439" s="43">
        <v>11.89</v>
      </c>
    </row>
    <row r="440" spans="1:8" s="40" customFormat="1" x14ac:dyDescent="0.3">
      <c r="A440" s="41" t="s">
        <v>976</v>
      </c>
      <c r="B440" s="40">
        <f>D439*E440+G439*H440+J439*K440</f>
        <v>435.88959999999992</v>
      </c>
      <c r="E440" s="40">
        <v>17.171299999999999</v>
      </c>
      <c r="H440" s="40">
        <v>11.889200000000001</v>
      </c>
    </row>
    <row r="441" spans="1:8" x14ac:dyDescent="0.3">
      <c r="A441" t="s">
        <v>618</v>
      </c>
      <c r="B441" s="43">
        <v>372.56</v>
      </c>
      <c r="C441" t="s">
        <v>31</v>
      </c>
      <c r="D441">
        <v>24</v>
      </c>
      <c r="E441" s="43">
        <v>14.53</v>
      </c>
      <c r="F441" t="s">
        <v>74</v>
      </c>
      <c r="G441">
        <v>2</v>
      </c>
      <c r="H441" s="43">
        <v>11.89</v>
      </c>
    </row>
    <row r="442" spans="1:8" s="40" customFormat="1" x14ac:dyDescent="0.3">
      <c r="A442" s="41" t="s">
        <v>976</v>
      </c>
      <c r="B442" s="40">
        <f>D441*E442+G441*H442+J441*K442</f>
        <v>372.55599999999998</v>
      </c>
      <c r="E442" s="40">
        <v>14.532400000000001</v>
      </c>
      <c r="H442" s="40">
        <v>11.889200000000001</v>
      </c>
    </row>
    <row r="443" spans="1:8" x14ac:dyDescent="0.3">
      <c r="A443" t="s">
        <v>623</v>
      </c>
      <c r="B443" s="43">
        <v>435.89</v>
      </c>
      <c r="C443" t="s">
        <v>69</v>
      </c>
      <c r="D443">
        <v>24</v>
      </c>
      <c r="E443" s="43">
        <v>17.170000000000002</v>
      </c>
      <c r="F443" t="s">
        <v>74</v>
      </c>
      <c r="G443">
        <v>2</v>
      </c>
      <c r="H443" s="43">
        <v>11.89</v>
      </c>
    </row>
    <row r="444" spans="1:8" s="40" customFormat="1" x14ac:dyDescent="0.3">
      <c r="A444" s="41" t="s">
        <v>976</v>
      </c>
      <c r="B444" s="40">
        <f>D443*E444+G443*H444+J443*K444</f>
        <v>435.88959999999992</v>
      </c>
      <c r="E444" s="40">
        <v>17.171299999999999</v>
      </c>
      <c r="H444" s="40">
        <v>11.889200000000001</v>
      </c>
    </row>
    <row r="445" spans="1:8" x14ac:dyDescent="0.3">
      <c r="A445" t="s">
        <v>617</v>
      </c>
      <c r="B445" s="43">
        <v>372.56</v>
      </c>
      <c r="C445" t="s">
        <v>31</v>
      </c>
      <c r="D445">
        <v>24</v>
      </c>
      <c r="E445" s="43">
        <v>14.53</v>
      </c>
      <c r="F445" t="s">
        <v>74</v>
      </c>
      <c r="G445">
        <v>2</v>
      </c>
      <c r="H445" s="43">
        <v>11.89</v>
      </c>
    </row>
    <row r="446" spans="1:8" s="40" customFormat="1" x14ac:dyDescent="0.3">
      <c r="A446" s="41" t="s">
        <v>976</v>
      </c>
      <c r="B446" s="40">
        <f>D445*E446+G445*H446+J445*K446</f>
        <v>372.55599999999998</v>
      </c>
      <c r="E446" s="40">
        <v>14.532400000000001</v>
      </c>
      <c r="H446" s="40">
        <v>11.889200000000001</v>
      </c>
    </row>
    <row r="447" spans="1:8" x14ac:dyDescent="0.3">
      <c r="A447" t="s">
        <v>619</v>
      </c>
      <c r="B447" s="43">
        <v>435.89</v>
      </c>
      <c r="C447" t="s">
        <v>69</v>
      </c>
      <c r="D447">
        <v>24</v>
      </c>
      <c r="E447" s="43">
        <v>17.170000000000002</v>
      </c>
      <c r="F447" t="s">
        <v>74</v>
      </c>
      <c r="G447">
        <v>2</v>
      </c>
      <c r="H447" s="43">
        <v>11.89</v>
      </c>
    </row>
    <row r="448" spans="1:8" s="40" customFormat="1" x14ac:dyDescent="0.3">
      <c r="A448" s="41" t="s">
        <v>976</v>
      </c>
      <c r="B448" s="40">
        <f>D447*E448+G447*H448+J447*K448</f>
        <v>435.88959999999992</v>
      </c>
      <c r="E448" s="40">
        <v>17.171299999999999</v>
      </c>
      <c r="H448" s="40">
        <v>11.889200000000001</v>
      </c>
    </row>
    <row r="449" spans="1:8" x14ac:dyDescent="0.3">
      <c r="A449" t="s">
        <v>620</v>
      </c>
      <c r="B449" s="43">
        <v>372.56</v>
      </c>
      <c r="C449" t="s">
        <v>31</v>
      </c>
      <c r="D449">
        <v>24</v>
      </c>
      <c r="E449" s="43">
        <v>14.53</v>
      </c>
      <c r="F449" t="s">
        <v>74</v>
      </c>
      <c r="G449">
        <v>2</v>
      </c>
      <c r="H449" s="43">
        <v>11.89</v>
      </c>
    </row>
    <row r="450" spans="1:8" s="40" customFormat="1" x14ac:dyDescent="0.3">
      <c r="A450" s="41" t="s">
        <v>976</v>
      </c>
      <c r="B450" s="40">
        <f>D449*E450+G449*H450+J449*K450</f>
        <v>372.55599999999998</v>
      </c>
      <c r="E450" s="40">
        <v>14.532400000000001</v>
      </c>
      <c r="H450" s="40">
        <v>11.889200000000001</v>
      </c>
    </row>
    <row r="451" spans="1:8" x14ac:dyDescent="0.3">
      <c r="A451" t="s">
        <v>624</v>
      </c>
      <c r="B451" s="43">
        <v>586.46</v>
      </c>
      <c r="C451" t="s">
        <v>35</v>
      </c>
      <c r="D451">
        <v>24</v>
      </c>
      <c r="E451" s="43">
        <v>22.46</v>
      </c>
      <c r="F451" t="s">
        <v>79</v>
      </c>
      <c r="G451">
        <v>2</v>
      </c>
      <c r="H451" s="43">
        <v>23.77</v>
      </c>
    </row>
    <row r="452" spans="1:8" s="40" customFormat="1" x14ac:dyDescent="0.3">
      <c r="A452" s="41" t="s">
        <v>976</v>
      </c>
      <c r="B452" s="40">
        <f>D451*E452+G451*H452+J451*K452</f>
        <v>586.45699999999999</v>
      </c>
      <c r="E452" s="40">
        <v>22.455100000000002</v>
      </c>
      <c r="H452" s="40">
        <v>23.767299999999999</v>
      </c>
    </row>
    <row r="453" spans="1:8" x14ac:dyDescent="0.3">
      <c r="A453" t="s">
        <v>625</v>
      </c>
      <c r="B453" s="43">
        <v>586.46</v>
      </c>
      <c r="C453" t="s">
        <v>35</v>
      </c>
      <c r="D453">
        <v>24</v>
      </c>
      <c r="E453" s="43">
        <v>22.46</v>
      </c>
      <c r="F453" t="s">
        <v>79</v>
      </c>
      <c r="G453">
        <v>2</v>
      </c>
      <c r="H453" s="43">
        <v>23.77</v>
      </c>
    </row>
    <row r="454" spans="1:8" s="40" customFormat="1" x14ac:dyDescent="0.3">
      <c r="A454" s="41" t="s">
        <v>976</v>
      </c>
      <c r="B454" s="40">
        <f>D453*E454+G453*H454+J453*K454</f>
        <v>586.45699999999999</v>
      </c>
      <c r="E454" s="40">
        <v>22.455100000000002</v>
      </c>
      <c r="H454" s="40">
        <v>23.767299999999999</v>
      </c>
    </row>
    <row r="455" spans="1:8" x14ac:dyDescent="0.3">
      <c r="A455" t="s">
        <v>626</v>
      </c>
      <c r="B455" s="43">
        <v>586.46</v>
      </c>
      <c r="C455" t="s">
        <v>35</v>
      </c>
      <c r="D455">
        <v>24</v>
      </c>
      <c r="E455" s="43">
        <v>22.46</v>
      </c>
      <c r="F455" t="s">
        <v>79</v>
      </c>
      <c r="G455">
        <v>2</v>
      </c>
      <c r="H455" s="43">
        <v>23.77</v>
      </c>
    </row>
    <row r="456" spans="1:8" s="40" customFormat="1" x14ac:dyDescent="0.3">
      <c r="A456" s="41" t="s">
        <v>976</v>
      </c>
      <c r="B456" s="40">
        <f>D455*E456+G455*H456+J455*K456</f>
        <v>586.45699999999999</v>
      </c>
      <c r="E456" s="40">
        <v>22.455100000000002</v>
      </c>
      <c r="H456" s="40">
        <v>23.767299999999999</v>
      </c>
    </row>
    <row r="457" spans="1:8" x14ac:dyDescent="0.3">
      <c r="A457" t="s">
        <v>629</v>
      </c>
      <c r="B457" s="43">
        <v>586.46</v>
      </c>
      <c r="C457" t="s">
        <v>35</v>
      </c>
      <c r="D457">
        <v>24</v>
      </c>
      <c r="E457" s="43">
        <v>22.46</v>
      </c>
      <c r="F457" t="s">
        <v>79</v>
      </c>
      <c r="G457">
        <v>2</v>
      </c>
      <c r="H457" s="43">
        <v>23.77</v>
      </c>
    </row>
    <row r="458" spans="1:8" s="40" customFormat="1" x14ac:dyDescent="0.3">
      <c r="A458" s="41" t="s">
        <v>976</v>
      </c>
      <c r="B458" s="40">
        <f>D457*E458+G457*H458+J457*K458</f>
        <v>586.45699999999999</v>
      </c>
      <c r="E458" s="40">
        <v>22.455100000000002</v>
      </c>
      <c r="H458" s="40">
        <v>23.767299999999999</v>
      </c>
    </row>
    <row r="459" spans="1:8" x14ac:dyDescent="0.3">
      <c r="A459" t="s">
        <v>631</v>
      </c>
      <c r="B459" s="43">
        <v>404.18</v>
      </c>
      <c r="C459" t="s">
        <v>43</v>
      </c>
      <c r="D459">
        <v>24</v>
      </c>
      <c r="E459" s="43">
        <v>15.85</v>
      </c>
      <c r="F459" t="s">
        <v>74</v>
      </c>
      <c r="G459">
        <v>2</v>
      </c>
      <c r="H459" s="43">
        <v>11.89</v>
      </c>
    </row>
    <row r="460" spans="1:8" s="40" customFormat="1" x14ac:dyDescent="0.3">
      <c r="A460" s="41" t="s">
        <v>976</v>
      </c>
      <c r="B460" s="40">
        <f>D459*E460+G459*H460+J459*K460</f>
        <v>404.18319999999994</v>
      </c>
      <c r="E460" s="40">
        <v>15.850199999999999</v>
      </c>
      <c r="H460" s="40">
        <v>11.889200000000001</v>
      </c>
    </row>
    <row r="461" spans="1:8" x14ac:dyDescent="0.3">
      <c r="A461" t="s">
        <v>630</v>
      </c>
      <c r="B461" s="43">
        <v>404.18</v>
      </c>
      <c r="C461" t="s">
        <v>43</v>
      </c>
      <c r="D461">
        <v>24</v>
      </c>
      <c r="E461" s="43">
        <v>15.85</v>
      </c>
      <c r="F461" t="s">
        <v>74</v>
      </c>
      <c r="G461">
        <v>2</v>
      </c>
      <c r="H461" s="43">
        <v>11.89</v>
      </c>
    </row>
    <row r="462" spans="1:8" s="40" customFormat="1" x14ac:dyDescent="0.3">
      <c r="A462" s="41" t="s">
        <v>976</v>
      </c>
      <c r="B462" s="40">
        <f>D461*E462+G461*H462+J461*K462</f>
        <v>404.18319999999994</v>
      </c>
      <c r="E462" s="40">
        <v>15.850199999999999</v>
      </c>
      <c r="H462" s="40">
        <v>11.889200000000001</v>
      </c>
    </row>
    <row r="463" spans="1:8" x14ac:dyDescent="0.3">
      <c r="A463" t="s">
        <v>627</v>
      </c>
      <c r="B463" s="43">
        <v>404.18</v>
      </c>
      <c r="C463" t="s">
        <v>43</v>
      </c>
      <c r="D463">
        <v>24</v>
      </c>
      <c r="E463" s="43">
        <v>15.85</v>
      </c>
      <c r="F463" t="s">
        <v>74</v>
      </c>
      <c r="G463">
        <v>2</v>
      </c>
      <c r="H463" s="43">
        <v>11.89</v>
      </c>
    </row>
    <row r="464" spans="1:8" s="40" customFormat="1" x14ac:dyDescent="0.3">
      <c r="A464" s="41" t="s">
        <v>976</v>
      </c>
      <c r="B464" s="40">
        <f>D463*E464+G463*H464+J463*K464</f>
        <v>404.18319999999994</v>
      </c>
      <c r="E464" s="40">
        <v>15.850199999999999</v>
      </c>
      <c r="H464" s="40">
        <v>11.889200000000001</v>
      </c>
    </row>
    <row r="465" spans="1:8" x14ac:dyDescent="0.3">
      <c r="A465" t="s">
        <v>632</v>
      </c>
      <c r="B465" s="43">
        <v>681.56</v>
      </c>
      <c r="C465" t="s">
        <v>47</v>
      </c>
      <c r="D465">
        <v>24</v>
      </c>
      <c r="E465" s="43">
        <v>26.42</v>
      </c>
      <c r="F465" t="s">
        <v>79</v>
      </c>
      <c r="G465">
        <v>2</v>
      </c>
      <c r="H465" s="43">
        <v>23.77</v>
      </c>
    </row>
    <row r="466" spans="1:8" s="40" customFormat="1" x14ac:dyDescent="0.3">
      <c r="A466" s="41" t="s">
        <v>976</v>
      </c>
      <c r="B466" s="40">
        <f>D465*E466+G465*H466+J465*K466</f>
        <v>681.56179999999995</v>
      </c>
      <c r="E466" s="40">
        <v>26.4178</v>
      </c>
      <c r="H466" s="40">
        <v>23.767299999999999</v>
      </c>
    </row>
    <row r="467" spans="1:8" x14ac:dyDescent="0.3">
      <c r="A467" t="s">
        <v>628</v>
      </c>
      <c r="B467" s="43">
        <v>681.56</v>
      </c>
      <c r="C467" t="s">
        <v>47</v>
      </c>
      <c r="D467">
        <v>24</v>
      </c>
      <c r="E467" s="43">
        <v>26.42</v>
      </c>
      <c r="F467" t="s">
        <v>79</v>
      </c>
      <c r="G467">
        <v>2</v>
      </c>
      <c r="H467" s="43">
        <v>23.77</v>
      </c>
    </row>
    <row r="468" spans="1:8" s="40" customFormat="1" x14ac:dyDescent="0.3">
      <c r="A468" s="41" t="s">
        <v>976</v>
      </c>
      <c r="B468" s="40">
        <f>D467*E468+G467*H468+J467*K468</f>
        <v>681.56179999999995</v>
      </c>
      <c r="E468" s="40">
        <v>26.4178</v>
      </c>
      <c r="H468" s="40">
        <v>23.767299999999999</v>
      </c>
    </row>
    <row r="469" spans="1:8" x14ac:dyDescent="0.3">
      <c r="A469" t="s">
        <v>634</v>
      </c>
      <c r="B469" s="43">
        <v>303.83</v>
      </c>
      <c r="C469" t="s">
        <v>29</v>
      </c>
      <c r="D469">
        <v>24</v>
      </c>
      <c r="E469" s="43">
        <v>11.89</v>
      </c>
      <c r="F469" t="s">
        <v>89</v>
      </c>
      <c r="G469">
        <v>2</v>
      </c>
      <c r="H469">
        <v>9.25</v>
      </c>
    </row>
    <row r="470" spans="1:8" s="40" customFormat="1" x14ac:dyDescent="0.3">
      <c r="A470" s="41" t="s">
        <v>976</v>
      </c>
      <c r="B470" s="40">
        <f>D469*E470+G469*H470+J469*K470</f>
        <v>303.83260000000001</v>
      </c>
      <c r="E470" s="40">
        <v>11.889200000000001</v>
      </c>
      <c r="H470" s="40">
        <v>9.2459000000000007</v>
      </c>
    </row>
    <row r="471" spans="1:8" x14ac:dyDescent="0.3">
      <c r="A471" t="s">
        <v>633</v>
      </c>
      <c r="B471" s="43">
        <v>367.27</v>
      </c>
      <c r="C471" t="s">
        <v>31</v>
      </c>
      <c r="D471">
        <v>24</v>
      </c>
      <c r="E471" s="43">
        <v>14.53</v>
      </c>
      <c r="F471" t="s">
        <v>89</v>
      </c>
      <c r="G471">
        <v>2</v>
      </c>
      <c r="H471" s="43">
        <v>9.25</v>
      </c>
    </row>
    <row r="472" spans="1:8" s="40" customFormat="1" x14ac:dyDescent="0.3">
      <c r="A472" s="41" t="s">
        <v>976</v>
      </c>
      <c r="B472" s="40">
        <f>D471*E472+G471*H472+J471*K472</f>
        <v>367.26940000000002</v>
      </c>
      <c r="E472" s="40">
        <v>14.532400000000001</v>
      </c>
      <c r="H472" s="40">
        <v>9.2459000000000007</v>
      </c>
    </row>
    <row r="473" spans="1:8" x14ac:dyDescent="0.3">
      <c r="A473" t="s">
        <v>635</v>
      </c>
      <c r="B473" s="43">
        <v>367.27</v>
      </c>
      <c r="C473" t="s">
        <v>31</v>
      </c>
      <c r="D473">
        <v>24</v>
      </c>
      <c r="E473" s="43">
        <v>14.53</v>
      </c>
      <c r="F473" t="s">
        <v>89</v>
      </c>
      <c r="G473">
        <v>2</v>
      </c>
      <c r="H473" s="43">
        <v>9.25</v>
      </c>
    </row>
    <row r="474" spans="1:8" s="40" customFormat="1" x14ac:dyDescent="0.3">
      <c r="A474" s="41" t="s">
        <v>976</v>
      </c>
      <c r="B474" s="40">
        <f>D473*E474+G473*H474+J473*K474</f>
        <v>367.26940000000002</v>
      </c>
      <c r="E474" s="40">
        <v>14.532400000000001</v>
      </c>
      <c r="H474" s="40">
        <v>9.2459000000000007</v>
      </c>
    </row>
    <row r="475" spans="1:8" x14ac:dyDescent="0.3">
      <c r="A475" t="s">
        <v>636</v>
      </c>
      <c r="B475" s="43">
        <v>367.27</v>
      </c>
      <c r="C475" t="s">
        <v>31</v>
      </c>
      <c r="D475">
        <v>24</v>
      </c>
      <c r="E475" s="43">
        <v>14.53</v>
      </c>
      <c r="F475" t="s">
        <v>89</v>
      </c>
      <c r="G475">
        <v>2</v>
      </c>
      <c r="H475" s="43">
        <v>9.25</v>
      </c>
    </row>
    <row r="476" spans="1:8" s="40" customFormat="1" x14ac:dyDescent="0.3">
      <c r="A476" s="41" t="s">
        <v>976</v>
      </c>
      <c r="B476" s="40">
        <f>D475*E476+G475*H476+J475*K476</f>
        <v>367.26940000000002</v>
      </c>
      <c r="E476" s="40">
        <v>14.532400000000001</v>
      </c>
      <c r="H476" s="40">
        <v>9.2459000000000007</v>
      </c>
    </row>
    <row r="477" spans="1:8" x14ac:dyDescent="0.3">
      <c r="A477" t="s">
        <v>637</v>
      </c>
      <c r="B477" s="43">
        <v>327.56</v>
      </c>
      <c r="C477" t="s">
        <v>41</v>
      </c>
      <c r="D477">
        <v>24</v>
      </c>
      <c r="E477" s="43">
        <v>12.88</v>
      </c>
      <c r="F477" t="s">
        <v>89</v>
      </c>
      <c r="G477">
        <v>2</v>
      </c>
      <c r="H477" s="43">
        <v>9.25</v>
      </c>
    </row>
    <row r="478" spans="1:8" s="40" customFormat="1" x14ac:dyDescent="0.3">
      <c r="A478" s="41" t="s">
        <v>976</v>
      </c>
      <c r="B478" s="40">
        <f>D477*E478+G477*H478+J477*K478</f>
        <v>327.55900000000003</v>
      </c>
      <c r="E478" s="40">
        <v>12.877800000000001</v>
      </c>
      <c r="H478" s="40">
        <v>9.2459000000000007</v>
      </c>
    </row>
    <row r="479" spans="1:8" x14ac:dyDescent="0.3">
      <c r="A479" t="s">
        <v>638</v>
      </c>
      <c r="B479" s="43">
        <v>158.46</v>
      </c>
      <c r="C479" t="s">
        <v>24</v>
      </c>
      <c r="D479">
        <v>24</v>
      </c>
      <c r="E479" s="43">
        <v>6.6</v>
      </c>
    </row>
    <row r="480" spans="1:8" s="40" customFormat="1" x14ac:dyDescent="0.3">
      <c r="A480" s="41" t="s">
        <v>976</v>
      </c>
      <c r="B480" s="40">
        <f>D479*E480+G479*H480+J479*K480</f>
        <v>158.4624</v>
      </c>
      <c r="E480" s="40">
        <v>6.6025999999999998</v>
      </c>
    </row>
    <row r="481" spans="1:11" x14ac:dyDescent="0.3">
      <c r="A481" t="s">
        <v>640</v>
      </c>
      <c r="B481" s="43">
        <v>348.78</v>
      </c>
      <c r="C481" t="s">
        <v>31</v>
      </c>
      <c r="D481">
        <v>24</v>
      </c>
      <c r="E481" s="43">
        <v>14.53</v>
      </c>
    </row>
    <row r="482" spans="1:11" s="40" customFormat="1" x14ac:dyDescent="0.3">
      <c r="A482" s="41" t="s">
        <v>976</v>
      </c>
      <c r="B482" s="40">
        <f>D481*E482+G481*H482+J481*K482</f>
        <v>348.77760000000001</v>
      </c>
      <c r="E482" s="40">
        <v>14.532400000000001</v>
      </c>
    </row>
    <row r="483" spans="1:11" x14ac:dyDescent="0.3">
      <c r="A483" t="s">
        <v>639</v>
      </c>
      <c r="B483" s="43">
        <v>221.9</v>
      </c>
      <c r="C483" t="s">
        <v>27</v>
      </c>
      <c r="D483">
        <v>24</v>
      </c>
      <c r="E483" s="43">
        <v>9.25</v>
      </c>
    </row>
    <row r="484" spans="1:11" s="40" customFormat="1" x14ac:dyDescent="0.3">
      <c r="A484" s="41" t="s">
        <v>976</v>
      </c>
      <c r="B484" s="40">
        <f>D483*E484+G483*H484+J483*K484</f>
        <v>221.90160000000003</v>
      </c>
      <c r="E484" s="40">
        <v>9.2459000000000007</v>
      </c>
    </row>
    <row r="485" spans="1:11" x14ac:dyDescent="0.3">
      <c r="A485" t="s">
        <v>642</v>
      </c>
      <c r="B485" s="43">
        <v>235.11</v>
      </c>
      <c r="C485" t="s">
        <v>27</v>
      </c>
      <c r="D485">
        <v>24</v>
      </c>
      <c r="E485" s="43">
        <v>9.25</v>
      </c>
      <c r="F485" t="s">
        <v>99</v>
      </c>
      <c r="G485">
        <v>2</v>
      </c>
      <c r="H485" s="43">
        <v>6.6</v>
      </c>
    </row>
    <row r="486" spans="1:11" s="40" customFormat="1" x14ac:dyDescent="0.3">
      <c r="A486" s="41" t="s">
        <v>976</v>
      </c>
      <c r="B486" s="40">
        <f>D485*E486+G485*H486+J485*K486</f>
        <v>235.10680000000002</v>
      </c>
      <c r="E486" s="40">
        <v>9.2459000000000007</v>
      </c>
      <c r="H486" s="40">
        <v>6.6025999999999998</v>
      </c>
    </row>
    <row r="487" spans="1:11" x14ac:dyDescent="0.3">
      <c r="A487" t="s">
        <v>641</v>
      </c>
      <c r="B487" s="43">
        <v>705.26</v>
      </c>
      <c r="C487" t="s">
        <v>57</v>
      </c>
      <c r="D487">
        <v>24</v>
      </c>
      <c r="E487" s="43">
        <v>23.78</v>
      </c>
      <c r="F487" t="s">
        <v>119</v>
      </c>
      <c r="G487">
        <v>2</v>
      </c>
      <c r="H487" s="43">
        <v>15.85</v>
      </c>
      <c r="I487" t="s">
        <v>137</v>
      </c>
      <c r="J487">
        <v>26</v>
      </c>
      <c r="K487">
        <v>3.96</v>
      </c>
    </row>
    <row r="488" spans="1:11" s="40" customFormat="1" x14ac:dyDescent="0.3">
      <c r="A488" s="41" t="s">
        <v>976</v>
      </c>
      <c r="B488" s="40">
        <f>D487*E488+G487*H488+J487*K488</f>
        <v>705.25599999999997</v>
      </c>
      <c r="E488" s="40">
        <v>23.775600000000001</v>
      </c>
      <c r="H488" s="40">
        <v>15.848599999999999</v>
      </c>
      <c r="K488" s="40">
        <v>3.9594</v>
      </c>
    </row>
    <row r="489" spans="1:11" x14ac:dyDescent="0.3">
      <c r="A489" t="s">
        <v>643</v>
      </c>
      <c r="B489" s="43">
        <v>705.26</v>
      </c>
      <c r="C489" t="s">
        <v>57</v>
      </c>
      <c r="D489">
        <v>24</v>
      </c>
      <c r="E489" s="43">
        <v>23.78</v>
      </c>
      <c r="F489" t="s">
        <v>119</v>
      </c>
      <c r="G489">
        <v>2</v>
      </c>
      <c r="H489" s="43">
        <v>15.85</v>
      </c>
      <c r="I489" t="s">
        <v>137</v>
      </c>
      <c r="J489">
        <v>26</v>
      </c>
      <c r="K489">
        <v>3.96</v>
      </c>
    </row>
    <row r="490" spans="1:11" s="40" customFormat="1" x14ac:dyDescent="0.3">
      <c r="A490" s="41" t="s">
        <v>976</v>
      </c>
      <c r="B490" s="40">
        <f>D489*E490+G489*H490+J489*K490</f>
        <v>705.25599999999997</v>
      </c>
      <c r="E490" s="40">
        <v>23.775600000000001</v>
      </c>
      <c r="H490" s="40">
        <v>15.848599999999999</v>
      </c>
      <c r="K490" s="40">
        <v>3.9594</v>
      </c>
    </row>
    <row r="491" spans="1:11" x14ac:dyDescent="0.3">
      <c r="A491" t="s">
        <v>644</v>
      </c>
      <c r="B491" s="43">
        <v>483.42</v>
      </c>
      <c r="C491" t="s">
        <v>31</v>
      </c>
      <c r="D491">
        <v>24</v>
      </c>
      <c r="E491" s="43">
        <v>14.53</v>
      </c>
      <c r="F491" t="s">
        <v>110</v>
      </c>
      <c r="G491">
        <v>2</v>
      </c>
      <c r="H491" s="43">
        <v>15.85</v>
      </c>
      <c r="I491" t="s">
        <v>137</v>
      </c>
      <c r="J491">
        <v>26</v>
      </c>
      <c r="K491">
        <v>3.96</v>
      </c>
    </row>
    <row r="492" spans="1:11" s="40" customFormat="1" x14ac:dyDescent="0.3">
      <c r="A492" s="41" t="s">
        <v>976</v>
      </c>
      <c r="B492" s="40">
        <f>D491*E492+G491*H492+J491*K492</f>
        <v>483.41920000000005</v>
      </c>
      <c r="E492" s="40">
        <v>14.532400000000001</v>
      </c>
      <c r="H492" s="40">
        <v>15.848599999999999</v>
      </c>
      <c r="K492" s="40">
        <v>3.9594</v>
      </c>
    </row>
    <row r="493" spans="1:11" x14ac:dyDescent="0.3">
      <c r="A493" t="s">
        <v>646</v>
      </c>
      <c r="B493" s="43">
        <v>483.42</v>
      </c>
      <c r="C493" t="s">
        <v>31</v>
      </c>
      <c r="D493">
        <v>24</v>
      </c>
      <c r="E493" s="43">
        <v>14.53</v>
      </c>
      <c r="F493" t="s">
        <v>110</v>
      </c>
      <c r="G493">
        <v>2</v>
      </c>
      <c r="H493" s="43">
        <v>15.85</v>
      </c>
      <c r="I493" t="s">
        <v>137</v>
      </c>
      <c r="J493">
        <v>26</v>
      </c>
      <c r="K493">
        <v>3.96</v>
      </c>
    </row>
    <row r="494" spans="1:11" s="40" customFormat="1" x14ac:dyDescent="0.3">
      <c r="A494" s="41" t="s">
        <v>976</v>
      </c>
      <c r="B494" s="40">
        <f>D493*E494+G493*H494+J493*K494</f>
        <v>483.41920000000005</v>
      </c>
      <c r="E494" s="40">
        <v>14.532400000000001</v>
      </c>
      <c r="H494" s="40">
        <v>15.848599999999999</v>
      </c>
      <c r="K494" s="40">
        <v>3.9594</v>
      </c>
    </row>
    <row r="495" spans="1:11" x14ac:dyDescent="0.3">
      <c r="A495" t="s">
        <v>645</v>
      </c>
      <c r="B495" s="43">
        <v>483.42</v>
      </c>
      <c r="C495" t="s">
        <v>31</v>
      </c>
      <c r="D495">
        <v>24</v>
      </c>
      <c r="E495" s="43">
        <v>14.53</v>
      </c>
      <c r="F495" t="s">
        <v>110</v>
      </c>
      <c r="G495">
        <v>2</v>
      </c>
      <c r="H495" s="43">
        <v>15.85</v>
      </c>
      <c r="I495" t="s">
        <v>137</v>
      </c>
      <c r="J495">
        <v>26</v>
      </c>
      <c r="K495">
        <v>3.96</v>
      </c>
    </row>
    <row r="496" spans="1:11" s="40" customFormat="1" x14ac:dyDescent="0.3">
      <c r="A496" s="41" t="s">
        <v>976</v>
      </c>
      <c r="B496" s="40">
        <f>D495*E496+G495*H496+J495*K496</f>
        <v>483.41920000000005</v>
      </c>
      <c r="E496" s="40">
        <v>14.532400000000001</v>
      </c>
      <c r="H496" s="40">
        <v>15.848599999999999</v>
      </c>
      <c r="K496" s="40">
        <v>3.9594</v>
      </c>
    </row>
    <row r="497" spans="1:11" x14ac:dyDescent="0.3">
      <c r="A497" t="s">
        <v>647</v>
      </c>
      <c r="B497" s="43">
        <v>483.42</v>
      </c>
      <c r="C497" t="s">
        <v>31</v>
      </c>
      <c r="D497">
        <v>24</v>
      </c>
      <c r="E497" s="43">
        <v>14.53</v>
      </c>
      <c r="F497" t="s">
        <v>110</v>
      </c>
      <c r="G497">
        <v>2</v>
      </c>
      <c r="H497" s="43">
        <v>15.85</v>
      </c>
      <c r="I497" t="s">
        <v>137</v>
      </c>
      <c r="J497">
        <v>26</v>
      </c>
      <c r="K497">
        <v>3.96</v>
      </c>
    </row>
    <row r="498" spans="1:11" s="40" customFormat="1" x14ac:dyDescent="0.3">
      <c r="A498" s="41" t="s">
        <v>976</v>
      </c>
      <c r="B498" s="40">
        <f>D497*E498+G497*H498+J497*K498</f>
        <v>483.41920000000005</v>
      </c>
      <c r="E498" s="40">
        <v>14.532400000000001</v>
      </c>
      <c r="H498" s="40">
        <v>15.848599999999999</v>
      </c>
      <c r="K498" s="40">
        <v>3.9594</v>
      </c>
    </row>
    <row r="499" spans="1:11" x14ac:dyDescent="0.3">
      <c r="A499" t="s">
        <v>648</v>
      </c>
      <c r="B499" s="43">
        <v>343.49</v>
      </c>
      <c r="C499" t="s">
        <v>31</v>
      </c>
      <c r="D499">
        <v>22</v>
      </c>
      <c r="E499" s="43">
        <v>14.53</v>
      </c>
      <c r="F499" t="s">
        <v>74</v>
      </c>
      <c r="G499">
        <v>2</v>
      </c>
      <c r="H499" s="43">
        <v>11.89</v>
      </c>
    </row>
    <row r="500" spans="1:11" s="40" customFormat="1" x14ac:dyDescent="0.3">
      <c r="A500" s="41" t="s">
        <v>976</v>
      </c>
      <c r="B500" s="40">
        <f>D499*E500+G499*H500+J499*K500</f>
        <v>343.49119999999999</v>
      </c>
      <c r="E500" s="40">
        <v>14.532400000000001</v>
      </c>
      <c r="H500" s="40">
        <v>11.889200000000001</v>
      </c>
    </row>
    <row r="501" spans="1:11" x14ac:dyDescent="0.3">
      <c r="A501" t="s">
        <v>649</v>
      </c>
      <c r="B501" s="43">
        <v>285.33999999999997</v>
      </c>
      <c r="C501" t="s">
        <v>65</v>
      </c>
      <c r="D501">
        <v>22</v>
      </c>
      <c r="E501" s="43">
        <v>11.89</v>
      </c>
      <c r="F501" t="s">
        <v>72</v>
      </c>
      <c r="G501">
        <v>2</v>
      </c>
      <c r="H501" s="43">
        <v>11.89</v>
      </c>
    </row>
    <row r="502" spans="1:11" s="40" customFormat="1" x14ac:dyDescent="0.3">
      <c r="A502" s="41" t="s">
        <v>976</v>
      </c>
      <c r="B502" s="40">
        <f>D501*E502+G501*H502+J501*K502</f>
        <v>285.3408</v>
      </c>
      <c r="E502" s="40">
        <v>11.889200000000001</v>
      </c>
      <c r="H502" s="40">
        <v>11.889200000000001</v>
      </c>
    </row>
    <row r="503" spans="1:11" x14ac:dyDescent="0.3">
      <c r="A503" t="s">
        <v>650</v>
      </c>
      <c r="B503" s="43">
        <v>328.96</v>
      </c>
      <c r="C503" t="s">
        <v>31</v>
      </c>
      <c r="D503">
        <v>21</v>
      </c>
      <c r="E503" s="43">
        <v>14.53</v>
      </c>
      <c r="F503" t="s">
        <v>74</v>
      </c>
      <c r="G503">
        <v>2</v>
      </c>
      <c r="H503" s="43">
        <v>11.89</v>
      </c>
    </row>
    <row r="504" spans="1:11" s="40" customFormat="1" x14ac:dyDescent="0.3">
      <c r="A504" s="41" t="s">
        <v>976</v>
      </c>
      <c r="B504" s="40">
        <f>D503*E504+G503*H504+J503*K504</f>
        <v>328.9588</v>
      </c>
      <c r="E504" s="40">
        <v>14.532400000000001</v>
      </c>
      <c r="H504" s="40">
        <v>11.889200000000001</v>
      </c>
    </row>
    <row r="505" spans="1:11" x14ac:dyDescent="0.3">
      <c r="A505" t="s">
        <v>652</v>
      </c>
      <c r="B505" s="43">
        <v>208.7</v>
      </c>
      <c r="C505" t="s">
        <v>27</v>
      </c>
      <c r="D505">
        <v>20</v>
      </c>
      <c r="E505" s="43">
        <v>9.25</v>
      </c>
      <c r="F505" t="s">
        <v>72</v>
      </c>
      <c r="G505">
        <v>2</v>
      </c>
      <c r="H505" s="43">
        <v>11.89</v>
      </c>
    </row>
    <row r="506" spans="1:11" s="40" customFormat="1" x14ac:dyDescent="0.3">
      <c r="A506" s="41" t="s">
        <v>976</v>
      </c>
      <c r="B506" s="40">
        <f>D505*E506+G505*H506+J505*K506</f>
        <v>208.69640000000001</v>
      </c>
      <c r="E506" s="40">
        <v>9.2459000000000007</v>
      </c>
      <c r="H506" s="40">
        <v>11.889200000000001</v>
      </c>
    </row>
    <row r="507" spans="1:11" x14ac:dyDescent="0.3">
      <c r="A507" t="s">
        <v>651</v>
      </c>
      <c r="B507" s="43">
        <v>499.29</v>
      </c>
      <c r="C507" t="s">
        <v>57</v>
      </c>
      <c r="D507">
        <v>20</v>
      </c>
      <c r="E507" s="43">
        <v>23.78</v>
      </c>
      <c r="F507" t="s">
        <v>83</v>
      </c>
      <c r="G507">
        <v>2</v>
      </c>
      <c r="H507" s="43">
        <v>11.89</v>
      </c>
    </row>
    <row r="508" spans="1:11" s="40" customFormat="1" x14ac:dyDescent="0.3">
      <c r="A508" s="41" t="s">
        <v>976</v>
      </c>
      <c r="B508" s="40">
        <f>D507*E508+G507*H508+J507*K508</f>
        <v>499.29039999999998</v>
      </c>
      <c r="E508" s="40">
        <v>23.775600000000001</v>
      </c>
      <c r="H508" s="40">
        <v>11.889200000000001</v>
      </c>
    </row>
    <row r="509" spans="1:11" x14ac:dyDescent="0.3">
      <c r="A509" t="s">
        <v>655</v>
      </c>
      <c r="B509" s="43">
        <v>208.7</v>
      </c>
      <c r="C509" t="s">
        <v>27</v>
      </c>
      <c r="D509">
        <v>20</v>
      </c>
      <c r="E509" s="43">
        <v>9.25</v>
      </c>
      <c r="F509" t="s">
        <v>72</v>
      </c>
      <c r="G509">
        <v>2</v>
      </c>
      <c r="H509" s="43">
        <v>11.89</v>
      </c>
    </row>
    <row r="510" spans="1:11" s="40" customFormat="1" x14ac:dyDescent="0.3">
      <c r="A510" s="41" t="s">
        <v>976</v>
      </c>
      <c r="B510" s="40">
        <f>D509*E510+G509*H510+J509*K510</f>
        <v>208.69640000000001</v>
      </c>
      <c r="E510" s="40">
        <v>9.2459000000000007</v>
      </c>
      <c r="H510" s="40">
        <v>11.889200000000001</v>
      </c>
    </row>
    <row r="511" spans="1:11" x14ac:dyDescent="0.3">
      <c r="A511" t="s">
        <v>653</v>
      </c>
      <c r="B511" s="43">
        <v>261.56</v>
      </c>
      <c r="C511" t="s">
        <v>65</v>
      </c>
      <c r="D511">
        <v>20</v>
      </c>
      <c r="E511" s="43">
        <v>11.89</v>
      </c>
      <c r="F511" t="s">
        <v>72</v>
      </c>
      <c r="G511">
        <v>2</v>
      </c>
      <c r="H511" s="43">
        <v>11.89</v>
      </c>
    </row>
    <row r="512" spans="1:11" s="40" customFormat="1" x14ac:dyDescent="0.3">
      <c r="A512" s="41" t="s">
        <v>976</v>
      </c>
      <c r="B512" s="40">
        <f>D511*E512+G511*H512+J511*K512</f>
        <v>261.56240000000003</v>
      </c>
      <c r="E512" s="40">
        <v>11.889200000000001</v>
      </c>
      <c r="H512" s="40">
        <v>11.889200000000001</v>
      </c>
    </row>
    <row r="513" spans="1:11" x14ac:dyDescent="0.3">
      <c r="A513" t="s">
        <v>654</v>
      </c>
      <c r="B513" s="43">
        <v>208.7</v>
      </c>
      <c r="C513" t="s">
        <v>27</v>
      </c>
      <c r="D513">
        <v>20</v>
      </c>
      <c r="E513" s="43">
        <v>9.25</v>
      </c>
      <c r="F513" t="s">
        <v>72</v>
      </c>
      <c r="G513">
        <v>2</v>
      </c>
      <c r="H513" s="43">
        <v>11.89</v>
      </c>
    </row>
    <row r="514" spans="1:11" s="40" customFormat="1" x14ac:dyDescent="0.3">
      <c r="A514" s="41" t="s">
        <v>976</v>
      </c>
      <c r="B514" s="40">
        <f>D513*E514+G513*H514+J513*K514</f>
        <v>208.69640000000001</v>
      </c>
      <c r="E514" s="40">
        <v>9.2459000000000007</v>
      </c>
      <c r="H514" s="40">
        <v>11.889200000000001</v>
      </c>
    </row>
    <row r="515" spans="1:11" x14ac:dyDescent="0.3">
      <c r="A515" t="s">
        <v>656</v>
      </c>
      <c r="B515" s="43">
        <v>208.7</v>
      </c>
      <c r="C515" t="s">
        <v>27</v>
      </c>
      <c r="D515">
        <v>20</v>
      </c>
      <c r="E515" s="43">
        <v>9.25</v>
      </c>
      <c r="F515" t="s">
        <v>72</v>
      </c>
      <c r="G515">
        <v>2</v>
      </c>
      <c r="H515" s="43">
        <v>11.89</v>
      </c>
    </row>
    <row r="516" spans="1:11" s="40" customFormat="1" x14ac:dyDescent="0.3">
      <c r="A516" s="41" t="s">
        <v>976</v>
      </c>
      <c r="B516" s="40">
        <f>D515*E516+G515*H516+J515*K516</f>
        <v>208.69640000000001</v>
      </c>
      <c r="E516" s="40">
        <v>9.2459000000000007</v>
      </c>
      <c r="H516" s="40">
        <v>11.889200000000001</v>
      </c>
    </row>
    <row r="517" spans="1:11" x14ac:dyDescent="0.3">
      <c r="A517" t="s">
        <v>657</v>
      </c>
      <c r="B517" s="43">
        <v>208.7</v>
      </c>
      <c r="C517" t="s">
        <v>27</v>
      </c>
      <c r="D517">
        <v>20</v>
      </c>
      <c r="E517" s="43">
        <v>9.25</v>
      </c>
      <c r="F517" t="s">
        <v>72</v>
      </c>
      <c r="G517">
        <v>2</v>
      </c>
      <c r="H517" s="43">
        <v>11.89</v>
      </c>
    </row>
    <row r="518" spans="1:11" s="40" customFormat="1" x14ac:dyDescent="0.3">
      <c r="A518" s="41" t="s">
        <v>976</v>
      </c>
      <c r="B518" s="40">
        <f>D517*E518+G517*H518+J517*K518</f>
        <v>208.69640000000001</v>
      </c>
      <c r="E518" s="40">
        <v>9.2459000000000007</v>
      </c>
      <c r="H518" s="40">
        <v>11.889200000000001</v>
      </c>
    </row>
    <row r="519" spans="1:11" x14ac:dyDescent="0.3">
      <c r="A519" t="s">
        <v>659</v>
      </c>
      <c r="B519" s="43">
        <v>261.56</v>
      </c>
      <c r="C519" t="s">
        <v>29</v>
      </c>
      <c r="D519">
        <v>20</v>
      </c>
      <c r="E519" s="43">
        <v>11.89</v>
      </c>
      <c r="F519" t="s">
        <v>74</v>
      </c>
      <c r="G519">
        <v>2</v>
      </c>
      <c r="H519" s="43">
        <v>11.89</v>
      </c>
    </row>
    <row r="520" spans="1:11" s="40" customFormat="1" x14ac:dyDescent="0.3">
      <c r="A520" s="41" t="s">
        <v>976</v>
      </c>
      <c r="B520" s="40">
        <f>D519*E520+G519*H520+J519*K520</f>
        <v>261.56240000000003</v>
      </c>
      <c r="E520" s="40">
        <v>11.889200000000001</v>
      </c>
      <c r="H520" s="40">
        <v>11.889200000000001</v>
      </c>
    </row>
    <row r="521" spans="1:11" x14ac:dyDescent="0.3">
      <c r="A521" t="s">
        <v>660</v>
      </c>
      <c r="B521" s="43">
        <v>261.56</v>
      </c>
      <c r="C521" t="s">
        <v>29</v>
      </c>
      <c r="D521">
        <v>20</v>
      </c>
      <c r="E521" s="43">
        <v>11.89</v>
      </c>
      <c r="F521" t="s">
        <v>74</v>
      </c>
      <c r="G521">
        <v>2</v>
      </c>
      <c r="H521" s="43">
        <v>11.89</v>
      </c>
    </row>
    <row r="522" spans="1:11" s="40" customFormat="1" x14ac:dyDescent="0.3">
      <c r="A522" s="41" t="s">
        <v>976</v>
      </c>
      <c r="B522" s="40">
        <f>D521*E522+G521*H522+J521*K522</f>
        <v>261.56240000000003</v>
      </c>
      <c r="E522" s="40">
        <v>11.889200000000001</v>
      </c>
      <c r="H522" s="40">
        <v>11.889200000000001</v>
      </c>
    </row>
    <row r="523" spans="1:11" x14ac:dyDescent="0.3">
      <c r="A523" t="s">
        <v>661</v>
      </c>
      <c r="B523" s="43">
        <v>393.67</v>
      </c>
      <c r="C523" t="s">
        <v>31</v>
      </c>
      <c r="D523">
        <v>20</v>
      </c>
      <c r="E523" s="43">
        <v>14.53</v>
      </c>
      <c r="F523" t="s">
        <v>74</v>
      </c>
      <c r="G523">
        <v>2</v>
      </c>
      <c r="H523" s="43">
        <v>11.89</v>
      </c>
      <c r="I523" t="s">
        <v>150</v>
      </c>
      <c r="J523">
        <v>5</v>
      </c>
      <c r="K523">
        <v>15.85</v>
      </c>
    </row>
    <row r="524" spans="1:11" s="40" customFormat="1" x14ac:dyDescent="0.3">
      <c r="A524" s="41" t="s">
        <v>976</v>
      </c>
      <c r="B524" s="40">
        <f>D523*E524+G523*H524+J523*K524</f>
        <v>393.6694</v>
      </c>
      <c r="E524" s="40">
        <v>14.532400000000001</v>
      </c>
      <c r="H524" s="40">
        <v>11.889200000000001</v>
      </c>
      <c r="K524" s="40">
        <v>15.848599999999999</v>
      </c>
    </row>
    <row r="525" spans="1:11" x14ac:dyDescent="0.3">
      <c r="A525" t="s">
        <v>658</v>
      </c>
      <c r="B525" s="43">
        <v>208.7</v>
      </c>
      <c r="C525" t="s">
        <v>27</v>
      </c>
      <c r="D525">
        <v>20</v>
      </c>
      <c r="E525" s="43">
        <v>9.25</v>
      </c>
      <c r="F525" t="s">
        <v>72</v>
      </c>
      <c r="G525">
        <v>2</v>
      </c>
      <c r="H525" s="43">
        <v>11.89</v>
      </c>
    </row>
    <row r="526" spans="1:11" s="40" customFormat="1" x14ac:dyDescent="0.3">
      <c r="A526" s="41" t="s">
        <v>976</v>
      </c>
      <c r="B526" s="40">
        <f>D525*E526+G525*H526+J525*K526</f>
        <v>208.69640000000001</v>
      </c>
      <c r="E526" s="40">
        <v>9.2459000000000007</v>
      </c>
      <c r="H526" s="40">
        <v>11.889200000000001</v>
      </c>
    </row>
    <row r="527" spans="1:11" x14ac:dyDescent="0.3">
      <c r="A527" t="s">
        <v>663</v>
      </c>
      <c r="B527" s="43">
        <v>779.27</v>
      </c>
      <c r="C527" t="s">
        <v>69</v>
      </c>
      <c r="D527">
        <v>20</v>
      </c>
      <c r="E527" s="43">
        <v>17.170000000000002</v>
      </c>
      <c r="F527" t="s">
        <v>74</v>
      </c>
      <c r="G527">
        <v>2</v>
      </c>
      <c r="H527" s="43">
        <v>11.89</v>
      </c>
      <c r="I527" t="s">
        <v>160</v>
      </c>
      <c r="J527">
        <v>26</v>
      </c>
      <c r="K527">
        <v>15.85</v>
      </c>
    </row>
    <row r="528" spans="1:11" s="40" customFormat="1" x14ac:dyDescent="0.3">
      <c r="A528" s="41" t="s">
        <v>976</v>
      </c>
      <c r="B528" s="40">
        <f>D527*E528+G527*H528+J527*K528</f>
        <v>779.26800000000003</v>
      </c>
      <c r="E528" s="40">
        <v>17.171299999999999</v>
      </c>
      <c r="H528" s="40">
        <v>11.889200000000001</v>
      </c>
      <c r="K528" s="40">
        <v>15.848599999999999</v>
      </c>
    </row>
    <row r="529" spans="1:8" x14ac:dyDescent="0.3">
      <c r="A529" t="s">
        <v>664</v>
      </c>
      <c r="B529" s="43">
        <v>314.43</v>
      </c>
      <c r="C529" t="s">
        <v>31</v>
      </c>
      <c r="D529">
        <v>20</v>
      </c>
      <c r="E529" s="43">
        <v>14.53</v>
      </c>
      <c r="F529" t="s">
        <v>74</v>
      </c>
      <c r="G529">
        <v>2</v>
      </c>
      <c r="H529" s="43">
        <v>11.89</v>
      </c>
    </row>
    <row r="530" spans="1:8" s="40" customFormat="1" x14ac:dyDescent="0.3">
      <c r="A530" s="41" t="s">
        <v>976</v>
      </c>
      <c r="B530" s="40">
        <f>D529*E530+G529*H530+J529*K530</f>
        <v>314.4264</v>
      </c>
      <c r="E530" s="40">
        <v>14.532400000000001</v>
      </c>
      <c r="H530" s="40">
        <v>11.889200000000001</v>
      </c>
    </row>
    <row r="531" spans="1:8" x14ac:dyDescent="0.3">
      <c r="A531" t="s">
        <v>662</v>
      </c>
      <c r="B531" s="43">
        <v>314.43</v>
      </c>
      <c r="C531" t="s">
        <v>31</v>
      </c>
      <c r="D531">
        <v>20</v>
      </c>
      <c r="E531" s="43">
        <v>14.53</v>
      </c>
      <c r="F531" t="s">
        <v>74</v>
      </c>
      <c r="G531">
        <v>2</v>
      </c>
      <c r="H531" s="43">
        <v>11.89</v>
      </c>
    </row>
    <row r="532" spans="1:8" s="40" customFormat="1" x14ac:dyDescent="0.3">
      <c r="A532" s="41" t="s">
        <v>976</v>
      </c>
      <c r="B532" s="40">
        <f>D531*E532+G531*H532+J531*K532</f>
        <v>314.4264</v>
      </c>
      <c r="E532" s="40">
        <v>14.532400000000001</v>
      </c>
      <c r="H532" s="40">
        <v>11.889200000000001</v>
      </c>
    </row>
    <row r="533" spans="1:8" x14ac:dyDescent="0.3">
      <c r="A533" t="s">
        <v>666</v>
      </c>
      <c r="B533" s="43">
        <v>314.43</v>
      </c>
      <c r="C533" t="s">
        <v>31</v>
      </c>
      <c r="D533">
        <v>20</v>
      </c>
      <c r="E533" s="43">
        <v>14.53</v>
      </c>
      <c r="F533" t="s">
        <v>74</v>
      </c>
      <c r="G533">
        <v>2</v>
      </c>
      <c r="H533" s="43">
        <v>11.89</v>
      </c>
    </row>
    <row r="534" spans="1:8" s="40" customFormat="1" x14ac:dyDescent="0.3">
      <c r="A534" s="41" t="s">
        <v>976</v>
      </c>
      <c r="B534" s="40">
        <f>D533*E534+G533*H534+J533*K534</f>
        <v>314.4264</v>
      </c>
      <c r="E534" s="40">
        <v>14.532400000000001</v>
      </c>
      <c r="H534" s="40">
        <v>11.889200000000001</v>
      </c>
    </row>
    <row r="535" spans="1:8" x14ac:dyDescent="0.3">
      <c r="A535" t="s">
        <v>665</v>
      </c>
      <c r="B535" s="43">
        <v>367.2</v>
      </c>
      <c r="C535" t="s">
        <v>69</v>
      </c>
      <c r="D535">
        <v>20</v>
      </c>
      <c r="E535" s="43">
        <v>17.170000000000002</v>
      </c>
      <c r="F535" t="s">
        <v>74</v>
      </c>
      <c r="G535">
        <v>2</v>
      </c>
      <c r="H535" s="43">
        <v>11.89</v>
      </c>
    </row>
    <row r="536" spans="1:8" s="40" customFormat="1" x14ac:dyDescent="0.3">
      <c r="A536" s="41" t="s">
        <v>976</v>
      </c>
      <c r="B536" s="40">
        <f>D535*E536+G535*H536+J535*K536</f>
        <v>367.20439999999996</v>
      </c>
      <c r="E536" s="40">
        <v>17.171299999999999</v>
      </c>
      <c r="H536" s="40">
        <v>11.889200000000001</v>
      </c>
    </row>
    <row r="537" spans="1:8" x14ac:dyDescent="0.3">
      <c r="A537" t="s">
        <v>667</v>
      </c>
      <c r="B537" s="43">
        <v>314.43</v>
      </c>
      <c r="C537" t="s">
        <v>31</v>
      </c>
      <c r="D537">
        <v>20</v>
      </c>
      <c r="E537" s="43">
        <v>14.53</v>
      </c>
      <c r="F537" t="s">
        <v>74</v>
      </c>
      <c r="G537">
        <v>2</v>
      </c>
      <c r="H537" s="43">
        <v>11.89</v>
      </c>
    </row>
    <row r="538" spans="1:8" s="40" customFormat="1" x14ac:dyDescent="0.3">
      <c r="A538" s="41" t="s">
        <v>976</v>
      </c>
      <c r="B538" s="40">
        <f>D537*E538+G537*H538+J537*K538</f>
        <v>314.4264</v>
      </c>
      <c r="E538" s="40">
        <v>14.532400000000001</v>
      </c>
      <c r="H538" s="40">
        <v>11.889200000000001</v>
      </c>
    </row>
    <row r="539" spans="1:8" x14ac:dyDescent="0.3">
      <c r="A539" t="s">
        <v>668</v>
      </c>
      <c r="B539" s="43">
        <v>367.2</v>
      </c>
      <c r="C539" t="s">
        <v>69</v>
      </c>
      <c r="D539">
        <v>20</v>
      </c>
      <c r="E539" s="43">
        <v>17.170000000000002</v>
      </c>
      <c r="F539" t="s">
        <v>74</v>
      </c>
      <c r="G539">
        <v>2</v>
      </c>
      <c r="H539" s="43">
        <v>11.89</v>
      </c>
    </row>
    <row r="540" spans="1:8" s="40" customFormat="1" x14ac:dyDescent="0.3">
      <c r="A540" s="41" t="s">
        <v>976</v>
      </c>
      <c r="B540" s="40">
        <f>D539*E540+G539*H540+J539*K540</f>
        <v>367.20439999999996</v>
      </c>
      <c r="E540" s="40">
        <v>17.171299999999999</v>
      </c>
      <c r="H540" s="40">
        <v>11.889200000000001</v>
      </c>
    </row>
    <row r="541" spans="1:8" x14ac:dyDescent="0.3">
      <c r="A541" t="s">
        <v>669</v>
      </c>
      <c r="B541" s="43">
        <v>314.43</v>
      </c>
      <c r="C541" t="s">
        <v>31</v>
      </c>
      <c r="D541">
        <v>20</v>
      </c>
      <c r="E541" s="43">
        <v>14.53</v>
      </c>
      <c r="F541" t="s">
        <v>74</v>
      </c>
      <c r="G541">
        <v>2</v>
      </c>
      <c r="H541" s="43">
        <v>11.89</v>
      </c>
    </row>
    <row r="542" spans="1:8" s="40" customFormat="1" x14ac:dyDescent="0.3">
      <c r="A542" s="41" t="s">
        <v>976</v>
      </c>
      <c r="B542" s="40">
        <f>D541*E542+G541*H542+J541*K542</f>
        <v>314.4264</v>
      </c>
      <c r="E542" s="40">
        <v>14.532400000000001</v>
      </c>
      <c r="H542" s="40">
        <v>11.889200000000001</v>
      </c>
    </row>
    <row r="543" spans="1:8" x14ac:dyDescent="0.3">
      <c r="A543" t="s">
        <v>671</v>
      </c>
      <c r="B543" s="43">
        <v>314.43</v>
      </c>
      <c r="C543" t="s">
        <v>31</v>
      </c>
      <c r="D543">
        <v>20</v>
      </c>
      <c r="E543" s="43">
        <v>14.53</v>
      </c>
      <c r="F543" t="s">
        <v>74</v>
      </c>
      <c r="G543">
        <v>2</v>
      </c>
      <c r="H543" s="43">
        <v>11.89</v>
      </c>
    </row>
    <row r="544" spans="1:8" s="40" customFormat="1" x14ac:dyDescent="0.3">
      <c r="A544" s="41" t="s">
        <v>976</v>
      </c>
      <c r="B544" s="40">
        <f>D543*E544+G543*H544+J543*K544</f>
        <v>314.4264</v>
      </c>
      <c r="E544" s="40">
        <v>14.532400000000001</v>
      </c>
      <c r="H544" s="40">
        <v>11.889200000000001</v>
      </c>
    </row>
    <row r="545" spans="1:8" x14ac:dyDescent="0.3">
      <c r="A545" t="s">
        <v>670</v>
      </c>
      <c r="B545" s="43">
        <v>314.43</v>
      </c>
      <c r="C545" t="s">
        <v>31</v>
      </c>
      <c r="D545">
        <v>20</v>
      </c>
      <c r="E545" s="43">
        <v>14.53</v>
      </c>
      <c r="F545" t="s">
        <v>74</v>
      </c>
      <c r="G545">
        <v>2</v>
      </c>
      <c r="H545" s="43">
        <v>11.89</v>
      </c>
    </row>
    <row r="546" spans="1:8" s="40" customFormat="1" x14ac:dyDescent="0.3">
      <c r="A546" s="41" t="s">
        <v>976</v>
      </c>
      <c r="B546" s="40">
        <f>D545*E546+G545*H546+J545*K546</f>
        <v>314.4264</v>
      </c>
      <c r="E546" s="40">
        <v>14.532400000000001</v>
      </c>
      <c r="H546" s="40">
        <v>11.889200000000001</v>
      </c>
    </row>
    <row r="547" spans="1:8" x14ac:dyDescent="0.3">
      <c r="A547" t="s">
        <v>672</v>
      </c>
      <c r="B547" s="43">
        <v>367.2</v>
      </c>
      <c r="C547" t="s">
        <v>69</v>
      </c>
      <c r="D547">
        <v>20</v>
      </c>
      <c r="E547" s="43">
        <v>17.170000000000002</v>
      </c>
      <c r="F547" t="s">
        <v>74</v>
      </c>
      <c r="G547">
        <v>2</v>
      </c>
      <c r="H547" s="43">
        <v>11.89</v>
      </c>
    </row>
    <row r="548" spans="1:8" s="40" customFormat="1" x14ac:dyDescent="0.3">
      <c r="A548" s="41" t="s">
        <v>976</v>
      </c>
      <c r="B548" s="40">
        <f>D547*E548+G547*H548+J547*K548</f>
        <v>367.20439999999996</v>
      </c>
      <c r="E548" s="40">
        <v>17.171299999999999</v>
      </c>
      <c r="H548" s="40">
        <v>11.889200000000001</v>
      </c>
    </row>
    <row r="549" spans="1:8" x14ac:dyDescent="0.3">
      <c r="A549" t="s">
        <v>674</v>
      </c>
      <c r="B549" s="43">
        <v>314.43</v>
      </c>
      <c r="C549" t="s">
        <v>31</v>
      </c>
      <c r="D549">
        <v>20</v>
      </c>
      <c r="E549" s="43">
        <v>14.53</v>
      </c>
      <c r="F549" t="s">
        <v>74</v>
      </c>
      <c r="G549">
        <v>2</v>
      </c>
      <c r="H549" s="43">
        <v>11.89</v>
      </c>
    </row>
    <row r="550" spans="1:8" s="40" customFormat="1" x14ac:dyDescent="0.3">
      <c r="A550" s="41" t="s">
        <v>976</v>
      </c>
      <c r="B550" s="40">
        <f>D549*E550+G549*H550+J549*K550</f>
        <v>314.4264</v>
      </c>
      <c r="E550" s="40">
        <v>14.532400000000001</v>
      </c>
      <c r="H550" s="40">
        <v>11.889200000000001</v>
      </c>
    </row>
    <row r="551" spans="1:8" x14ac:dyDescent="0.3">
      <c r="A551" t="s">
        <v>673</v>
      </c>
      <c r="B551" s="43">
        <v>314.43</v>
      </c>
      <c r="C551" t="s">
        <v>31</v>
      </c>
      <c r="D551">
        <v>20</v>
      </c>
      <c r="E551" s="43">
        <v>14.53</v>
      </c>
      <c r="F551" t="s">
        <v>74</v>
      </c>
      <c r="G551">
        <v>2</v>
      </c>
      <c r="H551" s="43">
        <v>11.89</v>
      </c>
    </row>
    <row r="552" spans="1:8" s="40" customFormat="1" x14ac:dyDescent="0.3">
      <c r="A552" s="41" t="s">
        <v>976</v>
      </c>
      <c r="B552" s="40">
        <f>D551*E552+G551*H552+J551*K552</f>
        <v>314.4264</v>
      </c>
      <c r="E552" s="40">
        <v>14.532400000000001</v>
      </c>
      <c r="H552" s="40">
        <v>11.889200000000001</v>
      </c>
    </row>
    <row r="553" spans="1:8" x14ac:dyDescent="0.3">
      <c r="A553" t="s">
        <v>676</v>
      </c>
      <c r="B553" s="43">
        <v>314.43</v>
      </c>
      <c r="C553" t="s">
        <v>31</v>
      </c>
      <c r="D553">
        <v>20</v>
      </c>
      <c r="E553" s="43">
        <v>14.53</v>
      </c>
      <c r="F553" t="s">
        <v>74</v>
      </c>
      <c r="G553">
        <v>2</v>
      </c>
      <c r="H553" s="43">
        <v>11.89</v>
      </c>
    </row>
    <row r="554" spans="1:8" s="40" customFormat="1" x14ac:dyDescent="0.3">
      <c r="A554" s="41" t="s">
        <v>976</v>
      </c>
      <c r="B554" s="40">
        <f>D553*E554+G553*H554+J553*K554</f>
        <v>314.4264</v>
      </c>
      <c r="E554" s="40">
        <v>14.532400000000001</v>
      </c>
      <c r="H554" s="40">
        <v>11.889200000000001</v>
      </c>
    </row>
    <row r="555" spans="1:8" x14ac:dyDescent="0.3">
      <c r="A555" t="s">
        <v>675</v>
      </c>
      <c r="B555" s="43">
        <v>367.2</v>
      </c>
      <c r="C555" t="s">
        <v>69</v>
      </c>
      <c r="D555">
        <v>20</v>
      </c>
      <c r="E555" s="43">
        <v>17.170000000000002</v>
      </c>
      <c r="F555" t="s">
        <v>74</v>
      </c>
      <c r="G555">
        <v>2</v>
      </c>
      <c r="H555" s="43">
        <v>11.89</v>
      </c>
    </row>
    <row r="556" spans="1:8" s="40" customFormat="1" x14ac:dyDescent="0.3">
      <c r="A556" s="41" t="s">
        <v>976</v>
      </c>
      <c r="B556" s="40">
        <f>D555*E556+G555*H556+J555*K556</f>
        <v>367.20439999999996</v>
      </c>
      <c r="E556" s="40">
        <v>17.171299999999999</v>
      </c>
      <c r="H556" s="40">
        <v>11.889200000000001</v>
      </c>
    </row>
    <row r="557" spans="1:8" x14ac:dyDescent="0.3">
      <c r="A557" t="s">
        <v>677</v>
      </c>
      <c r="B557" s="43">
        <v>314.43</v>
      </c>
      <c r="C557" t="s">
        <v>31</v>
      </c>
      <c r="D557">
        <v>20</v>
      </c>
      <c r="E557" s="43">
        <v>14.53</v>
      </c>
      <c r="F557" t="s">
        <v>74</v>
      </c>
      <c r="G557">
        <v>2</v>
      </c>
      <c r="H557" s="43">
        <v>11.89</v>
      </c>
    </row>
    <row r="558" spans="1:8" s="40" customFormat="1" x14ac:dyDescent="0.3">
      <c r="A558" s="41" t="s">
        <v>976</v>
      </c>
      <c r="B558" s="40">
        <f>D557*E558+G557*H558+J557*K558</f>
        <v>314.4264</v>
      </c>
      <c r="E558" s="40">
        <v>14.532400000000001</v>
      </c>
      <c r="H558" s="40">
        <v>11.889200000000001</v>
      </c>
    </row>
    <row r="559" spans="1:8" x14ac:dyDescent="0.3">
      <c r="A559" t="s">
        <v>678</v>
      </c>
      <c r="B559" s="43">
        <v>340.78</v>
      </c>
      <c r="C559" t="s">
        <v>43</v>
      </c>
      <c r="D559">
        <v>20</v>
      </c>
      <c r="E559" s="43">
        <v>15.85</v>
      </c>
      <c r="F559" t="s">
        <v>74</v>
      </c>
      <c r="G559">
        <v>2</v>
      </c>
      <c r="H559" s="43">
        <v>11.89</v>
      </c>
    </row>
    <row r="560" spans="1:8" s="40" customFormat="1" x14ac:dyDescent="0.3">
      <c r="A560" s="41" t="s">
        <v>976</v>
      </c>
      <c r="B560" s="40">
        <f>D559*E560+G559*H560+J559*K560</f>
        <v>340.78239999999994</v>
      </c>
      <c r="E560" s="40">
        <v>15.850199999999999</v>
      </c>
      <c r="H560" s="40">
        <v>11.889200000000001</v>
      </c>
    </row>
    <row r="561" spans="1:11" x14ac:dyDescent="0.3">
      <c r="A561" t="s">
        <v>680</v>
      </c>
      <c r="B561" s="43">
        <v>309.14</v>
      </c>
      <c r="C561" t="s">
        <v>31</v>
      </c>
      <c r="D561">
        <v>20</v>
      </c>
      <c r="E561" s="43">
        <v>14.53</v>
      </c>
      <c r="F561" t="s">
        <v>89</v>
      </c>
      <c r="G561">
        <v>2</v>
      </c>
      <c r="H561" s="43">
        <v>9.25</v>
      </c>
    </row>
    <row r="562" spans="1:11" s="40" customFormat="1" x14ac:dyDescent="0.3">
      <c r="A562" s="41" t="s">
        <v>976</v>
      </c>
      <c r="B562" s="40">
        <f>D561*E562+G561*H562+J561*K562</f>
        <v>309.13980000000004</v>
      </c>
      <c r="E562" s="40">
        <v>14.532400000000001</v>
      </c>
      <c r="H562" s="40">
        <v>9.2459000000000007</v>
      </c>
    </row>
    <row r="563" spans="1:11" x14ac:dyDescent="0.3">
      <c r="A563" t="s">
        <v>679</v>
      </c>
      <c r="B563" s="43">
        <v>281.33</v>
      </c>
      <c r="C563" t="s">
        <v>41</v>
      </c>
      <c r="D563">
        <v>20</v>
      </c>
      <c r="E563" s="43">
        <v>12.88</v>
      </c>
      <c r="F563" t="s">
        <v>74</v>
      </c>
      <c r="G563">
        <v>2</v>
      </c>
      <c r="H563" s="43">
        <v>11.89</v>
      </c>
    </row>
    <row r="564" spans="1:11" s="40" customFormat="1" x14ac:dyDescent="0.3">
      <c r="A564" s="41" t="s">
        <v>976</v>
      </c>
      <c r="B564" s="40">
        <f>D563*E564+G563*H564+J563*K564</f>
        <v>281.33440000000002</v>
      </c>
      <c r="E564" s="40">
        <v>12.877800000000001</v>
      </c>
      <c r="H564" s="40">
        <v>11.889200000000001</v>
      </c>
    </row>
    <row r="565" spans="1:11" x14ac:dyDescent="0.3">
      <c r="A565" t="s">
        <v>682</v>
      </c>
      <c r="B565" s="43">
        <v>462.23</v>
      </c>
      <c r="C565" t="s">
        <v>69</v>
      </c>
      <c r="D565">
        <v>20</v>
      </c>
      <c r="E565" s="43">
        <v>17.170000000000002</v>
      </c>
      <c r="F565" t="s">
        <v>110</v>
      </c>
      <c r="G565">
        <v>2</v>
      </c>
      <c r="H565" s="43">
        <v>15.85</v>
      </c>
      <c r="I565" t="s">
        <v>137</v>
      </c>
      <c r="J565">
        <v>22</v>
      </c>
      <c r="K565">
        <v>3.96</v>
      </c>
    </row>
    <row r="566" spans="1:11" s="40" customFormat="1" x14ac:dyDescent="0.3">
      <c r="A566" s="41" t="s">
        <v>976</v>
      </c>
      <c r="B566" s="40">
        <f>D565*E566+G565*H566+J565*K566</f>
        <v>462.23</v>
      </c>
      <c r="E566" s="40">
        <v>17.171299999999999</v>
      </c>
      <c r="H566" s="40">
        <v>15.848599999999999</v>
      </c>
      <c r="K566" s="40">
        <v>3.9594</v>
      </c>
    </row>
    <row r="567" spans="1:11" x14ac:dyDescent="0.3">
      <c r="A567" t="s">
        <v>684</v>
      </c>
      <c r="B567" s="43">
        <v>409.45</v>
      </c>
      <c r="C567" t="s">
        <v>31</v>
      </c>
      <c r="D567">
        <v>20</v>
      </c>
      <c r="E567" s="43">
        <v>14.53</v>
      </c>
      <c r="F567" t="s">
        <v>110</v>
      </c>
      <c r="G567">
        <v>2</v>
      </c>
      <c r="H567" s="43">
        <v>15.85</v>
      </c>
      <c r="I567" t="s">
        <v>137</v>
      </c>
      <c r="J567">
        <v>22</v>
      </c>
      <c r="K567">
        <v>3.96</v>
      </c>
    </row>
    <row r="568" spans="1:11" s="40" customFormat="1" x14ac:dyDescent="0.3">
      <c r="A568" s="41" t="s">
        <v>976</v>
      </c>
      <c r="B568" s="40">
        <f>D567*E568+G567*H568+J567*K568</f>
        <v>409.45200000000006</v>
      </c>
      <c r="E568" s="40">
        <v>14.532400000000001</v>
      </c>
      <c r="H568" s="40">
        <v>15.848599999999999</v>
      </c>
      <c r="K568" s="40">
        <v>3.9594</v>
      </c>
    </row>
    <row r="569" spans="1:11" x14ac:dyDescent="0.3">
      <c r="A569" t="s">
        <v>681</v>
      </c>
      <c r="B569" s="43">
        <v>409.45</v>
      </c>
      <c r="C569" t="s">
        <v>31</v>
      </c>
      <c r="D569">
        <v>20</v>
      </c>
      <c r="E569" s="43">
        <v>14.53</v>
      </c>
      <c r="F569" t="s">
        <v>110</v>
      </c>
      <c r="G569">
        <v>2</v>
      </c>
      <c r="H569" s="43">
        <v>15.85</v>
      </c>
      <c r="I569" t="s">
        <v>137</v>
      </c>
      <c r="J569">
        <v>22</v>
      </c>
      <c r="K569">
        <v>3.96</v>
      </c>
    </row>
    <row r="570" spans="1:11" s="40" customFormat="1" x14ac:dyDescent="0.3">
      <c r="A570" s="41" t="s">
        <v>976</v>
      </c>
      <c r="B570" s="40">
        <f>D569*E570+G569*H570+J569*K570</f>
        <v>409.45200000000006</v>
      </c>
      <c r="E570" s="40">
        <v>14.532400000000001</v>
      </c>
      <c r="H570" s="40">
        <v>15.848599999999999</v>
      </c>
      <c r="K570" s="40">
        <v>3.9594</v>
      </c>
    </row>
    <row r="571" spans="1:11" x14ac:dyDescent="0.3">
      <c r="A571" t="s">
        <v>685</v>
      </c>
      <c r="B571" s="43">
        <v>451.74</v>
      </c>
      <c r="C571" t="s">
        <v>57</v>
      </c>
      <c r="D571">
        <v>18</v>
      </c>
      <c r="E571" s="43">
        <v>23.78</v>
      </c>
      <c r="F571" t="s">
        <v>83</v>
      </c>
      <c r="G571">
        <v>2</v>
      </c>
      <c r="H571" s="43">
        <v>11.89</v>
      </c>
    </row>
    <row r="572" spans="1:11" s="40" customFormat="1" x14ac:dyDescent="0.3">
      <c r="A572" s="41" t="s">
        <v>976</v>
      </c>
      <c r="B572" s="40">
        <f>D571*E572+G571*H572+J571*K572</f>
        <v>451.73919999999998</v>
      </c>
      <c r="E572" s="40">
        <v>23.775600000000001</v>
      </c>
      <c r="H572" s="40">
        <v>11.889200000000001</v>
      </c>
    </row>
    <row r="573" spans="1:11" x14ac:dyDescent="0.3">
      <c r="A573" t="s">
        <v>683</v>
      </c>
      <c r="B573" s="43">
        <v>451.74</v>
      </c>
      <c r="C573" t="s">
        <v>57</v>
      </c>
      <c r="D573">
        <v>18</v>
      </c>
      <c r="E573" s="43">
        <v>23.78</v>
      </c>
      <c r="F573" t="s">
        <v>83</v>
      </c>
      <c r="G573">
        <v>2</v>
      </c>
      <c r="H573" s="43">
        <v>11.89</v>
      </c>
    </row>
    <row r="574" spans="1:11" s="40" customFormat="1" x14ac:dyDescent="0.3">
      <c r="A574" s="41" t="s">
        <v>976</v>
      </c>
      <c r="B574" s="40">
        <f>D573*E574+G573*H574+J573*K574</f>
        <v>451.73919999999998</v>
      </c>
      <c r="E574" s="40">
        <v>23.775600000000001</v>
      </c>
      <c r="H574" s="40">
        <v>11.889200000000001</v>
      </c>
    </row>
    <row r="575" spans="1:11" x14ac:dyDescent="0.3">
      <c r="A575" t="s">
        <v>686</v>
      </c>
      <c r="B575" s="43">
        <v>451.74</v>
      </c>
      <c r="C575" t="s">
        <v>57</v>
      </c>
      <c r="D575">
        <v>18</v>
      </c>
      <c r="E575" s="43">
        <v>23.78</v>
      </c>
      <c r="F575" t="s">
        <v>83</v>
      </c>
      <c r="G575">
        <v>2</v>
      </c>
      <c r="H575" s="43">
        <v>11.89</v>
      </c>
    </row>
    <row r="576" spans="1:11" s="40" customFormat="1" x14ac:dyDescent="0.3">
      <c r="A576" s="41" t="s">
        <v>976</v>
      </c>
      <c r="B576" s="40">
        <f>D575*E576+G575*H576+J575*K576</f>
        <v>451.73919999999998</v>
      </c>
      <c r="E576" s="40">
        <v>23.775600000000001</v>
      </c>
      <c r="H576" s="40">
        <v>11.889200000000001</v>
      </c>
    </row>
    <row r="577" spans="1:8" x14ac:dyDescent="0.3">
      <c r="A577" t="s">
        <v>687</v>
      </c>
      <c r="B577" s="43">
        <v>142.63</v>
      </c>
      <c r="C577" t="s">
        <v>24</v>
      </c>
      <c r="D577">
        <v>18</v>
      </c>
      <c r="E577" s="43">
        <v>6.6</v>
      </c>
      <c r="F577" t="s">
        <v>72</v>
      </c>
      <c r="G577">
        <v>2</v>
      </c>
      <c r="H577" s="43">
        <v>11.89</v>
      </c>
    </row>
    <row r="578" spans="1:8" s="40" customFormat="1" x14ac:dyDescent="0.3">
      <c r="A578" s="41" t="s">
        <v>976</v>
      </c>
      <c r="B578" s="40">
        <f>D577*E578+G577*H578+J577*K578</f>
        <v>142.62520000000001</v>
      </c>
      <c r="E578" s="40">
        <v>6.6025999999999998</v>
      </c>
      <c r="H578" s="40">
        <v>11.889200000000001</v>
      </c>
    </row>
    <row r="579" spans="1:8" x14ac:dyDescent="0.3">
      <c r="A579" t="s">
        <v>689</v>
      </c>
      <c r="B579" s="43">
        <v>190.2</v>
      </c>
      <c r="C579" t="s">
        <v>27</v>
      </c>
      <c r="D579">
        <v>18</v>
      </c>
      <c r="E579" s="43">
        <v>9.25</v>
      </c>
      <c r="F579" t="s">
        <v>72</v>
      </c>
      <c r="G579">
        <v>2</v>
      </c>
      <c r="H579" s="43">
        <v>11.89</v>
      </c>
    </row>
    <row r="580" spans="1:8" s="40" customFormat="1" x14ac:dyDescent="0.3">
      <c r="A580" s="41" t="s">
        <v>976</v>
      </c>
      <c r="B580" s="40">
        <f>D579*E580+G579*H580+J579*K580</f>
        <v>190.20460000000003</v>
      </c>
      <c r="E580" s="40">
        <v>9.2459000000000007</v>
      </c>
      <c r="H580" s="40">
        <v>11.889200000000001</v>
      </c>
    </row>
    <row r="581" spans="1:8" x14ac:dyDescent="0.3">
      <c r="A581" t="s">
        <v>688</v>
      </c>
      <c r="B581" s="43">
        <v>190.2</v>
      </c>
      <c r="C581" t="s">
        <v>27</v>
      </c>
      <c r="D581">
        <v>18</v>
      </c>
      <c r="E581" s="43">
        <v>9.25</v>
      </c>
      <c r="F581" t="s">
        <v>72</v>
      </c>
      <c r="G581">
        <v>2</v>
      </c>
      <c r="H581" s="43">
        <v>11.89</v>
      </c>
    </row>
    <row r="582" spans="1:8" s="40" customFormat="1" x14ac:dyDescent="0.3">
      <c r="A582" s="41" t="s">
        <v>976</v>
      </c>
      <c r="B582" s="40">
        <f>D581*E582+G581*H582+J581*K582</f>
        <v>190.20460000000003</v>
      </c>
      <c r="E582" s="40">
        <v>9.2459000000000007</v>
      </c>
      <c r="H582" s="40">
        <v>11.889200000000001</v>
      </c>
    </row>
    <row r="583" spans="1:8" x14ac:dyDescent="0.3">
      <c r="A583" t="s">
        <v>690</v>
      </c>
      <c r="B583" s="43">
        <v>190.2</v>
      </c>
      <c r="C583" t="s">
        <v>27</v>
      </c>
      <c r="D583">
        <v>18</v>
      </c>
      <c r="E583" s="43">
        <v>9.25</v>
      </c>
      <c r="F583" t="s">
        <v>72</v>
      </c>
      <c r="G583">
        <v>2</v>
      </c>
      <c r="H583" s="43">
        <v>11.89</v>
      </c>
    </row>
    <row r="584" spans="1:8" s="40" customFormat="1" x14ac:dyDescent="0.3">
      <c r="A584" s="41" t="s">
        <v>976</v>
      </c>
      <c r="B584" s="40">
        <f>D583*E584+G583*H584+J583*K584</f>
        <v>190.20460000000003</v>
      </c>
      <c r="E584" s="40">
        <v>9.2459000000000007</v>
      </c>
      <c r="H584" s="40">
        <v>11.889200000000001</v>
      </c>
    </row>
    <row r="585" spans="1:8" x14ac:dyDescent="0.3">
      <c r="A585" t="s">
        <v>691</v>
      </c>
      <c r="B585" s="43">
        <v>190.2</v>
      </c>
      <c r="C585" t="s">
        <v>27</v>
      </c>
      <c r="D585">
        <v>18</v>
      </c>
      <c r="E585" s="43">
        <v>9.25</v>
      </c>
      <c r="F585" t="s">
        <v>72</v>
      </c>
      <c r="G585">
        <v>2</v>
      </c>
      <c r="H585" s="43">
        <v>11.89</v>
      </c>
    </row>
    <row r="586" spans="1:8" s="40" customFormat="1" x14ac:dyDescent="0.3">
      <c r="A586" s="41" t="s">
        <v>976</v>
      </c>
      <c r="B586" s="40">
        <f>D585*E586+G585*H586+J585*K586</f>
        <v>190.20460000000003</v>
      </c>
      <c r="E586" s="40">
        <v>9.2459000000000007</v>
      </c>
      <c r="H586" s="40">
        <v>11.889200000000001</v>
      </c>
    </row>
    <row r="587" spans="1:8" x14ac:dyDescent="0.3">
      <c r="A587" t="s">
        <v>692</v>
      </c>
      <c r="B587" s="43">
        <v>237.78</v>
      </c>
      <c r="C587" t="s">
        <v>65</v>
      </c>
      <c r="D587">
        <v>18</v>
      </c>
      <c r="E587" s="43">
        <v>11.89</v>
      </c>
      <c r="F587" t="s">
        <v>72</v>
      </c>
      <c r="G587">
        <v>2</v>
      </c>
      <c r="H587" s="43">
        <v>11.89</v>
      </c>
    </row>
    <row r="588" spans="1:8" s="40" customFormat="1" x14ac:dyDescent="0.3">
      <c r="A588" s="41" t="s">
        <v>976</v>
      </c>
      <c r="B588" s="40">
        <f>D587*E588+G587*H588+J587*K588</f>
        <v>237.78400000000002</v>
      </c>
      <c r="E588" s="40">
        <v>11.889200000000001</v>
      </c>
      <c r="H588" s="40">
        <v>11.889200000000001</v>
      </c>
    </row>
    <row r="589" spans="1:8" x14ac:dyDescent="0.3">
      <c r="A589" t="s">
        <v>694</v>
      </c>
      <c r="B589" s="43">
        <v>237.78</v>
      </c>
      <c r="C589" t="s">
        <v>29</v>
      </c>
      <c r="D589">
        <v>18</v>
      </c>
      <c r="E589" s="43">
        <v>11.89</v>
      </c>
      <c r="F589" t="s">
        <v>74</v>
      </c>
      <c r="G589">
        <v>2</v>
      </c>
      <c r="H589" s="43">
        <v>11.89</v>
      </c>
    </row>
    <row r="590" spans="1:8" s="40" customFormat="1" x14ac:dyDescent="0.3">
      <c r="A590" s="41" t="s">
        <v>976</v>
      </c>
      <c r="B590" s="40">
        <f>D589*E590+G589*H590+J589*K590</f>
        <v>237.78400000000002</v>
      </c>
      <c r="E590" s="40">
        <v>11.889200000000001</v>
      </c>
      <c r="H590" s="40">
        <v>11.889200000000001</v>
      </c>
    </row>
    <row r="591" spans="1:8" x14ac:dyDescent="0.3">
      <c r="A591" t="s">
        <v>693</v>
      </c>
      <c r="B591" s="43">
        <v>190.2</v>
      </c>
      <c r="C591" t="s">
        <v>27</v>
      </c>
      <c r="D591">
        <v>18</v>
      </c>
      <c r="E591" s="43">
        <v>9.25</v>
      </c>
      <c r="F591" t="s">
        <v>72</v>
      </c>
      <c r="G591">
        <v>2</v>
      </c>
      <c r="H591" s="43">
        <v>11.89</v>
      </c>
    </row>
    <row r="592" spans="1:8" s="40" customFormat="1" x14ac:dyDescent="0.3">
      <c r="A592" s="41" t="s">
        <v>976</v>
      </c>
      <c r="B592" s="40">
        <f>D591*E592+G591*H592+J591*K592</f>
        <v>190.20460000000003</v>
      </c>
      <c r="E592" s="40">
        <v>9.2459000000000007</v>
      </c>
      <c r="H592" s="40">
        <v>11.889200000000001</v>
      </c>
    </row>
    <row r="593" spans="1:8" x14ac:dyDescent="0.3">
      <c r="A593" t="s">
        <v>696</v>
      </c>
      <c r="B593" s="43">
        <v>237.78</v>
      </c>
      <c r="C593" t="s">
        <v>29</v>
      </c>
      <c r="D593">
        <v>18</v>
      </c>
      <c r="E593" s="43">
        <v>11.89</v>
      </c>
      <c r="F593" t="s">
        <v>74</v>
      </c>
      <c r="G593">
        <v>2</v>
      </c>
      <c r="H593" s="43">
        <v>11.89</v>
      </c>
    </row>
    <row r="594" spans="1:8" s="40" customFormat="1" x14ac:dyDescent="0.3">
      <c r="A594" s="41" t="s">
        <v>976</v>
      </c>
      <c r="B594" s="40">
        <f>D593*E594+G593*H594+J593*K594</f>
        <v>237.78400000000002</v>
      </c>
      <c r="E594" s="40">
        <v>11.889200000000001</v>
      </c>
      <c r="H594" s="40">
        <v>11.889200000000001</v>
      </c>
    </row>
    <row r="595" spans="1:8" x14ac:dyDescent="0.3">
      <c r="A595" t="s">
        <v>695</v>
      </c>
      <c r="B595" s="43">
        <v>237.78</v>
      </c>
      <c r="C595" t="s">
        <v>29</v>
      </c>
      <c r="D595">
        <v>18</v>
      </c>
      <c r="E595" s="43">
        <v>11.89</v>
      </c>
      <c r="F595" t="s">
        <v>74</v>
      </c>
      <c r="G595">
        <v>2</v>
      </c>
      <c r="H595" s="43">
        <v>11.89</v>
      </c>
    </row>
    <row r="596" spans="1:8" s="40" customFormat="1" x14ac:dyDescent="0.3">
      <c r="A596" s="41" t="s">
        <v>976</v>
      </c>
      <c r="B596" s="40">
        <f>D595*E596+G595*H596+J595*K596</f>
        <v>237.78400000000002</v>
      </c>
      <c r="E596" s="40">
        <v>11.889200000000001</v>
      </c>
      <c r="H596" s="40">
        <v>11.889200000000001</v>
      </c>
    </row>
    <row r="597" spans="1:8" x14ac:dyDescent="0.3">
      <c r="A597" t="s">
        <v>697</v>
      </c>
      <c r="B597" s="43">
        <v>285.36</v>
      </c>
      <c r="C597" t="s">
        <v>31</v>
      </c>
      <c r="D597">
        <v>18</v>
      </c>
      <c r="E597" s="43">
        <v>14.53</v>
      </c>
      <c r="F597" t="s">
        <v>74</v>
      </c>
      <c r="G597">
        <v>2</v>
      </c>
      <c r="H597" s="43">
        <v>11.89</v>
      </c>
    </row>
    <row r="598" spans="1:8" s="40" customFormat="1" x14ac:dyDescent="0.3">
      <c r="A598" s="41" t="s">
        <v>976</v>
      </c>
      <c r="B598" s="40">
        <f>D597*E598+G597*H598+J597*K598</f>
        <v>285.36160000000001</v>
      </c>
      <c r="E598" s="40">
        <v>14.532400000000001</v>
      </c>
      <c r="H598" s="40">
        <v>11.889200000000001</v>
      </c>
    </row>
    <row r="599" spans="1:8" x14ac:dyDescent="0.3">
      <c r="A599" t="s">
        <v>699</v>
      </c>
      <c r="B599" s="43">
        <v>285.36</v>
      </c>
      <c r="C599" t="s">
        <v>31</v>
      </c>
      <c r="D599">
        <v>18</v>
      </c>
      <c r="E599" s="43">
        <v>14.53</v>
      </c>
      <c r="F599" t="s">
        <v>74</v>
      </c>
      <c r="G599">
        <v>2</v>
      </c>
      <c r="H599">
        <v>11.89</v>
      </c>
    </row>
    <row r="600" spans="1:8" s="40" customFormat="1" x14ac:dyDescent="0.3">
      <c r="A600" s="41" t="s">
        <v>976</v>
      </c>
      <c r="B600" s="40">
        <f>D599*E600+G599*H600+J599*K600</f>
        <v>285.36160000000001</v>
      </c>
      <c r="E600" s="40">
        <v>14.532400000000001</v>
      </c>
      <c r="H600" s="40">
        <v>11.889200000000001</v>
      </c>
    </row>
    <row r="601" spans="1:8" x14ac:dyDescent="0.3">
      <c r="A601" t="s">
        <v>698</v>
      </c>
      <c r="B601" s="43">
        <v>285.36</v>
      </c>
      <c r="C601" t="s">
        <v>31</v>
      </c>
      <c r="D601">
        <v>18</v>
      </c>
      <c r="E601" s="43">
        <v>14.53</v>
      </c>
      <c r="F601" t="s">
        <v>74</v>
      </c>
      <c r="G601">
        <v>2</v>
      </c>
      <c r="H601" s="43">
        <v>11.89</v>
      </c>
    </row>
    <row r="602" spans="1:8" s="40" customFormat="1" x14ac:dyDescent="0.3">
      <c r="A602" s="41" t="s">
        <v>976</v>
      </c>
      <c r="B602" s="40">
        <f>D601*E602+G601*H602+J601*K602</f>
        <v>285.36160000000001</v>
      </c>
      <c r="E602" s="40">
        <v>14.532400000000001</v>
      </c>
      <c r="H602" s="40">
        <v>11.889200000000001</v>
      </c>
    </row>
    <row r="603" spans="1:8" x14ac:dyDescent="0.3">
      <c r="A603" t="s">
        <v>701</v>
      </c>
      <c r="B603" s="43">
        <v>285.36</v>
      </c>
      <c r="C603" t="s">
        <v>31</v>
      </c>
      <c r="D603">
        <v>18</v>
      </c>
      <c r="E603" s="43">
        <v>14.53</v>
      </c>
      <c r="F603" t="s">
        <v>74</v>
      </c>
      <c r="G603">
        <v>2</v>
      </c>
      <c r="H603">
        <v>11.89</v>
      </c>
    </row>
    <row r="604" spans="1:8" s="40" customFormat="1" x14ac:dyDescent="0.3">
      <c r="A604" s="41" t="s">
        <v>976</v>
      </c>
      <c r="B604" s="40">
        <f>D603*E604+G603*H604+J603*K604</f>
        <v>285.36160000000001</v>
      </c>
      <c r="E604" s="40">
        <v>14.532400000000001</v>
      </c>
      <c r="H604" s="40">
        <v>11.889200000000001</v>
      </c>
    </row>
    <row r="605" spans="1:8" x14ac:dyDescent="0.3">
      <c r="A605" t="s">
        <v>703</v>
      </c>
      <c r="B605" s="43">
        <v>332.86</v>
      </c>
      <c r="C605" t="s">
        <v>69</v>
      </c>
      <c r="D605">
        <v>18</v>
      </c>
      <c r="E605" s="43">
        <v>17.170000000000002</v>
      </c>
      <c r="F605" t="s">
        <v>74</v>
      </c>
      <c r="G605">
        <v>2</v>
      </c>
      <c r="H605">
        <v>11.89</v>
      </c>
    </row>
    <row r="606" spans="1:8" s="40" customFormat="1" x14ac:dyDescent="0.3">
      <c r="A606" s="41" t="s">
        <v>976</v>
      </c>
      <c r="B606" s="40">
        <f>D605*E606+G605*H606+J605*K606</f>
        <v>332.86179999999996</v>
      </c>
      <c r="E606" s="40">
        <v>17.171299999999999</v>
      </c>
      <c r="H606" s="40">
        <v>11.889200000000001</v>
      </c>
    </row>
    <row r="607" spans="1:8" x14ac:dyDescent="0.3">
      <c r="A607" t="s">
        <v>702</v>
      </c>
      <c r="B607" s="43">
        <v>285.36</v>
      </c>
      <c r="C607" t="s">
        <v>31</v>
      </c>
      <c r="D607">
        <v>18</v>
      </c>
      <c r="E607" s="43">
        <v>14.53</v>
      </c>
      <c r="F607" t="s">
        <v>74</v>
      </c>
      <c r="G607">
        <v>2</v>
      </c>
      <c r="H607">
        <v>11.89</v>
      </c>
    </row>
    <row r="608" spans="1:8" s="40" customFormat="1" x14ac:dyDescent="0.3">
      <c r="A608" s="41" t="s">
        <v>976</v>
      </c>
      <c r="B608" s="40">
        <f>D607*E608+G607*H608+J607*K608</f>
        <v>285.36160000000001</v>
      </c>
      <c r="E608" s="40">
        <v>14.532400000000001</v>
      </c>
      <c r="H608" s="40">
        <v>11.889200000000001</v>
      </c>
    </row>
    <row r="609" spans="1:8" x14ac:dyDescent="0.3">
      <c r="A609" t="s">
        <v>706</v>
      </c>
      <c r="B609" s="43">
        <v>285.36</v>
      </c>
      <c r="C609" t="s">
        <v>31</v>
      </c>
      <c r="D609">
        <v>18</v>
      </c>
      <c r="E609" s="43">
        <v>14.53</v>
      </c>
      <c r="F609" t="s">
        <v>74</v>
      </c>
      <c r="G609">
        <v>2</v>
      </c>
      <c r="H609">
        <v>11.89</v>
      </c>
    </row>
    <row r="610" spans="1:8" s="40" customFormat="1" x14ac:dyDescent="0.3">
      <c r="A610" s="41" t="s">
        <v>976</v>
      </c>
      <c r="B610" s="40">
        <f>D609*E610+G609*H610+J609*K610</f>
        <v>285.36160000000001</v>
      </c>
      <c r="E610" s="40">
        <v>14.532400000000001</v>
      </c>
      <c r="H610" s="40">
        <v>11.889200000000001</v>
      </c>
    </row>
    <row r="611" spans="1:8" x14ac:dyDescent="0.3">
      <c r="A611" t="s">
        <v>705</v>
      </c>
      <c r="B611" s="43">
        <v>285.36</v>
      </c>
      <c r="C611" t="s">
        <v>31</v>
      </c>
      <c r="D611">
        <v>18</v>
      </c>
      <c r="E611" s="43">
        <v>14.53</v>
      </c>
      <c r="F611" t="s">
        <v>74</v>
      </c>
      <c r="G611">
        <v>2</v>
      </c>
      <c r="H611" s="43">
        <v>11.89</v>
      </c>
    </row>
    <row r="612" spans="1:8" s="40" customFormat="1" x14ac:dyDescent="0.3">
      <c r="A612" s="41" t="s">
        <v>976</v>
      </c>
      <c r="B612" s="40">
        <f>D611*E612+G611*H612+J611*K612</f>
        <v>285.36160000000001</v>
      </c>
      <c r="E612" s="40">
        <v>14.532400000000001</v>
      </c>
      <c r="H612" s="40">
        <v>11.889200000000001</v>
      </c>
    </row>
    <row r="613" spans="1:8" x14ac:dyDescent="0.3">
      <c r="A613" t="s">
        <v>709</v>
      </c>
      <c r="B613" s="43">
        <v>285.36</v>
      </c>
      <c r="C613" t="s">
        <v>31</v>
      </c>
      <c r="D613">
        <v>18</v>
      </c>
      <c r="E613" s="43">
        <v>14.53</v>
      </c>
      <c r="F613" t="s">
        <v>74</v>
      </c>
      <c r="G613">
        <v>2</v>
      </c>
      <c r="H613" s="43">
        <v>11.89</v>
      </c>
    </row>
    <row r="614" spans="1:8" s="40" customFormat="1" x14ac:dyDescent="0.3">
      <c r="A614" s="41" t="s">
        <v>976</v>
      </c>
      <c r="B614" s="40">
        <f>D613*E614+G613*H614+J613*K614</f>
        <v>285.36160000000001</v>
      </c>
      <c r="E614" s="40">
        <v>14.532400000000001</v>
      </c>
      <c r="H614" s="40">
        <v>11.889200000000001</v>
      </c>
    </row>
    <row r="615" spans="1:8" x14ac:dyDescent="0.3">
      <c r="A615" t="s">
        <v>707</v>
      </c>
      <c r="B615" s="43">
        <v>285.36</v>
      </c>
      <c r="C615" t="s">
        <v>31</v>
      </c>
      <c r="D615">
        <v>18</v>
      </c>
      <c r="E615" s="43">
        <v>14.53</v>
      </c>
      <c r="F615" t="s">
        <v>74</v>
      </c>
      <c r="G615">
        <v>2</v>
      </c>
      <c r="H615" s="43">
        <v>11.89</v>
      </c>
    </row>
    <row r="616" spans="1:8" s="40" customFormat="1" x14ac:dyDescent="0.3">
      <c r="A616" s="41" t="s">
        <v>976</v>
      </c>
      <c r="B616" s="40">
        <f>D615*E616+G615*H616+J615*K616</f>
        <v>285.36160000000001</v>
      </c>
      <c r="E616" s="40">
        <v>14.532400000000001</v>
      </c>
      <c r="H616" s="40">
        <v>11.889200000000001</v>
      </c>
    </row>
    <row r="617" spans="1:8" x14ac:dyDescent="0.3">
      <c r="A617" t="s">
        <v>708</v>
      </c>
      <c r="B617" s="43">
        <v>332.86</v>
      </c>
      <c r="C617" t="s">
        <v>69</v>
      </c>
      <c r="D617">
        <v>18</v>
      </c>
      <c r="E617" s="43">
        <v>17.170000000000002</v>
      </c>
      <c r="F617" t="s">
        <v>74</v>
      </c>
      <c r="G617">
        <v>2</v>
      </c>
      <c r="H617" s="43">
        <v>11.89</v>
      </c>
    </row>
    <row r="618" spans="1:8" s="40" customFormat="1" x14ac:dyDescent="0.3">
      <c r="A618" s="41" t="s">
        <v>976</v>
      </c>
      <c r="B618" s="40">
        <f>D617*E618+G617*H618+J617*K618</f>
        <v>332.86179999999996</v>
      </c>
      <c r="E618" s="40">
        <v>17.171299999999999</v>
      </c>
      <c r="H618" s="40">
        <v>11.889200000000001</v>
      </c>
    </row>
    <row r="619" spans="1:8" x14ac:dyDescent="0.3">
      <c r="A619" t="s">
        <v>711</v>
      </c>
      <c r="B619" s="43">
        <v>285.36</v>
      </c>
      <c r="C619" t="s">
        <v>31</v>
      </c>
      <c r="D619">
        <v>18</v>
      </c>
      <c r="E619" s="43">
        <v>14.53</v>
      </c>
      <c r="F619" t="s">
        <v>74</v>
      </c>
      <c r="G619">
        <v>2</v>
      </c>
      <c r="H619" s="43">
        <v>11.89</v>
      </c>
    </row>
    <row r="620" spans="1:8" s="40" customFormat="1" x14ac:dyDescent="0.3">
      <c r="A620" s="41" t="s">
        <v>976</v>
      </c>
      <c r="B620" s="40">
        <f>D619*E620+G619*H620+J619*K620</f>
        <v>285.36160000000001</v>
      </c>
      <c r="E620" s="40">
        <v>14.532400000000001</v>
      </c>
      <c r="H620" s="40">
        <v>11.889200000000001</v>
      </c>
    </row>
    <row r="621" spans="1:8" x14ac:dyDescent="0.3">
      <c r="A621" t="s">
        <v>710</v>
      </c>
      <c r="B621" s="43">
        <v>309.08</v>
      </c>
      <c r="C621" t="s">
        <v>43</v>
      </c>
      <c r="D621">
        <v>18</v>
      </c>
      <c r="E621" s="43">
        <v>15.85</v>
      </c>
      <c r="F621" t="s">
        <v>74</v>
      </c>
      <c r="G621">
        <v>2</v>
      </c>
      <c r="H621" s="43">
        <v>11.89</v>
      </c>
    </row>
    <row r="622" spans="1:8" s="40" customFormat="1" x14ac:dyDescent="0.3">
      <c r="A622" s="41" t="s">
        <v>976</v>
      </c>
      <c r="B622" s="40">
        <f>D621*E622+G621*H622+J621*K622</f>
        <v>309.08199999999994</v>
      </c>
      <c r="E622" s="40">
        <v>15.850199999999999</v>
      </c>
      <c r="H622" s="40">
        <v>11.889200000000001</v>
      </c>
    </row>
    <row r="623" spans="1:8" x14ac:dyDescent="0.3">
      <c r="A623" t="s">
        <v>715</v>
      </c>
      <c r="B623" s="43">
        <v>309.08</v>
      </c>
      <c r="C623" t="s">
        <v>43</v>
      </c>
      <c r="D623">
        <v>18</v>
      </c>
      <c r="E623" s="43">
        <v>15.85</v>
      </c>
      <c r="F623" t="s">
        <v>74</v>
      </c>
      <c r="G623">
        <v>2</v>
      </c>
      <c r="H623" s="43">
        <v>11.89</v>
      </c>
    </row>
    <row r="624" spans="1:8" s="40" customFormat="1" x14ac:dyDescent="0.3">
      <c r="A624" s="41" t="s">
        <v>976</v>
      </c>
      <c r="B624" s="40">
        <f>D623*E624+G623*H624+J623*K624</f>
        <v>309.08199999999994</v>
      </c>
      <c r="E624" s="40">
        <v>15.850199999999999</v>
      </c>
      <c r="H624" s="40">
        <v>11.889200000000001</v>
      </c>
    </row>
    <row r="625" spans="1:11" x14ac:dyDescent="0.3">
      <c r="A625" t="s">
        <v>712</v>
      </c>
      <c r="B625" s="43">
        <v>309.08</v>
      </c>
      <c r="C625" t="s">
        <v>43</v>
      </c>
      <c r="D625">
        <v>18</v>
      </c>
      <c r="E625" s="43">
        <v>15.85</v>
      </c>
      <c r="F625" t="s">
        <v>74</v>
      </c>
      <c r="G625">
        <v>2</v>
      </c>
      <c r="H625" s="43">
        <v>11.89</v>
      </c>
    </row>
    <row r="626" spans="1:11" s="40" customFormat="1" x14ac:dyDescent="0.3">
      <c r="A626" s="41" t="s">
        <v>976</v>
      </c>
      <c r="B626" s="40">
        <f>D625*E626+G625*H626+J625*K626</f>
        <v>309.08199999999994</v>
      </c>
      <c r="E626" s="40">
        <v>15.850199999999999</v>
      </c>
      <c r="H626" s="40">
        <v>11.889200000000001</v>
      </c>
    </row>
    <row r="627" spans="1:11" x14ac:dyDescent="0.3">
      <c r="A627" t="s">
        <v>713</v>
      </c>
      <c r="B627" s="43">
        <v>280.08</v>
      </c>
      <c r="C627" t="s">
        <v>31</v>
      </c>
      <c r="D627">
        <v>18</v>
      </c>
      <c r="E627" s="43">
        <v>14.53</v>
      </c>
      <c r="F627" t="s">
        <v>89</v>
      </c>
      <c r="G627">
        <v>2</v>
      </c>
      <c r="H627" s="43">
        <v>9.25</v>
      </c>
    </row>
    <row r="628" spans="1:11" s="40" customFormat="1" x14ac:dyDescent="0.3">
      <c r="A628" s="41" t="s">
        <v>976</v>
      </c>
      <c r="B628" s="40">
        <f>D627*E628+G627*H628+J627*K628</f>
        <v>280.07500000000005</v>
      </c>
      <c r="E628" s="40">
        <v>14.532400000000001</v>
      </c>
      <c r="H628" s="40">
        <v>9.2459000000000007</v>
      </c>
    </row>
    <row r="629" spans="1:11" x14ac:dyDescent="0.3">
      <c r="A629" t="s">
        <v>714</v>
      </c>
      <c r="B629" s="43">
        <v>232.5</v>
      </c>
      <c r="C629" t="s">
        <v>29</v>
      </c>
      <c r="D629">
        <v>18</v>
      </c>
      <c r="E629" s="43">
        <v>11.89</v>
      </c>
      <c r="F629" t="s">
        <v>89</v>
      </c>
      <c r="G629">
        <v>2</v>
      </c>
      <c r="H629" s="43">
        <v>9.25</v>
      </c>
    </row>
    <row r="630" spans="1:11" s="40" customFormat="1" x14ac:dyDescent="0.3">
      <c r="A630" s="41" t="s">
        <v>976</v>
      </c>
      <c r="B630" s="40">
        <f>D629*E630+G629*H630+J629*K630</f>
        <v>232.49740000000003</v>
      </c>
      <c r="E630" s="40">
        <v>11.889200000000001</v>
      </c>
      <c r="H630" s="40">
        <v>9.2459000000000007</v>
      </c>
    </row>
    <row r="631" spans="1:11" x14ac:dyDescent="0.3">
      <c r="A631" t="s">
        <v>716</v>
      </c>
      <c r="B631" s="43">
        <v>118.85</v>
      </c>
      <c r="C631" t="s">
        <v>24</v>
      </c>
      <c r="D631">
        <v>18</v>
      </c>
      <c r="E631" s="43">
        <v>6.6</v>
      </c>
    </row>
    <row r="632" spans="1:11" s="40" customFormat="1" x14ac:dyDescent="0.3">
      <c r="A632" s="41" t="s">
        <v>976</v>
      </c>
      <c r="B632" s="40">
        <f>D631*E632+G631*H632+J631*K632</f>
        <v>118.8468</v>
      </c>
      <c r="E632" s="40">
        <v>6.6025999999999998</v>
      </c>
    </row>
    <row r="633" spans="1:11" x14ac:dyDescent="0.3">
      <c r="A633" t="s">
        <v>719</v>
      </c>
      <c r="B633" s="43">
        <v>372.47</v>
      </c>
      <c r="C633" t="s">
        <v>31</v>
      </c>
      <c r="D633">
        <v>18</v>
      </c>
      <c r="E633" s="43">
        <v>14.53</v>
      </c>
      <c r="F633" t="s">
        <v>110</v>
      </c>
      <c r="G633">
        <v>2</v>
      </c>
      <c r="H633" s="43">
        <v>15.85</v>
      </c>
      <c r="I633" t="s">
        <v>137</v>
      </c>
      <c r="J633">
        <v>20</v>
      </c>
      <c r="K633">
        <v>3.96</v>
      </c>
    </row>
    <row r="634" spans="1:11" s="40" customFormat="1" x14ac:dyDescent="0.3">
      <c r="A634" s="41" t="s">
        <v>976</v>
      </c>
      <c r="B634" s="40">
        <f>D633*E634+G633*H634+J633*K634</f>
        <v>372.46840000000003</v>
      </c>
      <c r="E634" s="40">
        <v>14.532400000000001</v>
      </c>
      <c r="H634" s="40">
        <v>15.848599999999999</v>
      </c>
      <c r="K634" s="40">
        <v>3.9594</v>
      </c>
    </row>
    <row r="635" spans="1:11" x14ac:dyDescent="0.3">
      <c r="A635" t="s">
        <v>717</v>
      </c>
      <c r="B635" s="43">
        <v>214.01</v>
      </c>
      <c r="C635" t="s">
        <v>65</v>
      </c>
      <c r="D635">
        <v>18</v>
      </c>
      <c r="E635" s="43">
        <v>11.89</v>
      </c>
    </row>
    <row r="636" spans="1:11" s="40" customFormat="1" x14ac:dyDescent="0.3">
      <c r="A636" s="41" t="s">
        <v>976</v>
      </c>
      <c r="B636" s="40">
        <f>D635*E636+G635*H636+J635*K636</f>
        <v>214.00560000000002</v>
      </c>
      <c r="E636" s="40">
        <v>11.889200000000001</v>
      </c>
    </row>
    <row r="637" spans="1:11" x14ac:dyDescent="0.3">
      <c r="A637" t="s">
        <v>718</v>
      </c>
      <c r="B637" s="43">
        <v>419.97</v>
      </c>
      <c r="C637" t="s">
        <v>69</v>
      </c>
      <c r="D637">
        <v>18</v>
      </c>
      <c r="E637" s="43">
        <v>17.170000000000002</v>
      </c>
      <c r="F637" t="s">
        <v>110</v>
      </c>
      <c r="G637">
        <v>2</v>
      </c>
      <c r="H637" s="43">
        <v>15.85</v>
      </c>
      <c r="I637" t="s">
        <v>137</v>
      </c>
      <c r="J637">
        <v>20</v>
      </c>
      <c r="K637">
        <v>3.96</v>
      </c>
    </row>
    <row r="638" spans="1:11" s="40" customFormat="1" x14ac:dyDescent="0.3">
      <c r="A638" s="41" t="s">
        <v>976</v>
      </c>
      <c r="B638" s="40">
        <f>D637*E638+G637*H638+J637*K638</f>
        <v>419.96859999999998</v>
      </c>
      <c r="E638" s="40">
        <v>17.171299999999999</v>
      </c>
      <c r="H638" s="40">
        <v>15.848599999999999</v>
      </c>
      <c r="K638" s="40">
        <v>3.9594</v>
      </c>
    </row>
    <row r="639" spans="1:11" x14ac:dyDescent="0.3">
      <c r="A639" t="s">
        <v>721</v>
      </c>
      <c r="B639" s="43">
        <v>372.47</v>
      </c>
      <c r="C639" t="s">
        <v>31</v>
      </c>
      <c r="D639">
        <v>18</v>
      </c>
      <c r="E639" s="43">
        <v>14.53</v>
      </c>
      <c r="F639" t="s">
        <v>110</v>
      </c>
      <c r="G639">
        <v>2</v>
      </c>
      <c r="H639" s="43">
        <v>15.85</v>
      </c>
      <c r="I639" t="s">
        <v>137</v>
      </c>
      <c r="J639">
        <v>20</v>
      </c>
      <c r="K639">
        <v>3.96</v>
      </c>
    </row>
    <row r="640" spans="1:11" s="40" customFormat="1" x14ac:dyDescent="0.3">
      <c r="A640" s="41" t="s">
        <v>976</v>
      </c>
      <c r="B640" s="40">
        <f>D639*E640+G639*H640+J639*K640</f>
        <v>372.46840000000003</v>
      </c>
      <c r="E640" s="40">
        <v>14.532400000000001</v>
      </c>
      <c r="H640" s="40">
        <v>15.848599999999999</v>
      </c>
      <c r="K640" s="40">
        <v>3.9594</v>
      </c>
    </row>
    <row r="641" spans="1:8" x14ac:dyDescent="0.3">
      <c r="A641" t="s">
        <v>722</v>
      </c>
      <c r="B641" s="43">
        <v>404.19</v>
      </c>
      <c r="C641" t="s">
        <v>57</v>
      </c>
      <c r="D641">
        <v>16</v>
      </c>
      <c r="E641" s="43">
        <v>23.78</v>
      </c>
      <c r="F641" t="s">
        <v>83</v>
      </c>
      <c r="G641">
        <v>2</v>
      </c>
      <c r="H641" s="43">
        <v>11.89</v>
      </c>
    </row>
    <row r="642" spans="1:8" s="40" customFormat="1" x14ac:dyDescent="0.3">
      <c r="A642" s="41" t="s">
        <v>976</v>
      </c>
      <c r="B642" s="40">
        <f>D641*E642+G641*H642+J641*K642</f>
        <v>404.18799999999999</v>
      </c>
      <c r="E642" s="40">
        <v>23.775600000000001</v>
      </c>
      <c r="H642" s="40">
        <v>11.889200000000001</v>
      </c>
    </row>
    <row r="643" spans="1:8" x14ac:dyDescent="0.3">
      <c r="A643" t="s">
        <v>723</v>
      </c>
      <c r="B643" s="43">
        <v>404.19</v>
      </c>
      <c r="C643" t="s">
        <v>57</v>
      </c>
      <c r="D643">
        <v>16</v>
      </c>
      <c r="E643" s="43">
        <v>23.78</v>
      </c>
      <c r="F643" t="s">
        <v>83</v>
      </c>
      <c r="G643">
        <v>2</v>
      </c>
      <c r="H643" s="43">
        <v>11.89</v>
      </c>
    </row>
    <row r="644" spans="1:8" s="40" customFormat="1" x14ac:dyDescent="0.3">
      <c r="A644" s="41" t="s">
        <v>976</v>
      </c>
      <c r="B644" s="40">
        <f>D643*E644+G643*H644+J643*K644</f>
        <v>404.18799999999999</v>
      </c>
      <c r="E644" s="40">
        <v>23.775600000000001</v>
      </c>
      <c r="H644" s="40">
        <v>11.889200000000001</v>
      </c>
    </row>
    <row r="645" spans="1:8" x14ac:dyDescent="0.3">
      <c r="A645" t="s">
        <v>720</v>
      </c>
      <c r="B645" s="43">
        <v>404.19</v>
      </c>
      <c r="C645" t="s">
        <v>57</v>
      </c>
      <c r="D645">
        <v>16</v>
      </c>
      <c r="E645" s="43">
        <v>23.78</v>
      </c>
      <c r="F645" t="s">
        <v>83</v>
      </c>
      <c r="G645">
        <v>2</v>
      </c>
      <c r="H645" s="43">
        <v>11.89</v>
      </c>
    </row>
    <row r="646" spans="1:8" s="40" customFormat="1" x14ac:dyDescent="0.3">
      <c r="A646" s="41" t="s">
        <v>976</v>
      </c>
      <c r="B646" s="40">
        <f>D645*E646+G645*H646+J645*K646</f>
        <v>404.18799999999999</v>
      </c>
      <c r="E646" s="40">
        <v>23.775600000000001</v>
      </c>
      <c r="H646" s="40">
        <v>11.889200000000001</v>
      </c>
    </row>
    <row r="647" spans="1:8" x14ac:dyDescent="0.3">
      <c r="A647" t="s">
        <v>724</v>
      </c>
      <c r="B647" s="43">
        <v>129.41999999999999</v>
      </c>
      <c r="C647" t="s">
        <v>24</v>
      </c>
      <c r="D647">
        <v>16</v>
      </c>
      <c r="E647" s="43">
        <v>6.6</v>
      </c>
      <c r="F647" t="s">
        <v>72</v>
      </c>
      <c r="G647">
        <v>2</v>
      </c>
      <c r="H647" s="43">
        <v>11.89</v>
      </c>
    </row>
    <row r="648" spans="1:8" s="40" customFormat="1" x14ac:dyDescent="0.3">
      <c r="A648" s="41" t="s">
        <v>976</v>
      </c>
      <c r="B648" s="40">
        <f>D647*E648+G647*H648+J647*K648</f>
        <v>129.41999999999999</v>
      </c>
      <c r="E648" s="40">
        <v>6.6025999999999998</v>
      </c>
      <c r="H648" s="40">
        <v>11.889200000000001</v>
      </c>
    </row>
    <row r="649" spans="1:8" x14ac:dyDescent="0.3">
      <c r="A649" t="s">
        <v>726</v>
      </c>
      <c r="B649" s="43">
        <v>171.71</v>
      </c>
      <c r="C649" t="s">
        <v>27</v>
      </c>
      <c r="D649">
        <v>16</v>
      </c>
      <c r="E649" s="43">
        <v>9.25</v>
      </c>
      <c r="F649" t="s">
        <v>72</v>
      </c>
      <c r="G649">
        <v>2</v>
      </c>
      <c r="H649" s="43">
        <v>11.89</v>
      </c>
    </row>
    <row r="650" spans="1:8" s="40" customFormat="1" x14ac:dyDescent="0.3">
      <c r="A650" s="41" t="s">
        <v>976</v>
      </c>
      <c r="B650" s="40">
        <f>D649*E650+G649*H650+J649*K650</f>
        <v>171.71280000000002</v>
      </c>
      <c r="E650" s="40">
        <v>9.2459000000000007</v>
      </c>
      <c r="H650" s="40">
        <v>11.889200000000001</v>
      </c>
    </row>
    <row r="651" spans="1:8" x14ac:dyDescent="0.3">
      <c r="A651" t="s">
        <v>725</v>
      </c>
      <c r="B651" s="43">
        <v>171.71</v>
      </c>
      <c r="C651" t="s">
        <v>27</v>
      </c>
      <c r="D651">
        <v>16</v>
      </c>
      <c r="E651" s="43">
        <v>9.25</v>
      </c>
      <c r="F651" t="s">
        <v>72</v>
      </c>
      <c r="G651">
        <v>2</v>
      </c>
      <c r="H651" s="43">
        <v>11.89</v>
      </c>
    </row>
    <row r="652" spans="1:8" s="40" customFormat="1" x14ac:dyDescent="0.3">
      <c r="A652" s="41" t="s">
        <v>976</v>
      </c>
      <c r="B652" s="40">
        <f>D651*E652+G651*H652+J651*K652</f>
        <v>171.71280000000002</v>
      </c>
      <c r="E652" s="40">
        <v>9.2459000000000007</v>
      </c>
      <c r="H652" s="40">
        <v>11.889200000000001</v>
      </c>
    </row>
    <row r="653" spans="1:8" x14ac:dyDescent="0.3">
      <c r="A653" t="s">
        <v>727</v>
      </c>
      <c r="B653" s="43">
        <v>171.71</v>
      </c>
      <c r="C653" t="s">
        <v>27</v>
      </c>
      <c r="D653">
        <v>16</v>
      </c>
      <c r="E653" s="43">
        <v>9.25</v>
      </c>
      <c r="F653" t="s">
        <v>72</v>
      </c>
      <c r="G653">
        <v>2</v>
      </c>
      <c r="H653" s="43">
        <v>11.89</v>
      </c>
    </row>
    <row r="654" spans="1:8" s="40" customFormat="1" x14ac:dyDescent="0.3">
      <c r="A654" s="41" t="s">
        <v>976</v>
      </c>
      <c r="B654" s="40">
        <f>D653*E654+G653*H654+J653*K654</f>
        <v>171.71280000000002</v>
      </c>
      <c r="E654" s="40">
        <v>9.2459000000000007</v>
      </c>
      <c r="H654" s="40">
        <v>11.889200000000001</v>
      </c>
    </row>
    <row r="655" spans="1:8" x14ac:dyDescent="0.3">
      <c r="A655" t="s">
        <v>728</v>
      </c>
      <c r="B655" s="43">
        <v>171.71</v>
      </c>
      <c r="C655" t="s">
        <v>27</v>
      </c>
      <c r="D655">
        <v>16</v>
      </c>
      <c r="E655" s="43">
        <v>9.25</v>
      </c>
      <c r="F655" t="s">
        <v>72</v>
      </c>
      <c r="G655">
        <v>2</v>
      </c>
      <c r="H655" s="43">
        <v>11.89</v>
      </c>
    </row>
    <row r="656" spans="1:8" s="40" customFormat="1" x14ac:dyDescent="0.3">
      <c r="A656" s="41" t="s">
        <v>976</v>
      </c>
      <c r="B656" s="40">
        <f>D655*E656+G655*H656+J655*K656</f>
        <v>171.71280000000002</v>
      </c>
      <c r="E656" s="40">
        <v>9.2459000000000007</v>
      </c>
      <c r="H656" s="40">
        <v>11.889200000000001</v>
      </c>
    </row>
    <row r="657" spans="1:8" x14ac:dyDescent="0.3">
      <c r="A657" t="s">
        <v>731</v>
      </c>
      <c r="B657" s="43">
        <v>214.01</v>
      </c>
      <c r="C657" t="s">
        <v>29</v>
      </c>
      <c r="D657">
        <v>16</v>
      </c>
      <c r="E657" s="43">
        <v>11.89</v>
      </c>
      <c r="F657" t="s">
        <v>74</v>
      </c>
      <c r="G657">
        <v>2</v>
      </c>
      <c r="H657" s="43">
        <v>11.89</v>
      </c>
    </row>
    <row r="658" spans="1:8" s="40" customFormat="1" x14ac:dyDescent="0.3">
      <c r="A658" s="41" t="s">
        <v>976</v>
      </c>
      <c r="B658" s="40">
        <f>D657*E658+G657*H658+J657*K658</f>
        <v>214.00560000000002</v>
      </c>
      <c r="E658" s="40">
        <v>11.889200000000001</v>
      </c>
      <c r="H658" s="40">
        <v>11.889200000000001</v>
      </c>
    </row>
    <row r="659" spans="1:8" x14ac:dyDescent="0.3">
      <c r="A659" t="s">
        <v>732</v>
      </c>
      <c r="B659" s="43">
        <v>256.3</v>
      </c>
      <c r="C659" t="s">
        <v>31</v>
      </c>
      <c r="D659">
        <v>16</v>
      </c>
      <c r="E659" s="43">
        <v>14.53</v>
      </c>
      <c r="F659" t="s">
        <v>74</v>
      </c>
      <c r="G659">
        <v>2</v>
      </c>
      <c r="H659" s="43">
        <v>11.89</v>
      </c>
    </row>
    <row r="660" spans="1:8" s="40" customFormat="1" x14ac:dyDescent="0.3">
      <c r="A660" s="41" t="s">
        <v>976</v>
      </c>
      <c r="B660" s="40">
        <f>D659*E660+G659*H660+J659*K660</f>
        <v>256.29680000000002</v>
      </c>
      <c r="E660" s="40">
        <v>14.532400000000001</v>
      </c>
      <c r="H660" s="40">
        <v>11.889200000000001</v>
      </c>
    </row>
    <row r="661" spans="1:8" x14ac:dyDescent="0.3">
      <c r="A661" t="s">
        <v>733</v>
      </c>
      <c r="B661" s="43">
        <v>298.52</v>
      </c>
      <c r="C661" t="s">
        <v>69</v>
      </c>
      <c r="D661">
        <v>16</v>
      </c>
      <c r="E661" s="43">
        <v>17.170000000000002</v>
      </c>
      <c r="F661" t="s">
        <v>74</v>
      </c>
      <c r="G661">
        <v>2</v>
      </c>
      <c r="H661" s="43">
        <v>11.89</v>
      </c>
    </row>
    <row r="662" spans="1:8" s="40" customFormat="1" x14ac:dyDescent="0.3">
      <c r="A662" s="41" t="s">
        <v>976</v>
      </c>
      <c r="B662" s="40">
        <f>D661*E662+G661*H662+J661*K662</f>
        <v>298.51919999999996</v>
      </c>
      <c r="E662" s="40">
        <v>17.171299999999999</v>
      </c>
      <c r="H662" s="40">
        <v>11.889200000000001</v>
      </c>
    </row>
    <row r="663" spans="1:8" x14ac:dyDescent="0.3">
      <c r="A663" t="s">
        <v>730</v>
      </c>
      <c r="B663" s="43">
        <v>214.01</v>
      </c>
      <c r="C663" t="s">
        <v>65</v>
      </c>
      <c r="D663">
        <v>16</v>
      </c>
      <c r="E663" s="43">
        <v>11.89</v>
      </c>
      <c r="F663" t="s">
        <v>72</v>
      </c>
      <c r="G663">
        <v>2</v>
      </c>
      <c r="H663">
        <v>11.89</v>
      </c>
    </row>
    <row r="664" spans="1:8" s="40" customFormat="1" x14ac:dyDescent="0.3">
      <c r="A664" s="41" t="s">
        <v>976</v>
      </c>
      <c r="B664" s="40">
        <f>D663*E664+G663*H664+J663*K664</f>
        <v>214.00560000000002</v>
      </c>
      <c r="E664" s="40">
        <v>11.889200000000001</v>
      </c>
      <c r="H664" s="40">
        <v>11.889200000000001</v>
      </c>
    </row>
    <row r="665" spans="1:8" x14ac:dyDescent="0.3">
      <c r="A665" t="s">
        <v>729</v>
      </c>
      <c r="B665" s="43">
        <v>171.71</v>
      </c>
      <c r="C665" t="s">
        <v>27</v>
      </c>
      <c r="D665">
        <v>16</v>
      </c>
      <c r="E665" s="43">
        <v>9.25</v>
      </c>
      <c r="F665" t="s">
        <v>72</v>
      </c>
      <c r="G665">
        <v>2</v>
      </c>
      <c r="H665">
        <v>11.89</v>
      </c>
    </row>
    <row r="666" spans="1:8" s="40" customFormat="1" x14ac:dyDescent="0.3">
      <c r="A666" s="41" t="s">
        <v>976</v>
      </c>
      <c r="B666" s="40">
        <f>D665*E666+G665*H666+J665*K666</f>
        <v>171.71280000000002</v>
      </c>
      <c r="E666" s="40">
        <v>9.2459000000000007</v>
      </c>
      <c r="H666" s="40">
        <v>11.889200000000001</v>
      </c>
    </row>
    <row r="667" spans="1:8" x14ac:dyDescent="0.3">
      <c r="A667" t="s">
        <v>734</v>
      </c>
      <c r="B667" s="43">
        <v>256.3</v>
      </c>
      <c r="C667" t="s">
        <v>31</v>
      </c>
      <c r="D667">
        <v>16</v>
      </c>
      <c r="E667" s="43">
        <v>14.53</v>
      </c>
      <c r="F667" t="s">
        <v>74</v>
      </c>
      <c r="G667">
        <v>2</v>
      </c>
      <c r="H667" s="43">
        <v>11.89</v>
      </c>
    </row>
    <row r="668" spans="1:8" s="40" customFormat="1" x14ac:dyDescent="0.3">
      <c r="A668" s="41" t="s">
        <v>976</v>
      </c>
      <c r="B668" s="40">
        <f>D667*E668+G667*H668+J667*K668</f>
        <v>256.29680000000002</v>
      </c>
      <c r="E668" s="40">
        <v>14.532400000000001</v>
      </c>
      <c r="H668" s="40">
        <v>11.889200000000001</v>
      </c>
    </row>
    <row r="669" spans="1:8" x14ac:dyDescent="0.3">
      <c r="A669" t="s">
        <v>735</v>
      </c>
      <c r="B669" s="43">
        <v>256.3</v>
      </c>
      <c r="C669" t="s">
        <v>31</v>
      </c>
      <c r="D669">
        <v>16</v>
      </c>
      <c r="E669" s="43">
        <v>14.53</v>
      </c>
      <c r="F669" t="s">
        <v>74</v>
      </c>
      <c r="G669">
        <v>2</v>
      </c>
      <c r="H669">
        <v>11.89</v>
      </c>
    </row>
    <row r="670" spans="1:8" s="40" customFormat="1" x14ac:dyDescent="0.3">
      <c r="A670" s="41" t="s">
        <v>976</v>
      </c>
      <c r="B670" s="40">
        <f>D669*E670+G669*H670+J669*K670</f>
        <v>256.29680000000002</v>
      </c>
      <c r="E670" s="40">
        <v>14.532400000000001</v>
      </c>
      <c r="H670" s="40">
        <v>11.889200000000001</v>
      </c>
    </row>
    <row r="671" spans="1:8" x14ac:dyDescent="0.3">
      <c r="A671" t="s">
        <v>738</v>
      </c>
      <c r="B671" s="43">
        <v>298.52</v>
      </c>
      <c r="C671" t="s">
        <v>69</v>
      </c>
      <c r="D671">
        <v>16</v>
      </c>
      <c r="E671" s="43">
        <v>17.170000000000002</v>
      </c>
      <c r="F671" t="s">
        <v>74</v>
      </c>
      <c r="G671">
        <v>2</v>
      </c>
      <c r="H671" s="43">
        <v>11.89</v>
      </c>
    </row>
    <row r="672" spans="1:8" s="40" customFormat="1" x14ac:dyDescent="0.3">
      <c r="A672" s="41" t="s">
        <v>976</v>
      </c>
      <c r="B672" s="40">
        <f>D671*E672+G671*H672+J671*K672</f>
        <v>298.51919999999996</v>
      </c>
      <c r="E672" s="40">
        <v>17.171299999999999</v>
      </c>
      <c r="H672" s="40">
        <v>11.889200000000001</v>
      </c>
    </row>
    <row r="673" spans="1:8" x14ac:dyDescent="0.3">
      <c r="A673" t="s">
        <v>736</v>
      </c>
      <c r="B673" s="43">
        <v>256.3</v>
      </c>
      <c r="C673" t="s">
        <v>31</v>
      </c>
      <c r="D673">
        <v>16</v>
      </c>
      <c r="E673" s="43">
        <v>14.53</v>
      </c>
      <c r="F673" t="s">
        <v>74</v>
      </c>
      <c r="G673">
        <v>2</v>
      </c>
      <c r="H673" s="43">
        <v>11.89</v>
      </c>
    </row>
    <row r="674" spans="1:8" s="40" customFormat="1" x14ac:dyDescent="0.3">
      <c r="A674" s="41" t="s">
        <v>976</v>
      </c>
      <c r="B674" s="40">
        <f>D673*E674+G673*H674+J673*K674</f>
        <v>256.29680000000002</v>
      </c>
      <c r="E674" s="40">
        <v>14.532400000000001</v>
      </c>
      <c r="H674" s="40">
        <v>11.889200000000001</v>
      </c>
    </row>
    <row r="675" spans="1:8" x14ac:dyDescent="0.3">
      <c r="A675" t="s">
        <v>737</v>
      </c>
      <c r="B675" s="43">
        <v>256.3</v>
      </c>
      <c r="C675" t="s">
        <v>31</v>
      </c>
      <c r="D675">
        <v>16</v>
      </c>
      <c r="E675" s="43">
        <v>14.53</v>
      </c>
      <c r="F675" t="s">
        <v>74</v>
      </c>
      <c r="G675">
        <v>2</v>
      </c>
      <c r="H675" s="43">
        <v>11.89</v>
      </c>
    </row>
    <row r="676" spans="1:8" s="40" customFormat="1" x14ac:dyDescent="0.3">
      <c r="A676" s="41" t="s">
        <v>976</v>
      </c>
      <c r="B676" s="40">
        <f>D675*E676+G675*H676+J675*K676</f>
        <v>256.29680000000002</v>
      </c>
      <c r="E676" s="40">
        <v>14.532400000000001</v>
      </c>
      <c r="H676" s="40">
        <v>11.889200000000001</v>
      </c>
    </row>
    <row r="677" spans="1:8" x14ac:dyDescent="0.3">
      <c r="A677" t="s">
        <v>739</v>
      </c>
      <c r="B677" s="43">
        <v>256.3</v>
      </c>
      <c r="C677" t="s">
        <v>31</v>
      </c>
      <c r="D677">
        <v>16</v>
      </c>
      <c r="E677" s="43">
        <v>14.53</v>
      </c>
      <c r="F677" t="s">
        <v>74</v>
      </c>
      <c r="G677">
        <v>2</v>
      </c>
      <c r="H677" s="43">
        <v>11.89</v>
      </c>
    </row>
    <row r="678" spans="1:8" s="40" customFormat="1" x14ac:dyDescent="0.3">
      <c r="A678" s="41" t="s">
        <v>976</v>
      </c>
      <c r="B678" s="40">
        <f>D677*E678+G677*H678+J677*K678</f>
        <v>256.29680000000002</v>
      </c>
      <c r="E678" s="40">
        <v>14.532400000000001</v>
      </c>
      <c r="H678" s="40">
        <v>11.889200000000001</v>
      </c>
    </row>
    <row r="679" spans="1:8" x14ac:dyDescent="0.3">
      <c r="A679" t="s">
        <v>741</v>
      </c>
      <c r="B679" s="43">
        <v>256.3</v>
      </c>
      <c r="C679" t="s">
        <v>31</v>
      </c>
      <c r="D679">
        <v>16</v>
      </c>
      <c r="E679" s="43">
        <v>14.53</v>
      </c>
      <c r="F679" t="s">
        <v>74</v>
      </c>
      <c r="G679">
        <v>2</v>
      </c>
      <c r="H679" s="43">
        <v>11.89</v>
      </c>
    </row>
    <row r="680" spans="1:8" s="40" customFormat="1" x14ac:dyDescent="0.3">
      <c r="A680" s="41" t="s">
        <v>976</v>
      </c>
      <c r="B680" s="40">
        <f>D679*E680+G679*H680+J679*K680</f>
        <v>256.29680000000002</v>
      </c>
      <c r="E680" s="40">
        <v>14.532400000000001</v>
      </c>
      <c r="H680" s="40">
        <v>11.889200000000001</v>
      </c>
    </row>
    <row r="681" spans="1:8" x14ac:dyDescent="0.3">
      <c r="A681" t="s">
        <v>743</v>
      </c>
      <c r="B681" s="43">
        <v>277.38</v>
      </c>
      <c r="C681" t="s">
        <v>43</v>
      </c>
      <c r="D681">
        <v>16</v>
      </c>
      <c r="E681" s="43">
        <v>15.85</v>
      </c>
      <c r="F681" t="s">
        <v>74</v>
      </c>
      <c r="G681">
        <v>2</v>
      </c>
      <c r="H681" s="43">
        <v>11.89</v>
      </c>
    </row>
    <row r="682" spans="1:8" s="40" customFormat="1" x14ac:dyDescent="0.3">
      <c r="A682" s="41" t="s">
        <v>976</v>
      </c>
      <c r="B682" s="40">
        <f>D681*E682+G681*H682+J681*K682</f>
        <v>277.38159999999999</v>
      </c>
      <c r="E682" s="40">
        <v>15.850199999999999</v>
      </c>
      <c r="H682" s="40">
        <v>11.889200000000001</v>
      </c>
    </row>
    <row r="683" spans="1:8" x14ac:dyDescent="0.3">
      <c r="A683" t="s">
        <v>742</v>
      </c>
      <c r="B683" s="43">
        <v>298.52</v>
      </c>
      <c r="C683" t="s">
        <v>69</v>
      </c>
      <c r="D683">
        <v>16</v>
      </c>
      <c r="E683" s="43">
        <v>17.170000000000002</v>
      </c>
      <c r="F683" t="s">
        <v>74</v>
      </c>
      <c r="G683">
        <v>2</v>
      </c>
      <c r="H683" s="43">
        <v>11.89</v>
      </c>
    </row>
    <row r="684" spans="1:8" s="40" customFormat="1" x14ac:dyDescent="0.3">
      <c r="A684" s="41" t="s">
        <v>976</v>
      </c>
      <c r="B684" s="40">
        <f>D683*E684+G683*H684+J683*K684</f>
        <v>298.51919999999996</v>
      </c>
      <c r="E684" s="40">
        <v>17.171299999999999</v>
      </c>
      <c r="H684" s="40">
        <v>11.889200000000001</v>
      </c>
    </row>
    <row r="685" spans="1:8" x14ac:dyDescent="0.3">
      <c r="A685" t="s">
        <v>744</v>
      </c>
      <c r="B685" s="43">
        <v>190.23</v>
      </c>
      <c r="C685" t="s">
        <v>29</v>
      </c>
      <c r="D685">
        <v>16</v>
      </c>
      <c r="E685" s="43">
        <v>11.89</v>
      </c>
    </row>
    <row r="686" spans="1:8" s="40" customFormat="1" x14ac:dyDescent="0.3">
      <c r="A686" s="41" t="s">
        <v>976</v>
      </c>
      <c r="B686" s="40">
        <f>D685*E686+G685*H686+J685*K686</f>
        <v>190.22720000000001</v>
      </c>
      <c r="E686" s="40">
        <v>11.889200000000001</v>
      </c>
    </row>
    <row r="687" spans="1:8" x14ac:dyDescent="0.3">
      <c r="A687" t="s">
        <v>745</v>
      </c>
      <c r="B687" s="43">
        <v>232.52</v>
      </c>
      <c r="C687" t="s">
        <v>31</v>
      </c>
      <c r="D687">
        <v>16</v>
      </c>
      <c r="E687" s="43">
        <v>14.53</v>
      </c>
    </row>
    <row r="688" spans="1:8" s="40" customFormat="1" x14ac:dyDescent="0.3">
      <c r="A688" s="41" t="s">
        <v>976</v>
      </c>
      <c r="B688" s="40">
        <f>D687*E688+G687*H688+J687*K688</f>
        <v>232.51840000000001</v>
      </c>
      <c r="E688" s="40">
        <v>14.532400000000001</v>
      </c>
    </row>
    <row r="689" spans="1:11" x14ac:dyDescent="0.3">
      <c r="A689" t="s">
        <v>746</v>
      </c>
      <c r="B689" s="43">
        <v>274.74</v>
      </c>
      <c r="C689" t="s">
        <v>69</v>
      </c>
      <c r="D689">
        <v>16</v>
      </c>
      <c r="E689" s="43">
        <v>17.170000000000002</v>
      </c>
    </row>
    <row r="690" spans="1:11" s="40" customFormat="1" x14ac:dyDescent="0.3">
      <c r="A690" s="41" t="s">
        <v>976</v>
      </c>
      <c r="B690" s="40">
        <f>D689*E690+G689*H690+J689*K690</f>
        <v>274.74079999999998</v>
      </c>
      <c r="E690" s="40">
        <v>17.171299999999999</v>
      </c>
    </row>
    <row r="691" spans="1:11" x14ac:dyDescent="0.3">
      <c r="A691" t="s">
        <v>747</v>
      </c>
      <c r="B691" s="43">
        <v>287.95</v>
      </c>
      <c r="C691" t="s">
        <v>69</v>
      </c>
      <c r="D691">
        <v>16</v>
      </c>
      <c r="E691" s="43">
        <v>17.170000000000002</v>
      </c>
      <c r="F691" t="s">
        <v>99</v>
      </c>
      <c r="G691">
        <v>2</v>
      </c>
      <c r="H691" s="43">
        <v>6.6</v>
      </c>
    </row>
    <row r="692" spans="1:11" s="40" customFormat="1" x14ac:dyDescent="0.3">
      <c r="A692" s="41" t="s">
        <v>976</v>
      </c>
      <c r="B692" s="40">
        <f>D691*E692+G691*H692+J691*K692</f>
        <v>287.94599999999997</v>
      </c>
      <c r="E692" s="40">
        <v>17.171299999999999</v>
      </c>
      <c r="H692" s="40">
        <v>6.6025999999999998</v>
      </c>
    </row>
    <row r="693" spans="1:11" x14ac:dyDescent="0.3">
      <c r="A693" t="s">
        <v>748</v>
      </c>
      <c r="B693" s="43">
        <v>335.48</v>
      </c>
      <c r="C693" t="s">
        <v>31</v>
      </c>
      <c r="D693">
        <v>16</v>
      </c>
      <c r="E693" s="43">
        <v>14.53</v>
      </c>
      <c r="F693" t="s">
        <v>110</v>
      </c>
      <c r="G693">
        <v>2</v>
      </c>
      <c r="H693" s="43">
        <v>15.85</v>
      </c>
      <c r="I693" t="s">
        <v>137</v>
      </c>
      <c r="J693">
        <v>18</v>
      </c>
      <c r="K693">
        <v>3.96</v>
      </c>
    </row>
    <row r="694" spans="1:11" s="40" customFormat="1" x14ac:dyDescent="0.3">
      <c r="A694" s="41" t="s">
        <v>976</v>
      </c>
      <c r="B694" s="40">
        <f>D693*E694+G693*H694+J693*K694</f>
        <v>335.48480000000001</v>
      </c>
      <c r="E694" s="40">
        <v>14.532400000000001</v>
      </c>
      <c r="H694" s="40">
        <v>15.848599999999999</v>
      </c>
      <c r="K694" s="40">
        <v>3.9594</v>
      </c>
    </row>
    <row r="695" spans="1:11" x14ac:dyDescent="0.3">
      <c r="A695" t="s">
        <v>749</v>
      </c>
      <c r="B695" s="43">
        <v>377.71</v>
      </c>
      <c r="C695" t="s">
        <v>69</v>
      </c>
      <c r="D695">
        <v>16</v>
      </c>
      <c r="E695" s="43">
        <v>17.170000000000002</v>
      </c>
      <c r="F695" t="s">
        <v>110</v>
      </c>
      <c r="G695">
        <v>2</v>
      </c>
      <c r="H695" s="43">
        <v>15.85</v>
      </c>
      <c r="I695" t="s">
        <v>137</v>
      </c>
      <c r="J695">
        <v>18</v>
      </c>
      <c r="K695">
        <v>3.96</v>
      </c>
    </row>
    <row r="696" spans="1:11" s="40" customFormat="1" x14ac:dyDescent="0.3">
      <c r="A696" s="41" t="s">
        <v>976</v>
      </c>
      <c r="B696" s="40">
        <f>D695*E696+G695*H696+J695*K696</f>
        <v>377.7072</v>
      </c>
      <c r="E696" s="40">
        <v>17.171299999999999</v>
      </c>
      <c r="H696" s="40">
        <v>15.848599999999999</v>
      </c>
      <c r="K696" s="40">
        <v>3.9594</v>
      </c>
    </row>
    <row r="697" spans="1:11" x14ac:dyDescent="0.3">
      <c r="A697" t="s">
        <v>751</v>
      </c>
      <c r="B697" s="43">
        <v>202.12</v>
      </c>
      <c r="C697" t="s">
        <v>65</v>
      </c>
      <c r="D697">
        <v>15</v>
      </c>
      <c r="E697" s="43">
        <v>11.89</v>
      </c>
      <c r="F697" t="s">
        <v>72</v>
      </c>
      <c r="G697">
        <v>2</v>
      </c>
      <c r="H697" s="43">
        <v>11.89</v>
      </c>
    </row>
    <row r="698" spans="1:11" s="40" customFormat="1" x14ac:dyDescent="0.3">
      <c r="A698" s="41" t="s">
        <v>976</v>
      </c>
      <c r="B698" s="40">
        <f>D697*E698+G697*H698+J697*K698</f>
        <v>202.11640000000003</v>
      </c>
      <c r="E698" s="40">
        <v>11.889200000000001</v>
      </c>
      <c r="H698" s="40">
        <v>11.889200000000001</v>
      </c>
    </row>
    <row r="699" spans="1:11" x14ac:dyDescent="0.3">
      <c r="A699" t="s">
        <v>753</v>
      </c>
      <c r="B699" s="43">
        <v>162.47</v>
      </c>
      <c r="C699" t="s">
        <v>27</v>
      </c>
      <c r="D699">
        <v>15</v>
      </c>
      <c r="E699" s="43">
        <v>9.25</v>
      </c>
      <c r="F699" t="s">
        <v>72</v>
      </c>
      <c r="G699">
        <v>2</v>
      </c>
      <c r="H699" s="43">
        <v>11.89</v>
      </c>
    </row>
    <row r="700" spans="1:11" s="40" customFormat="1" x14ac:dyDescent="0.3">
      <c r="A700" s="41" t="s">
        <v>976</v>
      </c>
      <c r="B700" s="40">
        <f>D699*E700+G699*H700+J699*K700</f>
        <v>162.46690000000001</v>
      </c>
      <c r="E700" s="40">
        <v>9.2459000000000007</v>
      </c>
      <c r="H700" s="40">
        <v>11.889200000000001</v>
      </c>
    </row>
    <row r="701" spans="1:11" x14ac:dyDescent="0.3">
      <c r="A701" t="s">
        <v>750</v>
      </c>
      <c r="B701" s="43">
        <v>202.12</v>
      </c>
      <c r="C701" t="s">
        <v>65</v>
      </c>
      <c r="D701">
        <v>15</v>
      </c>
      <c r="E701" s="43">
        <v>11.89</v>
      </c>
      <c r="F701" t="s">
        <v>72</v>
      </c>
      <c r="G701">
        <v>2</v>
      </c>
      <c r="H701" s="43">
        <v>11.89</v>
      </c>
    </row>
    <row r="702" spans="1:11" s="40" customFormat="1" x14ac:dyDescent="0.3">
      <c r="A702" s="41" t="s">
        <v>976</v>
      </c>
      <c r="B702" s="40">
        <f>D701*E702+G701*H702+J701*K702</f>
        <v>202.11640000000003</v>
      </c>
      <c r="E702" s="40">
        <v>11.889200000000001</v>
      </c>
      <c r="H702" s="40">
        <v>11.889200000000001</v>
      </c>
    </row>
    <row r="703" spans="1:11" x14ac:dyDescent="0.3">
      <c r="A703" t="s">
        <v>752</v>
      </c>
      <c r="B703" s="43">
        <v>162.47</v>
      </c>
      <c r="C703" t="s">
        <v>27</v>
      </c>
      <c r="D703">
        <v>15</v>
      </c>
      <c r="E703" s="43">
        <v>9.25</v>
      </c>
      <c r="F703" t="s">
        <v>72</v>
      </c>
      <c r="G703">
        <v>2</v>
      </c>
      <c r="H703" s="43">
        <v>11.89</v>
      </c>
    </row>
    <row r="704" spans="1:11" s="40" customFormat="1" x14ac:dyDescent="0.3">
      <c r="A704" s="41" t="s">
        <v>976</v>
      </c>
      <c r="B704" s="40">
        <f>D703*E704+G703*H704+J703*K704</f>
        <v>162.46690000000001</v>
      </c>
      <c r="E704" s="40">
        <v>9.2459000000000007</v>
      </c>
      <c r="H704" s="40">
        <v>11.889200000000001</v>
      </c>
    </row>
    <row r="705" spans="1:8" x14ac:dyDescent="0.3">
      <c r="A705" t="s">
        <v>756</v>
      </c>
      <c r="B705" s="43">
        <v>202.12</v>
      </c>
      <c r="C705" t="s">
        <v>65</v>
      </c>
      <c r="D705">
        <v>15</v>
      </c>
      <c r="E705" s="43">
        <v>11.89</v>
      </c>
      <c r="F705" t="s">
        <v>72</v>
      </c>
      <c r="G705">
        <v>2</v>
      </c>
      <c r="H705" s="43">
        <v>11.89</v>
      </c>
    </row>
    <row r="706" spans="1:8" s="40" customFormat="1" x14ac:dyDescent="0.3">
      <c r="A706" s="41" t="s">
        <v>976</v>
      </c>
      <c r="B706" s="40">
        <f>D705*E706+G705*H706+J705*K706</f>
        <v>202.11640000000003</v>
      </c>
      <c r="E706" s="40">
        <v>11.889200000000001</v>
      </c>
      <c r="H706" s="40">
        <v>11.889200000000001</v>
      </c>
    </row>
    <row r="707" spans="1:8" x14ac:dyDescent="0.3">
      <c r="A707" t="s">
        <v>754</v>
      </c>
      <c r="B707" s="43">
        <v>241.76</v>
      </c>
      <c r="C707" t="s">
        <v>31</v>
      </c>
      <c r="D707">
        <v>15</v>
      </c>
      <c r="E707" s="43">
        <v>14.53</v>
      </c>
      <c r="F707" t="s">
        <v>74</v>
      </c>
      <c r="G707">
        <v>2</v>
      </c>
      <c r="H707" s="43">
        <v>11.89</v>
      </c>
    </row>
    <row r="708" spans="1:8" s="40" customFormat="1" x14ac:dyDescent="0.3">
      <c r="A708" s="41" t="s">
        <v>976</v>
      </c>
      <c r="B708" s="40">
        <f>D707*E708+G707*H708+J707*K708</f>
        <v>241.76440000000002</v>
      </c>
      <c r="E708" s="40">
        <v>14.532400000000001</v>
      </c>
      <c r="H708" s="40">
        <v>11.889200000000001</v>
      </c>
    </row>
    <row r="709" spans="1:8" x14ac:dyDescent="0.3">
      <c r="A709" t="s">
        <v>757</v>
      </c>
      <c r="B709" s="43">
        <v>281.35000000000002</v>
      </c>
      <c r="C709" t="s">
        <v>69</v>
      </c>
      <c r="D709">
        <v>15</v>
      </c>
      <c r="E709" s="43">
        <v>17.170000000000002</v>
      </c>
      <c r="F709" t="s">
        <v>74</v>
      </c>
      <c r="G709">
        <v>2</v>
      </c>
      <c r="H709" s="43">
        <v>11.89</v>
      </c>
    </row>
    <row r="710" spans="1:8" s="40" customFormat="1" x14ac:dyDescent="0.3">
      <c r="A710" s="41" t="s">
        <v>976</v>
      </c>
      <c r="B710" s="40">
        <f>D709*E710+G709*H710+J709*K710</f>
        <v>281.34789999999998</v>
      </c>
      <c r="E710" s="40">
        <v>17.171299999999999</v>
      </c>
      <c r="H710" s="40">
        <v>11.889200000000001</v>
      </c>
    </row>
    <row r="711" spans="1:8" x14ac:dyDescent="0.3">
      <c r="A711" t="s">
        <v>755</v>
      </c>
      <c r="B711" s="43">
        <v>162.47</v>
      </c>
      <c r="C711" t="s">
        <v>27</v>
      </c>
      <c r="D711">
        <v>15</v>
      </c>
      <c r="E711" s="43">
        <v>9.25</v>
      </c>
      <c r="F711" t="s">
        <v>72</v>
      </c>
      <c r="G711">
        <v>2</v>
      </c>
      <c r="H711" s="43">
        <v>11.89</v>
      </c>
    </row>
    <row r="712" spans="1:8" s="40" customFormat="1" x14ac:dyDescent="0.3">
      <c r="A712" s="41" t="s">
        <v>976</v>
      </c>
      <c r="B712" s="40">
        <f>D711*E712+G711*H712+J711*K712</f>
        <v>162.46690000000001</v>
      </c>
      <c r="E712" s="40">
        <v>9.2459000000000007</v>
      </c>
      <c r="H712" s="40">
        <v>11.889200000000001</v>
      </c>
    </row>
    <row r="713" spans="1:8" x14ac:dyDescent="0.3">
      <c r="A713" t="s">
        <v>759</v>
      </c>
      <c r="B713" s="43">
        <v>241.76</v>
      </c>
      <c r="C713" t="s">
        <v>31</v>
      </c>
      <c r="D713">
        <v>15</v>
      </c>
      <c r="E713" s="43">
        <v>14.53</v>
      </c>
      <c r="F713" t="s">
        <v>74</v>
      </c>
      <c r="G713">
        <v>2</v>
      </c>
      <c r="H713">
        <v>11.89</v>
      </c>
    </row>
    <row r="714" spans="1:8" s="40" customFormat="1" x14ac:dyDescent="0.3">
      <c r="A714" s="41" t="s">
        <v>976</v>
      </c>
      <c r="B714" s="40">
        <f>D713*E714+G713*H714+J713*K714</f>
        <v>241.76440000000002</v>
      </c>
      <c r="E714" s="40">
        <v>14.532400000000001</v>
      </c>
      <c r="H714" s="40">
        <v>11.889200000000001</v>
      </c>
    </row>
    <row r="715" spans="1:8" x14ac:dyDescent="0.3">
      <c r="A715" t="s">
        <v>758</v>
      </c>
      <c r="B715" s="43">
        <v>241.76</v>
      </c>
      <c r="C715" t="s">
        <v>31</v>
      </c>
      <c r="D715">
        <v>15</v>
      </c>
      <c r="E715" s="43">
        <v>14.53</v>
      </c>
      <c r="F715" t="s">
        <v>74</v>
      </c>
      <c r="G715">
        <v>2</v>
      </c>
      <c r="H715" s="43">
        <v>11.89</v>
      </c>
    </row>
    <row r="716" spans="1:8" s="40" customFormat="1" x14ac:dyDescent="0.3">
      <c r="A716" s="41" t="s">
        <v>976</v>
      </c>
      <c r="B716" s="40">
        <f>D715*E716+G715*H716+J715*K716</f>
        <v>241.76440000000002</v>
      </c>
      <c r="E716" s="40">
        <v>14.532400000000001</v>
      </c>
      <c r="H716" s="40">
        <v>11.889200000000001</v>
      </c>
    </row>
    <row r="717" spans="1:8" x14ac:dyDescent="0.3">
      <c r="A717" t="s">
        <v>761</v>
      </c>
      <c r="B717" s="43">
        <v>356.64</v>
      </c>
      <c r="C717" t="s">
        <v>57</v>
      </c>
      <c r="D717">
        <v>14</v>
      </c>
      <c r="E717" s="43">
        <v>23.78</v>
      </c>
      <c r="F717" t="s">
        <v>83</v>
      </c>
      <c r="G717">
        <v>2</v>
      </c>
      <c r="H717" s="43">
        <v>11.89</v>
      </c>
    </row>
    <row r="718" spans="1:8" s="40" customFormat="1" x14ac:dyDescent="0.3">
      <c r="A718" s="41" t="s">
        <v>976</v>
      </c>
      <c r="B718" s="40">
        <f>D717*E718+G717*H718+J717*K718</f>
        <v>356.63679999999999</v>
      </c>
      <c r="E718" s="40">
        <v>23.775600000000001</v>
      </c>
      <c r="H718" s="40">
        <v>11.889200000000001</v>
      </c>
    </row>
    <row r="719" spans="1:8" x14ac:dyDescent="0.3">
      <c r="A719" t="s">
        <v>760</v>
      </c>
      <c r="B719" s="43">
        <v>138.69</v>
      </c>
      <c r="C719" t="s">
        <v>27</v>
      </c>
      <c r="D719">
        <v>15</v>
      </c>
      <c r="E719" s="43">
        <v>9.25</v>
      </c>
    </row>
    <row r="720" spans="1:8" s="40" customFormat="1" x14ac:dyDescent="0.3">
      <c r="A720" s="41" t="s">
        <v>976</v>
      </c>
      <c r="B720" s="40">
        <f>D719*E720+G719*H720+J719*K720</f>
        <v>138.6885</v>
      </c>
      <c r="E720" s="40">
        <v>9.2459000000000007</v>
      </c>
    </row>
    <row r="721" spans="1:8" x14ac:dyDescent="0.3">
      <c r="A721" t="s">
        <v>763</v>
      </c>
      <c r="B721" s="43">
        <v>190.23</v>
      </c>
      <c r="C721" t="s">
        <v>65</v>
      </c>
      <c r="D721">
        <v>14</v>
      </c>
      <c r="E721" s="43">
        <v>11.89</v>
      </c>
      <c r="F721" t="s">
        <v>72</v>
      </c>
      <c r="G721">
        <v>2</v>
      </c>
      <c r="H721" s="43">
        <v>11.89</v>
      </c>
    </row>
    <row r="722" spans="1:8" s="40" customFormat="1" x14ac:dyDescent="0.3">
      <c r="A722" s="41" t="s">
        <v>976</v>
      </c>
      <c r="B722" s="40">
        <f>D721*E722+G721*H722+J721*K722</f>
        <v>190.22720000000001</v>
      </c>
      <c r="E722" s="40">
        <v>11.889200000000001</v>
      </c>
      <c r="H722" s="40">
        <v>11.889200000000001</v>
      </c>
    </row>
    <row r="723" spans="1:8" x14ac:dyDescent="0.3">
      <c r="A723" t="s">
        <v>764</v>
      </c>
      <c r="B723" s="43">
        <v>153.22</v>
      </c>
      <c r="C723" t="s">
        <v>27</v>
      </c>
      <c r="D723">
        <v>14</v>
      </c>
      <c r="E723" s="43">
        <v>9.25</v>
      </c>
      <c r="F723" t="s">
        <v>72</v>
      </c>
      <c r="G723">
        <v>2</v>
      </c>
      <c r="H723" s="43">
        <v>11.89</v>
      </c>
    </row>
    <row r="724" spans="1:8" s="40" customFormat="1" x14ac:dyDescent="0.3">
      <c r="A724" s="41" t="s">
        <v>976</v>
      </c>
      <c r="B724" s="40">
        <f>D723*E724+G723*H724+J723*K724</f>
        <v>153.221</v>
      </c>
      <c r="E724" s="40">
        <v>9.2459000000000007</v>
      </c>
      <c r="H724" s="40">
        <v>11.889200000000001</v>
      </c>
    </row>
    <row r="725" spans="1:8" x14ac:dyDescent="0.3">
      <c r="A725" t="s">
        <v>766</v>
      </c>
      <c r="B725" s="43">
        <v>153.22</v>
      </c>
      <c r="C725" t="s">
        <v>27</v>
      </c>
      <c r="D725">
        <v>14</v>
      </c>
      <c r="E725" s="43">
        <v>9.25</v>
      </c>
      <c r="F725" t="s">
        <v>72</v>
      </c>
      <c r="G725">
        <v>2</v>
      </c>
      <c r="H725" s="43">
        <v>11.89</v>
      </c>
    </row>
    <row r="726" spans="1:8" s="40" customFormat="1" x14ac:dyDescent="0.3">
      <c r="A726" s="41" t="s">
        <v>976</v>
      </c>
      <c r="B726" s="40">
        <f>D725*E726+G725*H726+J725*K726</f>
        <v>153.221</v>
      </c>
      <c r="E726" s="40">
        <v>9.2459000000000007</v>
      </c>
      <c r="H726" s="40">
        <v>11.889200000000001</v>
      </c>
    </row>
    <row r="727" spans="1:8" x14ac:dyDescent="0.3">
      <c r="A727" t="s">
        <v>765</v>
      </c>
      <c r="B727" s="43">
        <v>190.23</v>
      </c>
      <c r="C727" t="s">
        <v>65</v>
      </c>
      <c r="D727">
        <v>14</v>
      </c>
      <c r="E727" s="43">
        <v>11.89</v>
      </c>
      <c r="F727" t="s">
        <v>72</v>
      </c>
      <c r="G727">
        <v>2</v>
      </c>
      <c r="H727" s="43">
        <v>11.89</v>
      </c>
    </row>
    <row r="728" spans="1:8" s="40" customFormat="1" x14ac:dyDescent="0.3">
      <c r="A728" s="41" t="s">
        <v>976</v>
      </c>
      <c r="B728" s="40">
        <f>D727*E728+G727*H728+J727*K728</f>
        <v>190.22720000000001</v>
      </c>
      <c r="E728" s="40">
        <v>11.889200000000001</v>
      </c>
      <c r="H728" s="40">
        <v>11.889200000000001</v>
      </c>
    </row>
    <row r="729" spans="1:8" x14ac:dyDescent="0.3">
      <c r="A729" t="s">
        <v>768</v>
      </c>
      <c r="B729" s="43">
        <v>227.23</v>
      </c>
      <c r="C729" t="s">
        <v>31</v>
      </c>
      <c r="D729">
        <v>14</v>
      </c>
      <c r="E729" s="43">
        <v>14.53</v>
      </c>
      <c r="F729" t="s">
        <v>74</v>
      </c>
      <c r="G729">
        <v>2</v>
      </c>
      <c r="H729" s="43">
        <v>11.89</v>
      </c>
    </row>
    <row r="730" spans="1:8" s="40" customFormat="1" x14ac:dyDescent="0.3">
      <c r="A730" s="41" t="s">
        <v>976</v>
      </c>
      <c r="B730" s="40">
        <f>D729*E730+G729*H730+J729*K730</f>
        <v>227.23200000000003</v>
      </c>
      <c r="E730" s="40">
        <v>14.532400000000001</v>
      </c>
      <c r="H730" s="40">
        <v>11.889200000000001</v>
      </c>
    </row>
    <row r="731" spans="1:8" x14ac:dyDescent="0.3">
      <c r="A731" t="s">
        <v>767</v>
      </c>
      <c r="B731" s="43">
        <v>153.22</v>
      </c>
      <c r="C731" t="s">
        <v>27</v>
      </c>
      <c r="D731">
        <v>14</v>
      </c>
      <c r="E731" s="43">
        <v>9.25</v>
      </c>
      <c r="F731" t="s">
        <v>72</v>
      </c>
      <c r="G731">
        <v>2</v>
      </c>
      <c r="H731" s="43">
        <v>11.89</v>
      </c>
    </row>
    <row r="732" spans="1:8" s="40" customFormat="1" x14ac:dyDescent="0.3">
      <c r="A732" s="41" t="s">
        <v>976</v>
      </c>
      <c r="B732" s="40">
        <f>D731*E732+G731*H732+J731*K732</f>
        <v>153.221</v>
      </c>
      <c r="E732" s="40">
        <v>9.2459000000000007</v>
      </c>
      <c r="H732" s="40">
        <v>11.889200000000001</v>
      </c>
    </row>
    <row r="733" spans="1:8" x14ac:dyDescent="0.3">
      <c r="A733" t="s">
        <v>769</v>
      </c>
      <c r="B733" s="43">
        <v>227.23</v>
      </c>
      <c r="C733" t="s">
        <v>31</v>
      </c>
      <c r="D733">
        <v>14</v>
      </c>
      <c r="E733" s="43">
        <v>14.53</v>
      </c>
      <c r="F733" t="s">
        <v>74</v>
      </c>
      <c r="G733">
        <v>2</v>
      </c>
      <c r="H733" s="43">
        <v>11.89</v>
      </c>
    </row>
    <row r="734" spans="1:8" s="40" customFormat="1" x14ac:dyDescent="0.3">
      <c r="A734" s="41" t="s">
        <v>976</v>
      </c>
      <c r="B734" s="40">
        <f>D733*E734+G733*H734+J733*K734</f>
        <v>227.23200000000003</v>
      </c>
      <c r="E734" s="40">
        <v>14.532400000000001</v>
      </c>
      <c r="H734" s="40">
        <v>11.889200000000001</v>
      </c>
    </row>
    <row r="735" spans="1:8" x14ac:dyDescent="0.3">
      <c r="A735" t="s">
        <v>770</v>
      </c>
      <c r="B735" s="43">
        <v>227.23</v>
      </c>
      <c r="C735" t="s">
        <v>31</v>
      </c>
      <c r="D735">
        <v>14</v>
      </c>
      <c r="E735" s="43">
        <v>14.53</v>
      </c>
      <c r="F735" t="s">
        <v>74</v>
      </c>
      <c r="G735">
        <v>2</v>
      </c>
      <c r="H735" s="43">
        <v>11.89</v>
      </c>
    </row>
    <row r="736" spans="1:8" s="40" customFormat="1" x14ac:dyDescent="0.3">
      <c r="A736" s="41" t="s">
        <v>976</v>
      </c>
      <c r="B736" s="40">
        <f>D735*E736+G735*H736+J735*K736</f>
        <v>227.23200000000003</v>
      </c>
      <c r="E736" s="40">
        <v>14.532400000000001</v>
      </c>
      <c r="H736" s="40">
        <v>11.889200000000001</v>
      </c>
    </row>
    <row r="737" spans="1:8" x14ac:dyDescent="0.3">
      <c r="A737" t="s">
        <v>774</v>
      </c>
      <c r="B737" s="43">
        <v>227.23</v>
      </c>
      <c r="C737" t="s">
        <v>31</v>
      </c>
      <c r="D737">
        <v>14</v>
      </c>
      <c r="E737" s="43">
        <v>14.53</v>
      </c>
      <c r="F737" t="s">
        <v>74</v>
      </c>
      <c r="G737">
        <v>2</v>
      </c>
      <c r="H737" s="43">
        <v>11.89</v>
      </c>
    </row>
    <row r="738" spans="1:8" s="40" customFormat="1" x14ac:dyDescent="0.3">
      <c r="A738" s="41" t="s">
        <v>976</v>
      </c>
      <c r="B738" s="40">
        <f>D737*E738+G737*H738+J737*K738</f>
        <v>227.23200000000003</v>
      </c>
      <c r="E738" s="40">
        <v>14.532400000000001</v>
      </c>
      <c r="H738" s="40">
        <v>11.889200000000001</v>
      </c>
    </row>
    <row r="739" spans="1:8" x14ac:dyDescent="0.3">
      <c r="A739" t="s">
        <v>772</v>
      </c>
      <c r="B739" s="43">
        <v>227.23</v>
      </c>
      <c r="C739" t="s">
        <v>31</v>
      </c>
      <c r="D739">
        <v>14</v>
      </c>
      <c r="E739" s="43">
        <v>14.53</v>
      </c>
      <c r="F739" t="s">
        <v>74</v>
      </c>
      <c r="G739">
        <v>2</v>
      </c>
      <c r="H739" s="43">
        <v>11.89</v>
      </c>
    </row>
    <row r="740" spans="1:8" s="40" customFormat="1" x14ac:dyDescent="0.3">
      <c r="A740" s="41" t="s">
        <v>976</v>
      </c>
      <c r="B740" s="40">
        <f>D739*E740+G739*H740+J739*K740</f>
        <v>227.23200000000003</v>
      </c>
      <c r="E740" s="40">
        <v>14.532400000000001</v>
      </c>
      <c r="H740" s="40">
        <v>11.889200000000001</v>
      </c>
    </row>
    <row r="741" spans="1:8" x14ac:dyDescent="0.3">
      <c r="A741" t="s">
        <v>773</v>
      </c>
      <c r="B741" s="43">
        <v>227.23</v>
      </c>
      <c r="C741" t="s">
        <v>31</v>
      </c>
      <c r="D741">
        <v>14</v>
      </c>
      <c r="E741" s="43">
        <v>14.53</v>
      </c>
      <c r="F741" t="s">
        <v>74</v>
      </c>
      <c r="G741">
        <v>2</v>
      </c>
      <c r="H741" s="43">
        <v>11.89</v>
      </c>
    </row>
    <row r="742" spans="1:8" s="40" customFormat="1" x14ac:dyDescent="0.3">
      <c r="A742" s="41" t="s">
        <v>976</v>
      </c>
      <c r="B742" s="40">
        <f>D741*E742+G741*H742+J741*K742</f>
        <v>227.23200000000003</v>
      </c>
      <c r="E742" s="40">
        <v>14.532400000000001</v>
      </c>
      <c r="H742" s="40">
        <v>11.889200000000001</v>
      </c>
    </row>
    <row r="743" spans="1:8" x14ac:dyDescent="0.3">
      <c r="A743" t="s">
        <v>775</v>
      </c>
      <c r="B743" s="43">
        <v>227.23</v>
      </c>
      <c r="C743" t="s">
        <v>31</v>
      </c>
      <c r="D743">
        <v>14</v>
      </c>
      <c r="E743" s="43">
        <v>14.53</v>
      </c>
      <c r="F743" t="s">
        <v>74</v>
      </c>
      <c r="G743">
        <v>2</v>
      </c>
      <c r="H743" s="43">
        <v>11.89</v>
      </c>
    </row>
    <row r="744" spans="1:8" s="40" customFormat="1" x14ac:dyDescent="0.3">
      <c r="A744" s="41" t="s">
        <v>976</v>
      </c>
      <c r="B744" s="40">
        <f>D743*E744+G743*H744+J743*K744</f>
        <v>227.23200000000003</v>
      </c>
      <c r="E744" s="40">
        <v>14.532400000000001</v>
      </c>
      <c r="H744" s="40">
        <v>11.889200000000001</v>
      </c>
    </row>
    <row r="745" spans="1:8" x14ac:dyDescent="0.3">
      <c r="A745" t="s">
        <v>776</v>
      </c>
      <c r="B745" s="43">
        <v>227.23</v>
      </c>
      <c r="C745" t="s">
        <v>31</v>
      </c>
      <c r="D745">
        <v>14</v>
      </c>
      <c r="E745" s="43">
        <v>14.53</v>
      </c>
      <c r="F745" t="s">
        <v>74</v>
      </c>
      <c r="G745">
        <v>2</v>
      </c>
      <c r="H745" s="43">
        <v>11.89</v>
      </c>
    </row>
    <row r="746" spans="1:8" s="40" customFormat="1" x14ac:dyDescent="0.3">
      <c r="A746" s="41" t="s">
        <v>976</v>
      </c>
      <c r="B746" s="40">
        <f>D745*E746+G745*H746+J745*K746</f>
        <v>227.23200000000003</v>
      </c>
      <c r="E746" s="40">
        <v>14.532400000000001</v>
      </c>
      <c r="H746" s="40">
        <v>11.889200000000001</v>
      </c>
    </row>
    <row r="747" spans="1:8" x14ac:dyDescent="0.3">
      <c r="A747" t="s">
        <v>779</v>
      </c>
      <c r="B747" s="43">
        <v>227.23</v>
      </c>
      <c r="C747" t="s">
        <v>31</v>
      </c>
      <c r="D747">
        <v>14</v>
      </c>
      <c r="E747" s="43">
        <v>14.53</v>
      </c>
      <c r="F747" t="s">
        <v>74</v>
      </c>
      <c r="G747">
        <v>2</v>
      </c>
      <c r="H747" s="43">
        <v>11.89</v>
      </c>
    </row>
    <row r="748" spans="1:8" s="40" customFormat="1" x14ac:dyDescent="0.3">
      <c r="A748" s="41" t="s">
        <v>976</v>
      </c>
      <c r="B748" s="40">
        <f>D747*E748+G747*H748+J747*K748</f>
        <v>227.23200000000003</v>
      </c>
      <c r="E748" s="40">
        <v>14.532400000000001</v>
      </c>
      <c r="H748" s="40">
        <v>11.889200000000001</v>
      </c>
    </row>
    <row r="749" spans="1:8" x14ac:dyDescent="0.3">
      <c r="A749" t="s">
        <v>778</v>
      </c>
      <c r="B749" s="43">
        <v>227.23</v>
      </c>
      <c r="C749" t="s">
        <v>31</v>
      </c>
      <c r="D749">
        <v>14</v>
      </c>
      <c r="E749" s="43">
        <v>14.53</v>
      </c>
      <c r="F749" t="s">
        <v>74</v>
      </c>
      <c r="G749">
        <v>2</v>
      </c>
      <c r="H749" s="43">
        <v>11.89</v>
      </c>
    </row>
    <row r="750" spans="1:8" s="40" customFormat="1" x14ac:dyDescent="0.3">
      <c r="A750" s="41" t="s">
        <v>976</v>
      </c>
      <c r="B750" s="40">
        <f>D749*E750+G749*H750+J749*K750</f>
        <v>227.23200000000003</v>
      </c>
      <c r="E750" s="40">
        <v>14.532400000000001</v>
      </c>
      <c r="H750" s="40">
        <v>11.889200000000001</v>
      </c>
    </row>
    <row r="751" spans="1:8" x14ac:dyDescent="0.3">
      <c r="A751" t="s">
        <v>780</v>
      </c>
      <c r="B751" s="43">
        <v>147.93</v>
      </c>
      <c r="C751" t="s">
        <v>27</v>
      </c>
      <c r="D751">
        <v>14</v>
      </c>
      <c r="E751" s="43">
        <v>9.25</v>
      </c>
      <c r="F751" t="s">
        <v>87</v>
      </c>
      <c r="G751">
        <v>2</v>
      </c>
      <c r="H751" s="43">
        <v>9.25</v>
      </c>
    </row>
    <row r="752" spans="1:8" s="40" customFormat="1" x14ac:dyDescent="0.3">
      <c r="A752" s="41" t="s">
        <v>976</v>
      </c>
      <c r="B752" s="40">
        <f>D751*E752+G751*H752+J751*K752</f>
        <v>147.93440000000001</v>
      </c>
      <c r="E752" s="40">
        <v>9.2459000000000007</v>
      </c>
      <c r="H752" s="40">
        <v>9.2459000000000007</v>
      </c>
    </row>
    <row r="753" spans="1:8" x14ac:dyDescent="0.3">
      <c r="A753" t="s">
        <v>781</v>
      </c>
      <c r="B753" s="43">
        <v>221.95</v>
      </c>
      <c r="C753" t="s">
        <v>31</v>
      </c>
      <c r="D753">
        <v>14</v>
      </c>
      <c r="E753" s="43">
        <v>14.53</v>
      </c>
      <c r="F753" t="s">
        <v>89</v>
      </c>
      <c r="G753">
        <v>2</v>
      </c>
      <c r="H753" s="43">
        <v>9.25</v>
      </c>
    </row>
    <row r="754" spans="1:8" s="40" customFormat="1" x14ac:dyDescent="0.3">
      <c r="A754" s="41" t="s">
        <v>976</v>
      </c>
      <c r="B754" s="40">
        <f>D753*E754+G753*H754+J753*K754</f>
        <v>221.94540000000003</v>
      </c>
      <c r="E754" s="40">
        <v>14.532400000000001</v>
      </c>
      <c r="H754" s="40">
        <v>9.2459000000000007</v>
      </c>
    </row>
    <row r="755" spans="1:8" x14ac:dyDescent="0.3">
      <c r="A755" t="s">
        <v>782</v>
      </c>
      <c r="B755" s="43">
        <v>143.97999999999999</v>
      </c>
      <c r="C755" t="s">
        <v>27</v>
      </c>
      <c r="D755">
        <v>13</v>
      </c>
      <c r="E755" s="43">
        <v>9.25</v>
      </c>
      <c r="F755" t="s">
        <v>72</v>
      </c>
      <c r="G755">
        <v>2</v>
      </c>
      <c r="H755">
        <v>11.89</v>
      </c>
    </row>
    <row r="756" spans="1:8" s="40" customFormat="1" x14ac:dyDescent="0.3">
      <c r="A756" s="41" t="s">
        <v>976</v>
      </c>
      <c r="B756" s="40">
        <f>D755*E756+G755*H756+J755*K756</f>
        <v>143.9751</v>
      </c>
      <c r="E756" s="40">
        <v>9.2459000000000007</v>
      </c>
      <c r="H756" s="40">
        <v>11.889200000000001</v>
      </c>
    </row>
    <row r="757" spans="1:8" x14ac:dyDescent="0.3">
      <c r="A757" t="s">
        <v>784</v>
      </c>
      <c r="B757" s="43">
        <v>120.2</v>
      </c>
      <c r="C757" t="s">
        <v>27</v>
      </c>
      <c r="D757">
        <v>13</v>
      </c>
      <c r="E757" s="43">
        <v>9.25</v>
      </c>
    </row>
    <row r="758" spans="1:8" s="40" customFormat="1" x14ac:dyDescent="0.3">
      <c r="A758" s="41" t="s">
        <v>976</v>
      </c>
      <c r="B758" s="40">
        <f>D757*E758+G757*H758+J757*K758</f>
        <v>120.19670000000001</v>
      </c>
      <c r="E758" s="40">
        <v>9.2459000000000007</v>
      </c>
    </row>
    <row r="759" spans="1:8" x14ac:dyDescent="0.3">
      <c r="A759" t="s">
        <v>783</v>
      </c>
      <c r="B759" s="43">
        <v>207.41</v>
      </c>
      <c r="C759" t="s">
        <v>67</v>
      </c>
      <c r="D759">
        <v>13</v>
      </c>
      <c r="E759" s="43">
        <v>14.53</v>
      </c>
      <c r="F759" t="s">
        <v>89</v>
      </c>
      <c r="G759">
        <v>2</v>
      </c>
      <c r="H759" s="43">
        <v>9.25</v>
      </c>
    </row>
    <row r="760" spans="1:8" s="40" customFormat="1" x14ac:dyDescent="0.3">
      <c r="A760" s="41" t="s">
        <v>976</v>
      </c>
      <c r="B760" s="40">
        <f>D759*E760+G759*H760+J759*K760</f>
        <v>207.41300000000001</v>
      </c>
      <c r="E760" s="40">
        <v>14.532400000000001</v>
      </c>
      <c r="H760" s="40">
        <v>9.2459000000000007</v>
      </c>
    </row>
    <row r="761" spans="1:8" x14ac:dyDescent="0.3">
      <c r="A761" t="s">
        <v>785</v>
      </c>
      <c r="B761" s="43">
        <v>309.08999999999997</v>
      </c>
      <c r="C761" t="s">
        <v>57</v>
      </c>
      <c r="D761">
        <v>12</v>
      </c>
      <c r="E761" s="43">
        <v>23.78</v>
      </c>
      <c r="F761" t="s">
        <v>83</v>
      </c>
      <c r="G761">
        <v>2</v>
      </c>
      <c r="H761" s="43">
        <v>11.89</v>
      </c>
    </row>
    <row r="762" spans="1:8" s="40" customFormat="1" x14ac:dyDescent="0.3">
      <c r="A762" s="41" t="s">
        <v>976</v>
      </c>
      <c r="B762" s="40">
        <f>D761*E762+G761*H762+J761*K762</f>
        <v>309.0856</v>
      </c>
      <c r="E762" s="40">
        <v>23.775600000000001</v>
      </c>
      <c r="H762" s="40">
        <v>11.889200000000001</v>
      </c>
    </row>
    <row r="763" spans="1:8" x14ac:dyDescent="0.3">
      <c r="A763" t="s">
        <v>789</v>
      </c>
      <c r="B763" s="43">
        <v>309.08999999999997</v>
      </c>
      <c r="C763" t="s">
        <v>57</v>
      </c>
      <c r="D763">
        <v>12</v>
      </c>
      <c r="E763" s="43">
        <v>23.78</v>
      </c>
      <c r="F763" t="s">
        <v>83</v>
      </c>
      <c r="G763">
        <v>2</v>
      </c>
      <c r="H763" s="43">
        <v>11.89</v>
      </c>
    </row>
    <row r="764" spans="1:8" s="40" customFormat="1" x14ac:dyDescent="0.3">
      <c r="A764" s="41" t="s">
        <v>976</v>
      </c>
      <c r="B764" s="40">
        <f>D763*E764+G763*H764+J763*K764</f>
        <v>309.0856</v>
      </c>
      <c r="E764" s="40">
        <v>23.775600000000001</v>
      </c>
      <c r="H764" s="40">
        <v>11.889200000000001</v>
      </c>
    </row>
    <row r="765" spans="1:8" x14ac:dyDescent="0.3">
      <c r="A765" t="s">
        <v>787</v>
      </c>
      <c r="B765" s="43">
        <v>309.08999999999997</v>
      </c>
      <c r="C765" t="s">
        <v>57</v>
      </c>
      <c r="D765">
        <v>12</v>
      </c>
      <c r="E765" s="43">
        <v>23.78</v>
      </c>
      <c r="F765" t="s">
        <v>83</v>
      </c>
      <c r="G765">
        <v>2</v>
      </c>
      <c r="H765" s="43">
        <v>11.89</v>
      </c>
    </row>
    <row r="766" spans="1:8" s="40" customFormat="1" x14ac:dyDescent="0.3">
      <c r="A766" s="41" t="s">
        <v>976</v>
      </c>
      <c r="B766" s="40">
        <f>D765*E766+G765*H766+J765*K766</f>
        <v>309.0856</v>
      </c>
      <c r="E766" s="40">
        <v>23.775600000000001</v>
      </c>
      <c r="H766" s="40">
        <v>11.889200000000001</v>
      </c>
    </row>
    <row r="767" spans="1:8" x14ac:dyDescent="0.3">
      <c r="A767" t="s">
        <v>788</v>
      </c>
      <c r="B767" s="43">
        <v>309.08999999999997</v>
      </c>
      <c r="C767" t="s">
        <v>57</v>
      </c>
      <c r="D767">
        <v>12</v>
      </c>
      <c r="E767" s="43">
        <v>23.78</v>
      </c>
      <c r="F767" t="s">
        <v>83</v>
      </c>
      <c r="G767">
        <v>2</v>
      </c>
      <c r="H767" s="43">
        <v>11.89</v>
      </c>
    </row>
    <row r="768" spans="1:8" s="40" customFormat="1" x14ac:dyDescent="0.3">
      <c r="A768" s="41" t="s">
        <v>976</v>
      </c>
      <c r="B768" s="40">
        <f>D767*E768+G767*H768+J767*K768</f>
        <v>309.0856</v>
      </c>
      <c r="E768" s="40">
        <v>23.775600000000001</v>
      </c>
      <c r="H768" s="40">
        <v>11.889200000000001</v>
      </c>
    </row>
    <row r="769" spans="1:8" x14ac:dyDescent="0.3">
      <c r="A769" t="s">
        <v>786</v>
      </c>
      <c r="B769" s="43">
        <v>277.39</v>
      </c>
      <c r="C769" t="s">
        <v>53</v>
      </c>
      <c r="D769">
        <v>12</v>
      </c>
      <c r="E769" s="43">
        <v>21.13</v>
      </c>
      <c r="F769" t="s">
        <v>81</v>
      </c>
      <c r="G769">
        <v>2</v>
      </c>
      <c r="H769" s="43">
        <v>11.89</v>
      </c>
    </row>
    <row r="770" spans="1:8" s="40" customFormat="1" x14ac:dyDescent="0.3">
      <c r="A770" s="41" t="s">
        <v>976</v>
      </c>
      <c r="B770" s="40">
        <f>D769*E770+G769*H770+J769*K770</f>
        <v>277.38639999999998</v>
      </c>
      <c r="E770" s="40">
        <v>21.134</v>
      </c>
      <c r="H770" s="40">
        <v>11.889200000000001</v>
      </c>
    </row>
    <row r="771" spans="1:8" x14ac:dyDescent="0.3">
      <c r="A771" t="s">
        <v>790</v>
      </c>
      <c r="B771" s="43">
        <v>364.55</v>
      </c>
      <c r="C771" t="s">
        <v>59</v>
      </c>
      <c r="D771">
        <v>12</v>
      </c>
      <c r="E771" s="43">
        <v>26.42</v>
      </c>
      <c r="F771" t="s">
        <v>85</v>
      </c>
      <c r="G771">
        <v>2</v>
      </c>
      <c r="H771" s="43">
        <v>23.77</v>
      </c>
    </row>
    <row r="772" spans="1:8" s="40" customFormat="1" x14ac:dyDescent="0.3">
      <c r="A772" s="41" t="s">
        <v>976</v>
      </c>
      <c r="B772" s="40">
        <f>D771*E772+G771*H772+J771*K772</f>
        <v>364.54820000000001</v>
      </c>
      <c r="E772" s="40">
        <v>26.4178</v>
      </c>
      <c r="H772" s="40">
        <v>23.767299999999999</v>
      </c>
    </row>
    <row r="773" spans="1:8" x14ac:dyDescent="0.3">
      <c r="A773" t="s">
        <v>792</v>
      </c>
      <c r="B773" s="43">
        <v>103.01</v>
      </c>
      <c r="C773" t="s">
        <v>24</v>
      </c>
      <c r="D773">
        <v>12</v>
      </c>
      <c r="E773" s="43">
        <v>6.6</v>
      </c>
      <c r="F773" t="s">
        <v>72</v>
      </c>
      <c r="G773">
        <v>2</v>
      </c>
      <c r="H773" s="43">
        <v>11.89</v>
      </c>
    </row>
    <row r="774" spans="1:8" s="40" customFormat="1" x14ac:dyDescent="0.3">
      <c r="A774" s="41" t="s">
        <v>976</v>
      </c>
      <c r="B774" s="40">
        <f>D773*E774+G773*H774+J773*K774</f>
        <v>103.00960000000001</v>
      </c>
      <c r="E774" s="40">
        <v>6.6025999999999998</v>
      </c>
      <c r="H774" s="40">
        <v>11.889200000000001</v>
      </c>
    </row>
    <row r="775" spans="1:8" x14ac:dyDescent="0.3">
      <c r="A775" t="s">
        <v>794</v>
      </c>
      <c r="B775" s="43">
        <v>103.01</v>
      </c>
      <c r="C775" t="s">
        <v>24</v>
      </c>
      <c r="D775">
        <v>12</v>
      </c>
      <c r="E775" s="43">
        <v>6.6</v>
      </c>
      <c r="F775" t="s">
        <v>72</v>
      </c>
      <c r="G775">
        <v>2</v>
      </c>
      <c r="H775" s="43">
        <v>11.89</v>
      </c>
    </row>
    <row r="776" spans="1:8" s="40" customFormat="1" x14ac:dyDescent="0.3">
      <c r="A776" s="41" t="s">
        <v>976</v>
      </c>
      <c r="B776" s="40">
        <f>D775*E776+G775*H776+J775*K776</f>
        <v>103.00960000000001</v>
      </c>
      <c r="E776" s="40">
        <v>6.6025999999999998</v>
      </c>
      <c r="H776" s="40">
        <v>11.889200000000001</v>
      </c>
    </row>
    <row r="777" spans="1:8" x14ac:dyDescent="0.3">
      <c r="A777" t="s">
        <v>793</v>
      </c>
      <c r="B777" s="43">
        <v>103.01</v>
      </c>
      <c r="C777" t="s">
        <v>24</v>
      </c>
      <c r="D777">
        <v>12</v>
      </c>
      <c r="E777" s="43">
        <v>6.6</v>
      </c>
      <c r="F777" t="s">
        <v>72</v>
      </c>
      <c r="G777">
        <v>2</v>
      </c>
      <c r="H777" s="43">
        <v>11.89</v>
      </c>
    </row>
    <row r="778" spans="1:8" s="40" customFormat="1" x14ac:dyDescent="0.3">
      <c r="A778" s="41" t="s">
        <v>976</v>
      </c>
      <c r="B778" s="40">
        <f>D777*E778+G777*H778+J777*K778</f>
        <v>103.00960000000001</v>
      </c>
      <c r="E778" s="40">
        <v>6.6025999999999998</v>
      </c>
      <c r="H778" s="40">
        <v>11.889200000000001</v>
      </c>
    </row>
    <row r="779" spans="1:8" x14ac:dyDescent="0.3">
      <c r="A779" t="s">
        <v>798</v>
      </c>
      <c r="B779" s="43">
        <v>134.72999999999999</v>
      </c>
      <c r="C779" t="s">
        <v>27</v>
      </c>
      <c r="D779">
        <v>12</v>
      </c>
      <c r="E779" s="43">
        <v>9.25</v>
      </c>
      <c r="F779" t="s">
        <v>72</v>
      </c>
      <c r="G779">
        <v>2</v>
      </c>
      <c r="H779" s="43">
        <v>11.89</v>
      </c>
    </row>
    <row r="780" spans="1:8" s="40" customFormat="1" x14ac:dyDescent="0.3">
      <c r="A780" s="41" t="s">
        <v>976</v>
      </c>
      <c r="B780" s="40">
        <f>D779*E780+G779*H780+J779*K780</f>
        <v>134.72920000000002</v>
      </c>
      <c r="E780" s="40">
        <v>9.2459000000000007</v>
      </c>
      <c r="H780" s="40">
        <v>11.889200000000001</v>
      </c>
    </row>
    <row r="781" spans="1:8" x14ac:dyDescent="0.3">
      <c r="A781" t="s">
        <v>796</v>
      </c>
      <c r="B781" s="43">
        <v>134.72999999999999</v>
      </c>
      <c r="C781" t="s">
        <v>27</v>
      </c>
      <c r="D781">
        <v>12</v>
      </c>
      <c r="E781" s="43">
        <v>9.25</v>
      </c>
      <c r="F781" t="s">
        <v>72</v>
      </c>
      <c r="G781">
        <v>2</v>
      </c>
      <c r="H781" s="43">
        <v>11.89</v>
      </c>
    </row>
    <row r="782" spans="1:8" s="40" customFormat="1" x14ac:dyDescent="0.3">
      <c r="A782" s="41" t="s">
        <v>976</v>
      </c>
      <c r="B782" s="40">
        <f>D781*E782+G781*H782+J781*K782</f>
        <v>134.72920000000002</v>
      </c>
      <c r="E782" s="40">
        <v>9.2459000000000007</v>
      </c>
      <c r="H782" s="40">
        <v>11.889200000000001</v>
      </c>
    </row>
    <row r="783" spans="1:8" x14ac:dyDescent="0.3">
      <c r="A783" t="s">
        <v>797</v>
      </c>
      <c r="B783" s="43">
        <v>166.45</v>
      </c>
      <c r="C783" t="s">
        <v>65</v>
      </c>
      <c r="D783">
        <v>12</v>
      </c>
      <c r="E783" s="43">
        <v>11.89</v>
      </c>
      <c r="F783" t="s">
        <v>72</v>
      </c>
      <c r="G783">
        <v>2</v>
      </c>
      <c r="H783" s="43">
        <v>11.89</v>
      </c>
    </row>
    <row r="784" spans="1:8" s="40" customFormat="1" x14ac:dyDescent="0.3">
      <c r="A784" s="41" t="s">
        <v>976</v>
      </c>
      <c r="B784" s="40">
        <f>D783*E784+G783*H784+J783*K784</f>
        <v>166.44880000000001</v>
      </c>
      <c r="E784" s="40">
        <v>11.889200000000001</v>
      </c>
      <c r="H784" s="40">
        <v>11.889200000000001</v>
      </c>
    </row>
    <row r="785" spans="1:8" x14ac:dyDescent="0.3">
      <c r="A785" t="s">
        <v>799</v>
      </c>
      <c r="B785" s="43">
        <v>134.72999999999999</v>
      </c>
      <c r="C785" t="s">
        <v>27</v>
      </c>
      <c r="D785">
        <v>12</v>
      </c>
      <c r="E785" s="43">
        <v>9.25</v>
      </c>
      <c r="F785" t="s">
        <v>72</v>
      </c>
      <c r="G785">
        <v>2</v>
      </c>
      <c r="H785" s="43">
        <v>11.89</v>
      </c>
    </row>
    <row r="786" spans="1:8" s="40" customFormat="1" x14ac:dyDescent="0.3">
      <c r="A786" s="41" t="s">
        <v>976</v>
      </c>
      <c r="B786" s="40">
        <f>D785*E786+G785*H786+J785*K786</f>
        <v>134.72920000000002</v>
      </c>
      <c r="E786" s="40">
        <v>9.2459000000000007</v>
      </c>
      <c r="H786" s="40">
        <v>11.889200000000001</v>
      </c>
    </row>
    <row r="787" spans="1:8" x14ac:dyDescent="0.3">
      <c r="A787" t="s">
        <v>802</v>
      </c>
      <c r="B787" s="43">
        <v>134.72999999999999</v>
      </c>
      <c r="C787" t="s">
        <v>27</v>
      </c>
      <c r="D787">
        <v>12</v>
      </c>
      <c r="E787" s="43">
        <v>9.25</v>
      </c>
      <c r="F787" t="s">
        <v>72</v>
      </c>
      <c r="G787">
        <v>2</v>
      </c>
      <c r="H787" s="43">
        <v>11.89</v>
      </c>
    </row>
    <row r="788" spans="1:8" s="40" customFormat="1" x14ac:dyDescent="0.3">
      <c r="A788" s="41" t="s">
        <v>976</v>
      </c>
      <c r="B788" s="40">
        <f>D787*E788+G787*H788+J787*K788</f>
        <v>134.72920000000002</v>
      </c>
      <c r="E788" s="40">
        <v>9.2459000000000007</v>
      </c>
      <c r="H788" s="40">
        <v>11.889200000000001</v>
      </c>
    </row>
    <row r="789" spans="1:8" x14ac:dyDescent="0.3">
      <c r="A789" t="s">
        <v>800</v>
      </c>
      <c r="B789" s="43">
        <v>166.45</v>
      </c>
      <c r="C789" t="s">
        <v>65</v>
      </c>
      <c r="D789">
        <v>12</v>
      </c>
      <c r="E789" s="43">
        <v>11.89</v>
      </c>
      <c r="F789" t="s">
        <v>72</v>
      </c>
      <c r="G789">
        <v>2</v>
      </c>
      <c r="H789" s="43">
        <v>11.89</v>
      </c>
    </row>
    <row r="790" spans="1:8" s="40" customFormat="1" x14ac:dyDescent="0.3">
      <c r="A790" s="41" t="s">
        <v>976</v>
      </c>
      <c r="B790" s="40">
        <f>D789*E790+G789*H790+J789*K790</f>
        <v>166.44880000000001</v>
      </c>
      <c r="E790" s="40">
        <v>11.889200000000001</v>
      </c>
      <c r="H790" s="40">
        <v>11.889200000000001</v>
      </c>
    </row>
    <row r="791" spans="1:8" x14ac:dyDescent="0.3">
      <c r="A791" t="s">
        <v>801</v>
      </c>
      <c r="B791" s="43">
        <v>166.45</v>
      </c>
      <c r="C791" t="s">
        <v>65</v>
      </c>
      <c r="D791">
        <v>12</v>
      </c>
      <c r="E791" s="43">
        <v>11.89</v>
      </c>
      <c r="F791" t="s">
        <v>72</v>
      </c>
      <c r="G791">
        <v>2</v>
      </c>
      <c r="H791" s="43">
        <v>11.89</v>
      </c>
    </row>
    <row r="792" spans="1:8" s="40" customFormat="1" x14ac:dyDescent="0.3">
      <c r="A792" s="41" t="s">
        <v>976</v>
      </c>
      <c r="B792" s="40">
        <f>D791*E792+G791*H792+J791*K792</f>
        <v>166.44880000000001</v>
      </c>
      <c r="E792" s="40">
        <v>11.889200000000001</v>
      </c>
      <c r="H792" s="40">
        <v>11.889200000000001</v>
      </c>
    </row>
    <row r="793" spans="1:8" x14ac:dyDescent="0.3">
      <c r="A793" t="s">
        <v>803</v>
      </c>
      <c r="B793" s="43">
        <v>134.72999999999999</v>
      </c>
      <c r="C793" t="s">
        <v>27</v>
      </c>
      <c r="D793">
        <v>12</v>
      </c>
      <c r="E793" s="43">
        <v>9.25</v>
      </c>
      <c r="F793" t="s">
        <v>72</v>
      </c>
      <c r="G793">
        <v>2</v>
      </c>
      <c r="H793" s="43">
        <v>11.89</v>
      </c>
    </row>
    <row r="794" spans="1:8" s="40" customFormat="1" x14ac:dyDescent="0.3">
      <c r="A794" s="41" t="s">
        <v>976</v>
      </c>
      <c r="B794" s="40">
        <f>D793*E794+G793*H794+J793*K794</f>
        <v>134.72920000000002</v>
      </c>
      <c r="E794" s="40">
        <v>9.2459000000000007</v>
      </c>
      <c r="H794" s="40">
        <v>11.889200000000001</v>
      </c>
    </row>
    <row r="795" spans="1:8" x14ac:dyDescent="0.3">
      <c r="A795" t="s">
        <v>804</v>
      </c>
      <c r="B795" s="43">
        <v>166.45</v>
      </c>
      <c r="C795" t="s">
        <v>65</v>
      </c>
      <c r="D795">
        <v>12</v>
      </c>
      <c r="E795" s="43">
        <v>11.89</v>
      </c>
      <c r="F795" t="s">
        <v>72</v>
      </c>
      <c r="G795">
        <v>2</v>
      </c>
      <c r="H795" s="43">
        <v>11.89</v>
      </c>
    </row>
    <row r="796" spans="1:8" s="40" customFormat="1" x14ac:dyDescent="0.3">
      <c r="A796" s="41" t="s">
        <v>976</v>
      </c>
      <c r="B796" s="40">
        <f>D795*E796+G795*H796+J795*K796</f>
        <v>166.44880000000001</v>
      </c>
      <c r="E796" s="40">
        <v>11.889200000000001</v>
      </c>
      <c r="H796" s="40">
        <v>11.889200000000001</v>
      </c>
    </row>
    <row r="797" spans="1:8" x14ac:dyDescent="0.3">
      <c r="A797" t="s">
        <v>805</v>
      </c>
      <c r="B797" s="43">
        <v>134.72999999999999</v>
      </c>
      <c r="C797" t="s">
        <v>27</v>
      </c>
      <c r="D797">
        <v>12</v>
      </c>
      <c r="E797" s="43">
        <v>9.25</v>
      </c>
      <c r="F797" t="s">
        <v>72</v>
      </c>
      <c r="G797">
        <v>2</v>
      </c>
      <c r="H797" s="43">
        <v>11.89</v>
      </c>
    </row>
    <row r="798" spans="1:8" s="40" customFormat="1" x14ac:dyDescent="0.3">
      <c r="A798" s="41" t="s">
        <v>976</v>
      </c>
      <c r="B798" s="40">
        <f>D797*E798+G797*H798+J797*K798</f>
        <v>134.72920000000002</v>
      </c>
      <c r="E798" s="40">
        <v>9.2459000000000007</v>
      </c>
      <c r="H798" s="40">
        <v>11.889200000000001</v>
      </c>
    </row>
    <row r="799" spans="1:8" x14ac:dyDescent="0.3">
      <c r="A799" t="s">
        <v>806</v>
      </c>
      <c r="B799" s="43">
        <v>134.72999999999999</v>
      </c>
      <c r="C799" t="s">
        <v>27</v>
      </c>
      <c r="D799">
        <v>12</v>
      </c>
      <c r="E799" s="43">
        <v>9.25</v>
      </c>
      <c r="F799" t="s">
        <v>72</v>
      </c>
      <c r="G799">
        <v>2</v>
      </c>
      <c r="H799" s="43">
        <v>11.89</v>
      </c>
    </row>
    <row r="800" spans="1:8" s="40" customFormat="1" x14ac:dyDescent="0.3">
      <c r="A800" s="41" t="s">
        <v>976</v>
      </c>
      <c r="B800" s="40">
        <f>D799*E800+G799*H800+J799*K800</f>
        <v>134.72920000000002</v>
      </c>
      <c r="E800" s="40">
        <v>9.2459000000000007</v>
      </c>
      <c r="H800" s="40">
        <v>11.889200000000001</v>
      </c>
    </row>
    <row r="801" spans="1:11" x14ac:dyDescent="0.3">
      <c r="A801" t="s">
        <v>808</v>
      </c>
      <c r="B801" s="43">
        <v>166.45</v>
      </c>
      <c r="C801" t="s">
        <v>65</v>
      </c>
      <c r="D801">
        <v>12</v>
      </c>
      <c r="E801" s="43">
        <v>11.89</v>
      </c>
      <c r="F801" t="s">
        <v>72</v>
      </c>
      <c r="G801">
        <v>2</v>
      </c>
      <c r="H801">
        <v>11.89</v>
      </c>
    </row>
    <row r="802" spans="1:11" s="40" customFormat="1" x14ac:dyDescent="0.3">
      <c r="A802" s="41" t="s">
        <v>976</v>
      </c>
      <c r="B802" s="40">
        <f>D801*E802+G801*H802+J801*K802</f>
        <v>166.44880000000001</v>
      </c>
      <c r="E802" s="40">
        <v>11.889200000000001</v>
      </c>
      <c r="H802" s="40">
        <v>11.889200000000001</v>
      </c>
    </row>
    <row r="803" spans="1:11" x14ac:dyDescent="0.3">
      <c r="A803" t="s">
        <v>809</v>
      </c>
      <c r="B803" s="43">
        <v>166.45</v>
      </c>
      <c r="C803" t="s">
        <v>65</v>
      </c>
      <c r="D803">
        <v>12</v>
      </c>
      <c r="E803" s="43">
        <v>11.89</v>
      </c>
      <c r="F803" t="s">
        <v>72</v>
      </c>
      <c r="G803">
        <v>2</v>
      </c>
      <c r="H803" s="43">
        <v>11.89</v>
      </c>
    </row>
    <row r="804" spans="1:11" s="40" customFormat="1" x14ac:dyDescent="0.3">
      <c r="A804" s="41" t="s">
        <v>976</v>
      </c>
      <c r="B804" s="40">
        <f>D803*E804+G803*H804+J803*K804</f>
        <v>166.44880000000001</v>
      </c>
      <c r="E804" s="40">
        <v>11.889200000000001</v>
      </c>
      <c r="H804" s="40">
        <v>11.889200000000001</v>
      </c>
    </row>
    <row r="805" spans="1:11" x14ac:dyDescent="0.3">
      <c r="A805" t="s">
        <v>807</v>
      </c>
      <c r="B805" s="43">
        <v>134.72999999999999</v>
      </c>
      <c r="C805" t="s">
        <v>27</v>
      </c>
      <c r="D805">
        <v>12</v>
      </c>
      <c r="E805" s="43">
        <v>9.25</v>
      </c>
      <c r="F805" t="s">
        <v>72</v>
      </c>
      <c r="G805">
        <v>2</v>
      </c>
      <c r="H805" s="43">
        <v>11.89</v>
      </c>
    </row>
    <row r="806" spans="1:11" s="40" customFormat="1" x14ac:dyDescent="0.3">
      <c r="A806" s="41" t="s">
        <v>976</v>
      </c>
      <c r="B806" s="40">
        <f>D805*E806+G805*H806+J805*K806</f>
        <v>134.72920000000002</v>
      </c>
      <c r="E806" s="40">
        <v>9.2459000000000007</v>
      </c>
      <c r="H806" s="40">
        <v>11.889200000000001</v>
      </c>
    </row>
    <row r="807" spans="1:11" x14ac:dyDescent="0.3">
      <c r="A807" t="s">
        <v>811</v>
      </c>
      <c r="B807" s="43">
        <v>166.45</v>
      </c>
      <c r="C807" t="s">
        <v>65</v>
      </c>
      <c r="D807">
        <v>12</v>
      </c>
      <c r="E807" s="43">
        <v>11.89</v>
      </c>
      <c r="F807" t="s">
        <v>72</v>
      </c>
      <c r="G807">
        <v>2</v>
      </c>
      <c r="H807" s="43">
        <v>11.89</v>
      </c>
    </row>
    <row r="808" spans="1:11" s="40" customFormat="1" x14ac:dyDescent="0.3">
      <c r="A808" s="41" t="s">
        <v>976</v>
      </c>
      <c r="B808" s="40">
        <f>D807*E808+G807*H808+J807*K808</f>
        <v>166.44880000000001</v>
      </c>
      <c r="E808" s="40">
        <v>11.889200000000001</v>
      </c>
      <c r="H808" s="40">
        <v>11.889200000000001</v>
      </c>
    </row>
    <row r="809" spans="1:11" x14ac:dyDescent="0.3">
      <c r="A809" t="s">
        <v>810</v>
      </c>
      <c r="B809" s="43">
        <v>134.72999999999999</v>
      </c>
      <c r="C809" t="s">
        <v>27</v>
      </c>
      <c r="D809">
        <v>12</v>
      </c>
      <c r="E809" s="43">
        <v>9.25</v>
      </c>
      <c r="F809" t="s">
        <v>72</v>
      </c>
      <c r="G809">
        <v>2</v>
      </c>
      <c r="H809" s="43">
        <v>11.89</v>
      </c>
    </row>
    <row r="810" spans="1:11" s="40" customFormat="1" x14ac:dyDescent="0.3">
      <c r="A810" s="41" t="s">
        <v>976</v>
      </c>
      <c r="B810" s="40">
        <f>D809*E810+G809*H810+J809*K810</f>
        <v>134.72920000000002</v>
      </c>
      <c r="E810" s="40">
        <v>9.2459000000000007</v>
      </c>
      <c r="H810" s="40">
        <v>11.889200000000001</v>
      </c>
    </row>
    <row r="811" spans="1:11" x14ac:dyDescent="0.3">
      <c r="A811" t="s">
        <v>813</v>
      </c>
      <c r="B811" s="43">
        <v>166.45</v>
      </c>
      <c r="C811" t="s">
        <v>29</v>
      </c>
      <c r="D811">
        <v>12</v>
      </c>
      <c r="E811" s="43">
        <v>11.89</v>
      </c>
      <c r="F811" t="s">
        <v>74</v>
      </c>
      <c r="G811">
        <v>2</v>
      </c>
      <c r="H811" s="43">
        <v>11.89</v>
      </c>
    </row>
    <row r="812" spans="1:11" s="40" customFormat="1" x14ac:dyDescent="0.3">
      <c r="A812" s="41" t="s">
        <v>976</v>
      </c>
      <c r="B812" s="40">
        <f>D811*E812+G811*H812+J811*K812</f>
        <v>166.44880000000001</v>
      </c>
      <c r="E812" s="40">
        <v>11.889200000000001</v>
      </c>
      <c r="H812" s="40">
        <v>11.889200000000001</v>
      </c>
    </row>
    <row r="813" spans="1:11" x14ac:dyDescent="0.3">
      <c r="A813" t="s">
        <v>812</v>
      </c>
      <c r="B813" s="43">
        <v>182.3</v>
      </c>
      <c r="C813" t="s">
        <v>29</v>
      </c>
      <c r="D813">
        <v>12</v>
      </c>
      <c r="E813" s="43">
        <v>11.89</v>
      </c>
      <c r="F813" t="s">
        <v>74</v>
      </c>
      <c r="G813">
        <v>2</v>
      </c>
      <c r="H813" s="43">
        <v>11.89</v>
      </c>
      <c r="I813" t="s">
        <v>164</v>
      </c>
      <c r="J813">
        <v>1</v>
      </c>
      <c r="K813">
        <v>15.85</v>
      </c>
    </row>
    <row r="814" spans="1:11" s="40" customFormat="1" x14ac:dyDescent="0.3">
      <c r="A814" s="41" t="s">
        <v>976</v>
      </c>
      <c r="B814" s="40">
        <f>D813*E814+G813*H814+J813*K814</f>
        <v>182.29740000000001</v>
      </c>
      <c r="E814" s="40">
        <v>11.889200000000001</v>
      </c>
      <c r="H814" s="40">
        <v>11.889200000000001</v>
      </c>
      <c r="K814" s="40">
        <v>15.848599999999999</v>
      </c>
    </row>
    <row r="815" spans="1:11" x14ac:dyDescent="0.3">
      <c r="A815" t="s">
        <v>814</v>
      </c>
      <c r="B815" s="43">
        <v>198.17</v>
      </c>
      <c r="C815" t="s">
        <v>67</v>
      </c>
      <c r="D815">
        <v>12</v>
      </c>
      <c r="E815" s="43">
        <v>14.53</v>
      </c>
      <c r="F815" t="s">
        <v>74</v>
      </c>
      <c r="G815">
        <v>2</v>
      </c>
      <c r="H815" s="43">
        <v>11.89</v>
      </c>
    </row>
    <row r="816" spans="1:11" s="40" customFormat="1" x14ac:dyDescent="0.3">
      <c r="A816" s="41" t="s">
        <v>976</v>
      </c>
      <c r="B816" s="40">
        <f>D815*E816+G815*H816+J815*K816</f>
        <v>198.16720000000001</v>
      </c>
      <c r="E816" s="40">
        <v>14.532400000000001</v>
      </c>
      <c r="H816" s="40">
        <v>11.889200000000001</v>
      </c>
    </row>
    <row r="817" spans="1:11" x14ac:dyDescent="0.3">
      <c r="A817" t="s">
        <v>816</v>
      </c>
      <c r="B817" s="43">
        <v>166.45</v>
      </c>
      <c r="C817" t="s">
        <v>29</v>
      </c>
      <c r="D817">
        <v>12</v>
      </c>
      <c r="E817" s="43">
        <v>11.89</v>
      </c>
      <c r="F817" t="s">
        <v>74</v>
      </c>
      <c r="G817">
        <v>2</v>
      </c>
      <c r="H817" s="43">
        <v>11.89</v>
      </c>
    </row>
    <row r="818" spans="1:11" s="40" customFormat="1" x14ac:dyDescent="0.3">
      <c r="A818" s="41" t="s">
        <v>976</v>
      </c>
      <c r="B818" s="40">
        <f>D817*E818+G817*H818+J817*K818</f>
        <v>166.44880000000001</v>
      </c>
      <c r="E818" s="40">
        <v>11.889200000000001</v>
      </c>
      <c r="H818" s="40">
        <v>11.889200000000001</v>
      </c>
    </row>
    <row r="819" spans="1:11" x14ac:dyDescent="0.3">
      <c r="A819" t="s">
        <v>815</v>
      </c>
      <c r="B819" s="43">
        <v>166.45</v>
      </c>
      <c r="C819" t="s">
        <v>29</v>
      </c>
      <c r="D819">
        <v>12</v>
      </c>
      <c r="E819" s="43">
        <v>11.89</v>
      </c>
      <c r="F819" t="s">
        <v>74</v>
      </c>
      <c r="G819">
        <v>2</v>
      </c>
      <c r="H819" s="43">
        <v>11.89</v>
      </c>
    </row>
    <row r="820" spans="1:11" s="40" customFormat="1" x14ac:dyDescent="0.3">
      <c r="A820" s="41" t="s">
        <v>976</v>
      </c>
      <c r="B820" s="40">
        <f>D819*E820+G819*H820+J819*K820</f>
        <v>166.44880000000001</v>
      </c>
      <c r="E820" s="40">
        <v>11.889200000000001</v>
      </c>
      <c r="H820" s="40">
        <v>11.889200000000001</v>
      </c>
    </row>
    <row r="821" spans="1:11" x14ac:dyDescent="0.3">
      <c r="A821" t="s">
        <v>818</v>
      </c>
      <c r="B821" s="43">
        <v>166.45</v>
      </c>
      <c r="C821" t="s">
        <v>29</v>
      </c>
      <c r="D821">
        <v>12</v>
      </c>
      <c r="E821" s="43">
        <v>11.89</v>
      </c>
      <c r="F821" t="s">
        <v>74</v>
      </c>
      <c r="G821">
        <v>2</v>
      </c>
      <c r="H821" s="43">
        <v>11.89</v>
      </c>
    </row>
    <row r="822" spans="1:11" s="40" customFormat="1" x14ac:dyDescent="0.3">
      <c r="A822" s="41" t="s">
        <v>976</v>
      </c>
      <c r="B822" s="40">
        <f>D821*E822+G821*H822+J821*K822</f>
        <v>166.44880000000001</v>
      </c>
      <c r="E822" s="40">
        <v>11.889200000000001</v>
      </c>
      <c r="H822" s="40">
        <v>11.889200000000001</v>
      </c>
    </row>
    <row r="823" spans="1:11" x14ac:dyDescent="0.3">
      <c r="A823" t="s">
        <v>820</v>
      </c>
      <c r="B823" s="43">
        <v>166.45</v>
      </c>
      <c r="C823" t="s">
        <v>29</v>
      </c>
      <c r="D823">
        <v>12</v>
      </c>
      <c r="E823" s="43">
        <v>11.89</v>
      </c>
      <c r="F823" t="s">
        <v>74</v>
      </c>
      <c r="G823">
        <v>2</v>
      </c>
      <c r="H823" s="43">
        <v>11.89</v>
      </c>
    </row>
    <row r="824" spans="1:11" s="40" customFormat="1" x14ac:dyDescent="0.3">
      <c r="A824" s="41" t="s">
        <v>976</v>
      </c>
      <c r="B824" s="40">
        <f>D823*E824+G823*H824+J823*K824</f>
        <v>166.44880000000001</v>
      </c>
      <c r="E824" s="40">
        <v>11.889200000000001</v>
      </c>
      <c r="H824" s="40">
        <v>11.889200000000001</v>
      </c>
    </row>
    <row r="825" spans="1:11" x14ac:dyDescent="0.3">
      <c r="A825" t="s">
        <v>817</v>
      </c>
      <c r="B825" s="43">
        <v>166.45</v>
      </c>
      <c r="C825" t="s">
        <v>29</v>
      </c>
      <c r="D825">
        <v>12</v>
      </c>
      <c r="E825" s="43">
        <v>11.89</v>
      </c>
      <c r="F825" t="s">
        <v>74</v>
      </c>
      <c r="G825">
        <v>2</v>
      </c>
      <c r="H825" s="43">
        <v>11.89</v>
      </c>
    </row>
    <row r="826" spans="1:11" s="40" customFormat="1" x14ac:dyDescent="0.3">
      <c r="A826" s="41" t="s">
        <v>976</v>
      </c>
      <c r="B826" s="40">
        <f>D825*E826+G825*H826+J825*K826</f>
        <v>166.44880000000001</v>
      </c>
      <c r="E826" s="40">
        <v>11.889200000000001</v>
      </c>
      <c r="H826" s="40">
        <v>11.889200000000001</v>
      </c>
    </row>
    <row r="827" spans="1:11" x14ac:dyDescent="0.3">
      <c r="A827" t="s">
        <v>821</v>
      </c>
      <c r="B827" s="43">
        <v>198.17</v>
      </c>
      <c r="C827" t="s">
        <v>67</v>
      </c>
      <c r="D827">
        <v>12</v>
      </c>
      <c r="E827" s="43">
        <v>14.53</v>
      </c>
      <c r="F827" t="s">
        <v>74</v>
      </c>
      <c r="G827">
        <v>2</v>
      </c>
      <c r="H827" s="43">
        <v>11.89</v>
      </c>
    </row>
    <row r="828" spans="1:11" s="40" customFormat="1" x14ac:dyDescent="0.3">
      <c r="A828" s="41" t="s">
        <v>976</v>
      </c>
      <c r="B828" s="40">
        <f>D827*E828+G827*H828+J827*K828</f>
        <v>198.16720000000001</v>
      </c>
      <c r="E828" s="40">
        <v>14.532400000000001</v>
      </c>
      <c r="H828" s="40">
        <v>11.889200000000001</v>
      </c>
    </row>
    <row r="829" spans="1:11" x14ac:dyDescent="0.3">
      <c r="A829" t="s">
        <v>819</v>
      </c>
      <c r="B829" s="43">
        <v>166.45</v>
      </c>
      <c r="C829" t="s">
        <v>29</v>
      </c>
      <c r="D829">
        <v>12</v>
      </c>
      <c r="E829" s="43">
        <v>11.89</v>
      </c>
      <c r="F829" t="s">
        <v>74</v>
      </c>
      <c r="G829">
        <v>2</v>
      </c>
      <c r="H829" s="43">
        <v>11.89</v>
      </c>
    </row>
    <row r="830" spans="1:11" s="40" customFormat="1" x14ac:dyDescent="0.3">
      <c r="A830" s="41" t="s">
        <v>976</v>
      </c>
      <c r="B830" s="40">
        <f>D829*E830+G829*H830+J829*K830</f>
        <v>166.44880000000001</v>
      </c>
      <c r="E830" s="40">
        <v>11.889200000000001</v>
      </c>
      <c r="H830" s="40">
        <v>11.889200000000001</v>
      </c>
    </row>
    <row r="831" spans="1:11" x14ac:dyDescent="0.3">
      <c r="A831" t="s">
        <v>823</v>
      </c>
      <c r="B831" s="43">
        <v>261.56</v>
      </c>
      <c r="C831" t="s">
        <v>31</v>
      </c>
      <c r="D831">
        <v>12</v>
      </c>
      <c r="E831" s="43">
        <v>14.53</v>
      </c>
      <c r="F831" t="s">
        <v>74</v>
      </c>
      <c r="G831">
        <v>2</v>
      </c>
      <c r="H831" s="43">
        <v>11.89</v>
      </c>
      <c r="I831" t="s">
        <v>150</v>
      </c>
      <c r="J831">
        <v>4</v>
      </c>
      <c r="K831">
        <v>15.85</v>
      </c>
    </row>
    <row r="832" spans="1:11" s="40" customFormat="1" x14ac:dyDescent="0.3">
      <c r="A832" s="41" t="s">
        <v>976</v>
      </c>
      <c r="B832" s="40">
        <f>D831*E832+G831*H832+J831*K832</f>
        <v>261.5616</v>
      </c>
      <c r="E832" s="40">
        <v>14.532400000000001</v>
      </c>
      <c r="H832" s="40">
        <v>11.889200000000001</v>
      </c>
      <c r="K832" s="40">
        <v>15.848599999999999</v>
      </c>
    </row>
    <row r="833" spans="1:11" x14ac:dyDescent="0.3">
      <c r="A833" t="s">
        <v>822</v>
      </c>
      <c r="B833" s="43">
        <v>166.45</v>
      </c>
      <c r="C833" t="s">
        <v>29</v>
      </c>
      <c r="D833">
        <v>12</v>
      </c>
      <c r="E833" s="43">
        <v>11.89</v>
      </c>
      <c r="F833" t="s">
        <v>74</v>
      </c>
      <c r="G833">
        <v>2</v>
      </c>
      <c r="H833" s="43">
        <v>11.89</v>
      </c>
    </row>
    <row r="834" spans="1:11" s="40" customFormat="1" x14ac:dyDescent="0.3">
      <c r="A834" s="41" t="s">
        <v>976</v>
      </c>
      <c r="B834" s="40">
        <f>D833*E834+G833*H834+J833*K834</f>
        <v>166.44880000000001</v>
      </c>
      <c r="E834" s="40">
        <v>11.889200000000001</v>
      </c>
      <c r="H834" s="40">
        <v>11.889200000000001</v>
      </c>
    </row>
    <row r="835" spans="1:11" x14ac:dyDescent="0.3">
      <c r="A835" t="s">
        <v>825</v>
      </c>
      <c r="B835" s="43">
        <v>198.17</v>
      </c>
      <c r="C835" t="s">
        <v>31</v>
      </c>
      <c r="D835">
        <v>12</v>
      </c>
      <c r="E835" s="43">
        <v>14.53</v>
      </c>
      <c r="F835" t="s">
        <v>74</v>
      </c>
      <c r="G835">
        <v>2</v>
      </c>
      <c r="H835" s="43">
        <v>11.89</v>
      </c>
    </row>
    <row r="836" spans="1:11" s="40" customFormat="1" x14ac:dyDescent="0.3">
      <c r="A836" s="41" t="s">
        <v>976</v>
      </c>
      <c r="B836" s="40">
        <f>D835*E836+G835*H836+J835*K836</f>
        <v>198.16720000000001</v>
      </c>
      <c r="E836" s="40">
        <v>14.532400000000001</v>
      </c>
      <c r="H836" s="40">
        <v>11.889200000000001</v>
      </c>
    </row>
    <row r="837" spans="1:11" x14ac:dyDescent="0.3">
      <c r="A837" t="s">
        <v>964</v>
      </c>
      <c r="B837" s="43">
        <v>388.32</v>
      </c>
      <c r="C837" t="s">
        <v>69</v>
      </c>
      <c r="D837">
        <v>12</v>
      </c>
      <c r="E837" s="43">
        <v>17.170000000000002</v>
      </c>
      <c r="F837" t="s">
        <v>74</v>
      </c>
      <c r="G837">
        <v>2</v>
      </c>
      <c r="H837" s="43">
        <v>11.89</v>
      </c>
      <c r="I837" t="s">
        <v>150</v>
      </c>
      <c r="J837">
        <v>10</v>
      </c>
      <c r="K837">
        <v>15.85</v>
      </c>
    </row>
    <row r="838" spans="1:11" s="40" customFormat="1" x14ac:dyDescent="0.3">
      <c r="A838" s="41" t="s">
        <v>976</v>
      </c>
      <c r="B838" s="40">
        <f>D837*E838+G837*H838+J837*K838</f>
        <v>388.31999999999994</v>
      </c>
      <c r="E838" s="40">
        <v>17.171299999999999</v>
      </c>
      <c r="H838" s="40">
        <v>11.889200000000001</v>
      </c>
      <c r="K838" s="40">
        <v>15.848599999999999</v>
      </c>
    </row>
    <row r="839" spans="1:11" x14ac:dyDescent="0.3">
      <c r="A839" t="s">
        <v>828</v>
      </c>
      <c r="B839" s="43">
        <v>229.83</v>
      </c>
      <c r="C839" t="s">
        <v>69</v>
      </c>
      <c r="D839">
        <v>12</v>
      </c>
      <c r="E839" s="43">
        <v>17.170000000000002</v>
      </c>
      <c r="F839" t="s">
        <v>74</v>
      </c>
      <c r="G839">
        <v>2</v>
      </c>
      <c r="H839" s="43">
        <v>11.89</v>
      </c>
    </row>
    <row r="840" spans="1:11" s="40" customFormat="1" x14ac:dyDescent="0.3">
      <c r="A840" s="41" t="s">
        <v>976</v>
      </c>
      <c r="B840" s="40">
        <f>D839*E840+G839*H840+J839*K840</f>
        <v>229.83399999999997</v>
      </c>
      <c r="E840" s="40">
        <v>17.171299999999999</v>
      </c>
      <c r="H840" s="40">
        <v>11.889200000000001</v>
      </c>
    </row>
    <row r="841" spans="1:11" x14ac:dyDescent="0.3">
      <c r="A841" t="s">
        <v>826</v>
      </c>
      <c r="B841" s="43">
        <v>229.83</v>
      </c>
      <c r="C841" t="s">
        <v>69</v>
      </c>
      <c r="D841">
        <v>12</v>
      </c>
      <c r="E841" s="43">
        <v>17.170000000000002</v>
      </c>
      <c r="F841" t="s">
        <v>74</v>
      </c>
      <c r="G841">
        <v>2</v>
      </c>
      <c r="H841" s="43">
        <v>11.89</v>
      </c>
    </row>
    <row r="842" spans="1:11" s="40" customFormat="1" x14ac:dyDescent="0.3">
      <c r="A842" s="41" t="s">
        <v>976</v>
      </c>
      <c r="B842" s="40">
        <f>D841*E842+G841*H842+J841*K842</f>
        <v>229.83399999999997</v>
      </c>
      <c r="E842" s="40">
        <v>17.171299999999999</v>
      </c>
      <c r="H842" s="40">
        <v>11.889200000000001</v>
      </c>
    </row>
    <row r="843" spans="1:11" x14ac:dyDescent="0.3">
      <c r="A843" t="s">
        <v>827</v>
      </c>
      <c r="B843" s="43">
        <v>198.17</v>
      </c>
      <c r="C843" t="s">
        <v>31</v>
      </c>
      <c r="D843">
        <v>12</v>
      </c>
      <c r="E843" s="43">
        <v>14.53</v>
      </c>
      <c r="F843" t="s">
        <v>74</v>
      </c>
      <c r="G843">
        <v>2</v>
      </c>
      <c r="H843" s="43">
        <v>11.89</v>
      </c>
    </row>
    <row r="844" spans="1:11" s="40" customFormat="1" x14ac:dyDescent="0.3">
      <c r="A844" s="41" t="s">
        <v>976</v>
      </c>
      <c r="B844" s="40">
        <f>D843*E844+G843*H844+J843*K844</f>
        <v>198.16720000000001</v>
      </c>
      <c r="E844" s="40">
        <v>14.532400000000001</v>
      </c>
      <c r="H844" s="40">
        <v>11.889200000000001</v>
      </c>
    </row>
    <row r="845" spans="1:11" x14ac:dyDescent="0.3">
      <c r="A845" t="s">
        <v>830</v>
      </c>
      <c r="B845" s="43">
        <v>198.17</v>
      </c>
      <c r="C845" t="s">
        <v>31</v>
      </c>
      <c r="D845">
        <v>12</v>
      </c>
      <c r="E845" s="43">
        <v>14.53</v>
      </c>
      <c r="F845" t="s">
        <v>74</v>
      </c>
      <c r="G845">
        <v>2</v>
      </c>
      <c r="H845" s="43">
        <v>11.89</v>
      </c>
    </row>
    <row r="846" spans="1:11" s="40" customFormat="1" x14ac:dyDescent="0.3">
      <c r="A846" s="41" t="s">
        <v>976</v>
      </c>
      <c r="B846" s="40">
        <f>D845*E846+G845*H846+J845*K846</f>
        <v>198.16720000000001</v>
      </c>
      <c r="E846" s="40">
        <v>14.532400000000001</v>
      </c>
      <c r="H846" s="40">
        <v>11.889200000000001</v>
      </c>
    </row>
    <row r="847" spans="1:11" x14ac:dyDescent="0.3">
      <c r="A847" t="s">
        <v>831</v>
      </c>
      <c r="B847" s="43">
        <v>198.17</v>
      </c>
      <c r="C847" t="s">
        <v>31</v>
      </c>
      <c r="D847">
        <v>12</v>
      </c>
      <c r="E847" s="43">
        <v>14.53</v>
      </c>
      <c r="F847" t="s">
        <v>74</v>
      </c>
      <c r="G847">
        <v>2</v>
      </c>
      <c r="H847" s="43">
        <v>11.89</v>
      </c>
    </row>
    <row r="848" spans="1:11" s="40" customFormat="1" x14ac:dyDescent="0.3">
      <c r="A848" s="41" t="s">
        <v>976</v>
      </c>
      <c r="B848" s="40">
        <f>D847*E848+G847*H848+J847*K848</f>
        <v>198.16720000000001</v>
      </c>
      <c r="E848" s="40">
        <v>14.532400000000001</v>
      </c>
      <c r="H848" s="40">
        <v>11.889200000000001</v>
      </c>
    </row>
    <row r="849" spans="1:8" x14ac:dyDescent="0.3">
      <c r="A849" t="s">
        <v>833</v>
      </c>
      <c r="B849" s="43">
        <v>198.17</v>
      </c>
      <c r="C849" t="s">
        <v>31</v>
      </c>
      <c r="D849">
        <v>12</v>
      </c>
      <c r="E849" s="43">
        <v>14.53</v>
      </c>
      <c r="F849" t="s">
        <v>74</v>
      </c>
      <c r="G849">
        <v>2</v>
      </c>
      <c r="H849" s="43">
        <v>11.89</v>
      </c>
    </row>
    <row r="850" spans="1:8" s="40" customFormat="1" x14ac:dyDescent="0.3">
      <c r="A850" s="41" t="s">
        <v>976</v>
      </c>
      <c r="B850" s="40">
        <f>D849*E850+G849*H850+J849*K850</f>
        <v>198.16720000000001</v>
      </c>
      <c r="E850" s="40">
        <v>14.532400000000001</v>
      </c>
      <c r="H850" s="40">
        <v>11.889200000000001</v>
      </c>
    </row>
    <row r="851" spans="1:8" x14ac:dyDescent="0.3">
      <c r="A851" t="s">
        <v>832</v>
      </c>
      <c r="B851" s="43">
        <v>229.83</v>
      </c>
      <c r="C851" t="s">
        <v>69</v>
      </c>
      <c r="D851">
        <v>12</v>
      </c>
      <c r="E851" s="43">
        <v>17.170000000000002</v>
      </c>
      <c r="F851" t="s">
        <v>74</v>
      </c>
      <c r="G851">
        <v>2</v>
      </c>
      <c r="H851">
        <v>11.89</v>
      </c>
    </row>
    <row r="852" spans="1:8" s="40" customFormat="1" x14ac:dyDescent="0.3">
      <c r="A852" s="41" t="s">
        <v>976</v>
      </c>
      <c r="B852" s="40">
        <f>D851*E852+G851*H852+J851*K852</f>
        <v>229.83399999999997</v>
      </c>
      <c r="E852" s="40">
        <v>17.171299999999999</v>
      </c>
      <c r="H852" s="40">
        <v>11.889200000000001</v>
      </c>
    </row>
    <row r="853" spans="1:8" x14ac:dyDescent="0.3">
      <c r="A853" t="s">
        <v>829</v>
      </c>
      <c r="B853" s="43">
        <v>198.17</v>
      </c>
      <c r="C853" t="s">
        <v>31</v>
      </c>
      <c r="D853">
        <v>12</v>
      </c>
      <c r="E853" s="43">
        <v>14.53</v>
      </c>
      <c r="F853" t="s">
        <v>74</v>
      </c>
      <c r="G853">
        <v>2</v>
      </c>
      <c r="H853" s="43">
        <v>11.89</v>
      </c>
    </row>
    <row r="854" spans="1:8" s="40" customFormat="1" x14ac:dyDescent="0.3">
      <c r="A854" s="41" t="s">
        <v>976</v>
      </c>
      <c r="B854" s="40">
        <f>D853*E854+G853*H854+J853*K854</f>
        <v>198.16720000000001</v>
      </c>
      <c r="E854" s="40">
        <v>14.532400000000001</v>
      </c>
      <c r="H854" s="40">
        <v>11.889200000000001</v>
      </c>
    </row>
    <row r="855" spans="1:8" x14ac:dyDescent="0.3">
      <c r="A855" t="s">
        <v>835</v>
      </c>
      <c r="B855" s="43">
        <v>198.17</v>
      </c>
      <c r="C855" t="s">
        <v>31</v>
      </c>
      <c r="D855">
        <v>12</v>
      </c>
      <c r="E855" s="43">
        <v>14.53</v>
      </c>
      <c r="F855" t="s">
        <v>74</v>
      </c>
      <c r="G855">
        <v>2</v>
      </c>
      <c r="H855" s="43">
        <v>11.89</v>
      </c>
    </row>
    <row r="856" spans="1:8" s="40" customFormat="1" x14ac:dyDescent="0.3">
      <c r="A856" s="41" t="s">
        <v>976</v>
      </c>
      <c r="B856" s="40">
        <f>D855*E856+G855*H856+J855*K856</f>
        <v>198.16720000000001</v>
      </c>
      <c r="E856" s="40">
        <v>14.532400000000001</v>
      </c>
      <c r="H856" s="40">
        <v>11.889200000000001</v>
      </c>
    </row>
    <row r="857" spans="1:8" x14ac:dyDescent="0.3">
      <c r="A857" t="s">
        <v>834</v>
      </c>
      <c r="B857" s="43">
        <v>229.83</v>
      </c>
      <c r="C857" t="s">
        <v>69</v>
      </c>
      <c r="D857">
        <v>12</v>
      </c>
      <c r="E857" s="43">
        <v>17.170000000000002</v>
      </c>
      <c r="F857" t="s">
        <v>74</v>
      </c>
      <c r="G857">
        <v>2</v>
      </c>
      <c r="H857" s="43">
        <v>11.89</v>
      </c>
    </row>
    <row r="858" spans="1:8" s="40" customFormat="1" x14ac:dyDescent="0.3">
      <c r="A858" s="41" t="s">
        <v>976</v>
      </c>
      <c r="B858" s="40">
        <f>D857*E858+G857*H858+J857*K858</f>
        <v>229.83399999999997</v>
      </c>
      <c r="E858" s="40">
        <v>17.171299999999999</v>
      </c>
      <c r="H858" s="40">
        <v>11.889200000000001</v>
      </c>
    </row>
    <row r="859" spans="1:8" x14ac:dyDescent="0.3">
      <c r="A859" t="s">
        <v>838</v>
      </c>
      <c r="B859" s="43">
        <v>198.17</v>
      </c>
      <c r="C859" t="s">
        <v>31</v>
      </c>
      <c r="D859">
        <v>12</v>
      </c>
      <c r="E859" s="43">
        <v>14.53</v>
      </c>
      <c r="F859" t="s">
        <v>74</v>
      </c>
      <c r="G859">
        <v>2</v>
      </c>
      <c r="H859" s="43">
        <v>11.89</v>
      </c>
    </row>
    <row r="860" spans="1:8" s="40" customFormat="1" x14ac:dyDescent="0.3">
      <c r="A860" s="41" t="s">
        <v>976</v>
      </c>
      <c r="B860" s="40">
        <f>D859*E860+G859*H860+J859*K860</f>
        <v>198.16720000000001</v>
      </c>
      <c r="E860" s="40">
        <v>14.532400000000001</v>
      </c>
      <c r="H860" s="40">
        <v>11.889200000000001</v>
      </c>
    </row>
    <row r="861" spans="1:8" x14ac:dyDescent="0.3">
      <c r="A861" t="s">
        <v>836</v>
      </c>
      <c r="B861" s="43">
        <v>198.17</v>
      </c>
      <c r="C861" t="s">
        <v>31</v>
      </c>
      <c r="D861">
        <v>12</v>
      </c>
      <c r="E861" s="43">
        <v>14.53</v>
      </c>
      <c r="F861" t="s">
        <v>74</v>
      </c>
      <c r="G861">
        <v>2</v>
      </c>
      <c r="H861" s="43">
        <v>11.89</v>
      </c>
    </row>
    <row r="862" spans="1:8" s="40" customFormat="1" x14ac:dyDescent="0.3">
      <c r="A862" s="41" t="s">
        <v>976</v>
      </c>
      <c r="B862" s="40">
        <f>D861*E862+G861*H862+J861*K862</f>
        <v>198.16720000000001</v>
      </c>
      <c r="E862" s="40">
        <v>14.532400000000001</v>
      </c>
      <c r="H862" s="40">
        <v>11.889200000000001</v>
      </c>
    </row>
    <row r="863" spans="1:8" x14ac:dyDescent="0.3">
      <c r="A863" t="s">
        <v>837</v>
      </c>
      <c r="B863" s="43">
        <v>198.17</v>
      </c>
      <c r="C863" t="s">
        <v>31</v>
      </c>
      <c r="D863">
        <v>12</v>
      </c>
      <c r="E863" s="43">
        <v>14.53</v>
      </c>
      <c r="F863" t="s">
        <v>74</v>
      </c>
      <c r="G863">
        <v>2</v>
      </c>
      <c r="H863" s="43">
        <v>11.89</v>
      </c>
    </row>
    <row r="864" spans="1:8" s="40" customFormat="1" x14ac:dyDescent="0.3">
      <c r="A864" s="41" t="s">
        <v>976</v>
      </c>
      <c r="B864" s="40">
        <f>D863*E864+G863*H864+J863*K864</f>
        <v>198.16720000000001</v>
      </c>
      <c r="E864" s="40">
        <v>14.532400000000001</v>
      </c>
      <c r="H864" s="40">
        <v>11.889200000000001</v>
      </c>
    </row>
    <row r="865" spans="1:8" x14ac:dyDescent="0.3">
      <c r="A865" t="s">
        <v>839</v>
      </c>
      <c r="B865" s="43">
        <v>198.17</v>
      </c>
      <c r="C865" t="s">
        <v>31</v>
      </c>
      <c r="D865">
        <v>12</v>
      </c>
      <c r="E865" s="43">
        <v>14.53</v>
      </c>
      <c r="F865" t="s">
        <v>74</v>
      </c>
      <c r="G865">
        <v>2</v>
      </c>
      <c r="H865" s="43">
        <v>11.89</v>
      </c>
    </row>
    <row r="866" spans="1:8" s="40" customFormat="1" x14ac:dyDescent="0.3">
      <c r="A866" s="41" t="s">
        <v>976</v>
      </c>
      <c r="B866" s="40">
        <f>D865*E866+G865*H866+J865*K866</f>
        <v>198.16720000000001</v>
      </c>
      <c r="E866" s="40">
        <v>14.532400000000001</v>
      </c>
      <c r="H866" s="40">
        <v>11.889200000000001</v>
      </c>
    </row>
    <row r="867" spans="1:8" x14ac:dyDescent="0.3">
      <c r="A867" t="s">
        <v>841</v>
      </c>
      <c r="B867" s="43">
        <v>229.83</v>
      </c>
      <c r="C867" t="s">
        <v>69</v>
      </c>
      <c r="D867">
        <v>12</v>
      </c>
      <c r="E867" s="43">
        <v>17.170000000000002</v>
      </c>
      <c r="F867" t="s">
        <v>74</v>
      </c>
      <c r="G867">
        <v>2</v>
      </c>
      <c r="H867" s="43">
        <v>11.89</v>
      </c>
    </row>
    <row r="868" spans="1:8" s="40" customFormat="1" x14ac:dyDescent="0.3">
      <c r="A868" s="41" t="s">
        <v>976</v>
      </c>
      <c r="B868" s="40">
        <f>D867*E868+G867*H868+J867*K868</f>
        <v>229.83399999999997</v>
      </c>
      <c r="E868" s="40">
        <v>17.171299999999999</v>
      </c>
      <c r="H868" s="40">
        <v>11.889200000000001</v>
      </c>
    </row>
    <row r="869" spans="1:8" x14ac:dyDescent="0.3">
      <c r="A869" t="s">
        <v>962</v>
      </c>
      <c r="B869" s="43">
        <v>198.17</v>
      </c>
      <c r="C869" t="s">
        <v>31</v>
      </c>
      <c r="D869">
        <v>12</v>
      </c>
      <c r="E869" s="43">
        <v>14.53</v>
      </c>
      <c r="F869" t="s">
        <v>74</v>
      </c>
      <c r="G869">
        <v>2</v>
      </c>
      <c r="H869" s="43">
        <v>11.89</v>
      </c>
    </row>
    <row r="870" spans="1:8" s="40" customFormat="1" x14ac:dyDescent="0.3">
      <c r="A870" s="41" t="s">
        <v>976</v>
      </c>
      <c r="B870" s="40">
        <f>D869*E870+G869*H870+J869*K870</f>
        <v>198.16720000000001</v>
      </c>
      <c r="E870" s="40">
        <v>14.532400000000001</v>
      </c>
      <c r="H870" s="40">
        <v>11.889200000000001</v>
      </c>
    </row>
    <row r="871" spans="1:8" x14ac:dyDescent="0.3">
      <c r="A871" t="s">
        <v>840</v>
      </c>
      <c r="B871" s="43">
        <v>229.83</v>
      </c>
      <c r="C871" t="s">
        <v>69</v>
      </c>
      <c r="D871">
        <v>12</v>
      </c>
      <c r="E871" s="43">
        <v>17.170000000000002</v>
      </c>
      <c r="F871" t="s">
        <v>74</v>
      </c>
      <c r="G871">
        <v>2</v>
      </c>
      <c r="H871" s="43">
        <v>11.89</v>
      </c>
    </row>
    <row r="872" spans="1:8" s="40" customFormat="1" x14ac:dyDescent="0.3">
      <c r="A872" s="41" t="s">
        <v>976</v>
      </c>
      <c r="B872" s="40">
        <f>D871*E872+G871*H872+J871*K872</f>
        <v>229.83399999999997</v>
      </c>
      <c r="E872" s="40">
        <v>17.171299999999999</v>
      </c>
      <c r="H872" s="40">
        <v>11.889200000000001</v>
      </c>
    </row>
    <row r="873" spans="1:8" x14ac:dyDescent="0.3">
      <c r="A873" t="s">
        <v>842</v>
      </c>
      <c r="B873" s="43">
        <v>198.17</v>
      </c>
      <c r="C873" t="s">
        <v>31</v>
      </c>
      <c r="D873">
        <v>12</v>
      </c>
      <c r="E873" s="43">
        <v>14.53</v>
      </c>
      <c r="F873" t="s">
        <v>74</v>
      </c>
      <c r="G873">
        <v>2</v>
      </c>
      <c r="H873">
        <v>11.89</v>
      </c>
    </row>
    <row r="874" spans="1:8" s="40" customFormat="1" x14ac:dyDescent="0.3">
      <c r="A874" s="41" t="s">
        <v>976</v>
      </c>
      <c r="B874" s="40">
        <f>D873*E874+G873*H874+J873*K874</f>
        <v>198.16720000000001</v>
      </c>
      <c r="E874" s="40">
        <v>14.532400000000001</v>
      </c>
      <c r="H874" s="40">
        <v>11.889200000000001</v>
      </c>
    </row>
    <row r="875" spans="1:8" x14ac:dyDescent="0.3">
      <c r="A875" t="s">
        <v>843</v>
      </c>
      <c r="B875" s="43">
        <v>198.17</v>
      </c>
      <c r="C875" t="s">
        <v>31</v>
      </c>
      <c r="D875">
        <v>12</v>
      </c>
      <c r="E875" s="43">
        <v>14.53</v>
      </c>
      <c r="F875" t="s">
        <v>74</v>
      </c>
      <c r="G875">
        <v>2</v>
      </c>
      <c r="H875">
        <v>11.89</v>
      </c>
    </row>
    <row r="876" spans="1:8" s="40" customFormat="1" x14ac:dyDescent="0.3">
      <c r="A876" s="41" t="s">
        <v>976</v>
      </c>
      <c r="B876" s="40">
        <f>D875*E876+G875*H876+J875*K876</f>
        <v>198.16720000000001</v>
      </c>
      <c r="E876" s="40">
        <v>14.532400000000001</v>
      </c>
      <c r="H876" s="40">
        <v>11.889200000000001</v>
      </c>
    </row>
    <row r="877" spans="1:8" x14ac:dyDescent="0.3">
      <c r="A877" t="s">
        <v>845</v>
      </c>
      <c r="B877" s="43">
        <v>198.17</v>
      </c>
      <c r="C877" t="s">
        <v>31</v>
      </c>
      <c r="D877">
        <v>12</v>
      </c>
      <c r="E877" s="43">
        <v>14.53</v>
      </c>
      <c r="F877" t="s">
        <v>74</v>
      </c>
      <c r="G877">
        <v>2</v>
      </c>
      <c r="H877">
        <v>11.89</v>
      </c>
    </row>
    <row r="878" spans="1:8" s="40" customFormat="1" x14ac:dyDescent="0.3">
      <c r="A878" s="41" t="s">
        <v>976</v>
      </c>
      <c r="B878" s="40">
        <f>D877*E878+G877*H878+J877*K878</f>
        <v>198.16720000000001</v>
      </c>
      <c r="E878" s="40">
        <v>14.532400000000001</v>
      </c>
      <c r="H878" s="40">
        <v>11.889200000000001</v>
      </c>
    </row>
    <row r="879" spans="1:8" x14ac:dyDescent="0.3">
      <c r="A879" t="s">
        <v>844</v>
      </c>
      <c r="B879" s="43">
        <v>198.17</v>
      </c>
      <c r="C879" t="s">
        <v>31</v>
      </c>
      <c r="D879">
        <v>12</v>
      </c>
      <c r="E879" s="43">
        <v>14.53</v>
      </c>
      <c r="F879" t="s">
        <v>74</v>
      </c>
      <c r="G879">
        <v>2</v>
      </c>
      <c r="H879" s="43">
        <v>11.89</v>
      </c>
    </row>
    <row r="880" spans="1:8" s="40" customFormat="1" x14ac:dyDescent="0.3">
      <c r="A880" s="41" t="s">
        <v>976</v>
      </c>
      <c r="B880" s="40">
        <f>D879*E880+G879*H880+J879*K880</f>
        <v>198.16720000000001</v>
      </c>
      <c r="E880" s="40">
        <v>14.532400000000001</v>
      </c>
      <c r="H880" s="40">
        <v>11.889200000000001</v>
      </c>
    </row>
    <row r="881" spans="1:8" x14ac:dyDescent="0.3">
      <c r="A881" t="s">
        <v>846</v>
      </c>
      <c r="B881" s="43">
        <v>198.17</v>
      </c>
      <c r="C881" t="s">
        <v>31</v>
      </c>
      <c r="D881">
        <v>12</v>
      </c>
      <c r="E881" s="43">
        <v>14.53</v>
      </c>
      <c r="F881" t="s">
        <v>74</v>
      </c>
      <c r="G881">
        <v>2</v>
      </c>
      <c r="H881" s="43">
        <v>11.89</v>
      </c>
    </row>
    <row r="882" spans="1:8" s="40" customFormat="1" x14ac:dyDescent="0.3">
      <c r="A882" s="41" t="s">
        <v>976</v>
      </c>
      <c r="B882" s="40">
        <f>D881*E882+G881*H882+J881*K882</f>
        <v>198.16720000000001</v>
      </c>
      <c r="E882" s="40">
        <v>14.532400000000001</v>
      </c>
      <c r="H882" s="40">
        <v>11.889200000000001</v>
      </c>
    </row>
    <row r="883" spans="1:8" x14ac:dyDescent="0.3">
      <c r="A883" t="s">
        <v>847</v>
      </c>
      <c r="B883" s="43">
        <v>229.83</v>
      </c>
      <c r="C883" t="s">
        <v>69</v>
      </c>
      <c r="D883">
        <v>12</v>
      </c>
      <c r="E883" s="43">
        <v>17.170000000000002</v>
      </c>
      <c r="F883" t="s">
        <v>74</v>
      </c>
      <c r="G883">
        <v>2</v>
      </c>
      <c r="H883" s="43">
        <v>11.89</v>
      </c>
    </row>
    <row r="884" spans="1:8" s="40" customFormat="1" x14ac:dyDescent="0.3">
      <c r="A884" s="41" t="s">
        <v>976</v>
      </c>
      <c r="B884" s="40">
        <f>D883*E884+G883*H884+J883*K884</f>
        <v>229.83399999999997</v>
      </c>
      <c r="E884" s="40">
        <v>17.171299999999999</v>
      </c>
      <c r="H884" s="40">
        <v>11.889200000000001</v>
      </c>
    </row>
    <row r="885" spans="1:8" x14ac:dyDescent="0.3">
      <c r="A885" t="s">
        <v>848</v>
      </c>
      <c r="B885" s="43">
        <v>198.17</v>
      </c>
      <c r="C885" t="s">
        <v>31</v>
      </c>
      <c r="D885">
        <v>12</v>
      </c>
      <c r="E885" s="43">
        <v>14.53</v>
      </c>
      <c r="F885" t="s">
        <v>74</v>
      </c>
      <c r="G885">
        <v>2</v>
      </c>
      <c r="H885" s="43">
        <v>11.89</v>
      </c>
    </row>
    <row r="886" spans="1:8" s="40" customFormat="1" x14ac:dyDescent="0.3">
      <c r="A886" s="41" t="s">
        <v>976</v>
      </c>
      <c r="B886" s="40">
        <f>D885*E886+G885*H886+J885*K886</f>
        <v>198.16720000000001</v>
      </c>
      <c r="E886" s="40">
        <v>14.532400000000001</v>
      </c>
      <c r="H886" s="40">
        <v>11.889200000000001</v>
      </c>
    </row>
    <row r="887" spans="1:8" x14ac:dyDescent="0.3">
      <c r="A887" t="s">
        <v>850</v>
      </c>
      <c r="B887" s="43">
        <v>198.17</v>
      </c>
      <c r="C887" t="s">
        <v>31</v>
      </c>
      <c r="D887">
        <v>12</v>
      </c>
      <c r="E887" s="43">
        <v>14.53</v>
      </c>
      <c r="F887" t="s">
        <v>74</v>
      </c>
      <c r="G887">
        <v>2</v>
      </c>
      <c r="H887" s="43">
        <v>11.89</v>
      </c>
    </row>
    <row r="888" spans="1:8" s="40" customFormat="1" x14ac:dyDescent="0.3">
      <c r="A888" s="41" t="s">
        <v>976</v>
      </c>
      <c r="B888" s="40">
        <f>D887*E888+G887*H888+J887*K888</f>
        <v>198.16720000000001</v>
      </c>
      <c r="E888" s="40">
        <v>14.532400000000001</v>
      </c>
      <c r="H888" s="40">
        <v>11.889200000000001</v>
      </c>
    </row>
    <row r="889" spans="1:8" x14ac:dyDescent="0.3">
      <c r="A889" t="s">
        <v>851</v>
      </c>
      <c r="B889" s="43">
        <v>229.83</v>
      </c>
      <c r="C889" t="s">
        <v>69</v>
      </c>
      <c r="D889">
        <v>12</v>
      </c>
      <c r="E889" s="43">
        <v>17.170000000000002</v>
      </c>
      <c r="F889" t="s">
        <v>74</v>
      </c>
      <c r="G889">
        <v>2</v>
      </c>
      <c r="H889" s="43">
        <v>11.89</v>
      </c>
    </row>
    <row r="890" spans="1:8" s="40" customFormat="1" x14ac:dyDescent="0.3">
      <c r="A890" s="41" t="s">
        <v>976</v>
      </c>
      <c r="B890" s="40">
        <f>D889*E890+G889*H890+J889*K890</f>
        <v>229.83399999999997</v>
      </c>
      <c r="E890" s="40">
        <v>17.171299999999999</v>
      </c>
      <c r="H890" s="40">
        <v>11.889200000000001</v>
      </c>
    </row>
    <row r="891" spans="1:8" x14ac:dyDescent="0.3">
      <c r="A891" t="s">
        <v>849</v>
      </c>
      <c r="B891" s="43">
        <v>229.83</v>
      </c>
      <c r="C891" t="s">
        <v>69</v>
      </c>
      <c r="D891">
        <v>12</v>
      </c>
      <c r="E891" s="43">
        <v>17.170000000000002</v>
      </c>
      <c r="F891" t="s">
        <v>74</v>
      </c>
      <c r="G891">
        <v>2</v>
      </c>
      <c r="H891" s="43">
        <v>11.89</v>
      </c>
    </row>
    <row r="892" spans="1:8" s="40" customFormat="1" x14ac:dyDescent="0.3">
      <c r="A892" s="41" t="s">
        <v>976</v>
      </c>
      <c r="B892" s="40">
        <f>D891*E892+G891*H892+J891*K892</f>
        <v>229.83399999999997</v>
      </c>
      <c r="E892" s="40">
        <v>17.171299999999999</v>
      </c>
      <c r="H892" s="40">
        <v>11.889200000000001</v>
      </c>
    </row>
    <row r="893" spans="1:8" x14ac:dyDescent="0.3">
      <c r="A893" t="s">
        <v>852</v>
      </c>
      <c r="B893" s="43">
        <v>229.83</v>
      </c>
      <c r="C893" t="s">
        <v>69</v>
      </c>
      <c r="D893">
        <v>12</v>
      </c>
      <c r="E893" s="43">
        <v>17.170000000000002</v>
      </c>
      <c r="F893" t="s">
        <v>74</v>
      </c>
      <c r="G893">
        <v>2</v>
      </c>
      <c r="H893" s="43">
        <v>11.89</v>
      </c>
    </row>
    <row r="894" spans="1:8" s="40" customFormat="1" x14ac:dyDescent="0.3">
      <c r="A894" s="41" t="s">
        <v>976</v>
      </c>
      <c r="B894" s="40">
        <f>D893*E894+G893*H894+J893*K894</f>
        <v>229.83399999999997</v>
      </c>
      <c r="E894" s="40">
        <v>17.171299999999999</v>
      </c>
      <c r="H894" s="40">
        <v>11.889200000000001</v>
      </c>
    </row>
    <row r="895" spans="1:8" x14ac:dyDescent="0.3">
      <c r="A895" t="s">
        <v>853</v>
      </c>
      <c r="B895" s="43">
        <v>198.17</v>
      </c>
      <c r="C895" t="s">
        <v>31</v>
      </c>
      <c r="D895">
        <v>12</v>
      </c>
      <c r="E895" s="43">
        <v>14.53</v>
      </c>
      <c r="F895" t="s">
        <v>74</v>
      </c>
      <c r="G895">
        <v>2</v>
      </c>
      <c r="H895" s="43">
        <v>11.89</v>
      </c>
    </row>
    <row r="896" spans="1:8" s="40" customFormat="1" x14ac:dyDescent="0.3">
      <c r="A896" s="41" t="s">
        <v>976</v>
      </c>
      <c r="B896" s="40">
        <f>D895*E896+G895*H896+J895*K896</f>
        <v>198.16720000000001</v>
      </c>
      <c r="E896" s="40">
        <v>14.532400000000001</v>
      </c>
      <c r="H896" s="40">
        <v>11.889200000000001</v>
      </c>
    </row>
    <row r="897" spans="1:8" x14ac:dyDescent="0.3">
      <c r="A897" t="s">
        <v>855</v>
      </c>
      <c r="B897" s="43">
        <v>285.3</v>
      </c>
      <c r="C897" t="s">
        <v>33</v>
      </c>
      <c r="D897">
        <v>12</v>
      </c>
      <c r="E897" s="43">
        <v>19.809999999999999</v>
      </c>
      <c r="F897" t="s">
        <v>79</v>
      </c>
      <c r="G897">
        <v>2</v>
      </c>
      <c r="H897" s="43">
        <v>23.77</v>
      </c>
    </row>
    <row r="898" spans="1:8" s="40" customFormat="1" x14ac:dyDescent="0.3">
      <c r="A898" s="41" t="s">
        <v>976</v>
      </c>
      <c r="B898" s="40">
        <f>D897*E898+G897*H898+J897*K898</f>
        <v>285.29660000000001</v>
      </c>
      <c r="E898" s="40">
        <v>19.813500000000001</v>
      </c>
      <c r="H898" s="40">
        <v>23.767299999999999</v>
      </c>
    </row>
    <row r="899" spans="1:8" x14ac:dyDescent="0.3">
      <c r="A899" t="s">
        <v>854</v>
      </c>
      <c r="B899" s="43">
        <v>229.83</v>
      </c>
      <c r="C899" t="s">
        <v>69</v>
      </c>
      <c r="D899">
        <v>12</v>
      </c>
      <c r="E899" s="43">
        <v>17.170000000000002</v>
      </c>
      <c r="F899" t="s">
        <v>74</v>
      </c>
      <c r="G899">
        <v>2</v>
      </c>
      <c r="H899" s="43">
        <v>11.89</v>
      </c>
    </row>
    <row r="900" spans="1:8" s="40" customFormat="1" x14ac:dyDescent="0.3">
      <c r="A900" s="41" t="s">
        <v>976</v>
      </c>
      <c r="B900" s="40">
        <f>D899*E900+G899*H900+J899*K900</f>
        <v>229.83399999999997</v>
      </c>
      <c r="E900" s="40">
        <v>17.171299999999999</v>
      </c>
      <c r="H900" s="40">
        <v>11.889200000000001</v>
      </c>
    </row>
    <row r="901" spans="1:8" x14ac:dyDescent="0.3">
      <c r="A901" t="s">
        <v>857</v>
      </c>
      <c r="B901" s="43">
        <v>285.3</v>
      </c>
      <c r="C901" t="s">
        <v>33</v>
      </c>
      <c r="D901">
        <v>12</v>
      </c>
      <c r="E901" s="43">
        <v>19.809999999999999</v>
      </c>
      <c r="F901" t="s">
        <v>79</v>
      </c>
      <c r="G901">
        <v>2</v>
      </c>
      <c r="H901">
        <v>23.77</v>
      </c>
    </row>
    <row r="902" spans="1:8" s="40" customFormat="1" x14ac:dyDescent="0.3">
      <c r="A902" s="41" t="s">
        <v>976</v>
      </c>
      <c r="B902" s="40">
        <f>D901*E902+G901*H902+J901*K902</f>
        <v>285.29660000000001</v>
      </c>
      <c r="E902" s="40">
        <v>19.813500000000001</v>
      </c>
      <c r="H902" s="40">
        <v>23.767299999999999</v>
      </c>
    </row>
    <row r="903" spans="1:8" x14ac:dyDescent="0.3">
      <c r="A903" t="s">
        <v>858</v>
      </c>
      <c r="B903" s="43">
        <v>285.3</v>
      </c>
      <c r="C903" t="s">
        <v>33</v>
      </c>
      <c r="D903">
        <v>12</v>
      </c>
      <c r="E903" s="43">
        <v>19.809999999999999</v>
      </c>
      <c r="F903" t="s">
        <v>79</v>
      </c>
      <c r="G903">
        <v>2</v>
      </c>
      <c r="H903" s="43">
        <v>23.77</v>
      </c>
    </row>
    <row r="904" spans="1:8" s="40" customFormat="1" x14ac:dyDescent="0.3">
      <c r="A904" s="41" t="s">
        <v>976</v>
      </c>
      <c r="B904" s="40">
        <f>D903*E904+G903*H904+J903*K904</f>
        <v>285.29660000000001</v>
      </c>
      <c r="E904" s="40">
        <v>19.813500000000001</v>
      </c>
      <c r="H904" s="40">
        <v>23.767299999999999</v>
      </c>
    </row>
    <row r="905" spans="1:8" x14ac:dyDescent="0.3">
      <c r="A905" t="s">
        <v>859</v>
      </c>
      <c r="B905" s="43">
        <v>317</v>
      </c>
      <c r="C905" t="s">
        <v>35</v>
      </c>
      <c r="D905">
        <v>12</v>
      </c>
      <c r="E905" s="43">
        <v>22.46</v>
      </c>
      <c r="F905" t="s">
        <v>79</v>
      </c>
      <c r="G905">
        <v>2</v>
      </c>
      <c r="H905" s="43">
        <v>23.77</v>
      </c>
    </row>
    <row r="906" spans="1:8" s="40" customFormat="1" x14ac:dyDescent="0.3">
      <c r="A906" s="41" t="s">
        <v>976</v>
      </c>
      <c r="B906" s="40">
        <f>D905*E906+G905*H906+J905*K906</f>
        <v>316.99580000000003</v>
      </c>
      <c r="E906" s="40">
        <v>22.455100000000002</v>
      </c>
      <c r="H906" s="40">
        <v>23.767299999999999</v>
      </c>
    </row>
    <row r="907" spans="1:8" x14ac:dyDescent="0.3">
      <c r="A907" t="s">
        <v>863</v>
      </c>
      <c r="B907" s="43">
        <v>142.66</v>
      </c>
      <c r="C907" t="s">
        <v>39</v>
      </c>
      <c r="D907">
        <v>12</v>
      </c>
      <c r="E907" s="43">
        <v>9.91</v>
      </c>
      <c r="F907" t="s">
        <v>72</v>
      </c>
      <c r="G907">
        <v>2</v>
      </c>
      <c r="H907" s="43">
        <v>11.89</v>
      </c>
    </row>
    <row r="908" spans="1:8" s="40" customFormat="1" x14ac:dyDescent="0.3">
      <c r="A908" s="41" t="s">
        <v>976</v>
      </c>
      <c r="B908" s="40">
        <f>D907*E908+G907*H908+J907*K908</f>
        <v>142.65639999999999</v>
      </c>
      <c r="E908" s="40">
        <v>9.9064999999999994</v>
      </c>
      <c r="H908" s="40">
        <v>11.889200000000001</v>
      </c>
    </row>
    <row r="909" spans="1:8" x14ac:dyDescent="0.3">
      <c r="A909" t="s">
        <v>862</v>
      </c>
      <c r="B909" s="43">
        <v>213.98</v>
      </c>
      <c r="C909" t="s">
        <v>43</v>
      </c>
      <c r="D909">
        <v>12</v>
      </c>
      <c r="E909" s="43">
        <v>15.85</v>
      </c>
      <c r="F909" t="s">
        <v>74</v>
      </c>
      <c r="G909">
        <v>2</v>
      </c>
      <c r="H909" s="43">
        <v>11.89</v>
      </c>
    </row>
    <row r="910" spans="1:8" s="40" customFormat="1" x14ac:dyDescent="0.3">
      <c r="A910" s="41" t="s">
        <v>976</v>
      </c>
      <c r="B910" s="40">
        <f>D909*E910+G909*H910+J909*K910</f>
        <v>213.98079999999999</v>
      </c>
      <c r="E910" s="40">
        <v>15.850199999999999</v>
      </c>
      <c r="H910" s="40">
        <v>11.889200000000001</v>
      </c>
    </row>
    <row r="911" spans="1:8" x14ac:dyDescent="0.3">
      <c r="A911" t="s">
        <v>860</v>
      </c>
      <c r="B911" s="43">
        <v>142.66</v>
      </c>
      <c r="C911" t="s">
        <v>39</v>
      </c>
      <c r="D911">
        <v>12</v>
      </c>
      <c r="E911" s="43">
        <v>9.91</v>
      </c>
      <c r="F911" t="s">
        <v>72</v>
      </c>
      <c r="G911">
        <v>2</v>
      </c>
      <c r="H911" s="43">
        <v>11.89</v>
      </c>
    </row>
    <row r="912" spans="1:8" s="40" customFormat="1" x14ac:dyDescent="0.3">
      <c r="A912" s="41" t="s">
        <v>976</v>
      </c>
      <c r="B912" s="40">
        <f>D911*E912+G911*H912+J911*K912</f>
        <v>142.65639999999999</v>
      </c>
      <c r="E912" s="40">
        <v>9.9064999999999994</v>
      </c>
      <c r="H912" s="40">
        <v>11.889200000000001</v>
      </c>
    </row>
    <row r="913" spans="1:8" x14ac:dyDescent="0.3">
      <c r="A913" t="s">
        <v>861</v>
      </c>
      <c r="B913" s="43">
        <v>213.98</v>
      </c>
      <c r="C913" t="s">
        <v>43</v>
      </c>
      <c r="D913">
        <v>12</v>
      </c>
      <c r="E913" s="43">
        <v>15.85</v>
      </c>
      <c r="F913" t="s">
        <v>74</v>
      </c>
      <c r="G913">
        <v>2</v>
      </c>
      <c r="H913" s="43">
        <v>11.89</v>
      </c>
    </row>
    <row r="914" spans="1:8" s="40" customFormat="1" x14ac:dyDescent="0.3">
      <c r="A914" s="41" t="s">
        <v>976</v>
      </c>
      <c r="B914" s="40">
        <f>D913*E914+G913*H914+J913*K914</f>
        <v>213.98079999999999</v>
      </c>
      <c r="E914" s="40">
        <v>15.850199999999999</v>
      </c>
      <c r="H914" s="40">
        <v>11.889200000000001</v>
      </c>
    </row>
    <row r="915" spans="1:8" x14ac:dyDescent="0.3">
      <c r="A915" t="s">
        <v>963</v>
      </c>
      <c r="B915" s="43">
        <v>213.98</v>
      </c>
      <c r="C915" t="s">
        <v>43</v>
      </c>
      <c r="D915">
        <v>12</v>
      </c>
      <c r="E915" s="43">
        <v>15.85</v>
      </c>
      <c r="F915" t="s">
        <v>74</v>
      </c>
      <c r="G915">
        <v>2</v>
      </c>
      <c r="H915" s="43">
        <v>11.89</v>
      </c>
    </row>
    <row r="916" spans="1:8" s="40" customFormat="1" x14ac:dyDescent="0.3">
      <c r="A916" s="41" t="s">
        <v>976</v>
      </c>
      <c r="B916" s="40">
        <f>D915*E916+G915*H916+J915*K916</f>
        <v>213.98079999999999</v>
      </c>
      <c r="E916" s="40">
        <v>15.850199999999999</v>
      </c>
      <c r="H916" s="40">
        <v>11.889200000000001</v>
      </c>
    </row>
    <row r="917" spans="1:8" x14ac:dyDescent="0.3">
      <c r="A917" t="s">
        <v>865</v>
      </c>
      <c r="B917" s="43">
        <v>213.98</v>
      </c>
      <c r="C917" t="s">
        <v>43</v>
      </c>
      <c r="D917">
        <v>12</v>
      </c>
      <c r="E917" s="43">
        <v>15.85</v>
      </c>
      <c r="F917" t="s">
        <v>74</v>
      </c>
      <c r="G917">
        <v>2</v>
      </c>
      <c r="H917" s="43">
        <v>11.89</v>
      </c>
    </row>
    <row r="918" spans="1:8" s="40" customFormat="1" x14ac:dyDescent="0.3">
      <c r="A918" s="41" t="s">
        <v>976</v>
      </c>
      <c r="B918" s="40">
        <f>D917*E918+G917*H918+J917*K918</f>
        <v>213.98079999999999</v>
      </c>
      <c r="E918" s="40">
        <v>15.850199999999999</v>
      </c>
      <c r="H918" s="40">
        <v>11.889200000000001</v>
      </c>
    </row>
    <row r="919" spans="1:8" x14ac:dyDescent="0.3">
      <c r="A919" t="s">
        <v>864</v>
      </c>
      <c r="B919" s="43">
        <v>213.98</v>
      </c>
      <c r="C919" t="s">
        <v>43</v>
      </c>
      <c r="D919">
        <v>12</v>
      </c>
      <c r="E919" s="43">
        <v>15.85</v>
      </c>
      <c r="F919" t="s">
        <v>74</v>
      </c>
      <c r="G919">
        <v>2</v>
      </c>
      <c r="H919" s="43">
        <v>11.89</v>
      </c>
    </row>
    <row r="920" spans="1:8" s="40" customFormat="1" x14ac:dyDescent="0.3">
      <c r="A920" s="41" t="s">
        <v>976</v>
      </c>
      <c r="B920" s="40">
        <f>D919*E920+G919*H920+J919*K920</f>
        <v>213.98079999999999</v>
      </c>
      <c r="E920" s="40">
        <v>15.850199999999999</v>
      </c>
      <c r="H920" s="40">
        <v>11.889200000000001</v>
      </c>
    </row>
    <row r="921" spans="1:8" x14ac:dyDescent="0.3">
      <c r="A921" t="s">
        <v>866</v>
      </c>
      <c r="B921" s="43">
        <v>213.98</v>
      </c>
      <c r="C921" t="s">
        <v>43</v>
      </c>
      <c r="D921">
        <v>12</v>
      </c>
      <c r="E921" s="43">
        <v>15.85</v>
      </c>
      <c r="F921" t="s">
        <v>74</v>
      </c>
      <c r="G921">
        <v>2</v>
      </c>
      <c r="H921" s="43">
        <v>11.89</v>
      </c>
    </row>
    <row r="922" spans="1:8" s="40" customFormat="1" x14ac:dyDescent="0.3">
      <c r="A922" s="41" t="s">
        <v>976</v>
      </c>
      <c r="B922" s="40">
        <f>D921*E922+G921*H922+J921*K922</f>
        <v>213.98079999999999</v>
      </c>
      <c r="E922" s="40">
        <v>15.850199999999999</v>
      </c>
      <c r="H922" s="40">
        <v>11.889200000000001</v>
      </c>
    </row>
    <row r="923" spans="1:8" x14ac:dyDescent="0.3">
      <c r="A923" t="s">
        <v>867</v>
      </c>
      <c r="B923" s="43">
        <v>364.55</v>
      </c>
      <c r="C923" t="s">
        <v>47</v>
      </c>
      <c r="D923">
        <v>12</v>
      </c>
      <c r="E923" s="43">
        <v>26.42</v>
      </c>
      <c r="F923" t="s">
        <v>79</v>
      </c>
      <c r="G923">
        <v>2</v>
      </c>
      <c r="H923" s="43">
        <v>23.77</v>
      </c>
    </row>
    <row r="924" spans="1:8" s="40" customFormat="1" x14ac:dyDescent="0.3">
      <c r="A924" s="41" t="s">
        <v>976</v>
      </c>
      <c r="B924" s="40">
        <f>D923*E924+G923*H924+J923*K924</f>
        <v>364.54820000000001</v>
      </c>
      <c r="E924" s="40">
        <v>26.4178</v>
      </c>
      <c r="H924" s="40">
        <v>23.767299999999999</v>
      </c>
    </row>
    <row r="925" spans="1:8" x14ac:dyDescent="0.3">
      <c r="A925" t="s">
        <v>869</v>
      </c>
      <c r="B925" s="43">
        <v>97.72</v>
      </c>
      <c r="C925" t="s">
        <v>24</v>
      </c>
      <c r="D925">
        <v>12</v>
      </c>
      <c r="E925" s="43">
        <v>6.6</v>
      </c>
      <c r="F925" t="s">
        <v>87</v>
      </c>
      <c r="G925">
        <v>2</v>
      </c>
      <c r="H925" s="43">
        <v>9.25</v>
      </c>
    </row>
    <row r="926" spans="1:8" s="40" customFormat="1" x14ac:dyDescent="0.3">
      <c r="A926" s="41" t="s">
        <v>976</v>
      </c>
      <c r="B926" s="40">
        <f>D925*E926+G925*H926+J925*K926</f>
        <v>97.722999999999999</v>
      </c>
      <c r="E926" s="40">
        <v>6.6025999999999998</v>
      </c>
      <c r="H926" s="40">
        <v>9.2459000000000007</v>
      </c>
    </row>
    <row r="927" spans="1:8" x14ac:dyDescent="0.3">
      <c r="A927" t="s">
        <v>868</v>
      </c>
      <c r="B927" s="43">
        <v>129.44</v>
      </c>
      <c r="C927" t="s">
        <v>27</v>
      </c>
      <c r="D927">
        <v>12</v>
      </c>
      <c r="E927" s="43">
        <v>9.25</v>
      </c>
      <c r="F927" t="s">
        <v>87</v>
      </c>
      <c r="G927">
        <v>2</v>
      </c>
      <c r="H927" s="43">
        <v>9.25</v>
      </c>
    </row>
    <row r="928" spans="1:8" s="40" customFormat="1" x14ac:dyDescent="0.3">
      <c r="A928" s="41" t="s">
        <v>976</v>
      </c>
      <c r="B928" s="40">
        <f>D927*E928+G927*H928+J927*K928</f>
        <v>129.44260000000003</v>
      </c>
      <c r="E928" s="40">
        <v>9.2459000000000007</v>
      </c>
      <c r="H928" s="40">
        <v>9.2459000000000007</v>
      </c>
    </row>
    <row r="929" spans="1:8" x14ac:dyDescent="0.3">
      <c r="A929" t="s">
        <v>870</v>
      </c>
      <c r="B929" s="43">
        <v>161.16</v>
      </c>
      <c r="C929" t="s">
        <v>29</v>
      </c>
      <c r="D929">
        <v>12</v>
      </c>
      <c r="E929" s="43">
        <v>11.89</v>
      </c>
      <c r="F929" t="s">
        <v>89</v>
      </c>
      <c r="G929">
        <v>2</v>
      </c>
      <c r="H929" s="43">
        <v>9.25</v>
      </c>
    </row>
    <row r="930" spans="1:8" s="40" customFormat="1" x14ac:dyDescent="0.3">
      <c r="A930" s="41" t="s">
        <v>976</v>
      </c>
      <c r="B930" s="40">
        <f>D929*E930+G929*H930+J929*K930</f>
        <v>161.16220000000001</v>
      </c>
      <c r="E930" s="40">
        <v>11.889200000000001</v>
      </c>
      <c r="H930" s="40">
        <v>9.2459000000000007</v>
      </c>
    </row>
    <row r="931" spans="1:8" x14ac:dyDescent="0.3">
      <c r="A931" t="s">
        <v>874</v>
      </c>
      <c r="B931" s="43">
        <v>110.95</v>
      </c>
      <c r="C931" t="s">
        <v>27</v>
      </c>
      <c r="D931">
        <v>12</v>
      </c>
      <c r="E931" s="43">
        <v>9.25</v>
      </c>
    </row>
    <row r="932" spans="1:8" s="40" customFormat="1" x14ac:dyDescent="0.3">
      <c r="A932" s="41" t="s">
        <v>976</v>
      </c>
      <c r="B932" s="40">
        <f>D931*E932+G931*H932+J931*K932</f>
        <v>110.95080000000002</v>
      </c>
      <c r="E932" s="40">
        <v>9.2459000000000007</v>
      </c>
    </row>
    <row r="933" spans="1:8" x14ac:dyDescent="0.3">
      <c r="A933" t="s">
        <v>871</v>
      </c>
      <c r="B933" s="43">
        <v>192.88</v>
      </c>
      <c r="C933" t="s">
        <v>31</v>
      </c>
      <c r="D933">
        <v>12</v>
      </c>
      <c r="E933" s="43">
        <v>14.53</v>
      </c>
      <c r="F933" t="s">
        <v>89</v>
      </c>
      <c r="G933">
        <v>2</v>
      </c>
      <c r="H933" s="43">
        <v>9.25</v>
      </c>
    </row>
    <row r="934" spans="1:8" s="40" customFormat="1" x14ac:dyDescent="0.3">
      <c r="A934" s="41" t="s">
        <v>976</v>
      </c>
      <c r="B934" s="40">
        <f>D933*E934+G933*H934+J933*K934</f>
        <v>192.88060000000002</v>
      </c>
      <c r="E934" s="40">
        <v>14.532400000000001</v>
      </c>
      <c r="H934" s="40">
        <v>9.2459000000000007</v>
      </c>
    </row>
    <row r="935" spans="1:8" x14ac:dyDescent="0.3">
      <c r="A935" t="s">
        <v>872</v>
      </c>
      <c r="B935" s="43">
        <v>192.88</v>
      </c>
      <c r="C935" t="s">
        <v>31</v>
      </c>
      <c r="D935">
        <v>12</v>
      </c>
      <c r="E935" s="43">
        <v>14.53</v>
      </c>
      <c r="F935" t="s">
        <v>89</v>
      </c>
      <c r="G935">
        <v>2</v>
      </c>
      <c r="H935" s="43">
        <v>9.25</v>
      </c>
    </row>
    <row r="936" spans="1:8" s="40" customFormat="1" x14ac:dyDescent="0.3">
      <c r="A936" s="41" t="s">
        <v>976</v>
      </c>
      <c r="B936" s="40">
        <f>D935*E936+G935*H936+J935*K936</f>
        <v>192.88060000000002</v>
      </c>
      <c r="E936" s="40">
        <v>14.532400000000001</v>
      </c>
      <c r="H936" s="40">
        <v>9.2459000000000007</v>
      </c>
    </row>
    <row r="937" spans="1:8" x14ac:dyDescent="0.3">
      <c r="A937" t="s">
        <v>873</v>
      </c>
      <c r="B937" s="43">
        <v>224.55</v>
      </c>
      <c r="C937" t="s">
        <v>69</v>
      </c>
      <c r="D937">
        <v>12</v>
      </c>
      <c r="E937" s="43">
        <v>17.170000000000002</v>
      </c>
      <c r="F937" t="s">
        <v>89</v>
      </c>
      <c r="G937">
        <v>2</v>
      </c>
      <c r="H937" s="43">
        <v>9.25</v>
      </c>
    </row>
    <row r="938" spans="1:8" s="40" customFormat="1" x14ac:dyDescent="0.3">
      <c r="A938" s="41" t="s">
        <v>976</v>
      </c>
      <c r="B938" s="40">
        <f>D937*E938+G937*H938+J937*K938</f>
        <v>224.54739999999998</v>
      </c>
      <c r="E938" s="40">
        <v>17.171299999999999</v>
      </c>
      <c r="H938" s="40">
        <v>9.2459000000000007</v>
      </c>
    </row>
    <row r="939" spans="1:8" x14ac:dyDescent="0.3">
      <c r="A939" t="s">
        <v>875</v>
      </c>
      <c r="B939" s="43">
        <v>142.66999999999999</v>
      </c>
      <c r="C939" t="s">
        <v>65</v>
      </c>
      <c r="D939">
        <v>12</v>
      </c>
      <c r="E939" s="43">
        <v>11.89</v>
      </c>
    </row>
    <row r="940" spans="1:8" s="40" customFormat="1" x14ac:dyDescent="0.3">
      <c r="A940" s="41" t="s">
        <v>976</v>
      </c>
      <c r="B940" s="40">
        <f>D939*E940+G939*H940+J939*K940</f>
        <v>142.6704</v>
      </c>
      <c r="E940" s="40">
        <v>11.889200000000001</v>
      </c>
    </row>
    <row r="941" spans="1:8" x14ac:dyDescent="0.3">
      <c r="A941" t="s">
        <v>965</v>
      </c>
      <c r="B941" s="43">
        <v>110.95</v>
      </c>
      <c r="C941" t="s">
        <v>27</v>
      </c>
      <c r="D941">
        <v>12</v>
      </c>
      <c r="E941" s="43">
        <v>9.25</v>
      </c>
    </row>
    <row r="942" spans="1:8" s="40" customFormat="1" x14ac:dyDescent="0.3">
      <c r="A942" s="41" t="s">
        <v>976</v>
      </c>
      <c r="B942" s="40">
        <f>D941*E942+G941*H942+J941*K942</f>
        <v>110.95080000000002</v>
      </c>
      <c r="E942" s="40">
        <v>9.2459000000000007</v>
      </c>
    </row>
    <row r="943" spans="1:8" x14ac:dyDescent="0.3">
      <c r="A943" t="s">
        <v>876</v>
      </c>
      <c r="B943" s="43">
        <v>110.95</v>
      </c>
      <c r="C943" t="s">
        <v>27</v>
      </c>
      <c r="D943">
        <v>12</v>
      </c>
      <c r="E943" s="43">
        <v>9.25</v>
      </c>
    </row>
    <row r="944" spans="1:8" s="40" customFormat="1" x14ac:dyDescent="0.3">
      <c r="A944" s="41" t="s">
        <v>976</v>
      </c>
      <c r="B944" s="40">
        <f>D943*E944+G943*H944+J943*K944</f>
        <v>110.95080000000002</v>
      </c>
      <c r="E944" s="40">
        <v>9.2459000000000007</v>
      </c>
    </row>
    <row r="945" spans="1:11" x14ac:dyDescent="0.3">
      <c r="A945" t="s">
        <v>877</v>
      </c>
      <c r="B945" s="43">
        <v>142.66999999999999</v>
      </c>
      <c r="C945" t="s">
        <v>29</v>
      </c>
      <c r="D945">
        <v>12</v>
      </c>
      <c r="E945" s="43">
        <v>11.89</v>
      </c>
    </row>
    <row r="946" spans="1:11" s="40" customFormat="1" x14ac:dyDescent="0.3">
      <c r="A946" s="41" t="s">
        <v>976</v>
      </c>
      <c r="B946" s="40">
        <f>D945*E946+G945*H946+J945*K946</f>
        <v>142.6704</v>
      </c>
      <c r="E946" s="40">
        <v>11.889200000000001</v>
      </c>
    </row>
    <row r="947" spans="1:11" x14ac:dyDescent="0.3">
      <c r="A947" t="s">
        <v>878</v>
      </c>
      <c r="B947" s="43">
        <v>174.39</v>
      </c>
      <c r="C947" t="s">
        <v>31</v>
      </c>
      <c r="D947">
        <v>12</v>
      </c>
      <c r="E947" s="43">
        <v>14.53</v>
      </c>
    </row>
    <row r="948" spans="1:11" s="40" customFormat="1" x14ac:dyDescent="0.3">
      <c r="A948" s="41" t="s">
        <v>976</v>
      </c>
      <c r="B948" s="40">
        <f>D947*E948+G947*H948+J947*K948</f>
        <v>174.3888</v>
      </c>
      <c r="E948" s="40">
        <v>14.532400000000001</v>
      </c>
    </row>
    <row r="949" spans="1:11" x14ac:dyDescent="0.3">
      <c r="A949" t="s">
        <v>966</v>
      </c>
      <c r="B949" s="43">
        <v>314.36</v>
      </c>
      <c r="C949" t="s">
        <v>29</v>
      </c>
      <c r="D949">
        <v>12</v>
      </c>
      <c r="E949" s="43">
        <v>11.89</v>
      </c>
      <c r="F949" t="s">
        <v>99</v>
      </c>
      <c r="G949">
        <v>2</v>
      </c>
      <c r="H949" s="43">
        <v>6.6</v>
      </c>
      <c r="I949" t="s">
        <v>164</v>
      </c>
      <c r="J949">
        <v>10</v>
      </c>
      <c r="K949">
        <v>15.85</v>
      </c>
    </row>
    <row r="950" spans="1:11" s="40" customFormat="1" x14ac:dyDescent="0.3">
      <c r="A950" s="41" t="s">
        <v>976</v>
      </c>
      <c r="B950" s="40">
        <f>D949*E950+G949*H950+J949*K950</f>
        <v>314.36159999999995</v>
      </c>
      <c r="E950" s="40">
        <v>11.889200000000001</v>
      </c>
      <c r="H950" s="40">
        <v>6.6025999999999998</v>
      </c>
      <c r="K950" s="40">
        <v>15.848599999999999</v>
      </c>
    </row>
    <row r="951" spans="1:11" x14ac:dyDescent="0.3">
      <c r="A951" t="s">
        <v>881</v>
      </c>
      <c r="B951" s="43">
        <v>187.59</v>
      </c>
      <c r="C951" t="s">
        <v>31</v>
      </c>
      <c r="D951">
        <v>12</v>
      </c>
      <c r="E951" s="43">
        <v>14.53</v>
      </c>
      <c r="F951" t="s">
        <v>99</v>
      </c>
      <c r="G951">
        <v>2</v>
      </c>
      <c r="H951">
        <v>6.6</v>
      </c>
    </row>
    <row r="952" spans="1:11" s="40" customFormat="1" x14ac:dyDescent="0.3">
      <c r="A952" s="41" t="s">
        <v>976</v>
      </c>
      <c r="B952" s="40">
        <f>D951*E952+G951*H952+J951*K952</f>
        <v>187.59399999999999</v>
      </c>
      <c r="E952" s="40">
        <v>14.532400000000001</v>
      </c>
      <c r="H952" s="40">
        <v>6.6025999999999998</v>
      </c>
    </row>
    <row r="953" spans="1:11" x14ac:dyDescent="0.3">
      <c r="A953" t="s">
        <v>883</v>
      </c>
      <c r="B953" s="43">
        <v>261.52</v>
      </c>
      <c r="C953" t="s">
        <v>31</v>
      </c>
      <c r="D953">
        <v>12</v>
      </c>
      <c r="E953" s="43">
        <v>14.53</v>
      </c>
      <c r="F953" t="s">
        <v>110</v>
      </c>
      <c r="G953">
        <v>2</v>
      </c>
      <c r="H953" s="43">
        <v>15.85</v>
      </c>
      <c r="I953" t="s">
        <v>137</v>
      </c>
      <c r="J953">
        <v>14</v>
      </c>
      <c r="K953">
        <v>3.96</v>
      </c>
    </row>
    <row r="954" spans="1:11" s="40" customFormat="1" x14ac:dyDescent="0.3">
      <c r="A954" s="41" t="s">
        <v>976</v>
      </c>
      <c r="B954" s="40">
        <f>D953*E954+G953*H954+J953*K954</f>
        <v>261.51760000000002</v>
      </c>
      <c r="E954" s="40">
        <v>14.532400000000001</v>
      </c>
      <c r="H954" s="40">
        <v>15.848599999999999</v>
      </c>
      <c r="K954" s="40">
        <v>3.9594</v>
      </c>
    </row>
    <row r="955" spans="1:11" x14ac:dyDescent="0.3">
      <c r="A955" t="s">
        <v>879</v>
      </c>
      <c r="B955" s="43">
        <v>206.06</v>
      </c>
      <c r="C955" t="s">
        <v>69</v>
      </c>
      <c r="D955">
        <v>12</v>
      </c>
      <c r="E955" s="43">
        <v>17.170000000000002</v>
      </c>
    </row>
    <row r="956" spans="1:11" s="40" customFormat="1" x14ac:dyDescent="0.3">
      <c r="A956" s="41" t="s">
        <v>976</v>
      </c>
      <c r="B956" s="40">
        <f>D955*E956+G955*H956+J955*K956</f>
        <v>206.05559999999997</v>
      </c>
      <c r="E956" s="40">
        <v>17.171299999999999</v>
      </c>
    </row>
    <row r="957" spans="1:11" x14ac:dyDescent="0.3">
      <c r="A957" t="s">
        <v>880</v>
      </c>
      <c r="B957" s="43">
        <v>124.16</v>
      </c>
      <c r="C957" t="s">
        <v>27</v>
      </c>
      <c r="D957">
        <v>12</v>
      </c>
      <c r="E957" s="43">
        <v>9.25</v>
      </c>
      <c r="F957" t="s">
        <v>99</v>
      </c>
      <c r="G957">
        <v>2</v>
      </c>
      <c r="H957" s="43">
        <v>6.6</v>
      </c>
    </row>
    <row r="958" spans="1:11" s="40" customFormat="1" x14ac:dyDescent="0.3">
      <c r="A958" s="41" t="s">
        <v>976</v>
      </c>
      <c r="B958" s="40">
        <f>D957*E958+G957*H958+J957*K958</f>
        <v>124.15600000000002</v>
      </c>
      <c r="E958" s="40">
        <v>9.2459000000000007</v>
      </c>
      <c r="H958" s="40">
        <v>6.6025999999999998</v>
      </c>
    </row>
    <row r="959" spans="1:11" x14ac:dyDescent="0.3">
      <c r="A959" t="s">
        <v>882</v>
      </c>
      <c r="B959" s="43">
        <v>261.52</v>
      </c>
      <c r="C959" t="s">
        <v>31</v>
      </c>
      <c r="D959">
        <v>12</v>
      </c>
      <c r="E959" s="43">
        <v>14.53</v>
      </c>
      <c r="F959" t="s">
        <v>110</v>
      </c>
      <c r="G959">
        <v>2</v>
      </c>
      <c r="H959" s="43">
        <v>15.85</v>
      </c>
      <c r="I959" t="s">
        <v>137</v>
      </c>
      <c r="J959">
        <v>14</v>
      </c>
      <c r="K959">
        <v>3.96</v>
      </c>
    </row>
    <row r="960" spans="1:11" s="40" customFormat="1" x14ac:dyDescent="0.3">
      <c r="A960" s="41" t="s">
        <v>976</v>
      </c>
      <c r="B960" s="40">
        <f>D959*E960+G959*H960+J959*K960</f>
        <v>261.51760000000002</v>
      </c>
      <c r="E960" s="40">
        <v>14.532400000000001</v>
      </c>
      <c r="H960" s="40">
        <v>15.848599999999999</v>
      </c>
      <c r="K960" s="40">
        <v>3.9594</v>
      </c>
    </row>
    <row r="961" spans="1:11" x14ac:dyDescent="0.3">
      <c r="A961" t="s">
        <v>884</v>
      </c>
      <c r="B961" s="43">
        <v>235.12</v>
      </c>
      <c r="C961" t="s">
        <v>53</v>
      </c>
      <c r="D961">
        <v>10</v>
      </c>
      <c r="E961" s="43">
        <v>21.13</v>
      </c>
      <c r="F961" t="s">
        <v>81</v>
      </c>
      <c r="G961">
        <v>2</v>
      </c>
      <c r="H961" s="43">
        <v>11.89</v>
      </c>
    </row>
    <row r="962" spans="1:11" s="40" customFormat="1" x14ac:dyDescent="0.3">
      <c r="A962" s="41" t="s">
        <v>976</v>
      </c>
      <c r="B962" s="40">
        <f>D961*E962+G961*H962+J961*K962</f>
        <v>235.11840000000001</v>
      </c>
      <c r="E962" s="40">
        <v>21.134</v>
      </c>
      <c r="H962" s="40">
        <v>11.889200000000001</v>
      </c>
    </row>
    <row r="963" spans="1:11" x14ac:dyDescent="0.3">
      <c r="A963" t="s">
        <v>885</v>
      </c>
      <c r="B963" s="43">
        <v>293.18</v>
      </c>
      <c r="C963" t="s">
        <v>69</v>
      </c>
      <c r="D963">
        <v>12</v>
      </c>
      <c r="E963" s="43">
        <v>17.170000000000002</v>
      </c>
      <c r="F963" t="s">
        <v>110</v>
      </c>
      <c r="G963">
        <v>2</v>
      </c>
      <c r="H963" s="43">
        <v>15.85</v>
      </c>
      <c r="I963" t="s">
        <v>137</v>
      </c>
      <c r="J963">
        <v>14</v>
      </c>
      <c r="K963">
        <v>3.96</v>
      </c>
    </row>
    <row r="964" spans="1:11" s="40" customFormat="1" x14ac:dyDescent="0.3">
      <c r="A964" s="41" t="s">
        <v>976</v>
      </c>
      <c r="B964" s="40">
        <f>D963*E964+G963*H964+J963*K964</f>
        <v>293.18439999999998</v>
      </c>
      <c r="E964" s="40">
        <v>17.171299999999999</v>
      </c>
      <c r="H964" s="40">
        <v>15.848599999999999</v>
      </c>
      <c r="K964" s="40">
        <v>3.9594</v>
      </c>
    </row>
    <row r="965" spans="1:11" x14ac:dyDescent="0.3">
      <c r="A965" t="s">
        <v>967</v>
      </c>
      <c r="B965" s="43">
        <v>89.8</v>
      </c>
      <c r="C965" t="s">
        <v>24</v>
      </c>
      <c r="D965">
        <v>10</v>
      </c>
      <c r="E965" s="43">
        <v>6.6</v>
      </c>
      <c r="F965" t="s">
        <v>72</v>
      </c>
      <c r="G965">
        <v>2</v>
      </c>
      <c r="H965" s="43">
        <v>11.89</v>
      </c>
    </row>
    <row r="966" spans="1:11" s="40" customFormat="1" x14ac:dyDescent="0.3">
      <c r="A966" s="41" t="s">
        <v>976</v>
      </c>
      <c r="B966" s="40">
        <f>D965*E966+G965*H966+J965*K966</f>
        <v>89.804400000000001</v>
      </c>
      <c r="E966" s="40">
        <v>6.6025999999999998</v>
      </c>
      <c r="H966" s="40">
        <v>11.889200000000001</v>
      </c>
    </row>
    <row r="967" spans="1:11" x14ac:dyDescent="0.3">
      <c r="A967" t="s">
        <v>887</v>
      </c>
      <c r="B967" s="43">
        <v>116.24</v>
      </c>
      <c r="C967" t="s">
        <v>27</v>
      </c>
      <c r="D967">
        <v>10</v>
      </c>
      <c r="E967" s="43">
        <v>9.25</v>
      </c>
      <c r="F967" t="s">
        <v>72</v>
      </c>
      <c r="G967">
        <v>2</v>
      </c>
      <c r="H967" s="43">
        <v>11.89</v>
      </c>
    </row>
    <row r="968" spans="1:11" s="40" customFormat="1" x14ac:dyDescent="0.3">
      <c r="A968" s="41" t="s">
        <v>976</v>
      </c>
      <c r="B968" s="40">
        <f>D967*E968+G967*H968+J967*K968</f>
        <v>116.23740000000001</v>
      </c>
      <c r="E968" s="40">
        <v>9.2459000000000007</v>
      </c>
      <c r="H968" s="40">
        <v>11.889200000000001</v>
      </c>
    </row>
    <row r="969" spans="1:11" x14ac:dyDescent="0.3">
      <c r="A969" t="s">
        <v>886</v>
      </c>
      <c r="B969" s="43">
        <v>116.24</v>
      </c>
      <c r="C969" t="s">
        <v>27</v>
      </c>
      <c r="D969">
        <v>10</v>
      </c>
      <c r="E969" s="43">
        <v>9.25</v>
      </c>
      <c r="F969" t="s">
        <v>72</v>
      </c>
      <c r="G969">
        <v>2</v>
      </c>
      <c r="H969" s="43">
        <v>11.89</v>
      </c>
    </row>
    <row r="970" spans="1:11" s="40" customFormat="1" x14ac:dyDescent="0.3">
      <c r="A970" s="41" t="s">
        <v>976</v>
      </c>
      <c r="B970" s="40">
        <f>D969*E970+G969*H970+J969*K970</f>
        <v>116.23740000000001</v>
      </c>
      <c r="E970" s="40">
        <v>9.2459000000000007</v>
      </c>
      <c r="H970" s="40">
        <v>11.889200000000001</v>
      </c>
    </row>
    <row r="971" spans="1:11" x14ac:dyDescent="0.3">
      <c r="A971" t="s">
        <v>888</v>
      </c>
      <c r="B971" s="43">
        <v>116.24</v>
      </c>
      <c r="C971" t="s">
        <v>27</v>
      </c>
      <c r="D971">
        <v>10</v>
      </c>
      <c r="E971" s="43">
        <v>9.25</v>
      </c>
      <c r="F971" t="s">
        <v>72</v>
      </c>
      <c r="G971">
        <v>2</v>
      </c>
      <c r="H971" s="43">
        <v>11.89</v>
      </c>
    </row>
    <row r="972" spans="1:11" s="40" customFormat="1" x14ac:dyDescent="0.3">
      <c r="A972" s="41" t="s">
        <v>976</v>
      </c>
      <c r="B972" s="40">
        <f>D971*E972+G971*H972+J971*K972</f>
        <v>116.23740000000001</v>
      </c>
      <c r="E972" s="40">
        <v>9.2459000000000007</v>
      </c>
      <c r="H972" s="40">
        <v>11.889200000000001</v>
      </c>
    </row>
    <row r="973" spans="1:11" x14ac:dyDescent="0.3">
      <c r="A973" t="s">
        <v>890</v>
      </c>
      <c r="B973" s="43">
        <v>116.24</v>
      </c>
      <c r="C973" t="s">
        <v>27</v>
      </c>
      <c r="D973">
        <v>10</v>
      </c>
      <c r="E973" s="43">
        <v>9.25</v>
      </c>
      <c r="F973" t="s">
        <v>72</v>
      </c>
      <c r="G973">
        <v>2</v>
      </c>
      <c r="H973" s="43">
        <v>11.89</v>
      </c>
    </row>
    <row r="974" spans="1:11" s="40" customFormat="1" x14ac:dyDescent="0.3">
      <c r="A974" s="41" t="s">
        <v>976</v>
      </c>
      <c r="B974" s="40">
        <f>D973*E974+G973*H974+J973*K974</f>
        <v>116.23740000000001</v>
      </c>
      <c r="E974" s="40">
        <v>9.2459000000000007</v>
      </c>
      <c r="H974" s="40">
        <v>11.889200000000001</v>
      </c>
    </row>
    <row r="975" spans="1:11" x14ac:dyDescent="0.3">
      <c r="A975" t="s">
        <v>889</v>
      </c>
      <c r="B975" s="43">
        <v>116.24</v>
      </c>
      <c r="C975" t="s">
        <v>27</v>
      </c>
      <c r="D975">
        <v>10</v>
      </c>
      <c r="E975" s="43">
        <v>9.25</v>
      </c>
      <c r="F975" t="s">
        <v>72</v>
      </c>
      <c r="G975">
        <v>2</v>
      </c>
      <c r="H975" s="43">
        <v>11.89</v>
      </c>
    </row>
    <row r="976" spans="1:11" s="40" customFormat="1" x14ac:dyDescent="0.3">
      <c r="A976" s="41" t="s">
        <v>976</v>
      </c>
      <c r="B976" s="40">
        <f>D975*E976+G975*H976+J975*K976</f>
        <v>116.23740000000001</v>
      </c>
      <c r="E976" s="40">
        <v>9.2459000000000007</v>
      </c>
      <c r="H976" s="40">
        <v>11.889200000000001</v>
      </c>
    </row>
    <row r="977" spans="1:8" x14ac:dyDescent="0.3">
      <c r="A977" t="s">
        <v>892</v>
      </c>
      <c r="B977" s="43">
        <v>116.24</v>
      </c>
      <c r="C977" t="s">
        <v>27</v>
      </c>
      <c r="D977">
        <v>10</v>
      </c>
      <c r="E977" s="43">
        <v>9.25</v>
      </c>
      <c r="F977" t="s">
        <v>72</v>
      </c>
      <c r="G977">
        <v>2</v>
      </c>
      <c r="H977" s="43">
        <v>11.89</v>
      </c>
    </row>
    <row r="978" spans="1:8" s="40" customFormat="1" x14ac:dyDescent="0.3">
      <c r="A978" s="41" t="s">
        <v>976</v>
      </c>
      <c r="B978" s="40">
        <f>D977*E978+G977*H978+J977*K978</f>
        <v>116.23740000000001</v>
      </c>
      <c r="E978" s="40">
        <v>9.2459000000000007</v>
      </c>
      <c r="H978" s="40">
        <v>11.889200000000001</v>
      </c>
    </row>
    <row r="979" spans="1:8" x14ac:dyDescent="0.3">
      <c r="A979" t="s">
        <v>891</v>
      </c>
      <c r="B979" s="43">
        <v>116.24</v>
      </c>
      <c r="C979" t="s">
        <v>27</v>
      </c>
      <c r="D979">
        <v>10</v>
      </c>
      <c r="E979" s="43">
        <v>9.25</v>
      </c>
      <c r="F979" t="s">
        <v>72</v>
      </c>
      <c r="G979">
        <v>2</v>
      </c>
      <c r="H979" s="43">
        <v>11.89</v>
      </c>
    </row>
    <row r="980" spans="1:8" s="40" customFormat="1" x14ac:dyDescent="0.3">
      <c r="A980" s="41" t="s">
        <v>976</v>
      </c>
      <c r="B980" s="40">
        <f>D979*E980+G979*H980+J979*K980</f>
        <v>116.23740000000001</v>
      </c>
      <c r="E980" s="40">
        <v>9.2459000000000007</v>
      </c>
      <c r="H980" s="40">
        <v>11.889200000000001</v>
      </c>
    </row>
    <row r="981" spans="1:8" x14ac:dyDescent="0.3">
      <c r="A981" t="s">
        <v>894</v>
      </c>
      <c r="B981" s="43">
        <v>116.24</v>
      </c>
      <c r="C981" t="s">
        <v>27</v>
      </c>
      <c r="D981">
        <v>10</v>
      </c>
      <c r="E981" s="43">
        <v>9.25</v>
      </c>
      <c r="F981" t="s">
        <v>72</v>
      </c>
      <c r="G981">
        <v>2</v>
      </c>
      <c r="H981" s="43">
        <v>11.89</v>
      </c>
    </row>
    <row r="982" spans="1:8" s="40" customFormat="1" x14ac:dyDescent="0.3">
      <c r="A982" s="41" t="s">
        <v>976</v>
      </c>
      <c r="B982" s="40">
        <f>D981*E982+G981*H982+J981*K982</f>
        <v>116.23740000000001</v>
      </c>
      <c r="E982" s="40">
        <v>9.2459000000000007</v>
      </c>
      <c r="H982" s="40">
        <v>11.889200000000001</v>
      </c>
    </row>
    <row r="983" spans="1:8" x14ac:dyDescent="0.3">
      <c r="A983" t="s">
        <v>893</v>
      </c>
      <c r="B983" s="43">
        <v>116.24</v>
      </c>
      <c r="C983" t="s">
        <v>27</v>
      </c>
      <c r="D983">
        <v>10</v>
      </c>
      <c r="E983" s="43">
        <v>9.25</v>
      </c>
      <c r="F983" t="s">
        <v>72</v>
      </c>
      <c r="G983">
        <v>2</v>
      </c>
      <c r="H983" s="43">
        <v>11.89</v>
      </c>
    </row>
    <row r="984" spans="1:8" s="40" customFormat="1" x14ac:dyDescent="0.3">
      <c r="A984" s="41" t="s">
        <v>976</v>
      </c>
      <c r="B984" s="40">
        <f>D983*E984+G983*H984+J983*K984</f>
        <v>116.23740000000001</v>
      </c>
      <c r="E984" s="40">
        <v>9.2459000000000007</v>
      </c>
      <c r="H984" s="40">
        <v>11.889200000000001</v>
      </c>
    </row>
    <row r="985" spans="1:8" x14ac:dyDescent="0.3">
      <c r="A985" t="s">
        <v>895</v>
      </c>
      <c r="B985" s="43">
        <v>116.24</v>
      </c>
      <c r="C985" t="s">
        <v>27</v>
      </c>
      <c r="D985">
        <v>10</v>
      </c>
      <c r="E985" s="43">
        <v>9.25</v>
      </c>
      <c r="F985" t="s">
        <v>72</v>
      </c>
      <c r="G985">
        <v>2</v>
      </c>
      <c r="H985" s="43">
        <v>11.89</v>
      </c>
    </row>
    <row r="986" spans="1:8" s="40" customFormat="1" x14ac:dyDescent="0.3">
      <c r="A986" s="41" t="s">
        <v>976</v>
      </c>
      <c r="B986" s="40">
        <f>D985*E986+G985*H986+J985*K986</f>
        <v>116.23740000000001</v>
      </c>
      <c r="E986" s="40">
        <v>9.2459000000000007</v>
      </c>
      <c r="H986" s="40">
        <v>11.889200000000001</v>
      </c>
    </row>
    <row r="987" spans="1:8" x14ac:dyDescent="0.3">
      <c r="A987" t="s">
        <v>896</v>
      </c>
      <c r="B987" s="43">
        <v>169.1</v>
      </c>
      <c r="C987" t="s">
        <v>31</v>
      </c>
      <c r="D987">
        <v>10</v>
      </c>
      <c r="E987" s="43">
        <v>14.53</v>
      </c>
      <c r="F987" t="s">
        <v>74</v>
      </c>
      <c r="G987">
        <v>2</v>
      </c>
      <c r="H987" s="43">
        <v>11.89</v>
      </c>
    </row>
    <row r="988" spans="1:8" s="40" customFormat="1" x14ac:dyDescent="0.3">
      <c r="A988" s="41" t="s">
        <v>976</v>
      </c>
      <c r="B988" s="40">
        <f>D987*E988+G987*H988+J987*K988</f>
        <v>169.10240000000002</v>
      </c>
      <c r="E988" s="40">
        <v>14.532400000000001</v>
      </c>
      <c r="H988" s="40">
        <v>11.889200000000001</v>
      </c>
    </row>
    <row r="989" spans="1:8" x14ac:dyDescent="0.3">
      <c r="A989" t="s">
        <v>898</v>
      </c>
      <c r="B989" s="43">
        <v>142.66999999999999</v>
      </c>
      <c r="C989" t="s">
        <v>29</v>
      </c>
      <c r="D989">
        <v>10</v>
      </c>
      <c r="E989" s="43">
        <v>11.89</v>
      </c>
      <c r="F989" t="s">
        <v>74</v>
      </c>
      <c r="G989">
        <v>2</v>
      </c>
      <c r="H989" s="43">
        <v>11.89</v>
      </c>
    </row>
    <row r="990" spans="1:8" s="40" customFormat="1" x14ac:dyDescent="0.3">
      <c r="A990" s="41" t="s">
        <v>976</v>
      </c>
      <c r="B990" s="40">
        <f>D989*E990+G989*H990+J989*K990</f>
        <v>142.6704</v>
      </c>
      <c r="E990" s="40">
        <v>11.889200000000001</v>
      </c>
      <c r="H990" s="40">
        <v>11.889200000000001</v>
      </c>
    </row>
    <row r="991" spans="1:8" x14ac:dyDescent="0.3">
      <c r="A991" t="s">
        <v>901</v>
      </c>
      <c r="B991" s="43">
        <v>169.1</v>
      </c>
      <c r="C991" t="s">
        <v>31</v>
      </c>
      <c r="D991">
        <v>10</v>
      </c>
      <c r="E991" s="43">
        <v>14.53</v>
      </c>
      <c r="F991" t="s">
        <v>74</v>
      </c>
      <c r="G991">
        <v>2</v>
      </c>
      <c r="H991" s="43">
        <v>11.89</v>
      </c>
    </row>
    <row r="992" spans="1:8" s="40" customFormat="1" x14ac:dyDescent="0.3">
      <c r="A992" s="41" t="s">
        <v>976</v>
      </c>
      <c r="B992" s="40">
        <f>D991*E992+G991*H992+J991*K992</f>
        <v>169.10240000000002</v>
      </c>
      <c r="E992" s="40">
        <v>14.532400000000001</v>
      </c>
      <c r="H992" s="40">
        <v>11.889200000000001</v>
      </c>
    </row>
    <row r="993" spans="1:8" x14ac:dyDescent="0.3">
      <c r="A993" t="s">
        <v>900</v>
      </c>
      <c r="B993" s="43">
        <v>169.1</v>
      </c>
      <c r="C993" t="s">
        <v>31</v>
      </c>
      <c r="D993">
        <v>10</v>
      </c>
      <c r="E993" s="43">
        <v>14.53</v>
      </c>
      <c r="F993" t="s">
        <v>74</v>
      </c>
      <c r="G993">
        <v>2</v>
      </c>
      <c r="H993" s="43">
        <v>11.89</v>
      </c>
    </row>
    <row r="994" spans="1:8" s="40" customFormat="1" x14ac:dyDescent="0.3">
      <c r="A994" s="41" t="s">
        <v>976</v>
      </c>
      <c r="B994" s="40">
        <f>D993*E994+G993*H994+J993*K994</f>
        <v>169.10240000000002</v>
      </c>
      <c r="E994" s="40">
        <v>14.532400000000001</v>
      </c>
      <c r="H994" s="40">
        <v>11.889200000000001</v>
      </c>
    </row>
    <row r="995" spans="1:8" x14ac:dyDescent="0.3">
      <c r="A995" t="s">
        <v>897</v>
      </c>
      <c r="B995" s="43">
        <v>195.49</v>
      </c>
      <c r="C995" t="s">
        <v>69</v>
      </c>
      <c r="D995">
        <v>10</v>
      </c>
      <c r="E995" s="43">
        <v>17.170000000000002</v>
      </c>
      <c r="F995" t="s">
        <v>74</v>
      </c>
      <c r="G995">
        <v>2</v>
      </c>
      <c r="H995" s="43">
        <v>11.89</v>
      </c>
    </row>
    <row r="996" spans="1:8" s="40" customFormat="1" x14ac:dyDescent="0.3">
      <c r="A996" s="41" t="s">
        <v>976</v>
      </c>
      <c r="B996" s="40">
        <f>D995*E996+G995*H996+J995*K996</f>
        <v>195.4914</v>
      </c>
      <c r="E996" s="40">
        <v>17.171299999999999</v>
      </c>
      <c r="H996" s="40">
        <v>11.889200000000001</v>
      </c>
    </row>
    <row r="997" spans="1:8" x14ac:dyDescent="0.3">
      <c r="A997" t="s">
        <v>902</v>
      </c>
      <c r="B997" s="43">
        <v>169.1</v>
      </c>
      <c r="C997" t="s">
        <v>31</v>
      </c>
      <c r="D997">
        <v>10</v>
      </c>
      <c r="E997" s="43">
        <v>14.53</v>
      </c>
      <c r="F997" t="s">
        <v>74</v>
      </c>
      <c r="G997">
        <v>2</v>
      </c>
      <c r="H997" s="43">
        <v>11.89</v>
      </c>
    </row>
    <row r="998" spans="1:8" s="40" customFormat="1" x14ac:dyDescent="0.3">
      <c r="A998" s="41" t="s">
        <v>976</v>
      </c>
      <c r="B998" s="40">
        <f>D997*E998+G997*H998+J997*K998</f>
        <v>169.10240000000002</v>
      </c>
      <c r="E998" s="40">
        <v>14.532400000000001</v>
      </c>
      <c r="H998" s="40">
        <v>11.889200000000001</v>
      </c>
    </row>
    <row r="999" spans="1:8" x14ac:dyDescent="0.3">
      <c r="A999" t="s">
        <v>904</v>
      </c>
      <c r="B999" s="43">
        <v>195.49</v>
      </c>
      <c r="C999" t="s">
        <v>69</v>
      </c>
      <c r="D999">
        <v>10</v>
      </c>
      <c r="E999" s="43">
        <v>17.170000000000002</v>
      </c>
      <c r="F999" t="s">
        <v>74</v>
      </c>
      <c r="G999">
        <v>2</v>
      </c>
      <c r="H999" s="43">
        <v>11.89</v>
      </c>
    </row>
    <row r="1000" spans="1:8" s="40" customFormat="1" x14ac:dyDescent="0.3">
      <c r="A1000" s="41" t="s">
        <v>976</v>
      </c>
      <c r="B1000" s="40">
        <f>D999*E1000+G999*H1000+J999*K1000</f>
        <v>195.4914</v>
      </c>
      <c r="E1000" s="40">
        <v>17.171299999999999</v>
      </c>
      <c r="H1000" s="40">
        <v>11.889200000000001</v>
      </c>
    </row>
    <row r="1001" spans="1:8" x14ac:dyDescent="0.3">
      <c r="A1001" t="s">
        <v>903</v>
      </c>
      <c r="B1001" s="43">
        <v>169.1</v>
      </c>
      <c r="C1001" t="s">
        <v>31</v>
      </c>
      <c r="D1001">
        <v>10</v>
      </c>
      <c r="E1001" s="43">
        <v>14.53</v>
      </c>
      <c r="F1001" t="s">
        <v>74</v>
      </c>
      <c r="G1001">
        <v>2</v>
      </c>
      <c r="H1001" s="43">
        <v>11.89</v>
      </c>
    </row>
    <row r="1002" spans="1:8" s="40" customFormat="1" x14ac:dyDescent="0.3">
      <c r="A1002" s="41" t="s">
        <v>976</v>
      </c>
      <c r="B1002" s="40">
        <f>D1001*E1002+G1001*H1002+J1001*K1002</f>
        <v>169.10240000000002</v>
      </c>
      <c r="E1002" s="40">
        <v>14.532400000000001</v>
      </c>
      <c r="H1002" s="40">
        <v>11.889200000000001</v>
      </c>
    </row>
    <row r="1003" spans="1:8" x14ac:dyDescent="0.3">
      <c r="A1003" t="s">
        <v>905</v>
      </c>
      <c r="B1003" s="43">
        <v>169.1</v>
      </c>
      <c r="C1003" t="s">
        <v>31</v>
      </c>
      <c r="D1003">
        <v>10</v>
      </c>
      <c r="E1003" s="43">
        <v>14.53</v>
      </c>
      <c r="F1003" t="s">
        <v>74</v>
      </c>
      <c r="G1003">
        <v>2</v>
      </c>
      <c r="H1003" s="43">
        <v>11.89</v>
      </c>
    </row>
    <row r="1004" spans="1:8" s="40" customFormat="1" x14ac:dyDescent="0.3">
      <c r="A1004" s="41" t="s">
        <v>976</v>
      </c>
      <c r="B1004" s="40">
        <f>D1003*E1004+G1003*H1004+J1003*K1004</f>
        <v>169.10240000000002</v>
      </c>
      <c r="E1004" s="40">
        <v>14.532400000000001</v>
      </c>
      <c r="H1004" s="40">
        <v>11.889200000000001</v>
      </c>
    </row>
    <row r="1005" spans="1:8" x14ac:dyDescent="0.3">
      <c r="A1005" t="s">
        <v>906</v>
      </c>
      <c r="B1005" s="43">
        <v>195.49</v>
      </c>
      <c r="C1005" t="s">
        <v>69</v>
      </c>
      <c r="D1005">
        <v>10</v>
      </c>
      <c r="E1005" s="43">
        <v>17.170000000000002</v>
      </c>
      <c r="F1005" t="s">
        <v>74</v>
      </c>
      <c r="G1005">
        <v>2</v>
      </c>
      <c r="H1005" s="43">
        <v>11.89</v>
      </c>
    </row>
    <row r="1006" spans="1:8" s="40" customFormat="1" x14ac:dyDescent="0.3">
      <c r="A1006" s="41" t="s">
        <v>976</v>
      </c>
      <c r="B1006" s="40">
        <f>D1005*E1006+G1005*H1006+J1005*K1006</f>
        <v>195.4914</v>
      </c>
      <c r="E1006" s="40">
        <v>17.171299999999999</v>
      </c>
      <c r="H1006" s="40">
        <v>11.889200000000001</v>
      </c>
    </row>
    <row r="1007" spans="1:8" x14ac:dyDescent="0.3">
      <c r="A1007" t="s">
        <v>910</v>
      </c>
      <c r="B1007" s="43">
        <v>118.89</v>
      </c>
      <c r="C1007" t="s">
        <v>29</v>
      </c>
      <c r="D1007">
        <v>10</v>
      </c>
      <c r="E1007" s="43">
        <v>11.89</v>
      </c>
    </row>
    <row r="1008" spans="1:8" s="40" customFormat="1" x14ac:dyDescent="0.3">
      <c r="A1008" s="41" t="s">
        <v>976</v>
      </c>
      <c r="B1008" s="40">
        <f>D1007*E1008+G1007*H1008+J1007*K1008</f>
        <v>118.89200000000001</v>
      </c>
      <c r="E1008" s="40">
        <v>11.889200000000001</v>
      </c>
    </row>
    <row r="1009" spans="1:8" x14ac:dyDescent="0.3">
      <c r="A1009" t="s">
        <v>908</v>
      </c>
      <c r="B1009" s="43">
        <v>182.28</v>
      </c>
      <c r="C1009" t="s">
        <v>43</v>
      </c>
      <c r="D1009">
        <v>10</v>
      </c>
      <c r="E1009" s="43">
        <v>15.85</v>
      </c>
      <c r="F1009" t="s">
        <v>74</v>
      </c>
      <c r="G1009">
        <v>2</v>
      </c>
      <c r="H1009" s="43">
        <v>11.89</v>
      </c>
    </row>
    <row r="1010" spans="1:8" s="40" customFormat="1" x14ac:dyDescent="0.3">
      <c r="A1010" s="41" t="s">
        <v>976</v>
      </c>
      <c r="B1010" s="40">
        <f>D1009*E1010+G1009*H1010+J1009*K1010</f>
        <v>182.28039999999999</v>
      </c>
      <c r="E1010" s="40">
        <v>15.850199999999999</v>
      </c>
      <c r="H1010" s="40">
        <v>11.889200000000001</v>
      </c>
    </row>
    <row r="1011" spans="1:8" x14ac:dyDescent="0.3">
      <c r="A1011" t="s">
        <v>907</v>
      </c>
      <c r="B1011" s="43">
        <v>169.1</v>
      </c>
      <c r="C1011" t="s">
        <v>31</v>
      </c>
      <c r="D1011">
        <v>10</v>
      </c>
      <c r="E1011" s="43">
        <v>14.53</v>
      </c>
      <c r="F1011" t="s">
        <v>74</v>
      </c>
      <c r="G1011">
        <v>2</v>
      </c>
      <c r="H1011" s="43">
        <v>11.89</v>
      </c>
    </row>
    <row r="1012" spans="1:8" s="40" customFormat="1" x14ac:dyDescent="0.3">
      <c r="A1012" s="41" t="s">
        <v>976</v>
      </c>
      <c r="B1012" s="40">
        <f>D1011*E1012+G1011*H1012+J1011*K1012</f>
        <v>169.10240000000002</v>
      </c>
      <c r="E1012" s="40">
        <v>14.532400000000001</v>
      </c>
      <c r="H1012" s="40">
        <v>11.889200000000001</v>
      </c>
    </row>
    <row r="1013" spans="1:8" x14ac:dyDescent="0.3">
      <c r="A1013" t="s">
        <v>912</v>
      </c>
      <c r="B1013" s="43">
        <v>130.78</v>
      </c>
      <c r="C1013" t="s">
        <v>65</v>
      </c>
      <c r="D1013">
        <v>9</v>
      </c>
      <c r="E1013" s="43">
        <v>11.89</v>
      </c>
      <c r="F1013" t="s">
        <v>72</v>
      </c>
      <c r="G1013">
        <v>2</v>
      </c>
      <c r="H1013" s="43">
        <v>11.89</v>
      </c>
    </row>
    <row r="1014" spans="1:8" s="40" customFormat="1" x14ac:dyDescent="0.3">
      <c r="A1014" s="41" t="s">
        <v>976</v>
      </c>
      <c r="B1014" s="40">
        <f>D1013*E1014+G1013*H1014+J1013*K1014</f>
        <v>130.78120000000001</v>
      </c>
      <c r="E1014" s="40">
        <v>11.889200000000001</v>
      </c>
      <c r="H1014" s="40">
        <v>11.889200000000001</v>
      </c>
    </row>
    <row r="1015" spans="1:8" x14ac:dyDescent="0.3">
      <c r="A1015" t="s">
        <v>909</v>
      </c>
      <c r="B1015" s="43">
        <v>66.03</v>
      </c>
      <c r="C1015" t="s">
        <v>24</v>
      </c>
      <c r="D1015">
        <v>10</v>
      </c>
      <c r="E1015" s="43">
        <v>6.6</v>
      </c>
    </row>
    <row r="1016" spans="1:8" s="40" customFormat="1" x14ac:dyDescent="0.3">
      <c r="A1016" s="41" t="s">
        <v>976</v>
      </c>
      <c r="B1016" s="40">
        <f>D1015*E1016+G1015*H1016+J1015*K1016</f>
        <v>66.025999999999996</v>
      </c>
      <c r="E1016" s="40">
        <v>6.6025999999999998</v>
      </c>
    </row>
    <row r="1017" spans="1:8" x14ac:dyDescent="0.3">
      <c r="A1017" t="s">
        <v>911</v>
      </c>
      <c r="B1017" s="43">
        <v>237.75</v>
      </c>
      <c r="C1017" t="s">
        <v>45</v>
      </c>
      <c r="D1017">
        <v>9</v>
      </c>
      <c r="E1017" s="43">
        <v>21.14</v>
      </c>
      <c r="F1017" t="s">
        <v>79</v>
      </c>
      <c r="G1017">
        <v>2</v>
      </c>
      <c r="H1017" s="43">
        <v>23.77</v>
      </c>
    </row>
    <row r="1018" spans="1:8" s="40" customFormat="1" x14ac:dyDescent="0.3">
      <c r="A1018" s="41" t="s">
        <v>976</v>
      </c>
      <c r="B1018" s="40">
        <f>D1017*E1018+G1017*H1018+J1017*K1018</f>
        <v>237.75049999999999</v>
      </c>
      <c r="E1018" s="40">
        <v>21.135100000000001</v>
      </c>
      <c r="H1018" s="40">
        <v>23.767299999999999</v>
      </c>
    </row>
    <row r="1019" spans="1:8" x14ac:dyDescent="0.3">
      <c r="A1019" t="s">
        <v>914</v>
      </c>
      <c r="B1019" s="43">
        <v>125.49</v>
      </c>
      <c r="C1019" t="s">
        <v>65</v>
      </c>
      <c r="D1019">
        <v>9</v>
      </c>
      <c r="E1019" s="43">
        <v>11.89</v>
      </c>
      <c r="F1019" t="s">
        <v>87</v>
      </c>
      <c r="G1019">
        <v>2</v>
      </c>
      <c r="H1019" s="43">
        <v>9.25</v>
      </c>
    </row>
    <row r="1020" spans="1:8" s="40" customFormat="1" x14ac:dyDescent="0.3">
      <c r="A1020" s="41" t="s">
        <v>976</v>
      </c>
      <c r="B1020" s="40">
        <f>D1019*E1020+G1019*H1020+J1019*K1020</f>
        <v>125.49460000000001</v>
      </c>
      <c r="E1020" s="40">
        <v>11.889200000000001</v>
      </c>
      <c r="H1020" s="40">
        <v>9.2459000000000007</v>
      </c>
    </row>
    <row r="1021" spans="1:8" x14ac:dyDescent="0.3">
      <c r="A1021" t="s">
        <v>913</v>
      </c>
      <c r="B1021" s="43">
        <v>213.98</v>
      </c>
      <c r="C1021" t="s">
        <v>57</v>
      </c>
      <c r="D1021">
        <v>8</v>
      </c>
      <c r="E1021" s="43">
        <v>23.78</v>
      </c>
      <c r="F1021" t="s">
        <v>83</v>
      </c>
      <c r="G1021">
        <v>2</v>
      </c>
      <c r="H1021" s="43">
        <v>11.89</v>
      </c>
    </row>
    <row r="1022" spans="1:8" s="40" customFormat="1" x14ac:dyDescent="0.3">
      <c r="A1022" s="41" t="s">
        <v>976</v>
      </c>
      <c r="B1022" s="40">
        <f>D1021*E1022+G1021*H1022+J1021*K1022</f>
        <v>213.98320000000001</v>
      </c>
      <c r="E1022" s="40">
        <v>23.775600000000001</v>
      </c>
      <c r="H1022" s="40">
        <v>11.889200000000001</v>
      </c>
    </row>
    <row r="1023" spans="1:8" x14ac:dyDescent="0.3">
      <c r="A1023" t="s">
        <v>915</v>
      </c>
      <c r="B1023" s="43">
        <v>97.75</v>
      </c>
      <c r="C1023" t="s">
        <v>27</v>
      </c>
      <c r="D1023">
        <v>8</v>
      </c>
      <c r="E1023" s="43">
        <v>9.25</v>
      </c>
      <c r="F1023" t="s">
        <v>72</v>
      </c>
      <c r="G1023">
        <v>2</v>
      </c>
      <c r="H1023" s="43">
        <v>11.89</v>
      </c>
    </row>
    <row r="1024" spans="1:8" s="40" customFormat="1" x14ac:dyDescent="0.3">
      <c r="A1024" s="41" t="s">
        <v>976</v>
      </c>
      <c r="B1024" s="40">
        <f>D1023*E1024+G1023*H1024+J1023*K1024</f>
        <v>97.74560000000001</v>
      </c>
      <c r="E1024" s="40">
        <v>9.2459000000000007</v>
      </c>
      <c r="H1024" s="40">
        <v>11.889200000000001</v>
      </c>
    </row>
    <row r="1025" spans="1:11" x14ac:dyDescent="0.3">
      <c r="A1025" t="s">
        <v>917</v>
      </c>
      <c r="B1025" s="43">
        <v>97.75</v>
      </c>
      <c r="C1025" t="s">
        <v>27</v>
      </c>
      <c r="D1025">
        <v>8</v>
      </c>
      <c r="E1025" s="43">
        <v>9.25</v>
      </c>
      <c r="F1025" t="s">
        <v>72</v>
      </c>
      <c r="G1025">
        <v>2</v>
      </c>
      <c r="H1025" s="43">
        <v>11.89</v>
      </c>
    </row>
    <row r="1026" spans="1:11" s="40" customFormat="1" x14ac:dyDescent="0.3">
      <c r="A1026" s="41" t="s">
        <v>976</v>
      </c>
      <c r="B1026" s="40">
        <f>D1025*E1026+G1025*H1026+J1025*K1026</f>
        <v>97.74560000000001</v>
      </c>
      <c r="E1026" s="40">
        <v>9.2459000000000007</v>
      </c>
      <c r="H1026" s="40">
        <v>11.889200000000001</v>
      </c>
    </row>
    <row r="1027" spans="1:11" x14ac:dyDescent="0.3">
      <c r="A1027" t="s">
        <v>920</v>
      </c>
      <c r="B1027" s="43">
        <v>97.75</v>
      </c>
      <c r="C1027" t="s">
        <v>27</v>
      </c>
      <c r="D1027">
        <v>8</v>
      </c>
      <c r="E1027" s="43">
        <v>9.25</v>
      </c>
      <c r="F1027" t="s">
        <v>72</v>
      </c>
      <c r="G1027">
        <v>2</v>
      </c>
      <c r="H1027" s="43">
        <v>11.89</v>
      </c>
    </row>
    <row r="1028" spans="1:11" s="40" customFormat="1" x14ac:dyDescent="0.3">
      <c r="A1028" s="41" t="s">
        <v>976</v>
      </c>
      <c r="B1028" s="40">
        <f>D1027*E1028+G1027*H1028+J1027*K1028</f>
        <v>97.74560000000001</v>
      </c>
      <c r="E1028" s="40">
        <v>9.2459000000000007</v>
      </c>
      <c r="H1028" s="40">
        <v>11.889200000000001</v>
      </c>
    </row>
    <row r="1029" spans="1:11" x14ac:dyDescent="0.3">
      <c r="A1029" t="s">
        <v>918</v>
      </c>
      <c r="B1029" s="43">
        <v>97.75</v>
      </c>
      <c r="C1029" t="s">
        <v>27</v>
      </c>
      <c r="D1029">
        <v>8</v>
      </c>
      <c r="E1029" s="43">
        <v>9.25</v>
      </c>
      <c r="F1029" t="s">
        <v>72</v>
      </c>
      <c r="G1029">
        <v>2</v>
      </c>
      <c r="H1029" s="43">
        <v>11.89</v>
      </c>
    </row>
    <row r="1030" spans="1:11" s="40" customFormat="1" x14ac:dyDescent="0.3">
      <c r="A1030" s="41" t="s">
        <v>976</v>
      </c>
      <c r="B1030" s="40">
        <f>D1029*E1030+G1029*H1030+J1029*K1030</f>
        <v>97.74560000000001</v>
      </c>
      <c r="E1030" s="40">
        <v>9.2459000000000007</v>
      </c>
      <c r="H1030" s="40">
        <v>11.889200000000001</v>
      </c>
    </row>
    <row r="1031" spans="1:11" x14ac:dyDescent="0.3">
      <c r="A1031" t="s">
        <v>916</v>
      </c>
      <c r="B1031" s="43">
        <v>97.75</v>
      </c>
      <c r="C1031" t="s">
        <v>27</v>
      </c>
      <c r="D1031">
        <v>8</v>
      </c>
      <c r="E1031" s="43">
        <v>9.25</v>
      </c>
      <c r="F1031" t="s">
        <v>72</v>
      </c>
      <c r="G1031">
        <v>2</v>
      </c>
      <c r="H1031" s="43">
        <v>11.89</v>
      </c>
    </row>
    <row r="1032" spans="1:11" s="40" customFormat="1" x14ac:dyDescent="0.3">
      <c r="A1032" s="41" t="s">
        <v>976</v>
      </c>
      <c r="B1032" s="40">
        <f>D1031*E1032+G1031*H1032+J1031*K1032</f>
        <v>97.74560000000001</v>
      </c>
      <c r="E1032" s="40">
        <v>9.2459000000000007</v>
      </c>
      <c r="H1032" s="40">
        <v>11.889200000000001</v>
      </c>
    </row>
    <row r="1033" spans="1:11" x14ac:dyDescent="0.3">
      <c r="A1033" t="s">
        <v>919</v>
      </c>
      <c r="B1033" s="43">
        <v>118.89</v>
      </c>
      <c r="C1033" t="s">
        <v>65</v>
      </c>
      <c r="D1033">
        <v>8</v>
      </c>
      <c r="E1033" s="43">
        <v>11.89</v>
      </c>
      <c r="F1033" t="s">
        <v>72</v>
      </c>
      <c r="G1033">
        <v>2</v>
      </c>
      <c r="H1033" s="43">
        <v>11.89</v>
      </c>
    </row>
    <row r="1034" spans="1:11" s="40" customFormat="1" x14ac:dyDescent="0.3">
      <c r="A1034" s="41" t="s">
        <v>976</v>
      </c>
      <c r="B1034" s="40">
        <f>D1033*E1034+G1033*H1034+J1033*K1034</f>
        <v>118.89200000000001</v>
      </c>
      <c r="E1034" s="40">
        <v>11.889200000000001</v>
      </c>
      <c r="H1034" s="40">
        <v>11.889200000000001</v>
      </c>
    </row>
    <row r="1035" spans="1:11" x14ac:dyDescent="0.3">
      <c r="A1035" t="s">
        <v>921</v>
      </c>
      <c r="B1035" s="43">
        <v>118.89</v>
      </c>
      <c r="C1035" t="s">
        <v>29</v>
      </c>
      <c r="D1035">
        <v>8</v>
      </c>
      <c r="E1035" s="43">
        <v>11.89</v>
      </c>
      <c r="F1035" t="s">
        <v>74</v>
      </c>
      <c r="G1035">
        <v>2</v>
      </c>
      <c r="H1035" s="43">
        <v>11.89</v>
      </c>
    </row>
    <row r="1036" spans="1:11" s="40" customFormat="1" x14ac:dyDescent="0.3">
      <c r="A1036" s="41" t="s">
        <v>976</v>
      </c>
      <c r="B1036" s="40">
        <f>D1035*E1036+G1035*H1036+J1035*K1036</f>
        <v>118.89200000000001</v>
      </c>
      <c r="E1036" s="40">
        <v>11.889200000000001</v>
      </c>
      <c r="H1036" s="40">
        <v>11.889200000000001</v>
      </c>
    </row>
    <row r="1037" spans="1:11" x14ac:dyDescent="0.3">
      <c r="A1037" t="s">
        <v>968</v>
      </c>
      <c r="B1037" s="43">
        <v>277.38</v>
      </c>
      <c r="C1037" t="s">
        <v>29</v>
      </c>
      <c r="D1037">
        <v>8</v>
      </c>
      <c r="E1037" s="43">
        <v>11.89</v>
      </c>
      <c r="F1037" t="s">
        <v>74</v>
      </c>
      <c r="G1037">
        <v>2</v>
      </c>
      <c r="H1037" s="43">
        <v>11.89</v>
      </c>
      <c r="I1037" t="s">
        <v>150</v>
      </c>
      <c r="J1037">
        <v>10</v>
      </c>
      <c r="K1037">
        <v>15.85</v>
      </c>
    </row>
    <row r="1038" spans="1:11" s="40" customFormat="1" x14ac:dyDescent="0.3">
      <c r="A1038" s="41" t="s">
        <v>976</v>
      </c>
      <c r="B1038" s="40">
        <f>D1037*E1038+G1037*H1038+J1037*K1038</f>
        <v>277.37799999999999</v>
      </c>
      <c r="E1038" s="40">
        <v>11.889200000000001</v>
      </c>
      <c r="H1038" s="40">
        <v>11.889200000000001</v>
      </c>
      <c r="K1038" s="40">
        <v>15.848599999999999</v>
      </c>
    </row>
    <row r="1039" spans="1:11" x14ac:dyDescent="0.3">
      <c r="A1039" t="s">
        <v>923</v>
      </c>
      <c r="B1039" s="43">
        <v>118.89</v>
      </c>
      <c r="C1039" t="s">
        <v>29</v>
      </c>
      <c r="D1039">
        <v>8</v>
      </c>
      <c r="E1039" s="43">
        <v>11.89</v>
      </c>
      <c r="F1039" t="s">
        <v>74</v>
      </c>
      <c r="G1039">
        <v>2</v>
      </c>
      <c r="H1039" s="43">
        <v>11.89</v>
      </c>
    </row>
    <row r="1040" spans="1:11" s="40" customFormat="1" x14ac:dyDescent="0.3">
      <c r="A1040" s="41" t="s">
        <v>976</v>
      </c>
      <c r="B1040" s="40">
        <f>D1039*E1040+G1039*H1040+J1039*K1040</f>
        <v>118.89200000000001</v>
      </c>
      <c r="E1040" s="40">
        <v>11.889200000000001</v>
      </c>
      <c r="H1040" s="40">
        <v>11.889200000000001</v>
      </c>
    </row>
    <row r="1041" spans="1:8" x14ac:dyDescent="0.3">
      <c r="A1041" t="s">
        <v>922</v>
      </c>
      <c r="B1041" s="43">
        <v>140.04</v>
      </c>
      <c r="C1041" t="s">
        <v>31</v>
      </c>
      <c r="D1041">
        <v>8</v>
      </c>
      <c r="E1041" s="43">
        <v>14.53</v>
      </c>
      <c r="F1041" t="s">
        <v>74</v>
      </c>
      <c r="G1041">
        <v>2</v>
      </c>
      <c r="H1041" s="43">
        <v>11.89</v>
      </c>
    </row>
    <row r="1042" spans="1:8" s="40" customFormat="1" x14ac:dyDescent="0.3">
      <c r="A1042" s="41" t="s">
        <v>976</v>
      </c>
      <c r="B1042" s="40">
        <f>D1041*E1042+G1041*H1042+J1041*K1042</f>
        <v>140.0376</v>
      </c>
      <c r="E1042" s="40">
        <v>14.532400000000001</v>
      </c>
      <c r="H1042" s="40">
        <v>11.889200000000001</v>
      </c>
    </row>
    <row r="1043" spans="1:8" x14ac:dyDescent="0.3">
      <c r="A1043" t="s">
        <v>924</v>
      </c>
      <c r="B1043" s="43">
        <v>140.04</v>
      </c>
      <c r="C1043" t="s">
        <v>31</v>
      </c>
      <c r="D1043">
        <v>8</v>
      </c>
      <c r="E1043" s="43">
        <v>14.53</v>
      </c>
      <c r="F1043" t="s">
        <v>74</v>
      </c>
      <c r="G1043">
        <v>2</v>
      </c>
      <c r="H1043" s="43">
        <v>11.89</v>
      </c>
    </row>
    <row r="1044" spans="1:8" s="40" customFormat="1" x14ac:dyDescent="0.3">
      <c r="A1044" s="41" t="s">
        <v>976</v>
      </c>
      <c r="B1044" s="40">
        <f>D1043*E1044+G1043*H1044+J1043*K1044</f>
        <v>140.0376</v>
      </c>
      <c r="E1044" s="40">
        <v>14.532400000000001</v>
      </c>
      <c r="H1044" s="40">
        <v>11.889200000000001</v>
      </c>
    </row>
    <row r="1045" spans="1:8" x14ac:dyDescent="0.3">
      <c r="A1045" t="s">
        <v>925</v>
      </c>
      <c r="B1045" s="43">
        <v>140.04</v>
      </c>
      <c r="C1045" t="s">
        <v>31</v>
      </c>
      <c r="D1045">
        <v>8</v>
      </c>
      <c r="E1045" s="43">
        <v>14.53</v>
      </c>
      <c r="F1045" t="s">
        <v>74</v>
      </c>
      <c r="G1045">
        <v>2</v>
      </c>
      <c r="H1045" s="43">
        <v>11.89</v>
      </c>
    </row>
    <row r="1046" spans="1:8" s="40" customFormat="1" x14ac:dyDescent="0.3">
      <c r="A1046" s="41" t="s">
        <v>976</v>
      </c>
      <c r="B1046" s="40">
        <f>D1045*E1046+G1045*H1046+J1045*K1046</f>
        <v>140.0376</v>
      </c>
      <c r="E1046" s="40">
        <v>14.532400000000001</v>
      </c>
      <c r="H1046" s="40">
        <v>11.889200000000001</v>
      </c>
    </row>
    <row r="1047" spans="1:8" x14ac:dyDescent="0.3">
      <c r="A1047" t="s">
        <v>927</v>
      </c>
      <c r="B1047" s="43">
        <v>116.26</v>
      </c>
      <c r="C1047" t="s">
        <v>31</v>
      </c>
      <c r="D1047">
        <v>8</v>
      </c>
      <c r="E1047" s="43">
        <v>14.53</v>
      </c>
    </row>
    <row r="1048" spans="1:8" s="40" customFormat="1" x14ac:dyDescent="0.3">
      <c r="A1048" s="41" t="s">
        <v>976</v>
      </c>
      <c r="B1048" s="40">
        <f>D1047*E1048+G1047*H1048+J1047*K1048</f>
        <v>116.25920000000001</v>
      </c>
      <c r="E1048" s="40">
        <v>14.532400000000001</v>
      </c>
    </row>
    <row r="1049" spans="1:8" x14ac:dyDescent="0.3">
      <c r="A1049" t="s">
        <v>929</v>
      </c>
      <c r="B1049" s="43">
        <v>116.26</v>
      </c>
      <c r="C1049" t="s">
        <v>67</v>
      </c>
      <c r="D1049">
        <v>8</v>
      </c>
      <c r="E1049" s="43">
        <v>14.53</v>
      </c>
    </row>
    <row r="1050" spans="1:8" s="40" customFormat="1" x14ac:dyDescent="0.3">
      <c r="A1050" s="41" t="s">
        <v>976</v>
      </c>
      <c r="B1050" s="40">
        <f>D1049*E1050+G1049*H1050+J1049*K1050</f>
        <v>116.25920000000001</v>
      </c>
      <c r="E1050" s="40">
        <v>14.532400000000001</v>
      </c>
    </row>
    <row r="1051" spans="1:8" x14ac:dyDescent="0.3">
      <c r="A1051" t="s">
        <v>926</v>
      </c>
      <c r="B1051" s="43">
        <v>206.04</v>
      </c>
      <c r="C1051" t="s">
        <v>33</v>
      </c>
      <c r="D1051">
        <v>8</v>
      </c>
      <c r="E1051" s="43">
        <v>19.809999999999999</v>
      </c>
      <c r="F1051" t="s">
        <v>79</v>
      </c>
      <c r="G1051">
        <v>2</v>
      </c>
      <c r="H1051" s="43">
        <v>23.77</v>
      </c>
    </row>
    <row r="1052" spans="1:8" s="40" customFormat="1" x14ac:dyDescent="0.3">
      <c r="A1052" s="41" t="s">
        <v>976</v>
      </c>
      <c r="B1052" s="40">
        <f>D1051*E1052+G1051*H1052+J1051*K1052</f>
        <v>206.04259999999999</v>
      </c>
      <c r="E1052" s="40">
        <v>19.813500000000001</v>
      </c>
      <c r="H1052" s="40">
        <v>23.767299999999999</v>
      </c>
    </row>
    <row r="1053" spans="1:8" x14ac:dyDescent="0.3">
      <c r="A1053" t="s">
        <v>928</v>
      </c>
      <c r="B1053" s="43">
        <v>126.8</v>
      </c>
      <c r="C1053" t="s">
        <v>41</v>
      </c>
      <c r="D1053">
        <v>8</v>
      </c>
      <c r="E1053" s="43">
        <v>12.88</v>
      </c>
      <c r="F1053" t="s">
        <v>74</v>
      </c>
      <c r="G1053">
        <v>2</v>
      </c>
      <c r="H1053" s="43">
        <v>11.89</v>
      </c>
    </row>
    <row r="1054" spans="1:8" s="40" customFormat="1" x14ac:dyDescent="0.3">
      <c r="A1054" s="41" t="s">
        <v>976</v>
      </c>
      <c r="B1054" s="40">
        <f>D1053*E1054+G1053*H1054+J1053*K1054</f>
        <v>126.80080000000001</v>
      </c>
      <c r="E1054" s="40">
        <v>12.877800000000001</v>
      </c>
      <c r="H1054" s="40">
        <v>11.889200000000001</v>
      </c>
    </row>
    <row r="1055" spans="1:8" x14ac:dyDescent="0.3">
      <c r="A1055" t="s">
        <v>930</v>
      </c>
      <c r="B1055" s="43">
        <v>88.5</v>
      </c>
      <c r="C1055" t="s">
        <v>27</v>
      </c>
      <c r="D1055">
        <v>7</v>
      </c>
      <c r="E1055" s="43">
        <v>9.25</v>
      </c>
      <c r="F1055" t="s">
        <v>72</v>
      </c>
      <c r="G1055">
        <v>2</v>
      </c>
      <c r="H1055" s="43">
        <v>11.89</v>
      </c>
    </row>
    <row r="1056" spans="1:8" s="40" customFormat="1" x14ac:dyDescent="0.3">
      <c r="A1056" s="41" t="s">
        <v>976</v>
      </c>
      <c r="B1056" s="40">
        <f>D1055*E1056+G1055*H1056+J1055*K1056</f>
        <v>88.499700000000004</v>
      </c>
      <c r="E1056" s="40">
        <v>9.2459000000000007</v>
      </c>
      <c r="H1056" s="40">
        <v>11.889200000000001</v>
      </c>
    </row>
    <row r="1057" spans="1:8" x14ac:dyDescent="0.3">
      <c r="A1057" t="s">
        <v>932</v>
      </c>
      <c r="B1057" s="43">
        <v>83.22</v>
      </c>
      <c r="C1057" t="s">
        <v>29</v>
      </c>
      <c r="D1057">
        <v>7</v>
      </c>
      <c r="E1057" s="43">
        <v>11.89</v>
      </c>
    </row>
    <row r="1058" spans="1:8" s="40" customFormat="1" x14ac:dyDescent="0.3">
      <c r="A1058" s="41" t="s">
        <v>976</v>
      </c>
      <c r="B1058" s="40">
        <f>D1057*E1058+G1057*H1058+J1057*K1058</f>
        <v>83.224400000000003</v>
      </c>
      <c r="E1058" s="40">
        <v>11.889200000000001</v>
      </c>
    </row>
    <row r="1059" spans="1:8" x14ac:dyDescent="0.3">
      <c r="A1059" t="s">
        <v>931</v>
      </c>
      <c r="B1059" s="43">
        <v>150.58000000000001</v>
      </c>
      <c r="C1059" t="s">
        <v>53</v>
      </c>
      <c r="D1059">
        <v>6</v>
      </c>
      <c r="E1059" s="43">
        <v>21.13</v>
      </c>
      <c r="F1059" t="s">
        <v>81</v>
      </c>
      <c r="G1059">
        <v>2</v>
      </c>
      <c r="H1059" s="43">
        <v>11.89</v>
      </c>
    </row>
    <row r="1060" spans="1:8" s="40" customFormat="1" x14ac:dyDescent="0.3">
      <c r="A1060" s="41" t="s">
        <v>976</v>
      </c>
      <c r="B1060" s="40">
        <f>D1059*E1060+G1059*H1060+J1059*K1060</f>
        <v>150.58240000000001</v>
      </c>
      <c r="E1060" s="40">
        <v>21.134</v>
      </c>
      <c r="H1060" s="40">
        <v>11.889200000000001</v>
      </c>
    </row>
    <row r="1061" spans="1:8" x14ac:dyDescent="0.3">
      <c r="A1061" t="s">
        <v>933</v>
      </c>
      <c r="B1061" s="43">
        <v>63.39</v>
      </c>
      <c r="C1061" t="s">
        <v>24</v>
      </c>
      <c r="D1061">
        <v>6</v>
      </c>
      <c r="E1061" s="43">
        <v>6.6</v>
      </c>
      <c r="F1061" t="s">
        <v>72</v>
      </c>
      <c r="G1061">
        <v>2</v>
      </c>
      <c r="H1061" s="43">
        <v>11.89</v>
      </c>
    </row>
    <row r="1062" spans="1:8" s="40" customFormat="1" x14ac:dyDescent="0.3">
      <c r="A1062" s="41" t="s">
        <v>976</v>
      </c>
      <c r="B1062" s="40">
        <f>D1061*E1062+G1061*H1062+J1061*K1062</f>
        <v>63.394000000000005</v>
      </c>
      <c r="E1062" s="40">
        <v>6.6025999999999998</v>
      </c>
      <c r="H1062" s="40">
        <v>11.889200000000001</v>
      </c>
    </row>
    <row r="1063" spans="1:8" x14ac:dyDescent="0.3">
      <c r="A1063" t="s">
        <v>934</v>
      </c>
      <c r="B1063" s="43">
        <v>79.25</v>
      </c>
      <c r="C1063" t="s">
        <v>63</v>
      </c>
      <c r="D1063">
        <v>6</v>
      </c>
      <c r="E1063" s="43">
        <v>9.25</v>
      </c>
      <c r="F1063" t="s">
        <v>72</v>
      </c>
      <c r="G1063">
        <v>2</v>
      </c>
      <c r="H1063" s="43">
        <v>11.89</v>
      </c>
    </row>
    <row r="1064" spans="1:8" s="40" customFormat="1" x14ac:dyDescent="0.3">
      <c r="A1064" s="41" t="s">
        <v>976</v>
      </c>
      <c r="B1064" s="40">
        <f>D1063*E1064+G1063*H1064+J1063*K1064</f>
        <v>79.253800000000012</v>
      </c>
      <c r="E1064" s="40">
        <v>9.2459000000000007</v>
      </c>
      <c r="H1064" s="40">
        <v>11.889200000000001</v>
      </c>
    </row>
    <row r="1065" spans="1:8" x14ac:dyDescent="0.3">
      <c r="A1065" t="s">
        <v>935</v>
      </c>
      <c r="B1065" s="43">
        <v>79.25</v>
      </c>
      <c r="C1065" t="s">
        <v>27</v>
      </c>
      <c r="D1065">
        <v>6</v>
      </c>
      <c r="E1065" s="43">
        <v>9.25</v>
      </c>
      <c r="F1065" t="s">
        <v>72</v>
      </c>
      <c r="G1065">
        <v>2</v>
      </c>
      <c r="H1065" s="43">
        <v>11.89</v>
      </c>
    </row>
    <row r="1066" spans="1:8" s="40" customFormat="1" x14ac:dyDescent="0.3">
      <c r="A1066" s="41" t="s">
        <v>976</v>
      </c>
      <c r="B1066" s="40">
        <f>D1065*E1066+G1065*H1066+J1065*K1066</f>
        <v>79.253800000000012</v>
      </c>
      <c r="E1066" s="40">
        <v>9.2459000000000007</v>
      </c>
      <c r="H1066" s="40">
        <v>11.889200000000001</v>
      </c>
    </row>
    <row r="1067" spans="1:8" x14ac:dyDescent="0.3">
      <c r="A1067" t="s">
        <v>937</v>
      </c>
      <c r="B1067" s="43">
        <v>79.25</v>
      </c>
      <c r="C1067" t="s">
        <v>27</v>
      </c>
      <c r="D1067">
        <v>6</v>
      </c>
      <c r="E1067" s="43">
        <v>9.25</v>
      </c>
      <c r="F1067" t="s">
        <v>72</v>
      </c>
      <c r="G1067">
        <v>2</v>
      </c>
      <c r="H1067" s="43">
        <v>11.89</v>
      </c>
    </row>
    <row r="1068" spans="1:8" s="40" customFormat="1" x14ac:dyDescent="0.3">
      <c r="A1068" s="41" t="s">
        <v>976</v>
      </c>
      <c r="B1068" s="40">
        <f>D1067*E1068+G1067*H1068+J1067*K1068</f>
        <v>79.253800000000012</v>
      </c>
      <c r="E1068" s="40">
        <v>9.2459000000000007</v>
      </c>
      <c r="H1068" s="40">
        <v>11.889200000000001</v>
      </c>
    </row>
    <row r="1069" spans="1:8" x14ac:dyDescent="0.3">
      <c r="A1069" t="s">
        <v>940</v>
      </c>
      <c r="B1069" s="43">
        <v>95.11</v>
      </c>
      <c r="C1069" t="s">
        <v>65</v>
      </c>
      <c r="D1069">
        <v>6</v>
      </c>
      <c r="E1069" s="43">
        <v>11.89</v>
      </c>
      <c r="F1069" t="s">
        <v>72</v>
      </c>
      <c r="G1069">
        <v>2</v>
      </c>
      <c r="H1069" s="43">
        <v>11.89</v>
      </c>
    </row>
    <row r="1070" spans="1:8" s="40" customFormat="1" x14ac:dyDescent="0.3">
      <c r="A1070" s="41" t="s">
        <v>976</v>
      </c>
      <c r="B1070" s="40">
        <f>D1069*E1070+G1069*H1070+J1069*K1070</f>
        <v>95.113600000000005</v>
      </c>
      <c r="E1070" s="40">
        <v>11.889200000000001</v>
      </c>
      <c r="H1070" s="40">
        <v>11.889200000000001</v>
      </c>
    </row>
    <row r="1071" spans="1:8" x14ac:dyDescent="0.3">
      <c r="A1071" t="s">
        <v>936</v>
      </c>
      <c r="B1071" s="43">
        <v>63.39</v>
      </c>
      <c r="C1071" t="s">
        <v>24</v>
      </c>
      <c r="D1071">
        <v>6</v>
      </c>
      <c r="E1071" s="43">
        <v>6.6</v>
      </c>
      <c r="F1071" t="s">
        <v>72</v>
      </c>
      <c r="G1071">
        <v>2</v>
      </c>
      <c r="H1071" s="43">
        <v>11.89</v>
      </c>
    </row>
    <row r="1072" spans="1:8" s="40" customFormat="1" x14ac:dyDescent="0.3">
      <c r="A1072" s="41" t="s">
        <v>976</v>
      </c>
      <c r="B1072" s="40">
        <f>D1071*E1072+G1071*H1072+J1071*K1072</f>
        <v>63.394000000000005</v>
      </c>
      <c r="E1072" s="40">
        <v>6.6025999999999998</v>
      </c>
      <c r="H1072" s="40">
        <v>11.889200000000001</v>
      </c>
    </row>
    <row r="1073" spans="1:8" x14ac:dyDescent="0.3">
      <c r="A1073" t="s">
        <v>939</v>
      </c>
      <c r="B1073" s="43">
        <v>79.25</v>
      </c>
      <c r="C1073" t="s">
        <v>27</v>
      </c>
      <c r="D1073">
        <v>6</v>
      </c>
      <c r="E1073" s="43">
        <v>9.25</v>
      </c>
      <c r="F1073" t="s">
        <v>72</v>
      </c>
      <c r="G1073">
        <v>2</v>
      </c>
      <c r="H1073" s="43">
        <v>11.89</v>
      </c>
    </row>
    <row r="1074" spans="1:8" s="40" customFormat="1" x14ac:dyDescent="0.3">
      <c r="A1074" s="41" t="s">
        <v>976</v>
      </c>
      <c r="B1074" s="40">
        <f>D1073*E1074+G1073*H1074+J1073*K1074</f>
        <v>79.253800000000012</v>
      </c>
      <c r="E1074" s="40">
        <v>9.2459000000000007</v>
      </c>
      <c r="H1074" s="40">
        <v>11.889200000000001</v>
      </c>
    </row>
    <row r="1075" spans="1:8" x14ac:dyDescent="0.3">
      <c r="A1075" t="s">
        <v>942</v>
      </c>
      <c r="B1075" s="43">
        <v>79.25</v>
      </c>
      <c r="C1075" t="s">
        <v>27</v>
      </c>
      <c r="D1075">
        <v>6</v>
      </c>
      <c r="E1075" s="43">
        <v>9.25</v>
      </c>
      <c r="F1075" t="s">
        <v>72</v>
      </c>
      <c r="G1075">
        <v>2</v>
      </c>
      <c r="H1075" s="43">
        <v>11.89</v>
      </c>
    </row>
    <row r="1076" spans="1:8" s="40" customFormat="1" x14ac:dyDescent="0.3">
      <c r="A1076" s="41" t="s">
        <v>976</v>
      </c>
      <c r="B1076" s="40">
        <f>D1075*E1076+G1075*H1076+J1075*K1076</f>
        <v>79.253800000000012</v>
      </c>
      <c r="E1076" s="40">
        <v>9.2459000000000007</v>
      </c>
      <c r="H1076" s="40">
        <v>11.889200000000001</v>
      </c>
    </row>
    <row r="1077" spans="1:8" x14ac:dyDescent="0.3">
      <c r="A1077" t="s">
        <v>941</v>
      </c>
      <c r="B1077" s="43">
        <v>79.25</v>
      </c>
      <c r="C1077" t="s">
        <v>27</v>
      </c>
      <c r="D1077">
        <v>6</v>
      </c>
      <c r="E1077" s="43">
        <v>9.25</v>
      </c>
      <c r="F1077" t="s">
        <v>72</v>
      </c>
      <c r="G1077">
        <v>2</v>
      </c>
      <c r="H1077" s="43">
        <v>11.89</v>
      </c>
    </row>
    <row r="1078" spans="1:8" s="40" customFormat="1" x14ac:dyDescent="0.3">
      <c r="A1078" s="41" t="s">
        <v>976</v>
      </c>
      <c r="B1078" s="40">
        <f>D1077*E1078+G1077*H1078+J1077*K1078</f>
        <v>79.253800000000012</v>
      </c>
      <c r="E1078" s="40">
        <v>9.2459000000000007</v>
      </c>
      <c r="H1078" s="40">
        <v>11.889200000000001</v>
      </c>
    </row>
    <row r="1079" spans="1:8" x14ac:dyDescent="0.3">
      <c r="A1079" t="s">
        <v>944</v>
      </c>
      <c r="B1079" s="43">
        <v>79.25</v>
      </c>
      <c r="C1079" t="s">
        <v>27</v>
      </c>
      <c r="D1079">
        <v>6</v>
      </c>
      <c r="E1079" s="43">
        <v>9.25</v>
      </c>
      <c r="F1079" t="s">
        <v>72</v>
      </c>
      <c r="G1079">
        <v>2</v>
      </c>
      <c r="H1079">
        <v>11.89</v>
      </c>
    </row>
    <row r="1080" spans="1:8" s="40" customFormat="1" x14ac:dyDescent="0.3">
      <c r="A1080" s="41" t="s">
        <v>976</v>
      </c>
      <c r="B1080" s="40">
        <f>D1079*E1080+G1079*H1080+J1079*K1080</f>
        <v>79.253800000000012</v>
      </c>
      <c r="E1080" s="40">
        <v>9.2459000000000007</v>
      </c>
      <c r="H1080" s="40">
        <v>11.889200000000001</v>
      </c>
    </row>
    <row r="1081" spans="1:8" x14ac:dyDescent="0.3">
      <c r="A1081" t="s">
        <v>945</v>
      </c>
      <c r="B1081" s="43">
        <v>79.25</v>
      </c>
      <c r="C1081" t="s">
        <v>27</v>
      </c>
      <c r="D1081">
        <v>6</v>
      </c>
      <c r="E1081" s="43">
        <v>9.25</v>
      </c>
      <c r="F1081" t="s">
        <v>72</v>
      </c>
      <c r="G1081">
        <v>2</v>
      </c>
      <c r="H1081" s="43">
        <v>11.89</v>
      </c>
    </row>
    <row r="1082" spans="1:8" s="40" customFormat="1" x14ac:dyDescent="0.3">
      <c r="A1082" s="41" t="s">
        <v>976</v>
      </c>
      <c r="B1082" s="40">
        <f>D1081*E1082+G1081*H1082+J1081*K1082</f>
        <v>79.253800000000012</v>
      </c>
      <c r="E1082" s="40">
        <v>9.2459000000000007</v>
      </c>
      <c r="H1082" s="40">
        <v>11.889200000000001</v>
      </c>
    </row>
    <row r="1083" spans="1:8" x14ac:dyDescent="0.3">
      <c r="A1083" t="s">
        <v>943</v>
      </c>
      <c r="B1083" s="43">
        <v>95.11</v>
      </c>
      <c r="C1083" t="s">
        <v>65</v>
      </c>
      <c r="D1083">
        <v>6</v>
      </c>
      <c r="E1083" s="43">
        <v>11.89</v>
      </c>
      <c r="F1083" t="s">
        <v>72</v>
      </c>
      <c r="G1083">
        <v>2</v>
      </c>
      <c r="H1083" s="43">
        <v>11.89</v>
      </c>
    </row>
    <row r="1084" spans="1:8" s="40" customFormat="1" x14ac:dyDescent="0.3">
      <c r="A1084" s="41" t="s">
        <v>976</v>
      </c>
      <c r="B1084" s="40">
        <f>D1083*E1084+G1083*H1084+J1083*K1084</f>
        <v>95.113600000000005</v>
      </c>
      <c r="E1084" s="40">
        <v>11.889200000000001</v>
      </c>
      <c r="H1084" s="40">
        <v>11.889200000000001</v>
      </c>
    </row>
    <row r="1085" spans="1:8" x14ac:dyDescent="0.3">
      <c r="A1085" t="s">
        <v>949</v>
      </c>
      <c r="B1085" s="43">
        <v>110.97</v>
      </c>
      <c r="C1085" t="s">
        <v>31</v>
      </c>
      <c r="D1085">
        <v>6</v>
      </c>
      <c r="E1085" s="43">
        <v>14.53</v>
      </c>
      <c r="F1085" t="s">
        <v>74</v>
      </c>
      <c r="G1085">
        <v>2</v>
      </c>
      <c r="H1085" s="43">
        <v>11.89</v>
      </c>
    </row>
    <row r="1086" spans="1:8" s="40" customFormat="1" x14ac:dyDescent="0.3">
      <c r="A1086" s="41" t="s">
        <v>976</v>
      </c>
      <c r="B1086" s="40">
        <f>D1085*E1086+G1085*H1086+J1085*K1086</f>
        <v>110.97280000000001</v>
      </c>
      <c r="E1086" s="40">
        <v>14.532400000000001</v>
      </c>
      <c r="H1086" s="40">
        <v>11.889200000000001</v>
      </c>
    </row>
    <row r="1087" spans="1:8" x14ac:dyDescent="0.3">
      <c r="A1087" t="s">
        <v>947</v>
      </c>
      <c r="B1087" s="43">
        <v>95.11</v>
      </c>
      <c r="C1087" t="s">
        <v>29</v>
      </c>
      <c r="D1087">
        <v>6</v>
      </c>
      <c r="E1087" s="43">
        <v>11.89</v>
      </c>
      <c r="F1087" t="s">
        <v>74</v>
      </c>
      <c r="G1087">
        <v>2</v>
      </c>
      <c r="H1087" s="43">
        <v>11.89</v>
      </c>
    </row>
    <row r="1088" spans="1:8" s="40" customFormat="1" x14ac:dyDescent="0.3">
      <c r="A1088" s="41" t="s">
        <v>976</v>
      </c>
      <c r="B1088" s="40">
        <f>D1087*E1088+G1087*H1088+J1087*K1088</f>
        <v>95.113600000000005</v>
      </c>
      <c r="E1088" s="40">
        <v>11.889200000000001</v>
      </c>
      <c r="H1088" s="40">
        <v>11.889200000000001</v>
      </c>
    </row>
    <row r="1089" spans="1:8" x14ac:dyDescent="0.3">
      <c r="A1089" t="s">
        <v>946</v>
      </c>
      <c r="B1089" s="43">
        <v>95.11</v>
      </c>
      <c r="C1089" t="s">
        <v>29</v>
      </c>
      <c r="D1089">
        <v>6</v>
      </c>
      <c r="E1089" s="43">
        <v>11.89</v>
      </c>
      <c r="F1089" t="s">
        <v>74</v>
      </c>
      <c r="G1089">
        <v>2</v>
      </c>
      <c r="H1089" s="43">
        <v>11.89</v>
      </c>
    </row>
    <row r="1090" spans="1:8" s="40" customFormat="1" x14ac:dyDescent="0.3">
      <c r="A1090" s="41" t="s">
        <v>976</v>
      </c>
      <c r="B1090" s="40">
        <f>D1089*E1090+G1089*H1090+J1089*K1090</f>
        <v>95.113600000000005</v>
      </c>
      <c r="E1090" s="40">
        <v>11.889200000000001</v>
      </c>
      <c r="H1090" s="40">
        <v>11.889200000000001</v>
      </c>
    </row>
    <row r="1091" spans="1:8" x14ac:dyDescent="0.3">
      <c r="A1091" t="s">
        <v>950</v>
      </c>
      <c r="B1091" s="43">
        <v>126.81</v>
      </c>
      <c r="C1091" t="s">
        <v>69</v>
      </c>
      <c r="D1091">
        <v>6</v>
      </c>
      <c r="E1091" s="43">
        <v>17.170000000000002</v>
      </c>
      <c r="F1091" t="s">
        <v>74</v>
      </c>
      <c r="G1091">
        <v>2</v>
      </c>
      <c r="H1091" s="43">
        <v>11.89</v>
      </c>
    </row>
    <row r="1092" spans="1:8" s="40" customFormat="1" x14ac:dyDescent="0.3">
      <c r="A1092" s="41" t="s">
        <v>976</v>
      </c>
      <c r="B1092" s="40">
        <f>D1091*E1092+G1091*H1092+J1091*K1092</f>
        <v>126.80619999999999</v>
      </c>
      <c r="E1092" s="40">
        <v>17.171299999999999</v>
      </c>
      <c r="H1092" s="40">
        <v>11.889200000000001</v>
      </c>
    </row>
    <row r="1093" spans="1:8" x14ac:dyDescent="0.3">
      <c r="A1093" t="s">
        <v>952</v>
      </c>
      <c r="B1093" s="43">
        <v>110.97</v>
      </c>
      <c r="C1093" t="s">
        <v>31</v>
      </c>
      <c r="D1093">
        <v>6</v>
      </c>
      <c r="E1093" s="43">
        <v>14.53</v>
      </c>
      <c r="F1093" t="s">
        <v>74</v>
      </c>
      <c r="G1093">
        <v>2</v>
      </c>
      <c r="H1093">
        <v>11.89</v>
      </c>
    </row>
    <row r="1094" spans="1:8" s="40" customFormat="1" x14ac:dyDescent="0.3">
      <c r="A1094" s="41" t="s">
        <v>976</v>
      </c>
      <c r="B1094" s="40">
        <f>D1093*E1094+G1093*H1094+J1093*K1094</f>
        <v>110.97280000000001</v>
      </c>
      <c r="E1094" s="40">
        <v>14.532400000000001</v>
      </c>
      <c r="H1094" s="40">
        <v>11.889200000000001</v>
      </c>
    </row>
    <row r="1095" spans="1:8" x14ac:dyDescent="0.3">
      <c r="A1095" t="s">
        <v>953</v>
      </c>
      <c r="B1095" s="43">
        <v>110.97</v>
      </c>
      <c r="C1095" t="s">
        <v>31</v>
      </c>
      <c r="D1095">
        <v>6</v>
      </c>
      <c r="E1095" s="43">
        <v>14.53</v>
      </c>
      <c r="F1095" t="s">
        <v>74</v>
      </c>
      <c r="G1095">
        <v>2</v>
      </c>
      <c r="H1095" s="43">
        <v>11.89</v>
      </c>
    </row>
    <row r="1096" spans="1:8" s="40" customFormat="1" x14ac:dyDescent="0.3">
      <c r="A1096" s="41" t="s">
        <v>976</v>
      </c>
      <c r="B1096" s="40">
        <f>D1095*E1096+G1095*H1096+J1095*K1096</f>
        <v>110.97280000000001</v>
      </c>
      <c r="E1096" s="40">
        <v>14.532400000000001</v>
      </c>
      <c r="H1096" s="40">
        <v>11.889200000000001</v>
      </c>
    </row>
    <row r="1097" spans="1:8" x14ac:dyDescent="0.3">
      <c r="A1097" t="s">
        <v>951</v>
      </c>
      <c r="B1097" s="43">
        <v>58.11</v>
      </c>
      <c r="C1097" t="s">
        <v>24</v>
      </c>
      <c r="D1097">
        <v>6</v>
      </c>
      <c r="E1097" s="43">
        <v>6.6</v>
      </c>
      <c r="F1097" t="s">
        <v>87</v>
      </c>
      <c r="G1097">
        <v>2</v>
      </c>
      <c r="H1097" s="43">
        <v>9.25</v>
      </c>
    </row>
    <row r="1098" spans="1:8" s="40" customFormat="1" x14ac:dyDescent="0.3">
      <c r="A1098" s="41" t="s">
        <v>976</v>
      </c>
      <c r="B1098" s="40">
        <f>D1097*E1098+G1097*H1098+J1097*K1098</f>
        <v>58.107399999999998</v>
      </c>
      <c r="E1098" s="40">
        <v>6.6025999999999998</v>
      </c>
      <c r="H1098" s="40">
        <v>9.2459000000000007</v>
      </c>
    </row>
    <row r="1099" spans="1:8" x14ac:dyDescent="0.3">
      <c r="A1099" t="s">
        <v>956</v>
      </c>
      <c r="B1099" s="43">
        <v>89.83</v>
      </c>
      <c r="C1099" t="s">
        <v>65</v>
      </c>
      <c r="D1099">
        <v>6</v>
      </c>
      <c r="E1099" s="43">
        <v>11.89</v>
      </c>
      <c r="F1099" t="s">
        <v>87</v>
      </c>
      <c r="G1099">
        <v>2</v>
      </c>
      <c r="H1099" s="43">
        <v>9.25</v>
      </c>
    </row>
    <row r="1100" spans="1:8" s="40" customFormat="1" x14ac:dyDescent="0.3">
      <c r="A1100" s="41" t="s">
        <v>976</v>
      </c>
      <c r="B1100" s="40">
        <f>D1099*E1100+G1099*H1100+J1099*K1100</f>
        <v>89.826999999999998</v>
      </c>
      <c r="E1100" s="40">
        <v>11.889200000000001</v>
      </c>
      <c r="H1100" s="40">
        <v>9.2459000000000007</v>
      </c>
    </row>
    <row r="1101" spans="1:8" x14ac:dyDescent="0.3">
      <c r="A1101" t="s">
        <v>969</v>
      </c>
      <c r="B1101" s="43">
        <v>73.97</v>
      </c>
      <c r="C1101" t="s">
        <v>27</v>
      </c>
      <c r="D1101">
        <v>6</v>
      </c>
      <c r="E1101" s="43">
        <v>9.25</v>
      </c>
      <c r="F1101" t="s">
        <v>87</v>
      </c>
      <c r="G1101">
        <v>2</v>
      </c>
      <c r="H1101" s="43">
        <v>9.25</v>
      </c>
    </row>
    <row r="1102" spans="1:8" s="40" customFormat="1" x14ac:dyDescent="0.3">
      <c r="A1102" s="41" t="s">
        <v>976</v>
      </c>
      <c r="B1102" s="40">
        <f>D1101*E1102+G1101*H1102+J1101*K1102</f>
        <v>73.967200000000005</v>
      </c>
      <c r="E1102" s="40">
        <v>9.2459000000000007</v>
      </c>
      <c r="H1102" s="40">
        <v>9.2459000000000007</v>
      </c>
    </row>
    <row r="1103" spans="1:8" x14ac:dyDescent="0.3">
      <c r="A1103" t="s">
        <v>955</v>
      </c>
      <c r="B1103" s="43">
        <v>39.619999999999997</v>
      </c>
      <c r="C1103" t="s">
        <v>24</v>
      </c>
      <c r="D1103">
        <v>6</v>
      </c>
      <c r="E1103" s="43">
        <v>6.6</v>
      </c>
    </row>
    <row r="1104" spans="1:8" s="40" customFormat="1" x14ac:dyDescent="0.3">
      <c r="A1104" s="41" t="s">
        <v>976</v>
      </c>
      <c r="B1104" s="40">
        <f>D1103*E1104+G1103*H1104+J1103*K1104</f>
        <v>39.615600000000001</v>
      </c>
      <c r="E1104" s="40">
        <v>6.6025999999999998</v>
      </c>
    </row>
    <row r="1105" spans="1:11" x14ac:dyDescent="0.3">
      <c r="A1105" t="s">
        <v>971</v>
      </c>
      <c r="B1105" s="43">
        <v>166.4</v>
      </c>
      <c r="C1105" t="s">
        <v>69</v>
      </c>
      <c r="D1105">
        <v>6</v>
      </c>
      <c r="E1105" s="43">
        <v>17.170000000000002</v>
      </c>
      <c r="F1105" t="s">
        <v>110</v>
      </c>
      <c r="G1105">
        <v>2</v>
      </c>
      <c r="H1105" s="43">
        <v>15.85</v>
      </c>
      <c r="I1105" t="s">
        <v>137</v>
      </c>
      <c r="J1105">
        <v>8</v>
      </c>
      <c r="K1105" s="43">
        <v>3.96</v>
      </c>
    </row>
    <row r="1106" spans="1:11" s="40" customFormat="1" x14ac:dyDescent="0.3">
      <c r="A1106" s="41" t="s">
        <v>976</v>
      </c>
      <c r="B1106" s="40">
        <f>D1105*E1106+G1105*H1106+J1105*K1106</f>
        <v>166.40019999999998</v>
      </c>
      <c r="E1106" s="40">
        <v>17.171299999999999</v>
      </c>
      <c r="H1106" s="40">
        <v>15.848599999999999</v>
      </c>
      <c r="K1106" s="40">
        <v>3.9594</v>
      </c>
    </row>
    <row r="1107" spans="1:11" x14ac:dyDescent="0.3">
      <c r="A1107" t="s">
        <v>970</v>
      </c>
      <c r="B1107" s="43">
        <v>55.48</v>
      </c>
      <c r="C1107" t="s">
        <v>27</v>
      </c>
      <c r="D1107">
        <v>6</v>
      </c>
      <c r="E1107" s="43">
        <v>9.25</v>
      </c>
    </row>
    <row r="1108" spans="1:11" s="40" customFormat="1" x14ac:dyDescent="0.3">
      <c r="A1108" s="41" t="s">
        <v>976</v>
      </c>
      <c r="B1108" s="40">
        <f>D1107*E1108+G1107*H1108+J1107*K1108</f>
        <v>55.475400000000008</v>
      </c>
      <c r="E1108" s="40">
        <v>9.2459000000000007</v>
      </c>
    </row>
    <row r="1109" spans="1:11" x14ac:dyDescent="0.3">
      <c r="A1109" t="s">
        <v>954</v>
      </c>
      <c r="B1109" s="43">
        <v>150.57</v>
      </c>
      <c r="C1109" t="s">
        <v>31</v>
      </c>
      <c r="D1109">
        <v>6</v>
      </c>
      <c r="E1109" s="43">
        <v>14.53</v>
      </c>
      <c r="F1109" t="s">
        <v>110</v>
      </c>
      <c r="G1109">
        <v>2</v>
      </c>
      <c r="H1109" s="43">
        <v>15.85</v>
      </c>
      <c r="I1109" t="s">
        <v>137</v>
      </c>
      <c r="J1109">
        <v>8</v>
      </c>
      <c r="K1109">
        <v>3.96</v>
      </c>
    </row>
    <row r="1110" spans="1:11" s="40" customFormat="1" x14ac:dyDescent="0.3">
      <c r="A1110" s="41" t="s">
        <v>976</v>
      </c>
      <c r="B1110" s="40">
        <f>D1109*E1110+G1109*H1110+J1109*K1110</f>
        <v>150.5668</v>
      </c>
      <c r="E1110" s="40">
        <v>14.532400000000001</v>
      </c>
      <c r="H1110" s="40">
        <v>15.848599999999999</v>
      </c>
      <c r="K1110" s="40">
        <v>3.9594</v>
      </c>
    </row>
    <row r="1111" spans="1:11" x14ac:dyDescent="0.3">
      <c r="A1111" t="s">
        <v>957</v>
      </c>
      <c r="B1111" s="43">
        <v>372.56</v>
      </c>
      <c r="C1111" t="s">
        <v>31</v>
      </c>
      <c r="D1111">
        <v>24</v>
      </c>
      <c r="E1111" s="43">
        <v>14.53</v>
      </c>
      <c r="F1111" t="s">
        <v>74</v>
      </c>
      <c r="G1111">
        <v>2</v>
      </c>
      <c r="H1111" s="43">
        <v>11.89</v>
      </c>
    </row>
    <row r="1112" spans="1:11" s="40" customFormat="1" x14ac:dyDescent="0.3">
      <c r="A1112" s="41" t="s">
        <v>976</v>
      </c>
      <c r="B1112" s="40">
        <f>D1111*E1112+G1111*H1112+J1111*K1112</f>
        <v>372.55599999999998</v>
      </c>
      <c r="E1112" s="40">
        <v>14.532400000000001</v>
      </c>
      <c r="H1112" s="40">
        <v>11.889200000000001</v>
      </c>
    </row>
    <row r="1113" spans="1:11" x14ac:dyDescent="0.3">
      <c r="A1113" t="s">
        <v>958</v>
      </c>
      <c r="B1113" s="43">
        <v>372.56</v>
      </c>
      <c r="C1113" t="s">
        <v>31</v>
      </c>
      <c r="D1113">
        <v>24</v>
      </c>
      <c r="E1113" s="43">
        <v>14.53</v>
      </c>
      <c r="F1113" t="s">
        <v>74</v>
      </c>
      <c r="G1113">
        <v>2</v>
      </c>
      <c r="H1113" s="43">
        <v>11.89</v>
      </c>
    </row>
    <row r="1114" spans="1:11" s="40" customFormat="1" x14ac:dyDescent="0.3">
      <c r="A1114" s="41" t="s">
        <v>976</v>
      </c>
      <c r="B1114" s="40">
        <f>D1113*E1114+G1113*H1114+J1113*K1114</f>
        <v>372.55599999999998</v>
      </c>
      <c r="E1114" s="40">
        <v>14.532400000000001</v>
      </c>
      <c r="H1114" s="40">
        <v>11.889200000000001</v>
      </c>
    </row>
    <row r="1115" spans="1:11" x14ac:dyDescent="0.3">
      <c r="A1115" t="s">
        <v>972</v>
      </c>
      <c r="B1115" s="43">
        <v>198.17</v>
      </c>
      <c r="C1115" t="s">
        <v>31</v>
      </c>
      <c r="D1115">
        <v>12</v>
      </c>
      <c r="E1115" s="43">
        <v>14.53</v>
      </c>
      <c r="F1115" t="s">
        <v>74</v>
      </c>
      <c r="G1115">
        <v>2</v>
      </c>
      <c r="H1115" s="43">
        <v>11.89</v>
      </c>
    </row>
    <row r="1116" spans="1:11" s="40" customFormat="1" x14ac:dyDescent="0.3">
      <c r="A1116" s="41" t="s">
        <v>976</v>
      </c>
      <c r="B1116" s="40">
        <f>D1115*E1116+G1115*H1116+J1115*K1116</f>
        <v>198.16720000000001</v>
      </c>
      <c r="E1116" s="40">
        <v>14.532400000000001</v>
      </c>
      <c r="H1116" s="40">
        <v>11.889200000000001</v>
      </c>
    </row>
    <row r="1117" spans="1:11" x14ac:dyDescent="0.3">
      <c r="A1117" t="s">
        <v>974</v>
      </c>
      <c r="B1117" s="43">
        <v>198.17</v>
      </c>
      <c r="C1117" t="s">
        <v>31</v>
      </c>
      <c r="D1117">
        <v>12</v>
      </c>
      <c r="E1117" s="43">
        <v>14.53</v>
      </c>
      <c r="F1117" t="s">
        <v>74</v>
      </c>
      <c r="G1117">
        <v>2</v>
      </c>
      <c r="H1117" s="43">
        <v>11.89</v>
      </c>
    </row>
    <row r="1118" spans="1:11" s="40" customFormat="1" x14ac:dyDescent="0.3">
      <c r="A1118" s="41" t="s">
        <v>976</v>
      </c>
      <c r="B1118" s="40">
        <f>D1117*E1118+G1117*H1118+J1117*K1118</f>
        <v>198.16720000000001</v>
      </c>
      <c r="E1118" s="40">
        <v>14.532400000000001</v>
      </c>
      <c r="H1118" s="40">
        <v>11.889200000000001</v>
      </c>
    </row>
    <row r="1119" spans="1:11" x14ac:dyDescent="0.3">
      <c r="A1119" t="s">
        <v>959</v>
      </c>
      <c r="B1119" s="43">
        <v>404.18</v>
      </c>
      <c r="C1119" t="s">
        <v>33</v>
      </c>
      <c r="D1119">
        <v>18</v>
      </c>
      <c r="E1119" s="43">
        <v>19.809999999999999</v>
      </c>
      <c r="F1119" t="s">
        <v>79</v>
      </c>
      <c r="G1119">
        <v>2</v>
      </c>
      <c r="H1119" s="43">
        <v>23.77</v>
      </c>
    </row>
    <row r="1120" spans="1:11" s="40" customFormat="1" x14ac:dyDescent="0.3">
      <c r="A1120" s="41" t="s">
        <v>976</v>
      </c>
      <c r="B1120" s="40">
        <f>D1119*E1120+G1119*H1120+J1119*K1120</f>
        <v>404.17760000000004</v>
      </c>
      <c r="E1120" s="40">
        <v>19.813500000000001</v>
      </c>
      <c r="H1120" s="40">
        <v>23.767299999999999</v>
      </c>
    </row>
    <row r="1121" spans="1:8" x14ac:dyDescent="0.3">
      <c r="A1121" t="s">
        <v>961</v>
      </c>
      <c r="B1121" s="43">
        <v>285.3</v>
      </c>
      <c r="C1121" t="s">
        <v>33</v>
      </c>
      <c r="D1121">
        <v>12</v>
      </c>
      <c r="E1121" s="43">
        <v>19.809999999999999</v>
      </c>
      <c r="F1121" t="s">
        <v>79</v>
      </c>
      <c r="G1121">
        <v>2</v>
      </c>
      <c r="H1121" s="43">
        <v>23.77</v>
      </c>
    </row>
    <row r="1122" spans="1:8" s="40" customFormat="1" x14ac:dyDescent="0.3">
      <c r="A1122" s="41" t="s">
        <v>976</v>
      </c>
      <c r="B1122" s="40">
        <f>D1121*E1122+G1121*H1122+J1121*K1122</f>
        <v>285.29660000000001</v>
      </c>
      <c r="E1122" s="40">
        <v>19.813500000000001</v>
      </c>
      <c r="H1122" s="40">
        <v>23.767299999999999</v>
      </c>
    </row>
    <row r="1123" spans="1:8" x14ac:dyDescent="0.3">
      <c r="A1123" t="s">
        <v>960</v>
      </c>
      <c r="B1123" s="43">
        <v>285.3</v>
      </c>
      <c r="C1123" t="s">
        <v>33</v>
      </c>
      <c r="D1123">
        <v>12</v>
      </c>
      <c r="E1123" s="43">
        <v>19.809999999999999</v>
      </c>
      <c r="F1123" t="s">
        <v>79</v>
      </c>
      <c r="G1123">
        <v>2</v>
      </c>
      <c r="H1123" s="43">
        <v>23.77</v>
      </c>
    </row>
    <row r="1124" spans="1:8" s="40" customFormat="1" x14ac:dyDescent="0.3">
      <c r="A1124" s="41" t="s">
        <v>976</v>
      </c>
      <c r="B1124" s="40">
        <f>D1123*E1124+G1123*H1124+J1123*K1124</f>
        <v>285.29660000000001</v>
      </c>
      <c r="E1124" s="40">
        <v>19.813500000000001</v>
      </c>
      <c r="H1124" s="40">
        <v>23.767299999999999</v>
      </c>
    </row>
    <row r="1125" spans="1:8" x14ac:dyDescent="0.3">
      <c r="A1125" t="s">
        <v>973</v>
      </c>
      <c r="B1125" s="43">
        <v>641.94000000000005</v>
      </c>
      <c r="C1125" t="s">
        <v>33</v>
      </c>
      <c r="D1125">
        <v>30</v>
      </c>
      <c r="E1125" s="43">
        <v>19.809999999999999</v>
      </c>
      <c r="F1125" t="s">
        <v>79</v>
      </c>
      <c r="G1125">
        <v>2</v>
      </c>
      <c r="H1125" s="43">
        <v>23.77</v>
      </c>
    </row>
    <row r="1126" spans="1:8" s="40" customFormat="1" x14ac:dyDescent="0.3">
      <c r="A1126" s="41" t="s">
        <v>976</v>
      </c>
      <c r="B1126" s="40">
        <f>D1125*E1126+G1125*H1126+J1125*K1126</f>
        <v>641.93960000000004</v>
      </c>
      <c r="E1126" s="40">
        <v>19.813500000000001</v>
      </c>
      <c r="H1126" s="40">
        <v>23.767299999999999</v>
      </c>
    </row>
    <row r="1127" spans="1:8" x14ac:dyDescent="0.3">
      <c r="A1127" t="s">
        <v>609</v>
      </c>
      <c r="B1127" s="43">
        <v>372.56</v>
      </c>
      <c r="C1127" t="s">
        <v>31</v>
      </c>
      <c r="D1127">
        <v>24</v>
      </c>
      <c r="E1127" s="43">
        <v>14.53</v>
      </c>
      <c r="F1127" t="s">
        <v>74</v>
      </c>
      <c r="G1127">
        <v>2</v>
      </c>
      <c r="H1127" s="43">
        <v>11.89</v>
      </c>
    </row>
    <row r="1128" spans="1:8" s="40" customFormat="1" x14ac:dyDescent="0.3">
      <c r="A1128" s="41" t="s">
        <v>976</v>
      </c>
      <c r="B1128" s="40">
        <f>D1127*E1128+G1127*H1128+J1127*K1128</f>
        <v>372.55599999999998</v>
      </c>
      <c r="E1128" s="40">
        <v>14.532400000000001</v>
      </c>
      <c r="H1128" s="40">
        <v>11.889200000000001</v>
      </c>
    </row>
    <row r="1129" spans="1:8" x14ac:dyDescent="0.3">
      <c r="A1129" t="s">
        <v>504</v>
      </c>
      <c r="B1129" s="43">
        <v>546.94000000000005</v>
      </c>
      <c r="C1129" t="s">
        <v>31</v>
      </c>
      <c r="D1129">
        <v>36</v>
      </c>
      <c r="E1129" s="43">
        <v>14.53</v>
      </c>
      <c r="F1129" t="s">
        <v>74</v>
      </c>
      <c r="G1129">
        <v>2</v>
      </c>
      <c r="H1129" s="43">
        <v>11.89</v>
      </c>
    </row>
    <row r="1130" spans="1:8" s="40" customFormat="1" x14ac:dyDescent="0.3">
      <c r="A1130" s="41" t="s">
        <v>976</v>
      </c>
      <c r="B1130" s="40">
        <f>D1129*E1130+G1129*H1130+J1129*K1130</f>
        <v>546.9448000000001</v>
      </c>
      <c r="E1130" s="40">
        <v>14.532400000000001</v>
      </c>
      <c r="H1130" s="40">
        <v>11.889200000000001</v>
      </c>
    </row>
    <row r="1131" spans="1:8" x14ac:dyDescent="0.3">
      <c r="A1131" t="s">
        <v>621</v>
      </c>
      <c r="B1131" s="43">
        <v>435.89</v>
      </c>
      <c r="C1131" t="s">
        <v>69</v>
      </c>
      <c r="D1131">
        <v>24</v>
      </c>
      <c r="E1131" s="43">
        <v>17.170000000000002</v>
      </c>
      <c r="F1131" t="s">
        <v>74</v>
      </c>
      <c r="G1131">
        <v>2</v>
      </c>
      <c r="H1131">
        <v>11.89</v>
      </c>
    </row>
    <row r="1132" spans="1:8" s="40" customFormat="1" x14ac:dyDescent="0.3">
      <c r="A1132" s="41" t="s">
        <v>976</v>
      </c>
      <c r="B1132" s="40">
        <f>D1131*E1132+G1131*H1132+J1131*K1132</f>
        <v>435.88959999999992</v>
      </c>
      <c r="E1132" s="40">
        <v>17.171299999999999</v>
      </c>
      <c r="H1132" s="40">
        <v>11.889200000000001</v>
      </c>
    </row>
    <row r="1133" spans="1:8" x14ac:dyDescent="0.3">
      <c r="A1133" t="s">
        <v>510</v>
      </c>
      <c r="B1133" s="43">
        <v>641.95000000000005</v>
      </c>
      <c r="C1133" t="s">
        <v>69</v>
      </c>
      <c r="D1133">
        <v>36</v>
      </c>
      <c r="E1133" s="43">
        <v>17.170000000000002</v>
      </c>
      <c r="F1133" t="s">
        <v>74</v>
      </c>
      <c r="G1133">
        <v>2</v>
      </c>
      <c r="H1133" s="43">
        <v>11.89</v>
      </c>
    </row>
    <row r="1134" spans="1:8" s="40" customFormat="1" x14ac:dyDescent="0.3">
      <c r="A1134" s="41" t="s">
        <v>976</v>
      </c>
      <c r="B1134" s="40">
        <f>D1133*E1134+G1133*H1134+J1133*K1134</f>
        <v>641.9452</v>
      </c>
      <c r="E1134" s="40">
        <v>17.171299999999999</v>
      </c>
      <c r="H1134" s="40">
        <v>11.889200000000001</v>
      </c>
    </row>
    <row r="1135" spans="1:8" x14ac:dyDescent="0.3">
      <c r="A1135" t="s">
        <v>700</v>
      </c>
      <c r="B1135" s="43">
        <v>285.36</v>
      </c>
      <c r="C1135" t="s">
        <v>31</v>
      </c>
      <c r="D1135">
        <v>18</v>
      </c>
      <c r="E1135" s="43">
        <v>14.53</v>
      </c>
      <c r="F1135" t="s">
        <v>74</v>
      </c>
      <c r="G1135">
        <v>2</v>
      </c>
      <c r="H1135" s="43">
        <v>11.89</v>
      </c>
    </row>
    <row r="1136" spans="1:8" s="40" customFormat="1" x14ac:dyDescent="0.3">
      <c r="A1136" s="41" t="s">
        <v>976</v>
      </c>
      <c r="B1136" s="40">
        <f>D1135*E1136+G1135*H1136+J1135*K1136</f>
        <v>285.36160000000001</v>
      </c>
      <c r="E1136" s="40">
        <v>14.532400000000001</v>
      </c>
      <c r="H1136" s="40">
        <v>11.889200000000001</v>
      </c>
    </row>
    <row r="1137" spans="1:11" x14ac:dyDescent="0.3">
      <c r="A1137" t="s">
        <v>740</v>
      </c>
      <c r="B1137" s="43">
        <v>298.52</v>
      </c>
      <c r="C1137" t="s">
        <v>69</v>
      </c>
      <c r="D1137">
        <v>16</v>
      </c>
      <c r="E1137" s="43">
        <v>17.170000000000002</v>
      </c>
      <c r="F1137" t="s">
        <v>74</v>
      </c>
      <c r="G1137">
        <v>2</v>
      </c>
      <c r="H1137" s="43">
        <v>11.89</v>
      </c>
    </row>
    <row r="1138" spans="1:11" s="40" customFormat="1" x14ac:dyDescent="0.3">
      <c r="A1138" s="41" t="s">
        <v>976</v>
      </c>
      <c r="B1138" s="40">
        <f>D1137*E1138+G1137*H1138+J1137*K1138</f>
        <v>298.51919999999996</v>
      </c>
      <c r="E1138" s="40">
        <v>17.171299999999999</v>
      </c>
      <c r="H1138" s="40">
        <v>11.889200000000001</v>
      </c>
    </row>
    <row r="1139" spans="1:11" x14ac:dyDescent="0.3">
      <c r="A1139" t="s">
        <v>704</v>
      </c>
      <c r="B1139" s="43">
        <v>285.36</v>
      </c>
      <c r="C1139" t="s">
        <v>31</v>
      </c>
      <c r="D1139">
        <v>18</v>
      </c>
      <c r="E1139" s="43">
        <v>14.53</v>
      </c>
      <c r="F1139" t="s">
        <v>74</v>
      </c>
      <c r="G1139">
        <v>2</v>
      </c>
      <c r="H1139" s="43">
        <v>11.89</v>
      </c>
    </row>
    <row r="1140" spans="1:11" s="40" customFormat="1" x14ac:dyDescent="0.3">
      <c r="A1140" s="41" t="s">
        <v>976</v>
      </c>
      <c r="B1140" s="40">
        <f>D1139*E1140+G1139*H1140+J1139*K1140</f>
        <v>285.36160000000001</v>
      </c>
      <c r="E1140" s="40">
        <v>14.532400000000001</v>
      </c>
      <c r="H1140" s="40">
        <v>11.889200000000001</v>
      </c>
    </row>
    <row r="1141" spans="1:11" x14ac:dyDescent="0.3">
      <c r="A1141" t="s">
        <v>762</v>
      </c>
      <c r="B1141" s="43">
        <v>153.22</v>
      </c>
      <c r="C1141" t="s">
        <v>27</v>
      </c>
      <c r="D1141">
        <v>14</v>
      </c>
      <c r="E1141" s="43">
        <v>9.25</v>
      </c>
      <c r="F1141" t="s">
        <v>72</v>
      </c>
      <c r="G1141">
        <v>2</v>
      </c>
      <c r="H1141" s="43">
        <v>11.89</v>
      </c>
    </row>
    <row r="1142" spans="1:11" s="40" customFormat="1" x14ac:dyDescent="0.3">
      <c r="A1142" s="41" t="s">
        <v>976</v>
      </c>
      <c r="B1142" s="40">
        <f>D1141*E1142+G1141*H1142+J1141*K1142</f>
        <v>153.221</v>
      </c>
      <c r="E1142" s="40">
        <v>9.2459000000000007</v>
      </c>
      <c r="H1142" s="40">
        <v>11.889200000000001</v>
      </c>
    </row>
    <row r="1143" spans="1:11" x14ac:dyDescent="0.3">
      <c r="A1143" t="s">
        <v>777</v>
      </c>
      <c r="B1143" s="43">
        <v>227.23</v>
      </c>
      <c r="C1143" t="s">
        <v>31</v>
      </c>
      <c r="D1143">
        <v>14</v>
      </c>
      <c r="E1143" s="43">
        <v>14.53</v>
      </c>
      <c r="F1143" t="s">
        <v>74</v>
      </c>
      <c r="G1143">
        <v>2</v>
      </c>
      <c r="H1143" s="43">
        <v>11.89</v>
      </c>
    </row>
    <row r="1144" spans="1:11" s="40" customFormat="1" x14ac:dyDescent="0.3">
      <c r="A1144" s="41" t="s">
        <v>976</v>
      </c>
      <c r="B1144" s="40">
        <f>D1143*E1144+G1143*H1144+J1143*K1144</f>
        <v>227.23200000000003</v>
      </c>
      <c r="E1144" s="40">
        <v>14.532400000000001</v>
      </c>
      <c r="H1144" s="40">
        <v>11.889200000000001</v>
      </c>
    </row>
    <row r="1145" spans="1:11" x14ac:dyDescent="0.3">
      <c r="A1145" t="s">
        <v>791</v>
      </c>
      <c r="B1145" s="43">
        <v>364.55</v>
      </c>
      <c r="C1145" t="s">
        <v>59</v>
      </c>
      <c r="D1145">
        <v>12</v>
      </c>
      <c r="E1145" s="43">
        <v>26.42</v>
      </c>
      <c r="F1145" t="s">
        <v>85</v>
      </c>
      <c r="G1145">
        <v>2</v>
      </c>
      <c r="H1145" s="43">
        <v>23.77</v>
      </c>
    </row>
    <row r="1146" spans="1:11" s="40" customFormat="1" x14ac:dyDescent="0.3">
      <c r="A1146" s="41" t="s">
        <v>976</v>
      </c>
      <c r="B1146" s="40">
        <f>D1145*E1146+G1145*H1146+J1145*K1146</f>
        <v>364.54820000000001</v>
      </c>
      <c r="E1146" s="40">
        <v>26.4178</v>
      </c>
      <c r="H1146" s="40">
        <v>23.767299999999999</v>
      </c>
    </row>
    <row r="1147" spans="1:11" x14ac:dyDescent="0.3">
      <c r="A1147" t="s">
        <v>856</v>
      </c>
      <c r="B1147" s="43">
        <v>285.3</v>
      </c>
      <c r="C1147" t="s">
        <v>33</v>
      </c>
      <c r="D1147">
        <v>12</v>
      </c>
      <c r="E1147" s="43">
        <v>19.809999999999999</v>
      </c>
      <c r="F1147" t="s">
        <v>79</v>
      </c>
      <c r="G1147">
        <v>2</v>
      </c>
      <c r="H1147" s="43">
        <v>23.77</v>
      </c>
    </row>
    <row r="1148" spans="1:11" s="40" customFormat="1" x14ac:dyDescent="0.3">
      <c r="A1148" s="41" t="s">
        <v>976</v>
      </c>
      <c r="B1148" s="40">
        <f>D1147*E1148+G1147*H1148+J1147*K1148</f>
        <v>285.29660000000001</v>
      </c>
      <c r="E1148" s="40">
        <v>19.813500000000001</v>
      </c>
      <c r="H1148" s="40">
        <v>23.767299999999999</v>
      </c>
    </row>
    <row r="1149" spans="1:11" x14ac:dyDescent="0.3">
      <c r="A1149" t="s">
        <v>795</v>
      </c>
      <c r="B1149" s="43">
        <v>261.52</v>
      </c>
      <c r="C1149" t="s">
        <v>27</v>
      </c>
      <c r="D1149">
        <v>12</v>
      </c>
      <c r="E1149" s="43">
        <v>9.25</v>
      </c>
      <c r="F1149" t="s">
        <v>72</v>
      </c>
      <c r="G1149">
        <v>2</v>
      </c>
      <c r="H1149" s="43">
        <v>11.89</v>
      </c>
      <c r="I1149" t="s">
        <v>160</v>
      </c>
      <c r="J1149">
        <v>8</v>
      </c>
      <c r="K1149">
        <v>15.85</v>
      </c>
    </row>
    <row r="1150" spans="1:11" s="40" customFormat="1" x14ac:dyDescent="0.3">
      <c r="A1150" s="41" t="s">
        <v>976</v>
      </c>
      <c r="B1150" s="40">
        <f>D1149*E1150+G1149*H1150+J1149*K1150</f>
        <v>261.51800000000003</v>
      </c>
      <c r="E1150" s="40">
        <v>9.2459000000000007</v>
      </c>
      <c r="H1150" s="40">
        <v>11.889200000000001</v>
      </c>
      <c r="K1150" s="40">
        <v>15.848599999999999</v>
      </c>
    </row>
    <row r="1151" spans="1:11" x14ac:dyDescent="0.3">
      <c r="A1151" t="s">
        <v>824</v>
      </c>
      <c r="B1151" s="43">
        <v>388.32</v>
      </c>
      <c r="C1151" t="s">
        <v>69</v>
      </c>
      <c r="D1151">
        <v>12</v>
      </c>
      <c r="E1151" s="43">
        <v>17.170000000000002</v>
      </c>
      <c r="F1151" t="s">
        <v>74</v>
      </c>
      <c r="G1151">
        <v>2</v>
      </c>
      <c r="H1151" s="43">
        <v>11.89</v>
      </c>
      <c r="I1151" t="s">
        <v>160</v>
      </c>
      <c r="J1151">
        <v>10</v>
      </c>
      <c r="K1151">
        <v>15.85</v>
      </c>
    </row>
    <row r="1152" spans="1:11" s="40" customFormat="1" x14ac:dyDescent="0.3">
      <c r="A1152" s="41" t="s">
        <v>976</v>
      </c>
      <c r="B1152" s="40">
        <f>D1151*E1152+G1151*H1152+J1151*K1152</f>
        <v>388.31999999999994</v>
      </c>
      <c r="E1152" s="40">
        <v>17.171299999999999</v>
      </c>
      <c r="H1152" s="40">
        <v>11.889200000000001</v>
      </c>
      <c r="K1152" s="40">
        <v>15.848599999999999</v>
      </c>
    </row>
    <row r="1153" spans="1:11" x14ac:dyDescent="0.3">
      <c r="A1153" t="s">
        <v>899</v>
      </c>
      <c r="B1153" s="43">
        <v>169.1</v>
      </c>
      <c r="C1153" t="s">
        <v>31</v>
      </c>
      <c r="D1153">
        <v>10</v>
      </c>
      <c r="E1153" s="43">
        <v>14.53</v>
      </c>
      <c r="F1153" t="s">
        <v>74</v>
      </c>
      <c r="G1153">
        <v>2</v>
      </c>
      <c r="H1153" s="43">
        <v>11.89</v>
      </c>
    </row>
    <row r="1154" spans="1:11" s="40" customFormat="1" x14ac:dyDescent="0.3">
      <c r="A1154" s="41" t="s">
        <v>976</v>
      </c>
      <c r="B1154" s="40">
        <f>D1153*E1154+G1153*H1154+J1153*K1154</f>
        <v>169.10240000000002</v>
      </c>
      <c r="E1154" s="40">
        <v>14.532400000000001</v>
      </c>
      <c r="H1154" s="40">
        <v>11.889200000000001</v>
      </c>
    </row>
    <row r="1155" spans="1:11" x14ac:dyDescent="0.3">
      <c r="A1155" t="s">
        <v>938</v>
      </c>
      <c r="B1155" s="43">
        <v>79.25</v>
      </c>
      <c r="C1155" t="s">
        <v>27</v>
      </c>
      <c r="D1155">
        <v>6</v>
      </c>
      <c r="E1155" s="43">
        <v>9.25</v>
      </c>
      <c r="F1155" t="s">
        <v>72</v>
      </c>
      <c r="G1155">
        <v>2</v>
      </c>
      <c r="H1155" s="43">
        <v>11.89</v>
      </c>
    </row>
    <row r="1156" spans="1:11" s="40" customFormat="1" x14ac:dyDescent="0.3">
      <c r="A1156" s="41" t="s">
        <v>976</v>
      </c>
      <c r="B1156" s="40">
        <f>D1155*E1156+G1155*H1156+J1155*K1156</f>
        <v>79.253800000000012</v>
      </c>
      <c r="E1156" s="40">
        <v>9.2459000000000007</v>
      </c>
      <c r="H1156" s="40">
        <v>11.889200000000001</v>
      </c>
    </row>
    <row r="1157" spans="1:11" x14ac:dyDescent="0.3">
      <c r="A1157" t="s">
        <v>948</v>
      </c>
      <c r="B1157" s="43">
        <v>158.52000000000001</v>
      </c>
      <c r="C1157" t="s">
        <v>31</v>
      </c>
      <c r="D1157">
        <v>6</v>
      </c>
      <c r="E1157" s="43">
        <v>14.53</v>
      </c>
      <c r="F1157" t="s">
        <v>74</v>
      </c>
      <c r="G1157">
        <v>2</v>
      </c>
      <c r="H1157" s="43">
        <v>11.89</v>
      </c>
      <c r="I1157" t="s">
        <v>164</v>
      </c>
      <c r="J1157">
        <v>3</v>
      </c>
      <c r="K1157" s="43">
        <v>15.85</v>
      </c>
    </row>
    <row r="1158" spans="1:11" s="40" customFormat="1" x14ac:dyDescent="0.3">
      <c r="A1158" s="41" t="s">
        <v>976</v>
      </c>
      <c r="B1158" s="40">
        <f>D1157*E1158+G1157*H1158+J1157*K1158</f>
        <v>158.51859999999999</v>
      </c>
      <c r="E1158" s="40">
        <v>14.532400000000001</v>
      </c>
      <c r="H1158" s="40">
        <v>11.889200000000001</v>
      </c>
      <c r="K1158" s="40">
        <v>15.848599999999999</v>
      </c>
    </row>
    <row r="1159" spans="1:11" x14ac:dyDescent="0.3">
      <c r="A1159" t="s">
        <v>975</v>
      </c>
      <c r="B1159" s="43">
        <v>523.05999999999995</v>
      </c>
      <c r="C1159" t="s">
        <v>33</v>
      </c>
      <c r="D1159">
        <v>24</v>
      </c>
      <c r="E1159" s="43">
        <v>19.809999999999999</v>
      </c>
      <c r="F1159" t="s">
        <v>79</v>
      </c>
      <c r="G1159">
        <v>2</v>
      </c>
      <c r="H1159" s="43">
        <v>23.77</v>
      </c>
    </row>
    <row r="1160" spans="1:11" s="40" customFormat="1" x14ac:dyDescent="0.3">
      <c r="A1160" s="41" t="s">
        <v>976</v>
      </c>
      <c r="B1160" s="40">
        <f>D1159*E1160+G1159*H1160+J1159*K1160</f>
        <v>523.05859999999996</v>
      </c>
      <c r="E1160" s="40">
        <v>19.813500000000001</v>
      </c>
      <c r="H1160" s="40">
        <v>23.767299999999999</v>
      </c>
    </row>
    <row r="1161" spans="1:11" x14ac:dyDescent="0.3">
      <c r="A1161" t="s">
        <v>771</v>
      </c>
      <c r="B1161" s="43">
        <v>227.23</v>
      </c>
      <c r="C1161" t="s">
        <v>31</v>
      </c>
      <c r="D1161">
        <v>14</v>
      </c>
      <c r="E1161" s="43">
        <v>14.53</v>
      </c>
      <c r="F1161" t="s">
        <v>74</v>
      </c>
      <c r="G1161">
        <v>2</v>
      </c>
      <c r="H1161" s="43">
        <v>11.89</v>
      </c>
    </row>
    <row r="1162" spans="1:11" s="40" customFormat="1" x14ac:dyDescent="0.3">
      <c r="A1162" s="41" t="s">
        <v>976</v>
      </c>
      <c r="B1162" s="40">
        <f>D1161*E1162+G1161*H1162+J1161*K1162</f>
        <v>227.23200000000003</v>
      </c>
      <c r="E1162" s="40">
        <v>14.532400000000001</v>
      </c>
      <c r="H1162" s="40">
        <v>11.889200000000001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CDAE-9FEC-48FE-A62D-8BC9CD8B58F4}">
  <sheetPr codeName="Sheet10"/>
  <dimension ref="A1:I582"/>
  <sheetViews>
    <sheetView tabSelected="1" workbookViewId="0">
      <selection activeCell="A2" sqref="A2"/>
    </sheetView>
  </sheetViews>
  <sheetFormatPr defaultRowHeight="14.4" x14ac:dyDescent="0.3"/>
  <cols>
    <col min="1" max="1" width="17.44140625" bestFit="1" customWidth="1"/>
    <col min="2" max="2" width="11.6640625" bestFit="1" customWidth="1"/>
    <col min="3" max="3" width="22.6640625" hidden="1" customWidth="1"/>
    <col min="5" max="5" width="23" hidden="1" customWidth="1"/>
    <col min="6" max="6" width="9" bestFit="1" customWidth="1"/>
    <col min="7" max="7" width="23.33203125" hidden="1" customWidth="1"/>
    <col min="9" max="9" width="0" hidden="1" customWidth="1"/>
    <col min="11" max="11" width="0" hidden="1" customWidth="1"/>
  </cols>
  <sheetData>
    <row r="1" spans="1:9" x14ac:dyDescent="0.3">
      <c r="A1" t="s">
        <v>5</v>
      </c>
      <c r="B1" t="s">
        <v>977</v>
      </c>
      <c r="C1" t="s">
        <v>979</v>
      </c>
      <c r="D1" t="s">
        <v>15</v>
      </c>
      <c r="E1" t="s">
        <v>978</v>
      </c>
      <c r="F1" t="s">
        <v>980</v>
      </c>
      <c r="G1" t="s">
        <v>981</v>
      </c>
      <c r="H1" t="s">
        <v>982</v>
      </c>
      <c r="I1" t="s">
        <v>983</v>
      </c>
    </row>
    <row r="2" spans="1:9" x14ac:dyDescent="0.3">
      <c r="A2" t="s">
        <v>396</v>
      </c>
      <c r="B2" s="43">
        <v>2164</v>
      </c>
      <c r="C2">
        <v>2164.0008000000003</v>
      </c>
      <c r="D2">
        <v>2400.37</v>
      </c>
      <c r="E2">
        <v>2400.3748465926487</v>
      </c>
      <c r="F2">
        <v>13372.44</v>
      </c>
      <c r="G2">
        <v>13372.442943599999</v>
      </c>
      <c r="H2">
        <v>180845.55</v>
      </c>
      <c r="I2">
        <v>180845.546856</v>
      </c>
    </row>
    <row r="3" spans="1:9" x14ac:dyDescent="0.3">
      <c r="A3" t="s">
        <v>397</v>
      </c>
      <c r="B3" s="43">
        <v>1168.95</v>
      </c>
      <c r="C3">
        <v>1168.954</v>
      </c>
      <c r="D3">
        <v>1296.6400000000001</v>
      </c>
      <c r="E3">
        <v>1296.6389746361754</v>
      </c>
      <c r="F3">
        <v>7223.55</v>
      </c>
      <c r="G3">
        <v>7223.551242999999</v>
      </c>
      <c r="H3">
        <v>97689.49</v>
      </c>
      <c r="I3">
        <v>97689.485780000003</v>
      </c>
    </row>
    <row r="4" spans="1:9" x14ac:dyDescent="0.3">
      <c r="A4" t="s">
        <v>404</v>
      </c>
      <c r="B4" s="43">
        <v>2496.46</v>
      </c>
      <c r="C4">
        <v>2496.4565000000002</v>
      </c>
      <c r="D4">
        <v>2769.14</v>
      </c>
      <c r="E4">
        <v>2769.1447194533016</v>
      </c>
      <c r="F4">
        <v>15426.85</v>
      </c>
      <c r="G4">
        <v>15426.852941750003</v>
      </c>
      <c r="H4">
        <v>208628.87</v>
      </c>
      <c r="I4">
        <v>208628.86970499999</v>
      </c>
    </row>
    <row r="5" spans="1:9" x14ac:dyDescent="0.3">
      <c r="A5" t="s">
        <v>395</v>
      </c>
      <c r="B5" s="43">
        <v>1402.74</v>
      </c>
      <c r="C5">
        <v>1402.7448000000002</v>
      </c>
      <c r="D5">
        <v>1555.97</v>
      </c>
      <c r="E5">
        <v>1555.9667695634105</v>
      </c>
      <c r="F5">
        <v>8668.26</v>
      </c>
      <c r="G5">
        <v>8668.2614915999984</v>
      </c>
      <c r="H5">
        <v>117227.38</v>
      </c>
      <c r="I5">
        <v>117227.38293599999</v>
      </c>
    </row>
    <row r="6" spans="1:9" x14ac:dyDescent="0.3">
      <c r="A6" t="s">
        <v>401</v>
      </c>
      <c r="B6" s="43">
        <v>1803.33</v>
      </c>
      <c r="C6">
        <v>1803.3340000000001</v>
      </c>
      <c r="D6">
        <v>2000.31</v>
      </c>
      <c r="E6">
        <v>2000.3123721605407</v>
      </c>
      <c r="F6">
        <v>11143.7</v>
      </c>
      <c r="G6">
        <v>11143.702453</v>
      </c>
      <c r="H6">
        <v>150704.62</v>
      </c>
      <c r="I6">
        <v>150704.62237999999</v>
      </c>
    </row>
    <row r="7" spans="1:9" x14ac:dyDescent="0.3">
      <c r="A7" t="s">
        <v>398</v>
      </c>
      <c r="B7" s="43">
        <v>1168.95</v>
      </c>
      <c r="C7">
        <v>1168.954</v>
      </c>
      <c r="D7">
        <v>1296.6400000000001</v>
      </c>
      <c r="E7">
        <v>1296.6389746361754</v>
      </c>
      <c r="F7">
        <v>7223.55</v>
      </c>
      <c r="G7">
        <v>7223.551242999999</v>
      </c>
      <c r="H7">
        <v>97689.49</v>
      </c>
      <c r="I7">
        <v>97689.485780000003</v>
      </c>
    </row>
    <row r="8" spans="1:9" x14ac:dyDescent="0.3">
      <c r="A8" t="s">
        <v>399</v>
      </c>
      <c r="B8" s="43">
        <v>1803.33</v>
      </c>
      <c r="C8">
        <v>1803.3340000000001</v>
      </c>
      <c r="D8">
        <v>2000.31</v>
      </c>
      <c r="E8">
        <v>2000.3123721605407</v>
      </c>
      <c r="F8">
        <v>11143.7</v>
      </c>
      <c r="G8">
        <v>11143.702453</v>
      </c>
      <c r="H8">
        <v>150704.62</v>
      </c>
      <c r="I8">
        <v>150704.62237999999</v>
      </c>
    </row>
    <row r="9" spans="1:9" x14ac:dyDescent="0.3">
      <c r="A9" t="s">
        <v>400</v>
      </c>
      <c r="B9" s="43">
        <v>2120</v>
      </c>
      <c r="C9">
        <v>2120.002</v>
      </c>
      <c r="D9">
        <v>2351.5700000000002</v>
      </c>
      <c r="E9">
        <v>2351.5700528050206</v>
      </c>
      <c r="F9">
        <v>13100.55</v>
      </c>
      <c r="G9">
        <v>13100.552358999999</v>
      </c>
      <c r="H9">
        <v>177168.57</v>
      </c>
      <c r="I9">
        <v>177168.56713999997</v>
      </c>
    </row>
    <row r="10" spans="1:9" x14ac:dyDescent="0.3">
      <c r="A10" t="s">
        <v>402</v>
      </c>
      <c r="B10" s="43">
        <v>1961.47</v>
      </c>
      <c r="C10">
        <v>1961.4699999999998</v>
      </c>
      <c r="D10">
        <v>2175.7199999999998</v>
      </c>
      <c r="E10">
        <v>2175.7215849208933</v>
      </c>
      <c r="F10">
        <v>12120.9</v>
      </c>
      <c r="G10">
        <v>12120.903864999998</v>
      </c>
      <c r="H10">
        <v>163920.04999999999</v>
      </c>
      <c r="I10">
        <v>163920.04789999998</v>
      </c>
    </row>
    <row r="11" spans="1:9" x14ac:dyDescent="0.3">
      <c r="A11" t="s">
        <v>405</v>
      </c>
      <c r="B11" s="43">
        <v>1961.47</v>
      </c>
      <c r="C11">
        <v>1961.4699999999998</v>
      </c>
      <c r="D11">
        <v>2175.7199999999998</v>
      </c>
      <c r="E11">
        <v>2175.7215849208933</v>
      </c>
      <c r="F11">
        <v>12120.9</v>
      </c>
      <c r="G11">
        <v>12120.903864999998</v>
      </c>
      <c r="H11">
        <v>163920.04999999999</v>
      </c>
      <c r="I11">
        <v>163920.04789999998</v>
      </c>
    </row>
    <row r="12" spans="1:9" x14ac:dyDescent="0.3">
      <c r="A12" t="s">
        <v>403</v>
      </c>
      <c r="B12" s="43">
        <v>935.16</v>
      </c>
      <c r="C12">
        <v>935.16320000000007</v>
      </c>
      <c r="D12">
        <v>1037.31</v>
      </c>
      <c r="E12">
        <v>1037.3111797089402</v>
      </c>
      <c r="F12">
        <v>5778.84</v>
      </c>
      <c r="G12">
        <v>5778.8409943999995</v>
      </c>
      <c r="H12">
        <v>78151.59</v>
      </c>
      <c r="I12">
        <v>78151.588623999996</v>
      </c>
    </row>
    <row r="13" spans="1:9" x14ac:dyDescent="0.3">
      <c r="A13" t="s">
        <v>408</v>
      </c>
      <c r="B13" s="43">
        <v>1188.92</v>
      </c>
      <c r="C13">
        <v>1188.92</v>
      </c>
      <c r="D13">
        <v>1318.79</v>
      </c>
      <c r="E13">
        <v>1318.7858630232167</v>
      </c>
      <c r="F13">
        <v>7346.93</v>
      </c>
      <c r="G13">
        <v>7346.9311399999997</v>
      </c>
      <c r="H13">
        <v>99358.04</v>
      </c>
      <c r="I13">
        <v>99358.044399999984</v>
      </c>
    </row>
    <row r="14" spans="1:9" x14ac:dyDescent="0.3">
      <c r="A14" t="s">
        <v>409</v>
      </c>
      <c r="B14" s="43">
        <v>935.16</v>
      </c>
      <c r="C14">
        <v>935.16320000000007</v>
      </c>
      <c r="D14">
        <v>1037.31</v>
      </c>
      <c r="E14">
        <v>1037.3111797089402</v>
      </c>
      <c r="F14">
        <v>5778.84</v>
      </c>
      <c r="G14">
        <v>5778.8409943999995</v>
      </c>
      <c r="H14">
        <v>78151.59</v>
      </c>
      <c r="I14">
        <v>78151.588623999996</v>
      </c>
    </row>
    <row r="15" spans="1:9" x14ac:dyDescent="0.3">
      <c r="A15" t="s">
        <v>406</v>
      </c>
      <c r="B15" s="43">
        <v>1188.92</v>
      </c>
      <c r="C15">
        <v>1188.92</v>
      </c>
      <c r="D15">
        <v>1318.79</v>
      </c>
      <c r="E15">
        <v>1318.7858630232167</v>
      </c>
      <c r="F15">
        <v>7346.93</v>
      </c>
      <c r="G15">
        <v>7346.9311399999997</v>
      </c>
      <c r="H15">
        <v>99358.04</v>
      </c>
      <c r="I15">
        <v>99358.044399999984</v>
      </c>
    </row>
    <row r="16" spans="1:9" x14ac:dyDescent="0.3">
      <c r="A16" t="s">
        <v>407</v>
      </c>
      <c r="B16" s="43">
        <v>935.16</v>
      </c>
      <c r="C16">
        <v>935.16320000000007</v>
      </c>
      <c r="D16">
        <v>1037.31</v>
      </c>
      <c r="E16">
        <v>1037.3111797089402</v>
      </c>
      <c r="F16">
        <v>5778.84</v>
      </c>
      <c r="G16">
        <v>5778.8409943999995</v>
      </c>
      <c r="H16">
        <v>78151.59</v>
      </c>
      <c r="I16">
        <v>78151.588623999996</v>
      </c>
    </row>
    <row r="17" spans="1:9" x14ac:dyDescent="0.3">
      <c r="A17" t="s">
        <v>411</v>
      </c>
      <c r="B17" s="43">
        <v>1442.67</v>
      </c>
      <c r="C17">
        <v>1442.6672000000001</v>
      </c>
      <c r="D17">
        <v>1600.25</v>
      </c>
      <c r="E17">
        <v>1600.2498977284324</v>
      </c>
      <c r="F17">
        <v>8914.9599999999991</v>
      </c>
      <c r="G17">
        <v>8914.9619624000006</v>
      </c>
      <c r="H17">
        <v>120563.7</v>
      </c>
      <c r="I17">
        <v>120563.69790399999</v>
      </c>
    </row>
    <row r="18" spans="1:9" x14ac:dyDescent="0.3">
      <c r="A18" t="s">
        <v>418</v>
      </c>
      <c r="B18" s="43">
        <v>1082</v>
      </c>
      <c r="C18">
        <v>1082.0004000000001</v>
      </c>
      <c r="D18">
        <v>1200.19</v>
      </c>
      <c r="E18">
        <v>1200.1874232963244</v>
      </c>
      <c r="F18">
        <v>6686.22</v>
      </c>
      <c r="G18">
        <v>6686.2214717999996</v>
      </c>
      <c r="H18">
        <v>90422.77</v>
      </c>
      <c r="I18">
        <v>90422.773428</v>
      </c>
    </row>
    <row r="19" spans="1:9" x14ac:dyDescent="0.3">
      <c r="A19" t="s">
        <v>410</v>
      </c>
      <c r="B19" s="43">
        <v>887.61</v>
      </c>
      <c r="C19">
        <v>887.60640000000012</v>
      </c>
      <c r="D19">
        <v>984.56</v>
      </c>
      <c r="E19">
        <v>984.55974518801168</v>
      </c>
      <c r="F19">
        <v>5484.96</v>
      </c>
      <c r="G19">
        <v>5484.9637487999998</v>
      </c>
      <c r="H19">
        <v>74177.27</v>
      </c>
      <c r="I19">
        <v>74177.266847999999</v>
      </c>
    </row>
    <row r="20" spans="1:9" x14ac:dyDescent="0.3">
      <c r="A20" t="s">
        <v>412</v>
      </c>
      <c r="B20" s="43">
        <v>1442.67</v>
      </c>
      <c r="C20">
        <v>1442.6672000000001</v>
      </c>
      <c r="D20">
        <v>1600.25</v>
      </c>
      <c r="E20">
        <v>1600.2498977284324</v>
      </c>
      <c r="F20">
        <v>8914.9599999999991</v>
      </c>
      <c r="G20">
        <v>8914.9619624000006</v>
      </c>
      <c r="H20">
        <v>120563.7</v>
      </c>
      <c r="I20">
        <v>120563.69790399999</v>
      </c>
    </row>
    <row r="21" spans="1:9" x14ac:dyDescent="0.3">
      <c r="A21" t="s">
        <v>419</v>
      </c>
      <c r="B21" s="43">
        <v>891.69</v>
      </c>
      <c r="C21">
        <v>891.69</v>
      </c>
      <c r="D21">
        <v>989.09</v>
      </c>
      <c r="E21">
        <v>989.08939726741266</v>
      </c>
      <c r="F21">
        <v>5510.2</v>
      </c>
      <c r="G21">
        <v>5510.1983550000004</v>
      </c>
      <c r="H21">
        <v>74518.53</v>
      </c>
      <c r="I21">
        <v>74518.533299999996</v>
      </c>
    </row>
    <row r="22" spans="1:9" x14ac:dyDescent="0.3">
      <c r="A22" t="s">
        <v>416</v>
      </c>
      <c r="B22" s="43">
        <v>1210.1500000000001</v>
      </c>
      <c r="C22">
        <v>1210.1488000000002</v>
      </c>
      <c r="D22">
        <v>1342.33</v>
      </c>
      <c r="E22">
        <v>1342.3334871938484</v>
      </c>
      <c r="F22">
        <v>7478.11</v>
      </c>
      <c r="G22">
        <v>7478.1145095999991</v>
      </c>
      <c r="H22">
        <v>101132.14</v>
      </c>
      <c r="I22">
        <v>101132.135216</v>
      </c>
    </row>
    <row r="23" spans="1:9" x14ac:dyDescent="0.3">
      <c r="A23" t="s">
        <v>417</v>
      </c>
      <c r="B23" s="43">
        <v>511.05</v>
      </c>
      <c r="C23">
        <v>511.0548</v>
      </c>
      <c r="D23">
        <v>566.88</v>
      </c>
      <c r="E23">
        <v>566.87737229599759</v>
      </c>
      <c r="F23">
        <v>3158.06</v>
      </c>
      <c r="G23">
        <v>3158.0631365999998</v>
      </c>
      <c r="H23">
        <v>42708.85</v>
      </c>
      <c r="I23">
        <v>42708.849635999992</v>
      </c>
    </row>
    <row r="24" spans="1:9" x14ac:dyDescent="0.3">
      <c r="A24" t="s">
        <v>413</v>
      </c>
      <c r="B24" s="43">
        <v>1442.67</v>
      </c>
      <c r="C24">
        <v>1442.6672000000001</v>
      </c>
      <c r="D24">
        <v>1600.25</v>
      </c>
      <c r="E24">
        <v>1600.2498977284324</v>
      </c>
      <c r="F24">
        <v>8914.9599999999991</v>
      </c>
      <c r="G24">
        <v>8914.9619624000006</v>
      </c>
      <c r="H24">
        <v>120563.7</v>
      </c>
      <c r="I24">
        <v>120563.69790399999</v>
      </c>
    </row>
    <row r="25" spans="1:9" x14ac:dyDescent="0.3">
      <c r="A25" t="s">
        <v>414</v>
      </c>
      <c r="B25" s="43">
        <v>1268.28</v>
      </c>
      <c r="C25">
        <v>1268.2784000000001</v>
      </c>
      <c r="D25">
        <v>1406.81</v>
      </c>
      <c r="E25">
        <v>1406.8125898274945</v>
      </c>
      <c r="F25">
        <v>7837.33</v>
      </c>
      <c r="G25">
        <v>7837.3263727999993</v>
      </c>
      <c r="H25">
        <v>105990.03</v>
      </c>
      <c r="I25">
        <v>105990.02588799999</v>
      </c>
    </row>
    <row r="26" spans="1:9" x14ac:dyDescent="0.3">
      <c r="A26" t="s">
        <v>415</v>
      </c>
      <c r="B26" s="43">
        <v>803.07</v>
      </c>
      <c r="C26">
        <v>803.06600000000003</v>
      </c>
      <c r="D26">
        <v>890.79</v>
      </c>
      <c r="E26">
        <v>890.78516942096189</v>
      </c>
      <c r="F26">
        <v>4962.55</v>
      </c>
      <c r="G26">
        <v>4962.5473579661993</v>
      </c>
      <c r="H26">
        <v>67112.240000000005</v>
      </c>
      <c r="I26">
        <v>67112.239292051992</v>
      </c>
    </row>
    <row r="27" spans="1:9" x14ac:dyDescent="0.3">
      <c r="A27" t="s">
        <v>420</v>
      </c>
      <c r="B27" s="43">
        <v>701.37</v>
      </c>
      <c r="C27">
        <v>701.37240000000008</v>
      </c>
      <c r="D27">
        <v>777.98</v>
      </c>
      <c r="E27">
        <v>777.98338478170524</v>
      </c>
      <c r="F27">
        <v>4334.13</v>
      </c>
      <c r="G27">
        <v>4334.1307457999992</v>
      </c>
      <c r="H27">
        <v>58613.69</v>
      </c>
      <c r="I27">
        <v>58613.691467999997</v>
      </c>
    </row>
    <row r="28" spans="1:9" x14ac:dyDescent="0.3">
      <c r="A28" t="s">
        <v>421</v>
      </c>
      <c r="B28" s="43">
        <v>1082</v>
      </c>
      <c r="C28">
        <v>1082.0004000000001</v>
      </c>
      <c r="D28">
        <v>1200.19</v>
      </c>
      <c r="E28">
        <v>1200.1874232963244</v>
      </c>
      <c r="F28">
        <v>6686.22</v>
      </c>
      <c r="G28">
        <v>6686.2214717999996</v>
      </c>
      <c r="H28">
        <v>90422.77</v>
      </c>
      <c r="I28">
        <v>90422.773428</v>
      </c>
    </row>
    <row r="29" spans="1:9" x14ac:dyDescent="0.3">
      <c r="A29" t="s">
        <v>428</v>
      </c>
      <c r="B29" s="43">
        <v>907.61</v>
      </c>
      <c r="C29">
        <v>907.61160000000007</v>
      </c>
      <c r="D29">
        <v>1006.75</v>
      </c>
      <c r="E29">
        <v>1006.7501153953864</v>
      </c>
      <c r="F29">
        <v>5608.59</v>
      </c>
      <c r="G29">
        <v>5608.5858821999991</v>
      </c>
      <c r="H29">
        <v>75849.100000000006</v>
      </c>
      <c r="I29">
        <v>75849.101412000004</v>
      </c>
    </row>
    <row r="30" spans="1:9" x14ac:dyDescent="0.3">
      <c r="A30" t="s">
        <v>430</v>
      </c>
      <c r="B30" s="43">
        <v>1065.95</v>
      </c>
      <c r="C30">
        <v>1065.9456</v>
      </c>
      <c r="D30">
        <v>1182.3800000000001</v>
      </c>
      <c r="E30">
        <v>1182.3789557176265</v>
      </c>
      <c r="F30">
        <v>6587.01</v>
      </c>
      <c r="G30">
        <v>6587.0108351999988</v>
      </c>
      <c r="H30">
        <v>89081.07</v>
      </c>
      <c r="I30">
        <v>89081.073791999996</v>
      </c>
    </row>
    <row r="31" spans="1:9" x14ac:dyDescent="0.3">
      <c r="A31" t="s">
        <v>424</v>
      </c>
      <c r="B31" s="43">
        <v>1462.2</v>
      </c>
      <c r="C31">
        <v>1462.2036000000001</v>
      </c>
      <c r="D31">
        <v>1621.92</v>
      </c>
      <c r="E31">
        <v>1621.920260859986</v>
      </c>
      <c r="F31">
        <v>9035.69</v>
      </c>
      <c r="G31">
        <v>9035.6871461999999</v>
      </c>
      <c r="H31">
        <v>122196.35</v>
      </c>
      <c r="I31">
        <v>122196.354852</v>
      </c>
    </row>
    <row r="32" spans="1:9" x14ac:dyDescent="0.3">
      <c r="A32" t="s">
        <v>425</v>
      </c>
      <c r="B32" s="43">
        <v>590.41999999999996</v>
      </c>
      <c r="C32">
        <v>590.42160000000001</v>
      </c>
      <c r="D32">
        <v>654.91</v>
      </c>
      <c r="E32">
        <v>654.91341663320372</v>
      </c>
      <c r="F32">
        <v>3648.51</v>
      </c>
      <c r="G32">
        <v>3648.5102771999996</v>
      </c>
      <c r="H32">
        <v>49341.53</v>
      </c>
      <c r="I32">
        <v>49341.533111999997</v>
      </c>
    </row>
    <row r="33" spans="1:9" x14ac:dyDescent="0.3">
      <c r="A33" t="s">
        <v>423</v>
      </c>
      <c r="B33" s="43">
        <v>1082</v>
      </c>
      <c r="C33">
        <v>1082.0004000000001</v>
      </c>
      <c r="D33">
        <v>1200.19</v>
      </c>
      <c r="E33">
        <v>1200.1874232963244</v>
      </c>
      <c r="F33">
        <v>6686.22</v>
      </c>
      <c r="G33">
        <v>6686.2214717999996</v>
      </c>
      <c r="H33">
        <v>90422.77</v>
      </c>
      <c r="I33">
        <v>90422.773428</v>
      </c>
    </row>
    <row r="34" spans="1:9" x14ac:dyDescent="0.3">
      <c r="A34" t="s">
        <v>426</v>
      </c>
      <c r="B34" s="43">
        <v>590.41999999999996</v>
      </c>
      <c r="C34">
        <v>590.42160000000001</v>
      </c>
      <c r="D34">
        <v>654.91</v>
      </c>
      <c r="E34">
        <v>654.91341663320372</v>
      </c>
      <c r="F34">
        <v>3648.51</v>
      </c>
      <c r="G34">
        <v>3648.5102771999996</v>
      </c>
      <c r="H34">
        <v>49341.53</v>
      </c>
      <c r="I34">
        <v>49341.533111999997</v>
      </c>
    </row>
    <row r="35" spans="1:9" x14ac:dyDescent="0.3">
      <c r="A35" t="s">
        <v>422</v>
      </c>
      <c r="B35" s="43">
        <v>682.88</v>
      </c>
      <c r="C35">
        <v>682.88060000000007</v>
      </c>
      <c r="D35">
        <v>757.47</v>
      </c>
      <c r="E35">
        <v>757.4717234236216</v>
      </c>
      <c r="F35">
        <v>4219.8599999999997</v>
      </c>
      <c r="G35">
        <v>4219.8606676999998</v>
      </c>
      <c r="H35">
        <v>57068.33</v>
      </c>
      <c r="I35">
        <v>57068.331741999995</v>
      </c>
    </row>
    <row r="36" spans="1:9" x14ac:dyDescent="0.3">
      <c r="A36" t="s">
        <v>427</v>
      </c>
      <c r="B36" s="43">
        <v>590.41999999999996</v>
      </c>
      <c r="C36">
        <v>590.42160000000001</v>
      </c>
      <c r="D36">
        <v>654.91</v>
      </c>
      <c r="E36">
        <v>654.91341663320372</v>
      </c>
      <c r="F36">
        <v>3648.51</v>
      </c>
      <c r="G36">
        <v>3648.5102771999996</v>
      </c>
      <c r="H36">
        <v>49341.53</v>
      </c>
      <c r="I36">
        <v>49341.533111999997</v>
      </c>
    </row>
    <row r="37" spans="1:9" x14ac:dyDescent="0.3">
      <c r="A37" t="s">
        <v>429</v>
      </c>
      <c r="B37" s="43">
        <v>907.61</v>
      </c>
      <c r="C37">
        <v>907.61160000000007</v>
      </c>
      <c r="D37">
        <v>1006.75</v>
      </c>
      <c r="E37">
        <v>1006.7501153953864</v>
      </c>
      <c r="F37">
        <v>5608.59</v>
      </c>
      <c r="G37">
        <v>5608.5858821999991</v>
      </c>
      <c r="H37">
        <v>75849.100000000006</v>
      </c>
      <c r="I37">
        <v>75849.101412000004</v>
      </c>
    </row>
    <row r="38" spans="1:9" x14ac:dyDescent="0.3">
      <c r="A38" t="s">
        <v>431</v>
      </c>
      <c r="B38" s="43">
        <v>907.61</v>
      </c>
      <c r="C38">
        <v>907.61160000000007</v>
      </c>
      <c r="D38">
        <v>1006.75</v>
      </c>
      <c r="E38">
        <v>1006.7501153953864</v>
      </c>
      <c r="F38">
        <v>5608.59</v>
      </c>
      <c r="G38">
        <v>5608.5858821999991</v>
      </c>
      <c r="H38">
        <v>75849.100000000006</v>
      </c>
      <c r="I38">
        <v>75849.101412000004</v>
      </c>
    </row>
    <row r="39" spans="1:9" x14ac:dyDescent="0.3">
      <c r="A39" t="s">
        <v>434</v>
      </c>
      <c r="B39" s="43">
        <v>986.68</v>
      </c>
      <c r="C39">
        <v>986.67959999999994</v>
      </c>
      <c r="D39">
        <v>1094.45</v>
      </c>
      <c r="E39">
        <v>1094.4547217755628</v>
      </c>
      <c r="F39">
        <v>6097.19</v>
      </c>
      <c r="G39">
        <v>6097.1865881999984</v>
      </c>
      <c r="H39">
        <v>82456.81</v>
      </c>
      <c r="I39">
        <v>82456.814171999999</v>
      </c>
    </row>
    <row r="40" spans="1:9" x14ac:dyDescent="0.3">
      <c r="A40" t="s">
        <v>432</v>
      </c>
      <c r="B40" s="43">
        <v>1260.1099999999999</v>
      </c>
      <c r="C40">
        <v>1260.1119000000001</v>
      </c>
      <c r="D40">
        <v>1397.75</v>
      </c>
      <c r="E40">
        <v>1397.7540621297696</v>
      </c>
      <c r="F40">
        <v>7786.86</v>
      </c>
      <c r="G40">
        <v>7786.8614860500011</v>
      </c>
      <c r="H40">
        <v>105307.55</v>
      </c>
      <c r="I40">
        <v>105307.551483</v>
      </c>
    </row>
    <row r="41" spans="1:9" x14ac:dyDescent="0.3">
      <c r="A41" t="s">
        <v>437</v>
      </c>
      <c r="B41" s="43">
        <v>677.68</v>
      </c>
      <c r="C41">
        <v>677.68439999999998</v>
      </c>
      <c r="D41">
        <v>751.71</v>
      </c>
      <c r="E41">
        <v>751.70794192323365</v>
      </c>
      <c r="F41">
        <v>4187.75</v>
      </c>
      <c r="G41">
        <v>4187.7507497999995</v>
      </c>
      <c r="H41">
        <v>56634.09</v>
      </c>
      <c r="I41">
        <v>56634.085307999994</v>
      </c>
    </row>
    <row r="42" spans="1:9" x14ac:dyDescent="0.3">
      <c r="A42" t="s">
        <v>435</v>
      </c>
      <c r="B42" s="43">
        <v>553.44000000000005</v>
      </c>
      <c r="C42">
        <v>553.43799999999999</v>
      </c>
      <c r="D42">
        <v>613.89</v>
      </c>
      <c r="E42">
        <v>613.89009391703655</v>
      </c>
      <c r="F42">
        <v>3419.97</v>
      </c>
      <c r="G42">
        <v>3419.9701209999998</v>
      </c>
      <c r="H42">
        <v>46250.81</v>
      </c>
      <c r="I42">
        <v>46250.813659999993</v>
      </c>
    </row>
    <row r="43" spans="1:9" x14ac:dyDescent="0.3">
      <c r="A43" t="s">
        <v>436</v>
      </c>
      <c r="B43" s="43">
        <v>497.96</v>
      </c>
      <c r="C43">
        <v>497.96260000000001</v>
      </c>
      <c r="D43">
        <v>552.36</v>
      </c>
      <c r="E43">
        <v>552.35510984278585</v>
      </c>
      <c r="F43">
        <v>3077.16</v>
      </c>
      <c r="G43">
        <v>3077.1598866999998</v>
      </c>
      <c r="H43">
        <v>41614.730000000003</v>
      </c>
      <c r="I43">
        <v>41614.734481999993</v>
      </c>
    </row>
    <row r="44" spans="1:9" x14ac:dyDescent="0.3">
      <c r="A44" t="s">
        <v>433</v>
      </c>
      <c r="B44" s="43">
        <v>986.68</v>
      </c>
      <c r="C44">
        <v>986.67959999999994</v>
      </c>
      <c r="D44">
        <v>1094.45</v>
      </c>
      <c r="E44">
        <v>1094.4547217755628</v>
      </c>
      <c r="F44">
        <v>6097.19</v>
      </c>
      <c r="G44">
        <v>6097.1865881999984</v>
      </c>
      <c r="H44">
        <v>82456.81</v>
      </c>
      <c r="I44">
        <v>82456.814171999999</v>
      </c>
    </row>
    <row r="45" spans="1:9" x14ac:dyDescent="0.3">
      <c r="A45" t="s">
        <v>438</v>
      </c>
      <c r="B45" s="43">
        <v>1176.9000000000001</v>
      </c>
      <c r="C45">
        <v>1176.8964000000001</v>
      </c>
      <c r="D45">
        <v>1305.45</v>
      </c>
      <c r="E45">
        <v>1305.4489238661281</v>
      </c>
      <c r="F45">
        <v>7272.63</v>
      </c>
      <c r="G45">
        <v>7272.6313038000008</v>
      </c>
      <c r="H45">
        <v>98353.23</v>
      </c>
      <c r="I45">
        <v>98353.23214800001</v>
      </c>
    </row>
    <row r="46" spans="1:9" x14ac:dyDescent="0.3">
      <c r="A46" t="s">
        <v>439</v>
      </c>
      <c r="B46" s="43">
        <v>762.29</v>
      </c>
      <c r="C46">
        <v>762.2876</v>
      </c>
      <c r="D46">
        <v>845.55</v>
      </c>
      <c r="E46">
        <v>845.55235881127146</v>
      </c>
      <c r="F46">
        <v>4710.5600000000004</v>
      </c>
      <c r="G46">
        <v>4710.5562241999996</v>
      </c>
      <c r="H46">
        <v>63704.37</v>
      </c>
      <c r="I46">
        <v>63704.374731999989</v>
      </c>
    </row>
    <row r="47" spans="1:9" x14ac:dyDescent="0.3">
      <c r="A47" t="s">
        <v>441</v>
      </c>
      <c r="B47" s="43">
        <v>352.59</v>
      </c>
      <c r="C47">
        <v>352.5924</v>
      </c>
      <c r="D47">
        <v>391.11</v>
      </c>
      <c r="E47">
        <v>391.10610682756391</v>
      </c>
      <c r="F47">
        <v>2178.84</v>
      </c>
      <c r="G47">
        <v>2178.8447357999999</v>
      </c>
      <c r="H47">
        <v>29466.15</v>
      </c>
      <c r="I47">
        <v>29466.146867999996</v>
      </c>
    </row>
    <row r="48" spans="1:9" x14ac:dyDescent="0.3">
      <c r="A48" t="s">
        <v>440</v>
      </c>
      <c r="B48" s="43">
        <v>479.47</v>
      </c>
      <c r="C48">
        <v>479.47080000000005</v>
      </c>
      <c r="D48">
        <v>531.84</v>
      </c>
      <c r="E48">
        <v>531.84344848470232</v>
      </c>
      <c r="F48">
        <v>2962.89</v>
      </c>
      <c r="G48">
        <v>2962.8898085999999</v>
      </c>
      <c r="H48">
        <v>40069.370000000003</v>
      </c>
      <c r="I48">
        <v>40069.374755999997</v>
      </c>
    </row>
    <row r="49" spans="1:9" x14ac:dyDescent="0.3">
      <c r="A49" t="s">
        <v>444</v>
      </c>
      <c r="B49" s="43">
        <v>479.47</v>
      </c>
      <c r="C49">
        <v>479.47080000000005</v>
      </c>
      <c r="D49">
        <v>531.84</v>
      </c>
      <c r="E49">
        <v>531.84344848470232</v>
      </c>
      <c r="F49">
        <v>2962.89</v>
      </c>
      <c r="G49">
        <v>2962.8898085999999</v>
      </c>
      <c r="H49">
        <v>40069.370000000003</v>
      </c>
      <c r="I49">
        <v>40069.374755999997</v>
      </c>
    </row>
    <row r="50" spans="1:9" x14ac:dyDescent="0.3">
      <c r="A50" t="s">
        <v>447</v>
      </c>
      <c r="B50" s="43">
        <v>733.22</v>
      </c>
      <c r="C50">
        <v>733.22280000000001</v>
      </c>
      <c r="D50">
        <v>813.31</v>
      </c>
      <c r="E50">
        <v>813.31280749444841</v>
      </c>
      <c r="F50">
        <v>4530.95</v>
      </c>
      <c r="G50">
        <v>4530.9502926000005</v>
      </c>
      <c r="H50">
        <v>61275.43</v>
      </c>
      <c r="I50">
        <v>61275.429395999992</v>
      </c>
    </row>
    <row r="51" spans="1:9" x14ac:dyDescent="0.3">
      <c r="A51" t="s">
        <v>445</v>
      </c>
      <c r="B51" s="43">
        <v>606.35</v>
      </c>
      <c r="C51">
        <v>606.3492</v>
      </c>
      <c r="D51">
        <v>672.58</v>
      </c>
      <c r="E51">
        <v>672.58079014184057</v>
      </c>
      <c r="F51">
        <v>3746.93</v>
      </c>
      <c r="G51">
        <v>3746.9348814</v>
      </c>
      <c r="H51">
        <v>50672.6</v>
      </c>
      <c r="I51">
        <v>50672.602643999991</v>
      </c>
    </row>
    <row r="52" spans="1:9" x14ac:dyDescent="0.3">
      <c r="A52" t="s">
        <v>442</v>
      </c>
      <c r="B52" s="43">
        <v>479.47</v>
      </c>
      <c r="C52">
        <v>479.47080000000005</v>
      </c>
      <c r="D52">
        <v>531.84</v>
      </c>
      <c r="E52">
        <v>531.84344848470232</v>
      </c>
      <c r="F52">
        <v>2962.89</v>
      </c>
      <c r="G52">
        <v>2962.8898085999999</v>
      </c>
      <c r="H52">
        <v>40069.370000000003</v>
      </c>
      <c r="I52">
        <v>40069.374755999997</v>
      </c>
    </row>
    <row r="53" spans="1:9" x14ac:dyDescent="0.3">
      <c r="A53" t="s">
        <v>443</v>
      </c>
      <c r="B53" s="43">
        <v>479.47</v>
      </c>
      <c r="C53">
        <v>479.47080000000005</v>
      </c>
      <c r="D53">
        <v>531.84</v>
      </c>
      <c r="E53">
        <v>531.84344848470232</v>
      </c>
      <c r="F53">
        <v>2962.89</v>
      </c>
      <c r="G53">
        <v>2962.8898085999999</v>
      </c>
      <c r="H53">
        <v>40069.370000000003</v>
      </c>
      <c r="I53">
        <v>40069.374755999997</v>
      </c>
    </row>
    <row r="54" spans="1:9" x14ac:dyDescent="0.3">
      <c r="A54" t="s">
        <v>449</v>
      </c>
      <c r="B54" s="43">
        <v>733.22</v>
      </c>
      <c r="C54">
        <v>733.22280000000001</v>
      </c>
      <c r="D54">
        <v>813.31</v>
      </c>
      <c r="E54">
        <v>813.31280749444841</v>
      </c>
      <c r="F54">
        <v>4530.95</v>
      </c>
      <c r="G54">
        <v>4530.9502926000005</v>
      </c>
      <c r="H54">
        <v>61275.43</v>
      </c>
      <c r="I54">
        <v>61275.429395999992</v>
      </c>
    </row>
    <row r="55" spans="1:9" x14ac:dyDescent="0.3">
      <c r="A55" t="s">
        <v>450</v>
      </c>
      <c r="B55" s="43">
        <v>733.22</v>
      </c>
      <c r="C55">
        <v>733.22280000000001</v>
      </c>
      <c r="D55">
        <v>813.31</v>
      </c>
      <c r="E55">
        <v>813.31280749444841</v>
      </c>
      <c r="F55">
        <v>4530.95</v>
      </c>
      <c r="G55">
        <v>4530.9502926000005</v>
      </c>
      <c r="H55">
        <v>61275.43</v>
      </c>
      <c r="I55">
        <v>61275.429395999992</v>
      </c>
    </row>
    <row r="56" spans="1:9" x14ac:dyDescent="0.3">
      <c r="A56" t="s">
        <v>448</v>
      </c>
      <c r="B56" s="43">
        <v>733.22</v>
      </c>
      <c r="C56">
        <v>733.22280000000001</v>
      </c>
      <c r="D56">
        <v>813.31</v>
      </c>
      <c r="E56">
        <v>813.31280749444841</v>
      </c>
      <c r="F56">
        <v>4530.95</v>
      </c>
      <c r="G56">
        <v>4530.9502926000005</v>
      </c>
      <c r="H56">
        <v>61275.43</v>
      </c>
      <c r="I56">
        <v>61275.429395999992</v>
      </c>
    </row>
    <row r="57" spans="1:9" x14ac:dyDescent="0.3">
      <c r="A57" t="s">
        <v>446</v>
      </c>
      <c r="B57" s="43">
        <v>606.35</v>
      </c>
      <c r="C57">
        <v>606.3492</v>
      </c>
      <c r="D57">
        <v>672.58</v>
      </c>
      <c r="E57">
        <v>672.58079014184057</v>
      </c>
      <c r="F57">
        <v>3746.93</v>
      </c>
      <c r="G57">
        <v>3746.9348814</v>
      </c>
      <c r="H57">
        <v>50672.6</v>
      </c>
      <c r="I57">
        <v>50672.602643999991</v>
      </c>
    </row>
    <row r="58" spans="1:9" x14ac:dyDescent="0.3">
      <c r="A58" t="s">
        <v>569</v>
      </c>
      <c r="B58" s="43">
        <v>733.22</v>
      </c>
      <c r="C58">
        <v>733.22280000000001</v>
      </c>
      <c r="D58">
        <v>813.31</v>
      </c>
      <c r="E58">
        <v>813.31280749444841</v>
      </c>
      <c r="F58">
        <v>4530.95</v>
      </c>
      <c r="G58">
        <v>4530.9502926000005</v>
      </c>
      <c r="H58">
        <v>61275.43</v>
      </c>
      <c r="I58">
        <v>61275.429395999992</v>
      </c>
    </row>
    <row r="59" spans="1:9" x14ac:dyDescent="0.3">
      <c r="A59" t="s">
        <v>452</v>
      </c>
      <c r="B59" s="43">
        <v>733.22</v>
      </c>
      <c r="C59">
        <v>733.22280000000001</v>
      </c>
      <c r="D59">
        <v>813.31</v>
      </c>
      <c r="E59">
        <v>813.31280749444841</v>
      </c>
      <c r="F59">
        <v>4530.95</v>
      </c>
      <c r="G59">
        <v>4530.9502926000005</v>
      </c>
      <c r="H59">
        <v>61275.43</v>
      </c>
      <c r="I59">
        <v>61275.429395999992</v>
      </c>
    </row>
    <row r="60" spans="1:9" x14ac:dyDescent="0.3">
      <c r="A60" t="s">
        <v>454</v>
      </c>
      <c r="B60" s="43">
        <v>733.22</v>
      </c>
      <c r="C60">
        <v>733.22280000000001</v>
      </c>
      <c r="D60">
        <v>813.31</v>
      </c>
      <c r="E60">
        <v>813.31280749444841</v>
      </c>
      <c r="F60">
        <v>4530.95</v>
      </c>
      <c r="G60">
        <v>4530.9502926000005</v>
      </c>
      <c r="H60">
        <v>61275.43</v>
      </c>
      <c r="I60">
        <v>61275.429395999992</v>
      </c>
    </row>
    <row r="61" spans="1:9" x14ac:dyDescent="0.3">
      <c r="A61" t="s">
        <v>451</v>
      </c>
      <c r="B61" s="43">
        <v>859.89</v>
      </c>
      <c r="C61">
        <v>859.88999999999987</v>
      </c>
      <c r="D61">
        <v>953.82</v>
      </c>
      <c r="E61">
        <v>953.81587975224056</v>
      </c>
      <c r="F61">
        <v>5313.69</v>
      </c>
      <c r="G61">
        <v>5313.6902549999995</v>
      </c>
      <c r="H61">
        <v>71861.009999999995</v>
      </c>
      <c r="I61">
        <v>71861.007299999997</v>
      </c>
    </row>
    <row r="62" spans="1:9" x14ac:dyDescent="0.3">
      <c r="A62" t="s">
        <v>453</v>
      </c>
      <c r="B62" s="43">
        <v>733.22</v>
      </c>
      <c r="C62">
        <v>733.22280000000001</v>
      </c>
      <c r="D62">
        <v>813.31</v>
      </c>
      <c r="E62">
        <v>813.31280749444841</v>
      </c>
      <c r="F62">
        <v>4530.95</v>
      </c>
      <c r="G62">
        <v>4530.9502926000005</v>
      </c>
      <c r="H62">
        <v>61275.43</v>
      </c>
      <c r="I62">
        <v>61275.429395999992</v>
      </c>
    </row>
    <row r="63" spans="1:9" x14ac:dyDescent="0.3">
      <c r="A63" t="s">
        <v>457</v>
      </c>
      <c r="B63" s="43">
        <v>1022.35</v>
      </c>
      <c r="C63">
        <v>1022.3498999999999</v>
      </c>
      <c r="D63">
        <v>1134.02</v>
      </c>
      <c r="E63">
        <v>1134.021292587558</v>
      </c>
      <c r="F63">
        <v>6317.61</v>
      </c>
      <c r="G63">
        <v>6317.6112070500003</v>
      </c>
      <c r="H63">
        <v>85437.78</v>
      </c>
      <c r="I63">
        <v>85437.781143</v>
      </c>
    </row>
    <row r="64" spans="1:9" x14ac:dyDescent="0.3">
      <c r="A64" t="s">
        <v>455</v>
      </c>
      <c r="B64" s="43">
        <v>733.22</v>
      </c>
      <c r="C64">
        <v>733.22280000000001</v>
      </c>
      <c r="D64">
        <v>813.31</v>
      </c>
      <c r="E64">
        <v>813.31280749444841</v>
      </c>
      <c r="F64">
        <v>4530.95</v>
      </c>
      <c r="G64">
        <v>4530.9502926000005</v>
      </c>
      <c r="H64">
        <v>61275.43</v>
      </c>
      <c r="I64">
        <v>61275.429395999992</v>
      </c>
    </row>
    <row r="65" spans="1:9" x14ac:dyDescent="0.3">
      <c r="A65" t="s">
        <v>458</v>
      </c>
      <c r="B65" s="43">
        <v>733.22</v>
      </c>
      <c r="C65">
        <v>733.22280000000001</v>
      </c>
      <c r="D65">
        <v>813.31</v>
      </c>
      <c r="E65">
        <v>813.31280749444841</v>
      </c>
      <c r="F65">
        <v>4530.95</v>
      </c>
      <c r="G65">
        <v>4530.9502926000005</v>
      </c>
      <c r="H65">
        <v>61275.43</v>
      </c>
      <c r="I65">
        <v>61275.429395999992</v>
      </c>
    </row>
    <row r="66" spans="1:9" x14ac:dyDescent="0.3">
      <c r="A66" t="s">
        <v>460</v>
      </c>
      <c r="B66" s="43">
        <v>1022.35</v>
      </c>
      <c r="C66">
        <v>1022.3498999999999</v>
      </c>
      <c r="D66">
        <v>1134.02</v>
      </c>
      <c r="E66">
        <v>1134.021292587558</v>
      </c>
      <c r="F66">
        <v>6317.61</v>
      </c>
      <c r="G66">
        <v>6317.6112070500003</v>
      </c>
      <c r="H66">
        <v>85437.78</v>
      </c>
      <c r="I66">
        <v>85437.781143</v>
      </c>
    </row>
    <row r="67" spans="1:9" x14ac:dyDescent="0.3">
      <c r="A67" t="s">
        <v>456</v>
      </c>
      <c r="B67" s="43">
        <v>859.89</v>
      </c>
      <c r="C67">
        <v>859.88999999999987</v>
      </c>
      <c r="D67">
        <v>953.82</v>
      </c>
      <c r="E67">
        <v>953.81587975224056</v>
      </c>
      <c r="F67">
        <v>5313.69</v>
      </c>
      <c r="G67">
        <v>5313.6902549999995</v>
      </c>
      <c r="H67">
        <v>71861.009999999995</v>
      </c>
      <c r="I67">
        <v>71861.007299999997</v>
      </c>
    </row>
    <row r="68" spans="1:9" x14ac:dyDescent="0.3">
      <c r="A68" t="s">
        <v>459</v>
      </c>
      <c r="B68" s="43">
        <v>1022.35</v>
      </c>
      <c r="C68">
        <v>1022.3498999999999</v>
      </c>
      <c r="D68">
        <v>1134.02</v>
      </c>
      <c r="E68">
        <v>1134.021292587558</v>
      </c>
      <c r="F68">
        <v>6317.61</v>
      </c>
      <c r="G68">
        <v>6317.6112070500003</v>
      </c>
      <c r="H68">
        <v>85437.78</v>
      </c>
      <c r="I68">
        <v>85437.781143</v>
      </c>
    </row>
    <row r="69" spans="1:9" x14ac:dyDescent="0.3">
      <c r="A69" t="s">
        <v>461</v>
      </c>
      <c r="B69" s="43">
        <v>796.48</v>
      </c>
      <c r="C69">
        <v>796.47719999999993</v>
      </c>
      <c r="D69">
        <v>883.48</v>
      </c>
      <c r="E69">
        <v>883.47649259858963</v>
      </c>
      <c r="F69">
        <v>4921.83</v>
      </c>
      <c r="G69">
        <v>4921.8308574000002</v>
      </c>
      <c r="H69">
        <v>66561.600000000006</v>
      </c>
      <c r="I69">
        <v>66561.599603999988</v>
      </c>
    </row>
    <row r="70" spans="1:9" x14ac:dyDescent="0.3">
      <c r="A70" t="s">
        <v>463</v>
      </c>
      <c r="B70" s="43">
        <v>796.48</v>
      </c>
      <c r="C70">
        <v>796.47719999999993</v>
      </c>
      <c r="D70">
        <v>883.48</v>
      </c>
      <c r="E70">
        <v>883.47649259858963</v>
      </c>
      <c r="F70">
        <v>4921.83</v>
      </c>
      <c r="G70">
        <v>4921.8308574000002</v>
      </c>
      <c r="H70">
        <v>66561.600000000006</v>
      </c>
      <c r="I70">
        <v>66561.599603999988</v>
      </c>
    </row>
    <row r="71" spans="1:9" x14ac:dyDescent="0.3">
      <c r="A71" t="s">
        <v>470</v>
      </c>
      <c r="B71" s="43">
        <v>443.8</v>
      </c>
      <c r="C71">
        <v>443.80320000000006</v>
      </c>
      <c r="D71">
        <v>492.28</v>
      </c>
      <c r="E71">
        <v>492.27987259400584</v>
      </c>
      <c r="F71">
        <v>2742.48</v>
      </c>
      <c r="G71">
        <v>2742.4818743999999</v>
      </c>
      <c r="H71">
        <v>37088.629999999997</v>
      </c>
      <c r="I71">
        <v>37088.633424</v>
      </c>
    </row>
    <row r="72" spans="1:9" x14ac:dyDescent="0.3">
      <c r="A72" t="s">
        <v>464</v>
      </c>
      <c r="B72" s="43">
        <v>796.48</v>
      </c>
      <c r="C72">
        <v>796.47719999999993</v>
      </c>
      <c r="D72">
        <v>883.48</v>
      </c>
      <c r="E72">
        <v>883.47649259858963</v>
      </c>
      <c r="F72">
        <v>4921.83</v>
      </c>
      <c r="G72">
        <v>4921.8308574000002</v>
      </c>
      <c r="H72">
        <v>66561.600000000006</v>
      </c>
      <c r="I72">
        <v>66561.599603999988</v>
      </c>
    </row>
    <row r="73" spans="1:9" x14ac:dyDescent="0.3">
      <c r="A73" t="s">
        <v>466</v>
      </c>
      <c r="B73" s="43">
        <v>796.48</v>
      </c>
      <c r="C73">
        <v>796.47719999999993</v>
      </c>
      <c r="D73">
        <v>883.48</v>
      </c>
      <c r="E73">
        <v>883.47649259858963</v>
      </c>
      <c r="F73">
        <v>4921.83</v>
      </c>
      <c r="G73">
        <v>4921.8308574000002</v>
      </c>
      <c r="H73">
        <v>66561.600000000006</v>
      </c>
      <c r="I73">
        <v>66561.599603999988</v>
      </c>
    </row>
    <row r="74" spans="1:9" x14ac:dyDescent="0.3">
      <c r="A74" t="s">
        <v>462</v>
      </c>
      <c r="B74" s="43">
        <v>511.18</v>
      </c>
      <c r="C74">
        <v>511.17959999999994</v>
      </c>
      <c r="D74">
        <v>567.02</v>
      </c>
      <c r="E74">
        <v>567.01580421379299</v>
      </c>
      <c r="F74">
        <v>3158.83</v>
      </c>
      <c r="G74">
        <v>3158.8343381999998</v>
      </c>
      <c r="H74">
        <v>42719.28</v>
      </c>
      <c r="I74">
        <v>42719.279171999995</v>
      </c>
    </row>
    <row r="75" spans="1:9" x14ac:dyDescent="0.3">
      <c r="A75" t="s">
        <v>468</v>
      </c>
      <c r="B75" s="43">
        <v>697.56</v>
      </c>
      <c r="C75">
        <v>697.55520000000001</v>
      </c>
      <c r="D75">
        <v>773.75</v>
      </c>
      <c r="E75">
        <v>773.74923160375192</v>
      </c>
      <c r="F75">
        <v>4310.54</v>
      </c>
      <c r="G75">
        <v>4310.5423584</v>
      </c>
      <c r="H75">
        <v>58294.69</v>
      </c>
      <c r="I75">
        <v>58294.688063999994</v>
      </c>
    </row>
    <row r="76" spans="1:9" x14ac:dyDescent="0.3">
      <c r="A76" t="s">
        <v>465</v>
      </c>
      <c r="B76" s="43">
        <v>796.48</v>
      </c>
      <c r="C76">
        <v>796.47719999999993</v>
      </c>
      <c r="D76">
        <v>883.48</v>
      </c>
      <c r="E76">
        <v>883.47649259858963</v>
      </c>
      <c r="F76">
        <v>4921.83</v>
      </c>
      <c r="G76">
        <v>4921.8308574000002</v>
      </c>
      <c r="H76">
        <v>66561.600000000006</v>
      </c>
      <c r="I76">
        <v>66561.599603999988</v>
      </c>
    </row>
    <row r="77" spans="1:9" x14ac:dyDescent="0.3">
      <c r="A77" t="s">
        <v>467</v>
      </c>
      <c r="B77" s="43">
        <v>796.48</v>
      </c>
      <c r="C77">
        <v>796.47719999999993</v>
      </c>
      <c r="D77">
        <v>883.48</v>
      </c>
      <c r="E77">
        <v>883.47649259858963</v>
      </c>
      <c r="F77">
        <v>4921.83</v>
      </c>
      <c r="G77">
        <v>4921.8308574000002</v>
      </c>
      <c r="H77">
        <v>66561.600000000006</v>
      </c>
      <c r="I77">
        <v>66561.599603999988</v>
      </c>
    </row>
    <row r="78" spans="1:9" x14ac:dyDescent="0.3">
      <c r="A78" t="s">
        <v>472</v>
      </c>
      <c r="B78" s="43">
        <v>1386.74</v>
      </c>
      <c r="C78">
        <v>1386.7446000000002</v>
      </c>
      <c r="D78">
        <v>1538.22</v>
      </c>
      <c r="E78">
        <v>1538.2171802517491</v>
      </c>
      <c r="F78">
        <v>8569.3799999999992</v>
      </c>
      <c r="G78">
        <v>8569.3788647138499</v>
      </c>
      <c r="H78">
        <v>115890.12</v>
      </c>
      <c r="I78">
        <v>115890.119220671</v>
      </c>
    </row>
    <row r="79" spans="1:9" x14ac:dyDescent="0.3">
      <c r="A79" t="s">
        <v>469</v>
      </c>
      <c r="B79" s="43">
        <v>1386.74</v>
      </c>
      <c r="C79">
        <v>1386.7446000000002</v>
      </c>
      <c r="D79">
        <v>1538.22</v>
      </c>
      <c r="E79">
        <v>1538.2171802517491</v>
      </c>
      <c r="F79">
        <v>8569.3799999999992</v>
      </c>
      <c r="G79">
        <v>8569.3788647138499</v>
      </c>
      <c r="H79">
        <v>115890.12</v>
      </c>
      <c r="I79">
        <v>115890.119220671</v>
      </c>
    </row>
    <row r="80" spans="1:9" x14ac:dyDescent="0.3">
      <c r="A80" t="s">
        <v>471</v>
      </c>
      <c r="B80" s="43">
        <v>943.07</v>
      </c>
      <c r="C80">
        <v>943.07100000000003</v>
      </c>
      <c r="D80">
        <v>1046.08</v>
      </c>
      <c r="E80">
        <v>1046.0810638800695</v>
      </c>
      <c r="F80">
        <v>5827.7</v>
      </c>
      <c r="G80">
        <v>5827.6978535138496</v>
      </c>
      <c r="H80">
        <v>78812.320000000007</v>
      </c>
      <c r="I80">
        <v>78812.316468670993</v>
      </c>
    </row>
    <row r="81" spans="1:9" x14ac:dyDescent="0.3">
      <c r="A81" t="s">
        <v>476</v>
      </c>
      <c r="B81" s="43">
        <v>646.03</v>
      </c>
      <c r="C81">
        <v>646.02840000000003</v>
      </c>
      <c r="D81">
        <v>716.59</v>
      </c>
      <c r="E81">
        <v>716.59415354397947</v>
      </c>
      <c r="F81">
        <v>3992.13</v>
      </c>
      <c r="G81">
        <v>3992.1324977999998</v>
      </c>
      <c r="H81">
        <v>53988.59</v>
      </c>
      <c r="I81">
        <v>53988.593387999994</v>
      </c>
    </row>
    <row r="82" spans="1:9" x14ac:dyDescent="0.3">
      <c r="A82" t="s">
        <v>473</v>
      </c>
      <c r="B82" s="43">
        <v>1458.23</v>
      </c>
      <c r="C82">
        <v>1458.2301</v>
      </c>
      <c r="D82">
        <v>1617.51</v>
      </c>
      <c r="E82">
        <v>1617.5127350157552</v>
      </c>
      <c r="F82">
        <v>9011.1299999999992</v>
      </c>
      <c r="G82">
        <v>9011.1329029500012</v>
      </c>
      <c r="H82">
        <v>121864.29</v>
      </c>
      <c r="I82">
        <v>121864.28945699999</v>
      </c>
    </row>
    <row r="83" spans="1:9" x14ac:dyDescent="0.3">
      <c r="A83" t="s">
        <v>475</v>
      </c>
      <c r="B83" s="43">
        <v>646.03</v>
      </c>
      <c r="C83">
        <v>646.02840000000003</v>
      </c>
      <c r="D83">
        <v>716.59</v>
      </c>
      <c r="E83">
        <v>716.59415354397947</v>
      </c>
      <c r="F83">
        <v>3992.13</v>
      </c>
      <c r="G83">
        <v>3992.1324977999998</v>
      </c>
      <c r="H83">
        <v>53988.59</v>
      </c>
      <c r="I83">
        <v>53988.593387999994</v>
      </c>
    </row>
    <row r="84" spans="1:9" x14ac:dyDescent="0.3">
      <c r="A84" t="s">
        <v>474</v>
      </c>
      <c r="B84" s="43">
        <v>1069.74</v>
      </c>
      <c r="C84">
        <v>1069.7381999999998</v>
      </c>
      <c r="D84">
        <v>1186.58</v>
      </c>
      <c r="E84">
        <v>1186.5841361378616</v>
      </c>
      <c r="F84">
        <v>6610.44</v>
      </c>
      <c r="G84">
        <v>6610.4378159138487</v>
      </c>
      <c r="H84">
        <v>89397.89</v>
      </c>
      <c r="I84">
        <v>89397.894372670984</v>
      </c>
    </row>
    <row r="85" spans="1:9" x14ac:dyDescent="0.3">
      <c r="A85" t="s">
        <v>477</v>
      </c>
      <c r="B85" s="43">
        <v>1180.8499999999999</v>
      </c>
      <c r="C85">
        <v>1180.8494999999998</v>
      </c>
      <c r="D85">
        <v>1309.83</v>
      </c>
      <c r="E85">
        <v>1309.8338214161038</v>
      </c>
      <c r="F85">
        <v>7297.06</v>
      </c>
      <c r="G85">
        <v>7297.0594852499999</v>
      </c>
      <c r="H85">
        <v>98683.59</v>
      </c>
      <c r="I85">
        <v>98683.592714999992</v>
      </c>
    </row>
    <row r="86" spans="1:9" x14ac:dyDescent="0.3">
      <c r="A86" t="s">
        <v>479</v>
      </c>
      <c r="B86" s="43">
        <v>616.96</v>
      </c>
      <c r="C86">
        <v>616.96360000000004</v>
      </c>
      <c r="D86">
        <v>684.35</v>
      </c>
      <c r="E86">
        <v>684.35460222715642</v>
      </c>
      <c r="F86">
        <v>3812.53</v>
      </c>
      <c r="G86">
        <v>3812.5265661999997</v>
      </c>
      <c r="H86">
        <v>51559.65</v>
      </c>
      <c r="I86">
        <v>51559.648051999997</v>
      </c>
    </row>
    <row r="87" spans="1:9" x14ac:dyDescent="0.3">
      <c r="A87" t="s">
        <v>478</v>
      </c>
      <c r="B87" s="43">
        <v>511.24</v>
      </c>
      <c r="C87">
        <v>511.23560000000003</v>
      </c>
      <c r="D87">
        <v>567.08000000000004</v>
      </c>
      <c r="E87">
        <v>567.0779210999832</v>
      </c>
      <c r="F87">
        <v>3159.18</v>
      </c>
      <c r="G87">
        <v>3159.1803901999997</v>
      </c>
      <c r="H87">
        <v>42723.96</v>
      </c>
      <c r="I87">
        <v>42723.959091999997</v>
      </c>
    </row>
    <row r="88" spans="1:9" x14ac:dyDescent="0.3">
      <c r="A88" t="s">
        <v>481</v>
      </c>
      <c r="B88" s="43">
        <v>795.14</v>
      </c>
      <c r="C88">
        <v>795.13660000000004</v>
      </c>
      <c r="D88">
        <v>881.99</v>
      </c>
      <c r="E88">
        <v>881.98801615864113</v>
      </c>
      <c r="F88">
        <v>4913.54</v>
      </c>
      <c r="G88">
        <v>4913.5385832602497</v>
      </c>
      <c r="H88">
        <v>66449.460000000006</v>
      </c>
      <c r="I88">
        <v>66449.456979215</v>
      </c>
    </row>
    <row r="89" spans="1:9" x14ac:dyDescent="0.3">
      <c r="A89" t="s">
        <v>480</v>
      </c>
      <c r="B89" s="43">
        <v>397.57</v>
      </c>
      <c r="C89">
        <v>397.57370000000003</v>
      </c>
      <c r="D89">
        <v>441</v>
      </c>
      <c r="E89">
        <v>441.00071919879684</v>
      </c>
      <c r="F89">
        <v>2456.81</v>
      </c>
      <c r="G89">
        <v>2456.80667915</v>
      </c>
      <c r="H89">
        <v>33225.230000000003</v>
      </c>
      <c r="I89">
        <v>33225.234108999997</v>
      </c>
    </row>
    <row r="90" spans="1:9" x14ac:dyDescent="0.3">
      <c r="A90" t="s">
        <v>483</v>
      </c>
      <c r="B90" s="43">
        <v>998.58</v>
      </c>
      <c r="C90">
        <v>998.57539999999995</v>
      </c>
      <c r="D90">
        <v>1107.6500000000001</v>
      </c>
      <c r="E90">
        <v>1107.6499013245248</v>
      </c>
      <c r="F90">
        <v>6170.7</v>
      </c>
      <c r="G90">
        <v>6170.6966843</v>
      </c>
      <c r="H90">
        <v>83450.95</v>
      </c>
      <c r="I90">
        <v>83450.946177999998</v>
      </c>
    </row>
    <row r="91" spans="1:9" x14ac:dyDescent="0.3">
      <c r="A91" t="s">
        <v>484</v>
      </c>
      <c r="B91" s="43">
        <v>998.58</v>
      </c>
      <c r="C91">
        <v>998.57539999999995</v>
      </c>
      <c r="D91">
        <v>1107.6500000000001</v>
      </c>
      <c r="E91">
        <v>1107.6499013245248</v>
      </c>
      <c r="F91">
        <v>6170.7</v>
      </c>
      <c r="G91">
        <v>6170.6966843</v>
      </c>
      <c r="H91">
        <v>83450.95</v>
      </c>
      <c r="I91">
        <v>83450.946177999998</v>
      </c>
    </row>
    <row r="92" spans="1:9" x14ac:dyDescent="0.3">
      <c r="A92" t="s">
        <v>482</v>
      </c>
      <c r="B92" s="43">
        <v>879.7</v>
      </c>
      <c r="C92">
        <v>879.7</v>
      </c>
      <c r="D92">
        <v>975.79</v>
      </c>
      <c r="E92">
        <v>975.789728242038</v>
      </c>
      <c r="F92">
        <v>5436.11</v>
      </c>
      <c r="G92">
        <v>5436.1061500000005</v>
      </c>
      <c r="H92">
        <v>73516.53</v>
      </c>
      <c r="I92">
        <v>73516.528999999995</v>
      </c>
    </row>
    <row r="93" spans="1:9" x14ac:dyDescent="0.3">
      <c r="A93" t="s">
        <v>486</v>
      </c>
      <c r="B93" s="43">
        <v>356.63</v>
      </c>
      <c r="C93">
        <v>356.63080000000002</v>
      </c>
      <c r="D93">
        <v>395.59</v>
      </c>
      <c r="E93">
        <v>395.58562170596872</v>
      </c>
      <c r="F93">
        <v>2203.8000000000002</v>
      </c>
      <c r="G93">
        <v>2203.8000285999997</v>
      </c>
      <c r="H93">
        <v>29803.64</v>
      </c>
      <c r="I93">
        <v>29803.635955999998</v>
      </c>
    </row>
    <row r="94" spans="1:9" x14ac:dyDescent="0.3">
      <c r="A94" t="s">
        <v>485</v>
      </c>
      <c r="B94" s="43">
        <v>356.63</v>
      </c>
      <c r="C94">
        <v>356.63080000000002</v>
      </c>
      <c r="D94">
        <v>395.59</v>
      </c>
      <c r="E94">
        <v>395.58562170596872</v>
      </c>
      <c r="F94">
        <v>2203.8000000000002</v>
      </c>
      <c r="G94">
        <v>2203.8000285999997</v>
      </c>
      <c r="H94">
        <v>29803.64</v>
      </c>
      <c r="I94">
        <v>29803.635955999998</v>
      </c>
    </row>
    <row r="95" spans="1:9" x14ac:dyDescent="0.3">
      <c r="A95" t="s">
        <v>487</v>
      </c>
      <c r="B95" s="43">
        <v>356.63</v>
      </c>
      <c r="C95">
        <v>356.63080000000002</v>
      </c>
      <c r="D95">
        <v>395.59</v>
      </c>
      <c r="E95">
        <v>395.58562170596872</v>
      </c>
      <c r="F95">
        <v>2203.8000000000002</v>
      </c>
      <c r="G95">
        <v>2203.8000285999997</v>
      </c>
      <c r="H95">
        <v>29803.64</v>
      </c>
      <c r="I95">
        <v>29803.635955999998</v>
      </c>
    </row>
    <row r="96" spans="1:9" x14ac:dyDescent="0.3">
      <c r="A96" t="s">
        <v>488</v>
      </c>
      <c r="B96" s="43">
        <v>356.63</v>
      </c>
      <c r="C96">
        <v>356.63080000000002</v>
      </c>
      <c r="D96">
        <v>395.59</v>
      </c>
      <c r="E96">
        <v>395.58562170596872</v>
      </c>
      <c r="F96">
        <v>2203.8000000000002</v>
      </c>
      <c r="G96">
        <v>2203.8000285999997</v>
      </c>
      <c r="H96">
        <v>29803.64</v>
      </c>
      <c r="I96">
        <v>29803.635955999998</v>
      </c>
    </row>
    <row r="97" spans="1:9" x14ac:dyDescent="0.3">
      <c r="A97" t="s">
        <v>489</v>
      </c>
      <c r="B97" s="43">
        <v>356.63</v>
      </c>
      <c r="C97">
        <v>356.63080000000002</v>
      </c>
      <c r="D97">
        <v>395.59</v>
      </c>
      <c r="E97">
        <v>395.58562170596872</v>
      </c>
      <c r="F97">
        <v>2203.8000000000002</v>
      </c>
      <c r="G97">
        <v>2203.8000285999997</v>
      </c>
      <c r="H97">
        <v>29803.64</v>
      </c>
      <c r="I97">
        <v>29803.635955999998</v>
      </c>
    </row>
    <row r="98" spans="1:9" x14ac:dyDescent="0.3">
      <c r="A98" t="s">
        <v>493</v>
      </c>
      <c r="B98" s="43">
        <v>451.79</v>
      </c>
      <c r="C98">
        <v>451.78960000000001</v>
      </c>
      <c r="D98">
        <v>501.14</v>
      </c>
      <c r="E98">
        <v>501.13862794882243</v>
      </c>
      <c r="F98">
        <v>2791.83</v>
      </c>
      <c r="G98">
        <v>2791.8338331999998</v>
      </c>
      <c r="H98">
        <v>37756.06</v>
      </c>
      <c r="I98">
        <v>37756.056871999994</v>
      </c>
    </row>
    <row r="99" spans="1:9" x14ac:dyDescent="0.3">
      <c r="A99" t="s">
        <v>492</v>
      </c>
      <c r="B99" s="43">
        <v>546.94000000000005</v>
      </c>
      <c r="C99">
        <v>546.9448000000001</v>
      </c>
      <c r="D99">
        <v>606.69000000000005</v>
      </c>
      <c r="E99">
        <v>606.68764096327823</v>
      </c>
      <c r="F99">
        <v>3379.85</v>
      </c>
      <c r="G99">
        <v>3379.8453915999999</v>
      </c>
      <c r="H99">
        <v>45708.18</v>
      </c>
      <c r="I99">
        <v>45708.176935999996</v>
      </c>
    </row>
    <row r="100" spans="1:9" x14ac:dyDescent="0.3">
      <c r="A100" t="s">
        <v>490</v>
      </c>
      <c r="B100" s="43">
        <v>356.63</v>
      </c>
      <c r="C100">
        <v>356.63080000000002</v>
      </c>
      <c r="D100">
        <v>395.59</v>
      </c>
      <c r="E100">
        <v>395.58562170596872</v>
      </c>
      <c r="F100">
        <v>2203.8000000000002</v>
      </c>
      <c r="G100">
        <v>2203.8000285999997</v>
      </c>
      <c r="H100">
        <v>29803.64</v>
      </c>
      <c r="I100">
        <v>29803.635955999998</v>
      </c>
    </row>
    <row r="101" spans="1:9" x14ac:dyDescent="0.3">
      <c r="A101" t="s">
        <v>491</v>
      </c>
      <c r="B101" s="43">
        <v>451.79</v>
      </c>
      <c r="C101">
        <v>451.78960000000001</v>
      </c>
      <c r="D101">
        <v>501.14</v>
      </c>
      <c r="E101">
        <v>501.13862794882243</v>
      </c>
      <c r="F101">
        <v>2791.83</v>
      </c>
      <c r="G101">
        <v>2791.8338331999998</v>
      </c>
      <c r="H101">
        <v>37756.06</v>
      </c>
      <c r="I101">
        <v>37756.056871999994</v>
      </c>
    </row>
    <row r="102" spans="1:9" x14ac:dyDescent="0.3">
      <c r="A102" t="s">
        <v>494</v>
      </c>
      <c r="B102" s="43">
        <v>451.79</v>
      </c>
      <c r="C102">
        <v>451.78960000000001</v>
      </c>
      <c r="D102">
        <v>501.14</v>
      </c>
      <c r="E102">
        <v>501.13862794882243</v>
      </c>
      <c r="F102">
        <v>2791.83</v>
      </c>
      <c r="G102">
        <v>2791.8338331999998</v>
      </c>
      <c r="H102">
        <v>37756.06</v>
      </c>
      <c r="I102">
        <v>37756.056871999994</v>
      </c>
    </row>
    <row r="103" spans="1:9" x14ac:dyDescent="0.3">
      <c r="A103" t="s">
        <v>495</v>
      </c>
      <c r="B103" s="43">
        <v>546.94000000000005</v>
      </c>
      <c r="C103">
        <v>546.9448000000001</v>
      </c>
      <c r="D103">
        <v>606.69000000000005</v>
      </c>
      <c r="E103">
        <v>606.68764096327823</v>
      </c>
      <c r="F103">
        <v>3379.85</v>
      </c>
      <c r="G103">
        <v>3379.8453915999999</v>
      </c>
      <c r="H103">
        <v>45708.18</v>
      </c>
      <c r="I103">
        <v>45708.176935999996</v>
      </c>
    </row>
    <row r="104" spans="1:9" x14ac:dyDescent="0.3">
      <c r="A104" t="s">
        <v>497</v>
      </c>
      <c r="B104" s="43">
        <v>451.79</v>
      </c>
      <c r="C104">
        <v>451.78960000000001</v>
      </c>
      <c r="D104">
        <v>501.14</v>
      </c>
      <c r="E104">
        <v>501.13862794882243</v>
      </c>
      <c r="F104">
        <v>2791.83</v>
      </c>
      <c r="G104">
        <v>2791.8338331999998</v>
      </c>
      <c r="H104">
        <v>37756.06</v>
      </c>
      <c r="I104">
        <v>37756.056871999994</v>
      </c>
    </row>
    <row r="105" spans="1:9" x14ac:dyDescent="0.3">
      <c r="A105" t="s">
        <v>498</v>
      </c>
      <c r="B105" s="43">
        <v>641.95000000000005</v>
      </c>
      <c r="C105">
        <v>641.9452</v>
      </c>
      <c r="D105">
        <v>712.06</v>
      </c>
      <c r="E105">
        <v>712.06494515662234</v>
      </c>
      <c r="F105">
        <v>3966.9</v>
      </c>
      <c r="G105">
        <v>3966.9003633999992</v>
      </c>
      <c r="H105">
        <v>53647.360000000001</v>
      </c>
      <c r="I105">
        <v>53647.360363999993</v>
      </c>
    </row>
    <row r="106" spans="1:9" x14ac:dyDescent="0.3">
      <c r="A106" t="s">
        <v>496</v>
      </c>
      <c r="B106" s="43">
        <v>546.94000000000005</v>
      </c>
      <c r="C106">
        <v>546.9448000000001</v>
      </c>
      <c r="D106">
        <v>606.69000000000005</v>
      </c>
      <c r="E106">
        <v>606.68764096327823</v>
      </c>
      <c r="F106">
        <v>3379.85</v>
      </c>
      <c r="G106">
        <v>3379.8453915999999</v>
      </c>
      <c r="H106">
        <v>45708.18</v>
      </c>
      <c r="I106">
        <v>45708.176935999996</v>
      </c>
    </row>
    <row r="107" spans="1:9" x14ac:dyDescent="0.3">
      <c r="A107" t="s">
        <v>567</v>
      </c>
      <c r="B107" s="43">
        <v>546.94000000000005</v>
      </c>
      <c r="C107">
        <v>546.9448000000001</v>
      </c>
      <c r="D107">
        <v>606.69000000000005</v>
      </c>
      <c r="E107">
        <v>606.68764096327823</v>
      </c>
      <c r="F107">
        <v>3379.85</v>
      </c>
      <c r="G107">
        <v>3379.8453915999999</v>
      </c>
      <c r="H107">
        <v>45708.18</v>
      </c>
      <c r="I107">
        <v>45708.176935999996</v>
      </c>
    </row>
    <row r="108" spans="1:9" x14ac:dyDescent="0.3">
      <c r="A108" t="s">
        <v>499</v>
      </c>
      <c r="B108" s="43">
        <v>546.94000000000005</v>
      </c>
      <c r="C108">
        <v>546.9448000000001</v>
      </c>
      <c r="D108">
        <v>606.69000000000005</v>
      </c>
      <c r="E108">
        <v>606.68764096327823</v>
      </c>
      <c r="F108">
        <v>3379.85</v>
      </c>
      <c r="G108">
        <v>3379.8453915999999</v>
      </c>
      <c r="H108">
        <v>45708.18</v>
      </c>
      <c r="I108">
        <v>45708.176935999996</v>
      </c>
    </row>
    <row r="109" spans="1:9" x14ac:dyDescent="0.3">
      <c r="A109" t="s">
        <v>501</v>
      </c>
      <c r="B109" s="43">
        <v>641.95000000000005</v>
      </c>
      <c r="C109">
        <v>641.9452</v>
      </c>
      <c r="D109">
        <v>712.06</v>
      </c>
      <c r="E109">
        <v>712.06494515662234</v>
      </c>
      <c r="F109">
        <v>3966.9</v>
      </c>
      <c r="G109">
        <v>3966.9003633999992</v>
      </c>
      <c r="H109">
        <v>53647.360000000001</v>
      </c>
      <c r="I109">
        <v>53647.360363999993</v>
      </c>
    </row>
    <row r="110" spans="1:9" x14ac:dyDescent="0.3">
      <c r="A110" t="s">
        <v>500</v>
      </c>
      <c r="B110" s="43">
        <v>546.94000000000005</v>
      </c>
      <c r="C110">
        <v>546.9448000000001</v>
      </c>
      <c r="D110">
        <v>606.69000000000005</v>
      </c>
      <c r="E110">
        <v>606.68764096327823</v>
      </c>
      <c r="F110">
        <v>3379.85</v>
      </c>
      <c r="G110">
        <v>3379.8453915999999</v>
      </c>
      <c r="H110">
        <v>45708.18</v>
      </c>
      <c r="I110">
        <v>45708.176935999996</v>
      </c>
    </row>
    <row r="111" spans="1:9" x14ac:dyDescent="0.3">
      <c r="A111" t="s">
        <v>503</v>
      </c>
      <c r="B111" s="43">
        <v>546.94000000000005</v>
      </c>
      <c r="C111">
        <v>546.9448000000001</v>
      </c>
      <c r="D111">
        <v>606.69000000000005</v>
      </c>
      <c r="E111">
        <v>606.68764096327823</v>
      </c>
      <c r="F111">
        <v>3379.85</v>
      </c>
      <c r="G111">
        <v>3379.8453915999999</v>
      </c>
      <c r="H111">
        <v>45708.18</v>
      </c>
      <c r="I111">
        <v>45708.176935999996</v>
      </c>
    </row>
    <row r="112" spans="1:9" x14ac:dyDescent="0.3">
      <c r="A112" t="s">
        <v>502</v>
      </c>
      <c r="B112" s="43">
        <v>546.94000000000005</v>
      </c>
      <c r="C112">
        <v>546.9448000000001</v>
      </c>
      <c r="D112">
        <v>606.69000000000005</v>
      </c>
      <c r="E112">
        <v>606.68764096327823</v>
      </c>
      <c r="F112">
        <v>3379.85</v>
      </c>
      <c r="G112">
        <v>3379.8453915999999</v>
      </c>
      <c r="H112">
        <v>45708.18</v>
      </c>
      <c r="I112">
        <v>45708.176935999996</v>
      </c>
    </row>
    <row r="113" spans="1:9" x14ac:dyDescent="0.3">
      <c r="A113" t="s">
        <v>505</v>
      </c>
      <c r="B113" s="43">
        <v>546.94000000000005</v>
      </c>
      <c r="C113">
        <v>546.9448000000001</v>
      </c>
      <c r="D113">
        <v>606.69000000000005</v>
      </c>
      <c r="E113">
        <v>606.68764096327823</v>
      </c>
      <c r="F113">
        <v>3379.85</v>
      </c>
      <c r="G113">
        <v>3379.8453915999999</v>
      </c>
      <c r="H113">
        <v>45708.18</v>
      </c>
      <c r="I113">
        <v>45708.176935999996</v>
      </c>
    </row>
    <row r="114" spans="1:9" x14ac:dyDescent="0.3">
      <c r="A114" t="s">
        <v>506</v>
      </c>
      <c r="B114" s="43">
        <v>546.94000000000005</v>
      </c>
      <c r="C114">
        <v>546.9448000000001</v>
      </c>
      <c r="D114">
        <v>606.69000000000005</v>
      </c>
      <c r="E114">
        <v>606.68764096327823</v>
      </c>
      <c r="F114">
        <v>3379.85</v>
      </c>
      <c r="G114">
        <v>3379.8453915999999</v>
      </c>
      <c r="H114">
        <v>45708.18</v>
      </c>
      <c r="I114">
        <v>45708.176935999996</v>
      </c>
    </row>
    <row r="115" spans="1:9" x14ac:dyDescent="0.3">
      <c r="A115" t="s">
        <v>507</v>
      </c>
      <c r="B115" s="43">
        <v>641.95000000000005</v>
      </c>
      <c r="C115">
        <v>641.9452</v>
      </c>
      <c r="D115">
        <v>712.06</v>
      </c>
      <c r="E115">
        <v>712.06494515662234</v>
      </c>
      <c r="F115">
        <v>3966.9</v>
      </c>
      <c r="G115">
        <v>3966.9003633999992</v>
      </c>
      <c r="H115">
        <v>53647.360000000001</v>
      </c>
      <c r="I115">
        <v>53647.360363999993</v>
      </c>
    </row>
    <row r="116" spans="1:9" x14ac:dyDescent="0.3">
      <c r="A116" t="s">
        <v>508</v>
      </c>
      <c r="B116" s="43">
        <v>546.94000000000005</v>
      </c>
      <c r="C116">
        <v>546.9448000000001</v>
      </c>
      <c r="D116">
        <v>606.69000000000005</v>
      </c>
      <c r="E116">
        <v>606.68764096327823</v>
      </c>
      <c r="F116">
        <v>3379.85</v>
      </c>
      <c r="G116">
        <v>3379.8453915999999</v>
      </c>
      <c r="H116">
        <v>45708.18</v>
      </c>
      <c r="I116">
        <v>45708.176935999996</v>
      </c>
    </row>
    <row r="117" spans="1:9" x14ac:dyDescent="0.3">
      <c r="A117" t="s">
        <v>511</v>
      </c>
      <c r="B117" s="43">
        <v>546.94000000000005</v>
      </c>
      <c r="C117">
        <v>546.9448000000001</v>
      </c>
      <c r="D117">
        <v>606.69000000000005</v>
      </c>
      <c r="E117">
        <v>606.68764096327823</v>
      </c>
      <c r="F117">
        <v>3379.85</v>
      </c>
      <c r="G117">
        <v>3379.8453915999999</v>
      </c>
      <c r="H117">
        <v>45708.18</v>
      </c>
      <c r="I117">
        <v>45708.176935999996</v>
      </c>
    </row>
    <row r="118" spans="1:9" x14ac:dyDescent="0.3">
      <c r="A118" t="s">
        <v>509</v>
      </c>
      <c r="B118" s="43">
        <v>546.94000000000005</v>
      </c>
      <c r="C118">
        <v>546.9448000000001</v>
      </c>
      <c r="D118">
        <v>606.69000000000005</v>
      </c>
      <c r="E118">
        <v>606.68764096327823</v>
      </c>
      <c r="F118">
        <v>3379.85</v>
      </c>
      <c r="G118">
        <v>3379.8453915999999</v>
      </c>
      <c r="H118">
        <v>45708.18</v>
      </c>
      <c r="I118">
        <v>45708.176935999996</v>
      </c>
    </row>
    <row r="119" spans="1:9" x14ac:dyDescent="0.3">
      <c r="A119" t="s">
        <v>512</v>
      </c>
      <c r="B119" s="43">
        <v>546.94000000000005</v>
      </c>
      <c r="C119">
        <v>546.9448000000001</v>
      </c>
      <c r="D119">
        <v>606.69000000000005</v>
      </c>
      <c r="E119">
        <v>606.68764096327823</v>
      </c>
      <c r="F119">
        <v>3379.85</v>
      </c>
      <c r="G119">
        <v>3379.8453915999999</v>
      </c>
      <c r="H119">
        <v>45708.18</v>
      </c>
      <c r="I119">
        <v>45708.176935999996</v>
      </c>
    </row>
    <row r="120" spans="1:9" x14ac:dyDescent="0.3">
      <c r="A120" t="s">
        <v>513</v>
      </c>
      <c r="B120" s="43">
        <v>760.82</v>
      </c>
      <c r="C120">
        <v>760.82060000000001</v>
      </c>
      <c r="D120">
        <v>843.93</v>
      </c>
      <c r="E120">
        <v>843.92511823910922</v>
      </c>
      <c r="F120">
        <v>4701.49</v>
      </c>
      <c r="G120">
        <v>4701.4908977000005</v>
      </c>
      <c r="H120">
        <v>63581.78</v>
      </c>
      <c r="I120">
        <v>63581.777541999996</v>
      </c>
    </row>
    <row r="121" spans="1:9" x14ac:dyDescent="0.3">
      <c r="A121" t="s">
        <v>514</v>
      </c>
      <c r="B121" s="43">
        <v>760.82</v>
      </c>
      <c r="C121">
        <v>760.82060000000001</v>
      </c>
      <c r="D121">
        <v>843.93</v>
      </c>
      <c r="E121">
        <v>843.92511823910922</v>
      </c>
      <c r="F121">
        <v>4701.49</v>
      </c>
      <c r="G121">
        <v>4701.4908977000005</v>
      </c>
      <c r="H121">
        <v>63581.78</v>
      </c>
      <c r="I121">
        <v>63581.777541999996</v>
      </c>
    </row>
    <row r="122" spans="1:9" x14ac:dyDescent="0.3">
      <c r="A122" t="s">
        <v>515</v>
      </c>
      <c r="B122" s="43">
        <v>760.82</v>
      </c>
      <c r="C122">
        <v>760.82060000000001</v>
      </c>
      <c r="D122">
        <v>843.93</v>
      </c>
      <c r="E122">
        <v>843.92511823910922</v>
      </c>
      <c r="F122">
        <v>4701.49</v>
      </c>
      <c r="G122">
        <v>4701.4908977000005</v>
      </c>
      <c r="H122">
        <v>63581.78</v>
      </c>
      <c r="I122">
        <v>63581.777541999996</v>
      </c>
    </row>
    <row r="123" spans="1:9" x14ac:dyDescent="0.3">
      <c r="A123" t="s">
        <v>516</v>
      </c>
      <c r="B123" s="43">
        <v>760.82</v>
      </c>
      <c r="C123">
        <v>760.82060000000001</v>
      </c>
      <c r="D123">
        <v>843.93</v>
      </c>
      <c r="E123">
        <v>843.92511823910922</v>
      </c>
      <c r="F123">
        <v>4701.49</v>
      </c>
      <c r="G123">
        <v>4701.4908977000005</v>
      </c>
      <c r="H123">
        <v>63581.78</v>
      </c>
      <c r="I123">
        <v>63581.777541999996</v>
      </c>
    </row>
    <row r="124" spans="1:9" x14ac:dyDescent="0.3">
      <c r="A124" t="s">
        <v>517</v>
      </c>
      <c r="B124" s="43">
        <v>760.82</v>
      </c>
      <c r="C124">
        <v>760.82060000000001</v>
      </c>
      <c r="D124">
        <v>843.93</v>
      </c>
      <c r="E124">
        <v>843.92511823910922</v>
      </c>
      <c r="F124">
        <v>4701.49</v>
      </c>
      <c r="G124">
        <v>4701.4908977000005</v>
      </c>
      <c r="H124">
        <v>63581.78</v>
      </c>
      <c r="I124">
        <v>63581.777541999996</v>
      </c>
    </row>
    <row r="125" spans="1:9" x14ac:dyDescent="0.3">
      <c r="A125" t="s">
        <v>518</v>
      </c>
      <c r="B125" s="43">
        <v>760.82</v>
      </c>
      <c r="C125">
        <v>760.82060000000001</v>
      </c>
      <c r="D125">
        <v>843.93</v>
      </c>
      <c r="E125">
        <v>843.92511823910922</v>
      </c>
      <c r="F125">
        <v>4701.49</v>
      </c>
      <c r="G125">
        <v>4701.4908977000005</v>
      </c>
      <c r="H125">
        <v>63581.78</v>
      </c>
      <c r="I125">
        <v>63581.777541999996</v>
      </c>
    </row>
    <row r="126" spans="1:9" x14ac:dyDescent="0.3">
      <c r="A126" t="s">
        <v>519</v>
      </c>
      <c r="B126" s="43">
        <v>855.92</v>
      </c>
      <c r="C126">
        <v>855.91820000000007</v>
      </c>
      <c r="D126">
        <v>949.41</v>
      </c>
      <c r="E126">
        <v>949.41023959919801</v>
      </c>
      <c r="F126">
        <v>5289.15</v>
      </c>
      <c r="G126">
        <v>5289.1465169000003</v>
      </c>
      <c r="H126">
        <v>71529.08</v>
      </c>
      <c r="I126">
        <v>71529.083974000008</v>
      </c>
    </row>
    <row r="127" spans="1:9" x14ac:dyDescent="0.3">
      <c r="A127" t="s">
        <v>521</v>
      </c>
      <c r="B127" s="43">
        <v>855.92</v>
      </c>
      <c r="C127">
        <v>855.91820000000007</v>
      </c>
      <c r="D127">
        <v>949.41</v>
      </c>
      <c r="E127">
        <v>949.41023959919801</v>
      </c>
      <c r="F127">
        <v>5289.15</v>
      </c>
      <c r="G127">
        <v>5289.1465169000003</v>
      </c>
      <c r="H127">
        <v>71529.08</v>
      </c>
      <c r="I127">
        <v>71529.083974000008</v>
      </c>
    </row>
    <row r="128" spans="1:9" x14ac:dyDescent="0.3">
      <c r="A128" t="s">
        <v>524</v>
      </c>
      <c r="B128" s="43">
        <v>998.58</v>
      </c>
      <c r="C128">
        <v>998.57539999999995</v>
      </c>
      <c r="D128">
        <v>1107.6500000000001</v>
      </c>
      <c r="E128">
        <v>1107.6499013245248</v>
      </c>
      <c r="F128">
        <v>6170.7</v>
      </c>
      <c r="G128">
        <v>6170.6966843</v>
      </c>
      <c r="H128">
        <v>83450.95</v>
      </c>
      <c r="I128">
        <v>83450.946177999998</v>
      </c>
    </row>
    <row r="129" spans="1:9" x14ac:dyDescent="0.3">
      <c r="A129" t="s">
        <v>523</v>
      </c>
      <c r="B129" s="43">
        <v>594.39</v>
      </c>
      <c r="C129">
        <v>594.38559999999995</v>
      </c>
      <c r="D129">
        <v>659.31</v>
      </c>
      <c r="E129">
        <v>659.31040479138414</v>
      </c>
      <c r="F129">
        <v>3673.01</v>
      </c>
      <c r="G129">
        <v>3673.0058151999992</v>
      </c>
      <c r="H129">
        <v>49672.800000000003</v>
      </c>
      <c r="I129">
        <v>49672.804591999993</v>
      </c>
    </row>
    <row r="130" spans="1:9" x14ac:dyDescent="0.3">
      <c r="A130" t="s">
        <v>522</v>
      </c>
      <c r="B130" s="43">
        <v>380.41</v>
      </c>
      <c r="C130">
        <v>380.41239999999993</v>
      </c>
      <c r="D130">
        <v>421.96</v>
      </c>
      <c r="E130">
        <v>421.96488850278672</v>
      </c>
      <c r="F130">
        <v>2350.7600000000002</v>
      </c>
      <c r="G130">
        <v>2350.7584257999997</v>
      </c>
      <c r="H130">
        <v>31791.06</v>
      </c>
      <c r="I130">
        <v>31791.064267999995</v>
      </c>
    </row>
    <row r="131" spans="1:9" x14ac:dyDescent="0.3">
      <c r="A131" t="s">
        <v>520</v>
      </c>
      <c r="B131" s="43">
        <v>855.92</v>
      </c>
      <c r="C131">
        <v>855.91820000000007</v>
      </c>
      <c r="D131">
        <v>949.41</v>
      </c>
      <c r="E131">
        <v>949.41023959919801</v>
      </c>
      <c r="F131">
        <v>5289.15</v>
      </c>
      <c r="G131">
        <v>5289.1465169000003</v>
      </c>
      <c r="H131">
        <v>71529.08</v>
      </c>
      <c r="I131">
        <v>71529.083974000008</v>
      </c>
    </row>
    <row r="132" spans="1:9" x14ac:dyDescent="0.3">
      <c r="A132" t="s">
        <v>525</v>
      </c>
      <c r="B132" s="43">
        <v>332.85</v>
      </c>
      <c r="C132">
        <v>332.85240000000005</v>
      </c>
      <c r="D132">
        <v>369.21</v>
      </c>
      <c r="E132">
        <v>369.20990444550438</v>
      </c>
      <c r="F132">
        <v>2056.86</v>
      </c>
      <c r="G132">
        <v>2056.8614057999998</v>
      </c>
      <c r="H132">
        <v>27816.48</v>
      </c>
      <c r="I132">
        <v>27816.475068</v>
      </c>
    </row>
    <row r="133" spans="1:9" x14ac:dyDescent="0.3">
      <c r="A133" t="s">
        <v>526</v>
      </c>
      <c r="B133" s="43">
        <v>1038.07</v>
      </c>
      <c r="C133">
        <v>1038.076</v>
      </c>
      <c r="D133">
        <v>1151.46</v>
      </c>
      <c r="E133">
        <v>1151.463890597365</v>
      </c>
      <c r="F133">
        <v>6414.78</v>
      </c>
      <c r="G133">
        <v>6414.7835911905004</v>
      </c>
      <c r="H133">
        <v>86751.92</v>
      </c>
      <c r="I133">
        <v>86751.915966629997</v>
      </c>
    </row>
    <row r="134" spans="1:9" x14ac:dyDescent="0.3">
      <c r="A134" t="s">
        <v>527</v>
      </c>
      <c r="B134" s="43">
        <v>599.70000000000005</v>
      </c>
      <c r="C134">
        <v>599.70240000000001</v>
      </c>
      <c r="D134">
        <v>665.21</v>
      </c>
      <c r="E134">
        <v>665.2074966723012</v>
      </c>
      <c r="F134">
        <v>3705.86</v>
      </c>
      <c r="G134">
        <v>3705.8584027125999</v>
      </c>
      <c r="H134">
        <v>50117.09</v>
      </c>
      <c r="I134">
        <v>50117.09470259599</v>
      </c>
    </row>
    <row r="135" spans="1:9" x14ac:dyDescent="0.3">
      <c r="A135" t="s">
        <v>528</v>
      </c>
      <c r="B135" s="43">
        <v>1038.07</v>
      </c>
      <c r="C135">
        <v>1038.076</v>
      </c>
      <c r="D135">
        <v>1151.46</v>
      </c>
      <c r="E135">
        <v>1151.463890597365</v>
      </c>
      <c r="F135">
        <v>6414.78</v>
      </c>
      <c r="G135">
        <v>6414.7835911905004</v>
      </c>
      <c r="H135">
        <v>86751.92</v>
      </c>
      <c r="I135">
        <v>86751.915966629997</v>
      </c>
    </row>
    <row r="136" spans="1:9" x14ac:dyDescent="0.3">
      <c r="A136" t="s">
        <v>529</v>
      </c>
      <c r="B136" s="43">
        <v>705.32</v>
      </c>
      <c r="C136">
        <v>705.32079999999996</v>
      </c>
      <c r="D136">
        <v>782.36</v>
      </c>
      <c r="E136">
        <v>782.3618033186051</v>
      </c>
      <c r="F136">
        <v>4358.5200000000004</v>
      </c>
      <c r="G136">
        <v>4358.5228327904997</v>
      </c>
      <c r="H136">
        <v>58943.56</v>
      </c>
      <c r="I136">
        <v>58943.563902629998</v>
      </c>
    </row>
    <row r="137" spans="1:9" x14ac:dyDescent="0.3">
      <c r="A137" t="s">
        <v>531</v>
      </c>
      <c r="B137" s="43">
        <v>517.88</v>
      </c>
      <c r="C137">
        <v>517.88</v>
      </c>
      <c r="D137">
        <v>574.45000000000005</v>
      </c>
      <c r="E137">
        <v>574.44808964645529</v>
      </c>
      <c r="F137">
        <v>3200.24</v>
      </c>
      <c r="G137">
        <v>3200.2394599999998</v>
      </c>
      <c r="H137">
        <v>43279.23</v>
      </c>
      <c r="I137">
        <v>43279.231599999992</v>
      </c>
    </row>
    <row r="138" spans="1:9" x14ac:dyDescent="0.3">
      <c r="A138" t="s">
        <v>530</v>
      </c>
      <c r="B138" s="43">
        <v>517.88</v>
      </c>
      <c r="C138">
        <v>517.88</v>
      </c>
      <c r="D138">
        <v>574.45000000000005</v>
      </c>
      <c r="E138">
        <v>574.44808964645529</v>
      </c>
      <c r="F138">
        <v>3200.24</v>
      </c>
      <c r="G138">
        <v>3200.2394599999998</v>
      </c>
      <c r="H138">
        <v>43279.23</v>
      </c>
      <c r="I138">
        <v>43279.231599999992</v>
      </c>
    </row>
    <row r="139" spans="1:9" x14ac:dyDescent="0.3">
      <c r="A139" t="s">
        <v>532</v>
      </c>
      <c r="B139" s="43">
        <v>590.42999999999995</v>
      </c>
      <c r="C139">
        <v>590.43129999999996</v>
      </c>
      <c r="D139">
        <v>654.91999999999996</v>
      </c>
      <c r="E139">
        <v>654.92417616527587</v>
      </c>
      <c r="F139">
        <v>3648.57</v>
      </c>
      <c r="G139">
        <v>3648.5702183499993</v>
      </c>
      <c r="H139">
        <v>49342.34</v>
      </c>
      <c r="I139">
        <v>49342.34374099999</v>
      </c>
    </row>
    <row r="140" spans="1:9" x14ac:dyDescent="0.3">
      <c r="A140" t="s">
        <v>533</v>
      </c>
      <c r="B140" s="43">
        <v>585.14</v>
      </c>
      <c r="C140">
        <v>585.14469999999994</v>
      </c>
      <c r="D140">
        <v>649.05999999999995</v>
      </c>
      <c r="E140">
        <v>649.06012026289511</v>
      </c>
      <c r="F140">
        <v>3615.9</v>
      </c>
      <c r="G140">
        <v>3615.9016736499993</v>
      </c>
      <c r="H140">
        <v>48900.54</v>
      </c>
      <c r="I140">
        <v>48900.542578999994</v>
      </c>
    </row>
    <row r="141" spans="1:9" x14ac:dyDescent="0.3">
      <c r="A141" t="s">
        <v>536</v>
      </c>
      <c r="B141" s="43">
        <v>488.82</v>
      </c>
      <c r="C141">
        <v>488.8152</v>
      </c>
      <c r="D141">
        <v>542.21</v>
      </c>
      <c r="E141">
        <v>542.20853832963223</v>
      </c>
      <c r="F141">
        <v>3020.63</v>
      </c>
      <c r="G141">
        <v>3020.6335283999997</v>
      </c>
      <c r="H141">
        <v>40850.29</v>
      </c>
      <c r="I141">
        <v>40850.286263999995</v>
      </c>
    </row>
    <row r="142" spans="1:9" x14ac:dyDescent="0.3">
      <c r="A142" t="s">
        <v>534</v>
      </c>
      <c r="B142" s="43">
        <v>488.82</v>
      </c>
      <c r="C142">
        <v>488.8152</v>
      </c>
      <c r="D142">
        <v>542.21</v>
      </c>
      <c r="E142">
        <v>542.20853832963223</v>
      </c>
      <c r="F142">
        <v>3020.63</v>
      </c>
      <c r="G142">
        <v>3020.6335283999997</v>
      </c>
      <c r="H142">
        <v>40850.29</v>
      </c>
      <c r="I142">
        <v>40850.286263999995</v>
      </c>
    </row>
    <row r="143" spans="1:9" x14ac:dyDescent="0.3">
      <c r="A143" t="s">
        <v>535</v>
      </c>
      <c r="B143" s="43">
        <v>488.82</v>
      </c>
      <c r="C143">
        <v>488.8152</v>
      </c>
      <c r="D143">
        <v>542.21</v>
      </c>
      <c r="E143">
        <v>542.20853832963223</v>
      </c>
      <c r="F143">
        <v>3020.63</v>
      </c>
      <c r="G143">
        <v>3020.6335283999997</v>
      </c>
      <c r="H143">
        <v>40850.29</v>
      </c>
      <c r="I143">
        <v>40850.286263999995</v>
      </c>
    </row>
    <row r="144" spans="1:9" x14ac:dyDescent="0.3">
      <c r="A144" t="s">
        <v>538</v>
      </c>
      <c r="B144" s="43">
        <v>301.16000000000003</v>
      </c>
      <c r="C144">
        <v>301.15539999999999</v>
      </c>
      <c r="D144">
        <v>334.05</v>
      </c>
      <c r="E144">
        <v>334.05063763171796</v>
      </c>
      <c r="F144">
        <v>1860.99</v>
      </c>
      <c r="G144">
        <v>1860.9897942999999</v>
      </c>
      <c r="H144">
        <v>25167.56</v>
      </c>
      <c r="I144">
        <v>25167.556777999998</v>
      </c>
    </row>
    <row r="145" spans="1:9" x14ac:dyDescent="0.3">
      <c r="A145" t="s">
        <v>537</v>
      </c>
      <c r="B145" s="43">
        <v>301.16000000000003</v>
      </c>
      <c r="C145">
        <v>301.15539999999999</v>
      </c>
      <c r="D145">
        <v>334.05</v>
      </c>
      <c r="E145">
        <v>334.05063763171796</v>
      </c>
      <c r="F145">
        <v>1860.99</v>
      </c>
      <c r="G145">
        <v>1860.9897942999999</v>
      </c>
      <c r="H145">
        <v>25167.56</v>
      </c>
      <c r="I145">
        <v>25167.556777999998</v>
      </c>
    </row>
    <row r="146" spans="1:9" x14ac:dyDescent="0.3">
      <c r="A146" t="s">
        <v>539</v>
      </c>
      <c r="B146" s="43">
        <v>380.45</v>
      </c>
      <c r="C146">
        <v>380.45440000000002</v>
      </c>
      <c r="D146">
        <v>422.01</v>
      </c>
      <c r="E146">
        <v>422.01147616742941</v>
      </c>
      <c r="F146">
        <v>2351.02</v>
      </c>
      <c r="G146">
        <v>2351.0179647999998</v>
      </c>
      <c r="H146">
        <v>31794.57</v>
      </c>
      <c r="I146">
        <v>31794.574207999998</v>
      </c>
    </row>
    <row r="147" spans="1:9" x14ac:dyDescent="0.3">
      <c r="A147" t="s">
        <v>541</v>
      </c>
      <c r="B147" s="43">
        <v>380.45</v>
      </c>
      <c r="C147">
        <v>380.45440000000002</v>
      </c>
      <c r="D147">
        <v>422.01</v>
      </c>
      <c r="E147">
        <v>422.01147616742941</v>
      </c>
      <c r="F147">
        <v>2351.02</v>
      </c>
      <c r="G147">
        <v>2351.0179647999998</v>
      </c>
      <c r="H147">
        <v>31794.57</v>
      </c>
      <c r="I147">
        <v>31794.574207999998</v>
      </c>
    </row>
    <row r="148" spans="1:9" x14ac:dyDescent="0.3">
      <c r="A148" t="s">
        <v>542</v>
      </c>
      <c r="B148" s="43">
        <v>459.75</v>
      </c>
      <c r="C148">
        <v>459.75040000000001</v>
      </c>
      <c r="D148">
        <v>509.97</v>
      </c>
      <c r="E148">
        <v>509.96898701280929</v>
      </c>
      <c r="F148">
        <v>2841.03</v>
      </c>
      <c r="G148">
        <v>2841.0275967999996</v>
      </c>
      <c r="H148">
        <v>38421.339999999997</v>
      </c>
      <c r="I148">
        <v>38421.340927999998</v>
      </c>
    </row>
    <row r="149" spans="1:9" x14ac:dyDescent="0.3">
      <c r="A149" t="s">
        <v>540</v>
      </c>
      <c r="B149" s="43">
        <v>301.16000000000003</v>
      </c>
      <c r="C149">
        <v>301.15539999999999</v>
      </c>
      <c r="D149">
        <v>334.05</v>
      </c>
      <c r="E149">
        <v>334.05063763171796</v>
      </c>
      <c r="F149">
        <v>1860.99</v>
      </c>
      <c r="G149">
        <v>1860.9897942999999</v>
      </c>
      <c r="H149">
        <v>25167.56</v>
      </c>
      <c r="I149">
        <v>25167.556777999998</v>
      </c>
    </row>
    <row r="150" spans="1:9" x14ac:dyDescent="0.3">
      <c r="A150" t="s">
        <v>543</v>
      </c>
      <c r="B150" s="43">
        <v>459.75</v>
      </c>
      <c r="C150">
        <v>459.75040000000001</v>
      </c>
      <c r="D150">
        <v>509.97</v>
      </c>
      <c r="E150">
        <v>509.96898701280929</v>
      </c>
      <c r="F150">
        <v>2841.03</v>
      </c>
      <c r="G150">
        <v>2841.0275967999996</v>
      </c>
      <c r="H150">
        <v>38421.339999999997</v>
      </c>
      <c r="I150">
        <v>38421.340927999998</v>
      </c>
    </row>
    <row r="151" spans="1:9" x14ac:dyDescent="0.3">
      <c r="A151" t="s">
        <v>545</v>
      </c>
      <c r="B151" s="43">
        <v>459.75</v>
      </c>
      <c r="C151">
        <v>459.75040000000001</v>
      </c>
      <c r="D151">
        <v>509.97</v>
      </c>
      <c r="E151">
        <v>509.96898701280929</v>
      </c>
      <c r="F151">
        <v>2841.03</v>
      </c>
      <c r="G151">
        <v>2841.0275967999996</v>
      </c>
      <c r="H151">
        <v>38421.339999999997</v>
      </c>
      <c r="I151">
        <v>38421.340927999998</v>
      </c>
    </row>
    <row r="152" spans="1:9" x14ac:dyDescent="0.3">
      <c r="A152" t="s">
        <v>544</v>
      </c>
      <c r="B152" s="43">
        <v>538.91999999999996</v>
      </c>
      <c r="C152">
        <v>538.91740000000004</v>
      </c>
      <c r="D152">
        <v>597.78</v>
      </c>
      <c r="E152">
        <v>597.78340717392928</v>
      </c>
      <c r="F152">
        <v>3330.24</v>
      </c>
      <c r="G152">
        <v>3330.2400732999995</v>
      </c>
      <c r="H152">
        <v>45037.33</v>
      </c>
      <c r="I152">
        <v>45037.327117999994</v>
      </c>
    </row>
    <row r="153" spans="1:9" x14ac:dyDescent="0.3">
      <c r="A153" t="s">
        <v>546</v>
      </c>
      <c r="B153" s="43">
        <v>459.75</v>
      </c>
      <c r="C153">
        <v>459.75040000000001</v>
      </c>
      <c r="D153">
        <v>509.97</v>
      </c>
      <c r="E153">
        <v>509.96898701280929</v>
      </c>
      <c r="F153">
        <v>2841.03</v>
      </c>
      <c r="G153">
        <v>2841.0275967999996</v>
      </c>
      <c r="H153">
        <v>38421.339999999997</v>
      </c>
      <c r="I153">
        <v>38421.340927999998</v>
      </c>
    </row>
    <row r="154" spans="1:9" x14ac:dyDescent="0.3">
      <c r="A154" t="s">
        <v>548</v>
      </c>
      <c r="B154" s="43">
        <v>641.94000000000005</v>
      </c>
      <c r="C154">
        <v>641.93960000000004</v>
      </c>
      <c r="D154">
        <v>712.06</v>
      </c>
      <c r="E154">
        <v>712.05873346800342</v>
      </c>
      <c r="F154">
        <v>3966.87</v>
      </c>
      <c r="G154">
        <v>3966.8657582000005</v>
      </c>
      <c r="H154">
        <v>53646.89</v>
      </c>
      <c r="I154">
        <v>53646.892372000002</v>
      </c>
    </row>
    <row r="155" spans="1:9" x14ac:dyDescent="0.3">
      <c r="A155" t="s">
        <v>547</v>
      </c>
      <c r="B155" s="43">
        <v>641.94000000000005</v>
      </c>
      <c r="C155">
        <v>641.93960000000004</v>
      </c>
      <c r="D155">
        <v>712.06</v>
      </c>
      <c r="E155">
        <v>712.05873346800342</v>
      </c>
      <c r="F155">
        <v>3966.87</v>
      </c>
      <c r="G155">
        <v>3966.8657582000005</v>
      </c>
      <c r="H155">
        <v>53646.89</v>
      </c>
      <c r="I155">
        <v>53646.892372000002</v>
      </c>
    </row>
    <row r="156" spans="1:9" x14ac:dyDescent="0.3">
      <c r="A156" t="s">
        <v>549</v>
      </c>
      <c r="B156" s="43">
        <v>721.19</v>
      </c>
      <c r="C156">
        <v>721.18759999999997</v>
      </c>
      <c r="D156">
        <v>799.96</v>
      </c>
      <c r="E156">
        <v>799.96300126807739</v>
      </c>
      <c r="F156">
        <v>4456.58</v>
      </c>
      <c r="G156">
        <v>4456.5787742000002</v>
      </c>
      <c r="H156">
        <v>60269.65</v>
      </c>
      <c r="I156">
        <v>60269.647732000005</v>
      </c>
    </row>
    <row r="157" spans="1:9" x14ac:dyDescent="0.3">
      <c r="A157" t="s">
        <v>551</v>
      </c>
      <c r="B157" s="43">
        <v>499.28</v>
      </c>
      <c r="C157">
        <v>499.28439999999995</v>
      </c>
      <c r="D157">
        <v>553.82000000000005</v>
      </c>
      <c r="E157">
        <v>553.82129020289744</v>
      </c>
      <c r="F157">
        <v>3085.33</v>
      </c>
      <c r="G157">
        <v>3085.3279497999993</v>
      </c>
      <c r="H157">
        <v>41725.199999999997</v>
      </c>
      <c r="I157">
        <v>41725.197307999995</v>
      </c>
    </row>
    <row r="158" spans="1:9" x14ac:dyDescent="0.3">
      <c r="A158" t="s">
        <v>550</v>
      </c>
      <c r="B158" s="43">
        <v>499.28</v>
      </c>
      <c r="C158">
        <v>499.28439999999995</v>
      </c>
      <c r="D158">
        <v>553.82000000000005</v>
      </c>
      <c r="E158">
        <v>553.82129020289744</v>
      </c>
      <c r="F158">
        <v>3085.33</v>
      </c>
      <c r="G158">
        <v>3085.3279497999993</v>
      </c>
      <c r="H158">
        <v>41725.199999999997</v>
      </c>
      <c r="I158">
        <v>41725.197307999995</v>
      </c>
    </row>
    <row r="159" spans="1:9" x14ac:dyDescent="0.3">
      <c r="A159" t="s">
        <v>552</v>
      </c>
      <c r="B159" s="43">
        <v>840.07</v>
      </c>
      <c r="C159">
        <v>840.06859999999995</v>
      </c>
      <c r="D159">
        <v>931.83</v>
      </c>
      <c r="E159">
        <v>931.82938603918308</v>
      </c>
      <c r="F159">
        <v>5191.2</v>
      </c>
      <c r="G159">
        <v>5191.2039137000002</v>
      </c>
      <c r="H159">
        <v>70204.53</v>
      </c>
      <c r="I159">
        <v>70204.532902000006</v>
      </c>
    </row>
    <row r="160" spans="1:9" x14ac:dyDescent="0.3">
      <c r="A160" t="s">
        <v>553</v>
      </c>
      <c r="B160" s="43">
        <v>375.17</v>
      </c>
      <c r="C160">
        <v>375.16780000000006</v>
      </c>
      <c r="D160">
        <v>416.15</v>
      </c>
      <c r="E160">
        <v>416.14742026504865</v>
      </c>
      <c r="F160">
        <v>2318.35</v>
      </c>
      <c r="G160">
        <v>2318.3494200999999</v>
      </c>
      <c r="H160">
        <v>31352.77</v>
      </c>
      <c r="I160">
        <v>31352.773045999998</v>
      </c>
    </row>
    <row r="161" spans="1:9" x14ac:dyDescent="0.3">
      <c r="A161" t="s">
        <v>555</v>
      </c>
      <c r="B161" s="43">
        <v>375.17</v>
      </c>
      <c r="C161">
        <v>375.16780000000006</v>
      </c>
      <c r="D161">
        <v>416.15</v>
      </c>
      <c r="E161">
        <v>416.14742026504865</v>
      </c>
      <c r="F161">
        <v>2318.35</v>
      </c>
      <c r="G161">
        <v>2318.3494200999999</v>
      </c>
      <c r="H161">
        <v>31352.77</v>
      </c>
      <c r="I161">
        <v>31352.773045999998</v>
      </c>
    </row>
    <row r="162" spans="1:9" x14ac:dyDescent="0.3">
      <c r="A162" t="s">
        <v>554</v>
      </c>
      <c r="B162" s="43">
        <v>634.02</v>
      </c>
      <c r="C162">
        <v>634.02</v>
      </c>
      <c r="D162">
        <v>703.27</v>
      </c>
      <c r="E162">
        <v>703.27407468457079</v>
      </c>
      <c r="F162">
        <v>3917.93</v>
      </c>
      <c r="G162">
        <v>3917.92659</v>
      </c>
      <c r="H162">
        <v>52985.05</v>
      </c>
      <c r="I162">
        <v>52985.051399999997</v>
      </c>
    </row>
    <row r="163" spans="1:9" x14ac:dyDescent="0.3">
      <c r="A163" t="s">
        <v>557</v>
      </c>
      <c r="B163" s="43">
        <v>430.69</v>
      </c>
      <c r="C163">
        <v>430.68560000000002</v>
      </c>
      <c r="D163">
        <v>477.73</v>
      </c>
      <c r="E163">
        <v>477.7294356959863</v>
      </c>
      <c r="F163">
        <v>2661.42</v>
      </c>
      <c r="G163">
        <v>2661.4216651999996</v>
      </c>
      <c r="H163">
        <v>35992.400000000001</v>
      </c>
      <c r="I163">
        <v>35992.395591999993</v>
      </c>
    </row>
    <row r="164" spans="1:9" x14ac:dyDescent="0.3">
      <c r="A164" t="s">
        <v>556</v>
      </c>
      <c r="B164" s="43">
        <v>504.57</v>
      </c>
      <c r="C164">
        <v>504.57479999999993</v>
      </c>
      <c r="D164">
        <v>559.69000000000005</v>
      </c>
      <c r="E164">
        <v>559.68956117969833</v>
      </c>
      <c r="F164">
        <v>3118.02</v>
      </c>
      <c r="G164">
        <v>3118.0199765999996</v>
      </c>
      <c r="H164">
        <v>42167.32</v>
      </c>
      <c r="I164">
        <v>42167.316035999989</v>
      </c>
    </row>
    <row r="165" spans="1:9" x14ac:dyDescent="0.3">
      <c r="A165" t="s">
        <v>559</v>
      </c>
      <c r="B165" s="43">
        <v>430.69</v>
      </c>
      <c r="C165">
        <v>430.68560000000002</v>
      </c>
      <c r="D165">
        <v>477.73</v>
      </c>
      <c r="E165">
        <v>477.7294356959863</v>
      </c>
      <c r="F165">
        <v>2661.42</v>
      </c>
      <c r="G165">
        <v>2661.4216651999996</v>
      </c>
      <c r="H165">
        <v>35992.400000000001</v>
      </c>
      <c r="I165">
        <v>35992.395591999993</v>
      </c>
    </row>
    <row r="166" spans="1:9" x14ac:dyDescent="0.3">
      <c r="A166" t="s">
        <v>558</v>
      </c>
      <c r="B166" s="43">
        <v>406.91</v>
      </c>
      <c r="C166">
        <v>406.90720000000005</v>
      </c>
      <c r="D166">
        <v>451.35</v>
      </c>
      <c r="E166">
        <v>451.35371843552196</v>
      </c>
      <c r="F166">
        <v>2514.48</v>
      </c>
      <c r="G166">
        <v>2514.4830423999997</v>
      </c>
      <c r="H166">
        <v>34005.230000000003</v>
      </c>
      <c r="I166">
        <v>34005.234703999995</v>
      </c>
    </row>
    <row r="167" spans="1:9" x14ac:dyDescent="0.3">
      <c r="A167" t="s">
        <v>563</v>
      </c>
      <c r="B167" s="43">
        <v>530.99</v>
      </c>
      <c r="C167">
        <v>530.99440000000004</v>
      </c>
      <c r="D167">
        <v>588.99</v>
      </c>
      <c r="E167">
        <v>588.99497700812094</v>
      </c>
      <c r="F167">
        <v>3281.28</v>
      </c>
      <c r="G167">
        <v>3281.2798948</v>
      </c>
      <c r="H167">
        <v>44375.199999999997</v>
      </c>
      <c r="I167">
        <v>44375.202007999993</v>
      </c>
    </row>
    <row r="168" spans="1:9" x14ac:dyDescent="0.3">
      <c r="A168" t="s">
        <v>560</v>
      </c>
      <c r="B168" s="43">
        <v>760.73</v>
      </c>
      <c r="C168">
        <v>760.726</v>
      </c>
      <c r="D168">
        <v>843.82</v>
      </c>
      <c r="E168">
        <v>843.81922336814614</v>
      </c>
      <c r="F168">
        <v>4700.8999999999996</v>
      </c>
      <c r="G168">
        <v>4700.9009593735</v>
      </c>
      <c r="H168">
        <v>63573.8</v>
      </c>
      <c r="I168">
        <v>63573.799364810002</v>
      </c>
    </row>
    <row r="169" spans="1:9" x14ac:dyDescent="0.3">
      <c r="A169" t="s">
        <v>561</v>
      </c>
      <c r="B169" s="43">
        <v>530.99</v>
      </c>
      <c r="C169">
        <v>530.99440000000004</v>
      </c>
      <c r="D169">
        <v>588.99</v>
      </c>
      <c r="E169">
        <v>588.99497700812094</v>
      </c>
      <c r="F169">
        <v>3281.28</v>
      </c>
      <c r="G169">
        <v>3281.2798948</v>
      </c>
      <c r="H169">
        <v>44375.199999999997</v>
      </c>
      <c r="I169">
        <v>44375.202007999993</v>
      </c>
    </row>
    <row r="170" spans="1:9" x14ac:dyDescent="0.3">
      <c r="A170" t="s">
        <v>562</v>
      </c>
      <c r="B170" s="43">
        <v>594.39</v>
      </c>
      <c r="C170">
        <v>594.39280000000008</v>
      </c>
      <c r="D170">
        <v>659.32</v>
      </c>
      <c r="E170">
        <v>659.31839124818009</v>
      </c>
      <c r="F170">
        <v>3673.05</v>
      </c>
      <c r="G170">
        <v>3673.0503076</v>
      </c>
      <c r="H170">
        <v>49673.41</v>
      </c>
      <c r="I170">
        <v>49673.406296000001</v>
      </c>
    </row>
    <row r="171" spans="1:9" x14ac:dyDescent="0.3">
      <c r="A171" t="s">
        <v>564</v>
      </c>
      <c r="B171" s="43">
        <v>594.39</v>
      </c>
      <c r="C171">
        <v>594.39280000000008</v>
      </c>
      <c r="D171">
        <v>659.32</v>
      </c>
      <c r="E171">
        <v>659.31839124818009</v>
      </c>
      <c r="F171">
        <v>3673.05</v>
      </c>
      <c r="G171">
        <v>3673.0503076</v>
      </c>
      <c r="H171">
        <v>49673.41</v>
      </c>
      <c r="I171">
        <v>49673.406296000001</v>
      </c>
    </row>
    <row r="172" spans="1:9" x14ac:dyDescent="0.3">
      <c r="A172" t="s">
        <v>565</v>
      </c>
      <c r="B172" s="43">
        <v>681.56</v>
      </c>
      <c r="C172">
        <v>681.56179999999995</v>
      </c>
      <c r="D172">
        <v>756.01</v>
      </c>
      <c r="E172">
        <v>756.00887075384139</v>
      </c>
      <c r="F172">
        <v>4211.71</v>
      </c>
      <c r="G172">
        <v>4211.7111430999994</v>
      </c>
      <c r="H172">
        <v>56958.12</v>
      </c>
      <c r="I172">
        <v>56958.119626</v>
      </c>
    </row>
    <row r="173" spans="1:9" x14ac:dyDescent="0.3">
      <c r="A173" t="s">
        <v>570</v>
      </c>
      <c r="B173" s="43">
        <v>681.56</v>
      </c>
      <c r="C173">
        <v>681.56179999999995</v>
      </c>
      <c r="D173">
        <v>756.01</v>
      </c>
      <c r="E173">
        <v>756.00887075384139</v>
      </c>
      <c r="F173">
        <v>4211.71</v>
      </c>
      <c r="G173">
        <v>4211.7111430999994</v>
      </c>
      <c r="H173">
        <v>56958.12</v>
      </c>
      <c r="I173">
        <v>56958.119626</v>
      </c>
    </row>
    <row r="174" spans="1:9" x14ac:dyDescent="0.3">
      <c r="A174" t="s">
        <v>568</v>
      </c>
      <c r="B174" s="43">
        <v>840.07</v>
      </c>
      <c r="C174">
        <v>840.06500000000005</v>
      </c>
      <c r="D174">
        <v>931.83</v>
      </c>
      <c r="E174">
        <v>931.82539281078505</v>
      </c>
      <c r="F174">
        <v>5191.18</v>
      </c>
      <c r="G174">
        <v>5191.1816675</v>
      </c>
      <c r="H174">
        <v>70204.23</v>
      </c>
      <c r="I174">
        <v>70204.232049999991</v>
      </c>
    </row>
    <row r="175" spans="1:9" x14ac:dyDescent="0.3">
      <c r="A175" t="s">
        <v>566</v>
      </c>
      <c r="B175" s="43">
        <v>681.56</v>
      </c>
      <c r="C175">
        <v>681.56179999999995</v>
      </c>
      <c r="D175">
        <v>756.01</v>
      </c>
      <c r="E175">
        <v>756.00887075384139</v>
      </c>
      <c r="F175">
        <v>4211.71</v>
      </c>
      <c r="G175">
        <v>4211.7111430999994</v>
      </c>
      <c r="H175">
        <v>56958.12</v>
      </c>
      <c r="I175">
        <v>56958.119626</v>
      </c>
    </row>
    <row r="176" spans="1:9" x14ac:dyDescent="0.3">
      <c r="A176" t="s">
        <v>571</v>
      </c>
      <c r="B176" s="43">
        <v>182.24</v>
      </c>
      <c r="C176">
        <v>182.24080000000001</v>
      </c>
      <c r="D176">
        <v>202.15</v>
      </c>
      <c r="E176">
        <v>202.14698272889805</v>
      </c>
      <c r="F176">
        <v>1126.1600000000001</v>
      </c>
      <c r="G176">
        <v>1126.1570236</v>
      </c>
      <c r="H176">
        <v>15229.86</v>
      </c>
      <c r="I176">
        <v>15229.863656</v>
      </c>
    </row>
    <row r="177" spans="1:9" x14ac:dyDescent="0.3">
      <c r="A177" t="s">
        <v>572</v>
      </c>
      <c r="B177" s="43">
        <v>245.68</v>
      </c>
      <c r="C177">
        <v>245.68000000000004</v>
      </c>
      <c r="D177">
        <v>272.52</v>
      </c>
      <c r="E177">
        <v>272.51565355746726</v>
      </c>
      <c r="F177">
        <v>1518.18</v>
      </c>
      <c r="G177">
        <v>1518.17956</v>
      </c>
      <c r="H177">
        <v>20531.48</v>
      </c>
      <c r="I177">
        <v>20531.477599999998</v>
      </c>
    </row>
    <row r="178" spans="1:9" x14ac:dyDescent="0.3">
      <c r="A178" t="s">
        <v>574</v>
      </c>
      <c r="B178" s="43">
        <v>309.12</v>
      </c>
      <c r="C178">
        <v>309.11919999999998</v>
      </c>
      <c r="D178">
        <v>342.88</v>
      </c>
      <c r="E178">
        <v>342.88432438603638</v>
      </c>
      <c r="F178">
        <v>1910.2</v>
      </c>
      <c r="G178">
        <v>1910.2020964000001</v>
      </c>
      <c r="H178">
        <v>25833.09</v>
      </c>
      <c r="I178">
        <v>25833.091543999995</v>
      </c>
    </row>
    <row r="179" spans="1:9" x14ac:dyDescent="0.3">
      <c r="A179" t="s">
        <v>576</v>
      </c>
      <c r="B179" s="43">
        <v>245.68</v>
      </c>
      <c r="C179">
        <v>245.68000000000004</v>
      </c>
      <c r="D179">
        <v>272.52</v>
      </c>
      <c r="E179">
        <v>272.51565355746726</v>
      </c>
      <c r="F179">
        <v>1518.18</v>
      </c>
      <c r="G179">
        <v>1518.17956</v>
      </c>
      <c r="H179">
        <v>20531.48</v>
      </c>
      <c r="I179">
        <v>20531.477599999998</v>
      </c>
    </row>
    <row r="180" spans="1:9" x14ac:dyDescent="0.3">
      <c r="A180" t="s">
        <v>573</v>
      </c>
      <c r="B180" s="43">
        <v>245.68</v>
      </c>
      <c r="C180">
        <v>245.68000000000004</v>
      </c>
      <c r="D180">
        <v>272.52</v>
      </c>
      <c r="E180">
        <v>272.51565355746726</v>
      </c>
      <c r="F180">
        <v>1518.18</v>
      </c>
      <c r="G180">
        <v>1518.17956</v>
      </c>
      <c r="H180">
        <v>20531.48</v>
      </c>
      <c r="I180">
        <v>20531.477599999998</v>
      </c>
    </row>
    <row r="181" spans="1:9" x14ac:dyDescent="0.3">
      <c r="A181" t="s">
        <v>575</v>
      </c>
      <c r="B181" s="43">
        <v>245.68</v>
      </c>
      <c r="C181">
        <v>245.68000000000004</v>
      </c>
      <c r="D181">
        <v>272.52</v>
      </c>
      <c r="E181">
        <v>272.51565355746726</v>
      </c>
      <c r="F181">
        <v>1518.18</v>
      </c>
      <c r="G181">
        <v>1518.17956</v>
      </c>
      <c r="H181">
        <v>20531.48</v>
      </c>
      <c r="I181">
        <v>20531.477599999998</v>
      </c>
    </row>
    <row r="182" spans="1:9" x14ac:dyDescent="0.3">
      <c r="A182" t="s">
        <v>577</v>
      </c>
      <c r="B182" s="43">
        <v>309.12</v>
      </c>
      <c r="C182">
        <v>309.11919999999998</v>
      </c>
      <c r="D182">
        <v>342.88</v>
      </c>
      <c r="E182">
        <v>342.88432438603638</v>
      </c>
      <c r="F182">
        <v>1910.2</v>
      </c>
      <c r="G182">
        <v>1910.2020964000001</v>
      </c>
      <c r="H182">
        <v>25833.09</v>
      </c>
      <c r="I182">
        <v>25833.091543999995</v>
      </c>
    </row>
    <row r="183" spans="1:9" x14ac:dyDescent="0.3">
      <c r="A183" t="s">
        <v>578</v>
      </c>
      <c r="B183" s="43">
        <v>245.68</v>
      </c>
      <c r="C183">
        <v>245.68000000000004</v>
      </c>
      <c r="D183">
        <v>272.52</v>
      </c>
      <c r="E183">
        <v>272.51565355746726</v>
      </c>
      <c r="F183">
        <v>1518.18</v>
      </c>
      <c r="G183">
        <v>1518.17956</v>
      </c>
      <c r="H183">
        <v>20531.48</v>
      </c>
      <c r="I183">
        <v>20531.477599999998</v>
      </c>
    </row>
    <row r="184" spans="1:9" x14ac:dyDescent="0.3">
      <c r="A184" t="s">
        <v>579</v>
      </c>
      <c r="B184" s="43">
        <v>245.68</v>
      </c>
      <c r="C184">
        <v>245.68000000000004</v>
      </c>
      <c r="D184">
        <v>272.52</v>
      </c>
      <c r="E184">
        <v>272.51565355746726</v>
      </c>
      <c r="F184">
        <v>1518.18</v>
      </c>
      <c r="G184">
        <v>1518.17956</v>
      </c>
      <c r="H184">
        <v>20531.48</v>
      </c>
      <c r="I184">
        <v>20531.477599999998</v>
      </c>
    </row>
    <row r="185" spans="1:9" x14ac:dyDescent="0.3">
      <c r="A185" t="s">
        <v>581</v>
      </c>
      <c r="B185" s="43">
        <v>309.12</v>
      </c>
      <c r="C185">
        <v>309.11919999999998</v>
      </c>
      <c r="D185">
        <v>342.88</v>
      </c>
      <c r="E185">
        <v>342.88432438603638</v>
      </c>
      <c r="F185">
        <v>1910.2</v>
      </c>
      <c r="G185">
        <v>1910.2020964000001</v>
      </c>
      <c r="H185">
        <v>25833.09</v>
      </c>
      <c r="I185">
        <v>25833.091543999995</v>
      </c>
    </row>
    <row r="186" spans="1:9" x14ac:dyDescent="0.3">
      <c r="A186" t="s">
        <v>580</v>
      </c>
      <c r="B186" s="43">
        <v>245.68</v>
      </c>
      <c r="C186">
        <v>245.68000000000004</v>
      </c>
      <c r="D186">
        <v>272.52</v>
      </c>
      <c r="E186">
        <v>272.51565355746726</v>
      </c>
      <c r="F186">
        <v>1518.18</v>
      </c>
      <c r="G186">
        <v>1518.17956</v>
      </c>
      <c r="H186">
        <v>20531.48</v>
      </c>
      <c r="I186">
        <v>20531.477599999998</v>
      </c>
    </row>
    <row r="187" spans="1:9" x14ac:dyDescent="0.3">
      <c r="A187" t="s">
        <v>582</v>
      </c>
      <c r="B187" s="43">
        <v>245.68</v>
      </c>
      <c r="C187">
        <v>245.68000000000004</v>
      </c>
      <c r="D187">
        <v>272.52</v>
      </c>
      <c r="E187">
        <v>272.51565355746726</v>
      </c>
      <c r="F187">
        <v>1518.18</v>
      </c>
      <c r="G187">
        <v>1518.17956</v>
      </c>
      <c r="H187">
        <v>20531.48</v>
      </c>
      <c r="I187">
        <v>20531.477599999998</v>
      </c>
    </row>
    <row r="188" spans="1:9" x14ac:dyDescent="0.3">
      <c r="A188" t="s">
        <v>601</v>
      </c>
      <c r="B188" s="43">
        <v>309.12</v>
      </c>
      <c r="C188">
        <v>309.11919999999998</v>
      </c>
      <c r="D188">
        <v>342.88</v>
      </c>
      <c r="E188">
        <v>342.88432438603638</v>
      </c>
      <c r="F188">
        <v>1910.2</v>
      </c>
      <c r="G188">
        <v>1910.2020964000001</v>
      </c>
      <c r="H188">
        <v>25833.09</v>
      </c>
      <c r="I188">
        <v>25833.091543999995</v>
      </c>
    </row>
    <row r="189" spans="1:9" x14ac:dyDescent="0.3">
      <c r="A189" t="s">
        <v>583</v>
      </c>
      <c r="B189" s="43">
        <v>245.68</v>
      </c>
      <c r="C189">
        <v>245.68000000000004</v>
      </c>
      <c r="D189">
        <v>272.52</v>
      </c>
      <c r="E189">
        <v>272.51565355746726</v>
      </c>
      <c r="F189">
        <v>1518.18</v>
      </c>
      <c r="G189">
        <v>1518.17956</v>
      </c>
      <c r="H189">
        <v>20531.48</v>
      </c>
      <c r="I189">
        <v>20531.477599999998</v>
      </c>
    </row>
    <row r="190" spans="1:9" x14ac:dyDescent="0.3">
      <c r="A190" t="s">
        <v>584</v>
      </c>
      <c r="B190" s="43">
        <v>309.12</v>
      </c>
      <c r="C190">
        <v>309.11919999999998</v>
      </c>
      <c r="D190">
        <v>342.88</v>
      </c>
      <c r="E190">
        <v>342.88432438603638</v>
      </c>
      <c r="F190">
        <v>1910.2</v>
      </c>
      <c r="G190">
        <v>1910.2020964000001</v>
      </c>
      <c r="H190">
        <v>25833.09</v>
      </c>
      <c r="I190">
        <v>25833.091543999995</v>
      </c>
    </row>
    <row r="191" spans="1:9" x14ac:dyDescent="0.3">
      <c r="A191" t="s">
        <v>585</v>
      </c>
      <c r="B191" s="43">
        <v>309.12</v>
      </c>
      <c r="C191">
        <v>309.11919999999998</v>
      </c>
      <c r="D191">
        <v>342.88</v>
      </c>
      <c r="E191">
        <v>342.88432438603638</v>
      </c>
      <c r="F191">
        <v>1910.2</v>
      </c>
      <c r="G191">
        <v>1910.2020964000001</v>
      </c>
      <c r="H191">
        <v>25833.09</v>
      </c>
      <c r="I191">
        <v>25833.091543999995</v>
      </c>
    </row>
    <row r="192" spans="1:9" x14ac:dyDescent="0.3">
      <c r="A192" t="s">
        <v>586</v>
      </c>
      <c r="B192" s="43">
        <v>372.56</v>
      </c>
      <c r="C192">
        <v>372.55599999999998</v>
      </c>
      <c r="D192">
        <v>413.25</v>
      </c>
      <c r="E192">
        <v>413.2503330623403</v>
      </c>
      <c r="F192">
        <v>2302.21</v>
      </c>
      <c r="G192">
        <v>2302.2098019999999</v>
      </c>
      <c r="H192">
        <v>31134.5</v>
      </c>
      <c r="I192">
        <v>31134.504919999996</v>
      </c>
    </row>
    <row r="193" spans="1:9" x14ac:dyDescent="0.3">
      <c r="A193" t="s">
        <v>587</v>
      </c>
      <c r="B193" s="43">
        <v>309.12</v>
      </c>
      <c r="C193">
        <v>309.11919999999998</v>
      </c>
      <c r="D193">
        <v>342.88</v>
      </c>
      <c r="E193">
        <v>342.88432438603638</v>
      </c>
      <c r="F193">
        <v>1910.2</v>
      </c>
      <c r="G193">
        <v>1910.2020964000001</v>
      </c>
      <c r="H193">
        <v>25833.09</v>
      </c>
      <c r="I193">
        <v>25833.091543999995</v>
      </c>
    </row>
    <row r="194" spans="1:9" x14ac:dyDescent="0.3">
      <c r="A194" t="s">
        <v>602</v>
      </c>
      <c r="B194" s="43">
        <v>372.56</v>
      </c>
      <c r="C194">
        <v>372.55599999999998</v>
      </c>
      <c r="D194">
        <v>413.25</v>
      </c>
      <c r="E194">
        <v>413.2503330623403</v>
      </c>
      <c r="F194">
        <v>2302.21</v>
      </c>
      <c r="G194">
        <v>2302.2098019999999</v>
      </c>
      <c r="H194">
        <v>31134.5</v>
      </c>
      <c r="I194">
        <v>31134.504919999996</v>
      </c>
    </row>
    <row r="195" spans="1:9" x14ac:dyDescent="0.3">
      <c r="A195" t="s">
        <v>588</v>
      </c>
      <c r="B195" s="43">
        <v>372.56</v>
      </c>
      <c r="C195">
        <v>372.55599999999998</v>
      </c>
      <c r="D195">
        <v>413.25</v>
      </c>
      <c r="E195">
        <v>413.2503330623403</v>
      </c>
      <c r="F195">
        <v>2302.21</v>
      </c>
      <c r="G195">
        <v>2302.2098019999999</v>
      </c>
      <c r="H195">
        <v>31134.5</v>
      </c>
      <c r="I195">
        <v>31134.504919999996</v>
      </c>
    </row>
    <row r="196" spans="1:9" x14ac:dyDescent="0.3">
      <c r="A196" t="s">
        <v>589</v>
      </c>
      <c r="B196" s="43">
        <v>309.12</v>
      </c>
      <c r="C196">
        <v>309.11919999999998</v>
      </c>
      <c r="D196">
        <v>342.88</v>
      </c>
      <c r="E196">
        <v>342.88432438603638</v>
      </c>
      <c r="F196">
        <v>1910.2</v>
      </c>
      <c r="G196">
        <v>1910.2020964000001</v>
      </c>
      <c r="H196">
        <v>25833.09</v>
      </c>
      <c r="I196">
        <v>25833.091543999995</v>
      </c>
    </row>
    <row r="197" spans="1:9" x14ac:dyDescent="0.3">
      <c r="A197" t="s">
        <v>591</v>
      </c>
      <c r="B197" s="43">
        <v>309.12</v>
      </c>
      <c r="C197">
        <v>309.11919999999998</v>
      </c>
      <c r="D197">
        <v>342.88</v>
      </c>
      <c r="E197">
        <v>342.88432438603638</v>
      </c>
      <c r="F197">
        <v>1910.2</v>
      </c>
      <c r="G197">
        <v>1910.2020964000001</v>
      </c>
      <c r="H197">
        <v>25833.09</v>
      </c>
      <c r="I197">
        <v>25833.091543999995</v>
      </c>
    </row>
    <row r="198" spans="1:9" x14ac:dyDescent="0.3">
      <c r="A198" t="s">
        <v>590</v>
      </c>
      <c r="B198" s="43">
        <v>309.12</v>
      </c>
      <c r="C198">
        <v>309.11919999999998</v>
      </c>
      <c r="D198">
        <v>342.88</v>
      </c>
      <c r="E198">
        <v>342.88432438603638</v>
      </c>
      <c r="F198">
        <v>1910.2</v>
      </c>
      <c r="G198">
        <v>1910.2020964000001</v>
      </c>
      <c r="H198">
        <v>25833.09</v>
      </c>
      <c r="I198">
        <v>25833.091543999995</v>
      </c>
    </row>
    <row r="199" spans="1:9" x14ac:dyDescent="0.3">
      <c r="A199" t="s">
        <v>592</v>
      </c>
      <c r="B199" s="43">
        <v>372.56</v>
      </c>
      <c r="C199">
        <v>372.55599999999998</v>
      </c>
      <c r="D199">
        <v>413.25</v>
      </c>
      <c r="E199">
        <v>413.2503330623403</v>
      </c>
      <c r="F199">
        <v>2302.21</v>
      </c>
      <c r="G199">
        <v>2302.2098019999999</v>
      </c>
      <c r="H199">
        <v>31134.5</v>
      </c>
      <c r="I199">
        <v>31134.504919999996</v>
      </c>
    </row>
    <row r="200" spans="1:9" x14ac:dyDescent="0.3">
      <c r="A200" t="s">
        <v>593</v>
      </c>
      <c r="B200" s="43">
        <v>309.12</v>
      </c>
      <c r="C200">
        <v>309.11919999999998</v>
      </c>
      <c r="D200">
        <v>342.88</v>
      </c>
      <c r="E200">
        <v>342.88432438603638</v>
      </c>
      <c r="F200">
        <v>1910.2</v>
      </c>
      <c r="G200">
        <v>1910.2020964000001</v>
      </c>
      <c r="H200">
        <v>25833.09</v>
      </c>
      <c r="I200">
        <v>25833.091543999995</v>
      </c>
    </row>
    <row r="201" spans="1:9" x14ac:dyDescent="0.3">
      <c r="A201" t="s">
        <v>595</v>
      </c>
      <c r="B201" s="43">
        <v>372.56</v>
      </c>
      <c r="C201">
        <v>372.55599999999998</v>
      </c>
      <c r="D201">
        <v>413.25</v>
      </c>
      <c r="E201">
        <v>413.2503330623403</v>
      </c>
      <c r="F201">
        <v>2302.21</v>
      </c>
      <c r="G201">
        <v>2302.2098019999999</v>
      </c>
      <c r="H201">
        <v>31134.5</v>
      </c>
      <c r="I201">
        <v>31134.504919999996</v>
      </c>
    </row>
    <row r="202" spans="1:9" x14ac:dyDescent="0.3">
      <c r="A202" t="s">
        <v>594</v>
      </c>
      <c r="B202" s="43">
        <v>435.89</v>
      </c>
      <c r="C202">
        <v>435.88959999999992</v>
      </c>
      <c r="D202">
        <v>483.5</v>
      </c>
      <c r="E202">
        <v>483.50186919123638</v>
      </c>
      <c r="F202">
        <v>2693.58</v>
      </c>
      <c r="G202">
        <v>2693.5797831999994</v>
      </c>
      <c r="H202">
        <v>36427.29</v>
      </c>
      <c r="I202">
        <v>36427.293871999995</v>
      </c>
    </row>
    <row r="203" spans="1:9" x14ac:dyDescent="0.3">
      <c r="A203" t="s">
        <v>596</v>
      </c>
      <c r="B203" s="43">
        <v>372.56</v>
      </c>
      <c r="C203">
        <v>372.55599999999998</v>
      </c>
      <c r="D203">
        <v>413.25</v>
      </c>
      <c r="E203">
        <v>413.2503330623403</v>
      </c>
      <c r="F203">
        <v>2302.21</v>
      </c>
      <c r="G203">
        <v>2302.2098019999999</v>
      </c>
      <c r="H203">
        <v>31134.5</v>
      </c>
      <c r="I203">
        <v>31134.504919999996</v>
      </c>
    </row>
    <row r="204" spans="1:9" x14ac:dyDescent="0.3">
      <c r="A204" t="s">
        <v>598</v>
      </c>
      <c r="B204" s="43">
        <v>435.89</v>
      </c>
      <c r="C204">
        <v>435.88959999999992</v>
      </c>
      <c r="D204">
        <v>483.5</v>
      </c>
      <c r="E204">
        <v>483.50186919123638</v>
      </c>
      <c r="F204">
        <v>2693.58</v>
      </c>
      <c r="G204">
        <v>2693.5797831999994</v>
      </c>
      <c r="H204">
        <v>36427.29</v>
      </c>
      <c r="I204">
        <v>36427.293871999995</v>
      </c>
    </row>
    <row r="205" spans="1:9" x14ac:dyDescent="0.3">
      <c r="A205" t="s">
        <v>597</v>
      </c>
      <c r="B205" s="43">
        <v>372.56</v>
      </c>
      <c r="C205">
        <v>372.55599999999998</v>
      </c>
      <c r="D205">
        <v>413.25</v>
      </c>
      <c r="E205">
        <v>413.2503330623403</v>
      </c>
      <c r="F205">
        <v>2302.21</v>
      </c>
      <c r="G205">
        <v>2302.2098019999999</v>
      </c>
      <c r="H205">
        <v>31134.5</v>
      </c>
      <c r="I205">
        <v>31134.504919999996</v>
      </c>
    </row>
    <row r="206" spans="1:9" x14ac:dyDescent="0.3">
      <c r="A206" t="s">
        <v>599</v>
      </c>
      <c r="B206" s="43">
        <v>372.56</v>
      </c>
      <c r="C206">
        <v>372.55599999999998</v>
      </c>
      <c r="D206">
        <v>413.25</v>
      </c>
      <c r="E206">
        <v>413.2503330623403</v>
      </c>
      <c r="F206">
        <v>2302.21</v>
      </c>
      <c r="G206">
        <v>2302.2098019999999</v>
      </c>
      <c r="H206">
        <v>31134.5</v>
      </c>
      <c r="I206">
        <v>31134.504919999996</v>
      </c>
    </row>
    <row r="207" spans="1:9" x14ac:dyDescent="0.3">
      <c r="A207" t="s">
        <v>605</v>
      </c>
      <c r="B207" s="43">
        <v>435.89</v>
      </c>
      <c r="C207">
        <v>435.88959999999992</v>
      </c>
      <c r="D207">
        <v>483.5</v>
      </c>
      <c r="E207">
        <v>483.50186919123638</v>
      </c>
      <c r="F207">
        <v>2693.58</v>
      </c>
      <c r="G207">
        <v>2693.5797831999994</v>
      </c>
      <c r="H207">
        <v>36427.29</v>
      </c>
      <c r="I207">
        <v>36427.293871999995</v>
      </c>
    </row>
    <row r="208" spans="1:9" x14ac:dyDescent="0.3">
      <c r="A208" t="s">
        <v>604</v>
      </c>
      <c r="B208" s="43">
        <v>372.56</v>
      </c>
      <c r="C208">
        <v>372.55599999999998</v>
      </c>
      <c r="D208">
        <v>413.25</v>
      </c>
      <c r="E208">
        <v>413.2503330623403</v>
      </c>
      <c r="F208">
        <v>2302.21</v>
      </c>
      <c r="G208">
        <v>2302.2098019999999</v>
      </c>
      <c r="H208">
        <v>31134.5</v>
      </c>
      <c r="I208">
        <v>31134.504919999996</v>
      </c>
    </row>
    <row r="209" spans="1:9" x14ac:dyDescent="0.3">
      <c r="A209" t="s">
        <v>607</v>
      </c>
      <c r="B209" s="43">
        <v>372.56</v>
      </c>
      <c r="C209">
        <v>372.55599999999998</v>
      </c>
      <c r="D209">
        <v>413.25</v>
      </c>
      <c r="E209">
        <v>413.2503330623403</v>
      </c>
      <c r="F209">
        <v>2302.21</v>
      </c>
      <c r="G209">
        <v>2302.2098019999999</v>
      </c>
      <c r="H209">
        <v>31134.5</v>
      </c>
      <c r="I209">
        <v>31134.504919999996</v>
      </c>
    </row>
    <row r="210" spans="1:9" x14ac:dyDescent="0.3">
      <c r="A210" t="s">
        <v>606</v>
      </c>
      <c r="B210" s="43">
        <v>435.89</v>
      </c>
      <c r="C210">
        <v>435.88959999999992</v>
      </c>
      <c r="D210">
        <v>483.5</v>
      </c>
      <c r="E210">
        <v>483.50186919123638</v>
      </c>
      <c r="F210">
        <v>2693.58</v>
      </c>
      <c r="G210">
        <v>2693.5797831999994</v>
      </c>
      <c r="H210">
        <v>36427.29</v>
      </c>
      <c r="I210">
        <v>36427.293871999995</v>
      </c>
    </row>
    <row r="211" spans="1:9" x14ac:dyDescent="0.3">
      <c r="A211" t="s">
        <v>600</v>
      </c>
      <c r="B211" s="43">
        <v>372.56</v>
      </c>
      <c r="C211">
        <v>372.55599999999998</v>
      </c>
      <c r="D211">
        <v>413.25</v>
      </c>
      <c r="E211">
        <v>413.2503330623403</v>
      </c>
      <c r="F211">
        <v>2302.21</v>
      </c>
      <c r="G211">
        <v>2302.2098019999999</v>
      </c>
      <c r="H211">
        <v>31134.5</v>
      </c>
      <c r="I211">
        <v>31134.504919999996</v>
      </c>
    </row>
    <row r="212" spans="1:9" x14ac:dyDescent="0.3">
      <c r="A212" t="s">
        <v>603</v>
      </c>
      <c r="B212" s="43">
        <v>435.89</v>
      </c>
      <c r="C212">
        <v>435.88959999999992</v>
      </c>
      <c r="D212">
        <v>483.5</v>
      </c>
      <c r="E212">
        <v>483.50186919123638</v>
      </c>
      <c r="F212">
        <v>2693.58</v>
      </c>
      <c r="G212">
        <v>2693.5797831999994</v>
      </c>
      <c r="H212">
        <v>36427.29</v>
      </c>
      <c r="I212">
        <v>36427.293871999995</v>
      </c>
    </row>
    <row r="213" spans="1:9" x14ac:dyDescent="0.3">
      <c r="A213" t="s">
        <v>615</v>
      </c>
      <c r="B213" s="43">
        <v>435.89</v>
      </c>
      <c r="C213">
        <v>435.88959999999992</v>
      </c>
      <c r="D213">
        <v>483.5</v>
      </c>
      <c r="E213">
        <v>483.50186919123638</v>
      </c>
      <c r="F213">
        <v>2693.58</v>
      </c>
      <c r="G213">
        <v>2693.5797831999994</v>
      </c>
      <c r="H213">
        <v>36427.29</v>
      </c>
      <c r="I213">
        <v>36427.293871999995</v>
      </c>
    </row>
    <row r="214" spans="1:9" x14ac:dyDescent="0.3">
      <c r="A214" t="s">
        <v>610</v>
      </c>
      <c r="B214" s="43">
        <v>372.56</v>
      </c>
      <c r="C214">
        <v>372.55599999999998</v>
      </c>
      <c r="D214">
        <v>413.25</v>
      </c>
      <c r="E214">
        <v>413.2503330623403</v>
      </c>
      <c r="F214">
        <v>2302.21</v>
      </c>
      <c r="G214">
        <v>2302.2098019999999</v>
      </c>
      <c r="H214">
        <v>31134.5</v>
      </c>
      <c r="I214">
        <v>31134.504919999996</v>
      </c>
    </row>
    <row r="215" spans="1:9" x14ac:dyDescent="0.3">
      <c r="A215" t="s">
        <v>608</v>
      </c>
      <c r="B215" s="43">
        <v>372.56</v>
      </c>
      <c r="C215">
        <v>372.55599999999998</v>
      </c>
      <c r="D215">
        <v>413.25</v>
      </c>
      <c r="E215">
        <v>413.2503330623403</v>
      </c>
      <c r="F215">
        <v>2302.21</v>
      </c>
      <c r="G215">
        <v>2302.2098019999999</v>
      </c>
      <c r="H215">
        <v>31134.5</v>
      </c>
      <c r="I215">
        <v>31134.504919999996</v>
      </c>
    </row>
    <row r="216" spans="1:9" x14ac:dyDescent="0.3">
      <c r="A216" t="s">
        <v>613</v>
      </c>
      <c r="B216" s="43">
        <v>435.89</v>
      </c>
      <c r="C216">
        <v>435.88959999999992</v>
      </c>
      <c r="D216">
        <v>483.5</v>
      </c>
      <c r="E216">
        <v>483.50186919123638</v>
      </c>
      <c r="F216">
        <v>2693.58</v>
      </c>
      <c r="G216">
        <v>2693.5797831999994</v>
      </c>
      <c r="H216">
        <v>36427.29</v>
      </c>
      <c r="I216">
        <v>36427.293871999995</v>
      </c>
    </row>
    <row r="217" spans="1:9" x14ac:dyDescent="0.3">
      <c r="A217" t="s">
        <v>612</v>
      </c>
      <c r="B217" s="43">
        <v>435.89</v>
      </c>
      <c r="C217">
        <v>435.88959999999992</v>
      </c>
      <c r="D217">
        <v>483.5</v>
      </c>
      <c r="E217">
        <v>483.50186919123638</v>
      </c>
      <c r="F217">
        <v>2693.58</v>
      </c>
      <c r="G217">
        <v>2693.5797831999994</v>
      </c>
      <c r="H217">
        <v>36427.29</v>
      </c>
      <c r="I217">
        <v>36427.293871999995</v>
      </c>
    </row>
    <row r="218" spans="1:9" x14ac:dyDescent="0.3">
      <c r="A218" t="s">
        <v>614</v>
      </c>
      <c r="B218" s="43">
        <v>372.56</v>
      </c>
      <c r="C218">
        <v>372.55599999999998</v>
      </c>
      <c r="D218">
        <v>413.25</v>
      </c>
      <c r="E218">
        <v>413.2503330623403</v>
      </c>
      <c r="F218">
        <v>2302.21</v>
      </c>
      <c r="G218">
        <v>2302.2098019999999</v>
      </c>
      <c r="H218">
        <v>31134.5</v>
      </c>
      <c r="I218">
        <v>31134.504919999996</v>
      </c>
    </row>
    <row r="219" spans="1:9" x14ac:dyDescent="0.3">
      <c r="A219" t="s">
        <v>611</v>
      </c>
      <c r="B219" s="43">
        <v>435.89</v>
      </c>
      <c r="C219">
        <v>435.88959999999992</v>
      </c>
      <c r="D219">
        <v>483.5</v>
      </c>
      <c r="E219">
        <v>483.50186919123638</v>
      </c>
      <c r="F219">
        <v>2693.58</v>
      </c>
      <c r="G219">
        <v>2693.5797831999994</v>
      </c>
      <c r="H219">
        <v>36427.29</v>
      </c>
      <c r="I219">
        <v>36427.293871999995</v>
      </c>
    </row>
    <row r="220" spans="1:9" x14ac:dyDescent="0.3">
      <c r="A220" t="s">
        <v>616</v>
      </c>
      <c r="B220" s="43">
        <v>372.56</v>
      </c>
      <c r="C220">
        <v>372.55599999999998</v>
      </c>
      <c r="D220">
        <v>413.25</v>
      </c>
      <c r="E220">
        <v>413.2503330623403</v>
      </c>
      <c r="F220">
        <v>2302.21</v>
      </c>
      <c r="G220">
        <v>2302.2098019999999</v>
      </c>
      <c r="H220">
        <v>31134.5</v>
      </c>
      <c r="I220">
        <v>31134.504919999996</v>
      </c>
    </row>
    <row r="221" spans="1:9" x14ac:dyDescent="0.3">
      <c r="A221" t="s">
        <v>622</v>
      </c>
      <c r="B221" s="43">
        <v>435.89</v>
      </c>
      <c r="C221">
        <v>435.88959999999992</v>
      </c>
      <c r="D221">
        <v>483.5</v>
      </c>
      <c r="E221">
        <v>483.50186919123638</v>
      </c>
      <c r="F221">
        <v>2693.58</v>
      </c>
      <c r="G221">
        <v>2693.5797831999994</v>
      </c>
      <c r="H221">
        <v>36427.29</v>
      </c>
      <c r="I221">
        <v>36427.293871999995</v>
      </c>
    </row>
    <row r="222" spans="1:9" x14ac:dyDescent="0.3">
      <c r="A222" t="s">
        <v>618</v>
      </c>
      <c r="B222" s="43">
        <v>372.56</v>
      </c>
      <c r="C222">
        <v>372.55599999999998</v>
      </c>
      <c r="D222">
        <v>413.25</v>
      </c>
      <c r="E222">
        <v>413.2503330623403</v>
      </c>
      <c r="F222">
        <v>2302.21</v>
      </c>
      <c r="G222">
        <v>2302.2098019999999</v>
      </c>
      <c r="H222">
        <v>31134.5</v>
      </c>
      <c r="I222">
        <v>31134.504919999996</v>
      </c>
    </row>
    <row r="223" spans="1:9" x14ac:dyDescent="0.3">
      <c r="A223" t="s">
        <v>623</v>
      </c>
      <c r="B223" s="43">
        <v>435.89</v>
      </c>
      <c r="C223">
        <v>435.88959999999992</v>
      </c>
      <c r="D223">
        <v>483.5</v>
      </c>
      <c r="E223">
        <v>483.50186919123638</v>
      </c>
      <c r="F223">
        <v>2693.58</v>
      </c>
      <c r="G223">
        <v>2693.5797831999994</v>
      </c>
      <c r="H223">
        <v>36427.29</v>
      </c>
      <c r="I223">
        <v>36427.293871999995</v>
      </c>
    </row>
    <row r="224" spans="1:9" x14ac:dyDescent="0.3">
      <c r="A224" t="s">
        <v>617</v>
      </c>
      <c r="B224" s="43">
        <v>372.56</v>
      </c>
      <c r="C224">
        <v>372.55599999999998</v>
      </c>
      <c r="D224">
        <v>413.25</v>
      </c>
      <c r="E224">
        <v>413.2503330623403</v>
      </c>
      <c r="F224">
        <v>2302.21</v>
      </c>
      <c r="G224">
        <v>2302.2098019999999</v>
      </c>
      <c r="H224">
        <v>31134.5</v>
      </c>
      <c r="I224">
        <v>31134.504919999996</v>
      </c>
    </row>
    <row r="225" spans="1:9" x14ac:dyDescent="0.3">
      <c r="A225" t="s">
        <v>619</v>
      </c>
      <c r="B225" s="43">
        <v>435.89</v>
      </c>
      <c r="C225">
        <v>435.88959999999992</v>
      </c>
      <c r="D225">
        <v>483.5</v>
      </c>
      <c r="E225">
        <v>483.50186919123638</v>
      </c>
      <c r="F225">
        <v>2693.58</v>
      </c>
      <c r="G225">
        <v>2693.5797831999994</v>
      </c>
      <c r="H225">
        <v>36427.29</v>
      </c>
      <c r="I225">
        <v>36427.293871999995</v>
      </c>
    </row>
    <row r="226" spans="1:9" x14ac:dyDescent="0.3">
      <c r="A226" t="s">
        <v>620</v>
      </c>
      <c r="B226" s="43">
        <v>372.56</v>
      </c>
      <c r="C226">
        <v>372.55599999999998</v>
      </c>
      <c r="D226">
        <v>413.25</v>
      </c>
      <c r="E226">
        <v>413.2503330623403</v>
      </c>
      <c r="F226">
        <v>2302.21</v>
      </c>
      <c r="G226">
        <v>2302.2098019999999</v>
      </c>
      <c r="H226">
        <v>31134.5</v>
      </c>
      <c r="I226">
        <v>31134.504919999996</v>
      </c>
    </row>
    <row r="227" spans="1:9" x14ac:dyDescent="0.3">
      <c r="A227" t="s">
        <v>624</v>
      </c>
      <c r="B227" s="43">
        <v>586.46</v>
      </c>
      <c r="C227">
        <v>586.45699999999999</v>
      </c>
      <c r="D227">
        <v>650.52</v>
      </c>
      <c r="E227">
        <v>650.51576293695689</v>
      </c>
      <c r="F227">
        <v>3624.01</v>
      </c>
      <c r="G227">
        <v>3624.0110315000002</v>
      </c>
      <c r="H227">
        <v>49010.21</v>
      </c>
      <c r="I227">
        <v>49010.211490000002</v>
      </c>
    </row>
    <row r="228" spans="1:9" x14ac:dyDescent="0.3">
      <c r="A228" t="s">
        <v>625</v>
      </c>
      <c r="B228" s="43">
        <v>586.46</v>
      </c>
      <c r="C228">
        <v>586.45699999999999</v>
      </c>
      <c r="D228">
        <v>650.52</v>
      </c>
      <c r="E228">
        <v>650.51576293695689</v>
      </c>
      <c r="F228">
        <v>3624.01</v>
      </c>
      <c r="G228">
        <v>3624.0110315000002</v>
      </c>
      <c r="H228">
        <v>49010.21</v>
      </c>
      <c r="I228">
        <v>49010.211490000002</v>
      </c>
    </row>
    <row r="229" spans="1:9" x14ac:dyDescent="0.3">
      <c r="A229" t="s">
        <v>626</v>
      </c>
      <c r="B229" s="43">
        <v>586.46</v>
      </c>
      <c r="C229">
        <v>586.45699999999999</v>
      </c>
      <c r="D229">
        <v>650.52</v>
      </c>
      <c r="E229">
        <v>650.51576293695689</v>
      </c>
      <c r="F229">
        <v>3624.01</v>
      </c>
      <c r="G229">
        <v>3624.0110315000002</v>
      </c>
      <c r="H229">
        <v>49010.21</v>
      </c>
      <c r="I229">
        <v>49010.211490000002</v>
      </c>
    </row>
    <row r="230" spans="1:9" x14ac:dyDescent="0.3">
      <c r="A230" t="s">
        <v>629</v>
      </c>
      <c r="B230" s="43">
        <v>586.46</v>
      </c>
      <c r="C230">
        <v>586.45699999999999</v>
      </c>
      <c r="D230">
        <v>650.52</v>
      </c>
      <c r="E230">
        <v>650.51576293695689</v>
      </c>
      <c r="F230">
        <v>3624.01</v>
      </c>
      <c r="G230">
        <v>3624.0110315000002</v>
      </c>
      <c r="H230">
        <v>49010.21</v>
      </c>
      <c r="I230">
        <v>49010.211490000002</v>
      </c>
    </row>
    <row r="231" spans="1:9" x14ac:dyDescent="0.3">
      <c r="A231" t="s">
        <v>631</v>
      </c>
      <c r="B231" s="43">
        <v>404.18</v>
      </c>
      <c r="C231">
        <v>404.18319999999994</v>
      </c>
      <c r="D231">
        <v>448.33</v>
      </c>
      <c r="E231">
        <v>448.33217561441091</v>
      </c>
      <c r="F231">
        <v>2497.65</v>
      </c>
      <c r="G231">
        <v>2497.6500843999997</v>
      </c>
      <c r="H231">
        <v>33777.589999999997</v>
      </c>
      <c r="I231">
        <v>33777.590023999997</v>
      </c>
    </row>
    <row r="232" spans="1:9" x14ac:dyDescent="0.3">
      <c r="A232" t="s">
        <v>630</v>
      </c>
      <c r="B232" s="43">
        <v>404.18</v>
      </c>
      <c r="C232">
        <v>404.18319999999994</v>
      </c>
      <c r="D232">
        <v>448.33</v>
      </c>
      <c r="E232">
        <v>448.33217561441091</v>
      </c>
      <c r="F232">
        <v>2497.65</v>
      </c>
      <c r="G232">
        <v>2497.6500843999997</v>
      </c>
      <c r="H232">
        <v>33777.589999999997</v>
      </c>
      <c r="I232">
        <v>33777.590023999997</v>
      </c>
    </row>
    <row r="233" spans="1:9" x14ac:dyDescent="0.3">
      <c r="A233" t="s">
        <v>627</v>
      </c>
      <c r="B233" s="43">
        <v>404.18</v>
      </c>
      <c r="C233">
        <v>404.18319999999994</v>
      </c>
      <c r="D233">
        <v>448.33</v>
      </c>
      <c r="E233">
        <v>448.33217561441091</v>
      </c>
      <c r="F233">
        <v>2497.65</v>
      </c>
      <c r="G233">
        <v>2497.6500843999997</v>
      </c>
      <c r="H233">
        <v>33777.589999999997</v>
      </c>
      <c r="I233">
        <v>33777.590023999997</v>
      </c>
    </row>
    <row r="234" spans="1:9" x14ac:dyDescent="0.3">
      <c r="A234" t="s">
        <v>632</v>
      </c>
      <c r="B234" s="43">
        <v>681.56</v>
      </c>
      <c r="C234">
        <v>681.56179999999995</v>
      </c>
      <c r="D234">
        <v>756.01</v>
      </c>
      <c r="E234">
        <v>756.00887075384139</v>
      </c>
      <c r="F234">
        <v>4211.71</v>
      </c>
      <c r="G234">
        <v>4211.7111430999994</v>
      </c>
      <c r="H234">
        <v>56958.12</v>
      </c>
      <c r="I234">
        <v>56958.119626</v>
      </c>
    </row>
    <row r="235" spans="1:9" x14ac:dyDescent="0.3">
      <c r="A235" t="s">
        <v>628</v>
      </c>
      <c r="B235" s="43">
        <v>681.56</v>
      </c>
      <c r="C235">
        <v>681.56179999999995</v>
      </c>
      <c r="D235">
        <v>756.01</v>
      </c>
      <c r="E235">
        <v>756.00887075384139</v>
      </c>
      <c r="F235">
        <v>4211.71</v>
      </c>
      <c r="G235">
        <v>4211.7111430999994</v>
      </c>
      <c r="H235">
        <v>56958.12</v>
      </c>
      <c r="I235">
        <v>56958.119626</v>
      </c>
    </row>
    <row r="236" spans="1:9" x14ac:dyDescent="0.3">
      <c r="A236" t="s">
        <v>634</v>
      </c>
      <c r="B236" s="43">
        <v>303.83</v>
      </c>
      <c r="C236">
        <v>303.83260000000001</v>
      </c>
      <c r="D236">
        <v>337.02</v>
      </c>
      <c r="E236">
        <v>337.02026848365563</v>
      </c>
      <c r="F236">
        <v>1877.53</v>
      </c>
      <c r="G236">
        <v>1877.5335517000001</v>
      </c>
      <c r="H236">
        <v>25391.29</v>
      </c>
      <c r="I236">
        <v>25391.290381999996</v>
      </c>
    </row>
    <row r="237" spans="1:9" x14ac:dyDescent="0.3">
      <c r="A237" t="s">
        <v>633</v>
      </c>
      <c r="B237" s="43">
        <v>367.27</v>
      </c>
      <c r="C237">
        <v>367.26940000000002</v>
      </c>
      <c r="D237">
        <v>407.39</v>
      </c>
      <c r="E237">
        <v>407.38627715995955</v>
      </c>
      <c r="F237">
        <v>2269.54</v>
      </c>
      <c r="G237">
        <v>2269.5412572999999</v>
      </c>
      <c r="H237">
        <v>30692.7</v>
      </c>
      <c r="I237">
        <v>30692.703757999996</v>
      </c>
    </row>
    <row r="238" spans="1:9" x14ac:dyDescent="0.3">
      <c r="A238" t="s">
        <v>635</v>
      </c>
      <c r="B238" s="43">
        <v>367.27</v>
      </c>
      <c r="C238">
        <v>367.26940000000002</v>
      </c>
      <c r="D238">
        <v>407.39</v>
      </c>
      <c r="E238">
        <v>407.38627715995955</v>
      </c>
      <c r="F238">
        <v>2269.54</v>
      </c>
      <c r="G238">
        <v>2269.5412572999999</v>
      </c>
      <c r="H238">
        <v>30692.7</v>
      </c>
      <c r="I238">
        <v>30692.703757999996</v>
      </c>
    </row>
    <row r="239" spans="1:9" x14ac:dyDescent="0.3">
      <c r="A239" t="s">
        <v>636</v>
      </c>
      <c r="B239" s="43">
        <v>367.27</v>
      </c>
      <c r="C239">
        <v>367.26940000000002</v>
      </c>
      <c r="D239">
        <v>407.39</v>
      </c>
      <c r="E239">
        <v>407.38627715995955</v>
      </c>
      <c r="F239">
        <v>2269.54</v>
      </c>
      <c r="G239">
        <v>2269.5412572999999</v>
      </c>
      <c r="H239">
        <v>30692.7</v>
      </c>
      <c r="I239">
        <v>30692.703757999996</v>
      </c>
    </row>
    <row r="240" spans="1:9" x14ac:dyDescent="0.3">
      <c r="A240" t="s">
        <v>637</v>
      </c>
      <c r="B240" s="43">
        <v>327.56</v>
      </c>
      <c r="C240">
        <v>327.55900000000003</v>
      </c>
      <c r="D240">
        <v>363.34</v>
      </c>
      <c r="E240">
        <v>363.33830577837188</v>
      </c>
      <c r="F240">
        <v>2024.15</v>
      </c>
      <c r="G240">
        <v>2024.1508405000002</v>
      </c>
      <c r="H240">
        <v>27374.11</v>
      </c>
      <c r="I240">
        <v>27374.105630000002</v>
      </c>
    </row>
    <row r="241" spans="1:9" x14ac:dyDescent="0.3">
      <c r="A241" t="s">
        <v>638</v>
      </c>
      <c r="B241" s="43">
        <v>158.46</v>
      </c>
      <c r="C241">
        <v>158.4624</v>
      </c>
      <c r="D241">
        <v>175.77</v>
      </c>
      <c r="E241">
        <v>175.77126546843371</v>
      </c>
      <c r="F241">
        <v>979.22</v>
      </c>
      <c r="G241">
        <v>979.21840079999993</v>
      </c>
      <c r="H241">
        <v>13242.7</v>
      </c>
      <c r="I241">
        <v>13242.702767999999</v>
      </c>
    </row>
    <row r="242" spans="1:9" x14ac:dyDescent="0.3">
      <c r="A242" t="s">
        <v>640</v>
      </c>
      <c r="B242" s="43">
        <v>348.78</v>
      </c>
      <c r="C242">
        <v>348.77760000000001</v>
      </c>
      <c r="D242">
        <v>386.87</v>
      </c>
      <c r="E242">
        <v>386.87461580187596</v>
      </c>
      <c r="F242">
        <v>2155.27</v>
      </c>
      <c r="G242">
        <v>2155.2711792</v>
      </c>
      <c r="H242">
        <v>29147.34</v>
      </c>
      <c r="I242">
        <v>29147.344031999997</v>
      </c>
    </row>
    <row r="243" spans="1:9" x14ac:dyDescent="0.3">
      <c r="A243" t="s">
        <v>639</v>
      </c>
      <c r="B243" s="43">
        <v>221.9</v>
      </c>
      <c r="C243">
        <v>221.90160000000003</v>
      </c>
      <c r="D243">
        <v>246.14</v>
      </c>
      <c r="E243">
        <v>246.13993629700292</v>
      </c>
      <c r="F243">
        <v>1371.24</v>
      </c>
      <c r="G243">
        <v>1371.2409372</v>
      </c>
      <c r="H243">
        <v>18544.32</v>
      </c>
      <c r="I243">
        <v>18544.316712</v>
      </c>
    </row>
    <row r="244" spans="1:9" x14ac:dyDescent="0.3">
      <c r="A244" t="s">
        <v>642</v>
      </c>
      <c r="B244" s="43">
        <v>235.11</v>
      </c>
      <c r="C244">
        <v>235.10680000000002</v>
      </c>
      <c r="D244">
        <v>260.79000000000002</v>
      </c>
      <c r="E244">
        <v>260.78763248772879</v>
      </c>
      <c r="F244">
        <v>1452.84</v>
      </c>
      <c r="G244">
        <v>1452.8429760831</v>
      </c>
      <c r="H244">
        <v>19647.88</v>
      </c>
      <c r="I244">
        <v>19647.882112026</v>
      </c>
    </row>
    <row r="245" spans="1:9" x14ac:dyDescent="0.3">
      <c r="A245" t="s">
        <v>641</v>
      </c>
      <c r="B245" s="43">
        <v>705.26</v>
      </c>
      <c r="C245">
        <v>705.25599999999997</v>
      </c>
      <c r="D245">
        <v>782.29</v>
      </c>
      <c r="E245">
        <v>782.29028992230246</v>
      </c>
      <c r="F245">
        <v>4358.12</v>
      </c>
      <c r="G245">
        <v>4358.1244330100999</v>
      </c>
      <c r="H245">
        <v>58938.18</v>
      </c>
      <c r="I245">
        <v>58938.176044446001</v>
      </c>
    </row>
    <row r="246" spans="1:9" x14ac:dyDescent="0.3">
      <c r="A246" t="s">
        <v>643</v>
      </c>
      <c r="B246" s="43">
        <v>705.26</v>
      </c>
      <c r="C246">
        <v>705.25599999999997</v>
      </c>
      <c r="D246">
        <v>782.29</v>
      </c>
      <c r="E246">
        <v>782.29028992230246</v>
      </c>
      <c r="F246">
        <v>4358.12</v>
      </c>
      <c r="G246">
        <v>4358.1244330100999</v>
      </c>
      <c r="H246">
        <v>58938.18</v>
      </c>
      <c r="I246">
        <v>58938.176044446001</v>
      </c>
    </row>
    <row r="247" spans="1:9" x14ac:dyDescent="0.3">
      <c r="A247" t="s">
        <v>644</v>
      </c>
      <c r="B247" s="43">
        <v>483.42</v>
      </c>
      <c r="C247">
        <v>483.41920000000005</v>
      </c>
      <c r="D247">
        <v>536.22</v>
      </c>
      <c r="E247">
        <v>536.22223173646262</v>
      </c>
      <c r="F247">
        <v>2987.28</v>
      </c>
      <c r="G247">
        <v>2987.2839274100997</v>
      </c>
      <c r="H247">
        <v>40399.269999999997</v>
      </c>
      <c r="I247">
        <v>40399.274668445993</v>
      </c>
    </row>
    <row r="248" spans="1:9" x14ac:dyDescent="0.3">
      <c r="A248" t="s">
        <v>646</v>
      </c>
      <c r="B248" s="43">
        <v>483.42</v>
      </c>
      <c r="C248">
        <v>483.41920000000005</v>
      </c>
      <c r="D248">
        <v>536.22</v>
      </c>
      <c r="E248">
        <v>536.22223173646262</v>
      </c>
      <c r="F248">
        <v>2987.28</v>
      </c>
      <c r="G248">
        <v>2987.2839274100997</v>
      </c>
      <c r="H248">
        <v>40399.269999999997</v>
      </c>
      <c r="I248">
        <v>40399.274668445993</v>
      </c>
    </row>
    <row r="249" spans="1:9" x14ac:dyDescent="0.3">
      <c r="A249" t="s">
        <v>645</v>
      </c>
      <c r="B249" s="43">
        <v>483.42</v>
      </c>
      <c r="C249">
        <v>483.41920000000005</v>
      </c>
      <c r="D249">
        <v>536.22</v>
      </c>
      <c r="E249">
        <v>536.22223173646262</v>
      </c>
      <c r="F249">
        <v>2987.28</v>
      </c>
      <c r="G249">
        <v>2987.2839274100997</v>
      </c>
      <c r="H249">
        <v>40399.269999999997</v>
      </c>
      <c r="I249">
        <v>40399.274668445993</v>
      </c>
    </row>
    <row r="250" spans="1:9" x14ac:dyDescent="0.3">
      <c r="A250" t="s">
        <v>647</v>
      </c>
      <c r="B250" s="43">
        <v>483.42</v>
      </c>
      <c r="C250">
        <v>483.41920000000005</v>
      </c>
      <c r="D250">
        <v>536.22</v>
      </c>
      <c r="E250">
        <v>536.22223173646262</v>
      </c>
      <c r="F250">
        <v>2987.28</v>
      </c>
      <c r="G250">
        <v>2987.2839274100997</v>
      </c>
      <c r="H250">
        <v>40399.269999999997</v>
      </c>
      <c r="I250">
        <v>40399.274668445993</v>
      </c>
    </row>
    <row r="251" spans="1:9" x14ac:dyDescent="0.3">
      <c r="A251" t="s">
        <v>648</v>
      </c>
      <c r="B251" s="43">
        <v>343.49</v>
      </c>
      <c r="C251">
        <v>343.49119999999999</v>
      </c>
      <c r="D251">
        <v>381.01</v>
      </c>
      <c r="E251">
        <v>381.01078174551731</v>
      </c>
      <c r="F251">
        <v>2122.6</v>
      </c>
      <c r="G251">
        <v>2122.6038703999998</v>
      </c>
      <c r="H251">
        <v>28705.56</v>
      </c>
      <c r="I251">
        <v>28705.559583999995</v>
      </c>
    </row>
    <row r="252" spans="1:9" x14ac:dyDescent="0.3">
      <c r="A252" t="s">
        <v>649</v>
      </c>
      <c r="B252" s="43">
        <v>285.33999999999997</v>
      </c>
      <c r="C252">
        <v>285.3408</v>
      </c>
      <c r="D252">
        <v>316.51</v>
      </c>
      <c r="E252">
        <v>316.50860712557204</v>
      </c>
      <c r="F252">
        <v>1763.26</v>
      </c>
      <c r="G252">
        <v>1763.2634736</v>
      </c>
      <c r="H252">
        <v>23845.93</v>
      </c>
      <c r="I252">
        <v>23845.930655999997</v>
      </c>
    </row>
    <row r="253" spans="1:9" x14ac:dyDescent="0.3">
      <c r="A253" t="s">
        <v>650</v>
      </c>
      <c r="B253" s="43">
        <v>328.96</v>
      </c>
      <c r="C253">
        <v>328.9588</v>
      </c>
      <c r="D253">
        <v>364.89</v>
      </c>
      <c r="E253">
        <v>364.89100608710584</v>
      </c>
      <c r="F253">
        <v>2032.8</v>
      </c>
      <c r="G253">
        <v>2032.8009046</v>
      </c>
      <c r="H253">
        <v>27491.09</v>
      </c>
      <c r="I253">
        <v>27491.086915999997</v>
      </c>
    </row>
    <row r="254" spans="1:9" x14ac:dyDescent="0.3">
      <c r="A254" t="s">
        <v>652</v>
      </c>
      <c r="B254" s="43">
        <v>208.7</v>
      </c>
      <c r="C254">
        <v>208.69640000000001</v>
      </c>
      <c r="D254">
        <v>231.49</v>
      </c>
      <c r="E254">
        <v>231.49233084130009</v>
      </c>
      <c r="F254">
        <v>1289.6400000000001</v>
      </c>
      <c r="G254">
        <v>1289.6394038000001</v>
      </c>
      <c r="H254">
        <v>17440.759999999998</v>
      </c>
      <c r="I254">
        <v>17440.758147999997</v>
      </c>
    </row>
    <row r="255" spans="1:9" x14ac:dyDescent="0.3">
      <c r="A255" t="s">
        <v>651</v>
      </c>
      <c r="B255" s="43">
        <v>499.29</v>
      </c>
      <c r="C255">
        <v>499.29039999999998</v>
      </c>
      <c r="D255">
        <v>553.83000000000004</v>
      </c>
      <c r="E255">
        <v>553.82794558356079</v>
      </c>
      <c r="F255">
        <v>3085.37</v>
      </c>
      <c r="G255">
        <v>3085.3650267999997</v>
      </c>
      <c r="H255">
        <v>41725.699999999997</v>
      </c>
      <c r="I255">
        <v>41725.698727999996</v>
      </c>
    </row>
    <row r="256" spans="1:9" x14ac:dyDescent="0.3">
      <c r="A256" t="s">
        <v>655</v>
      </c>
      <c r="B256" s="43">
        <v>208.7</v>
      </c>
      <c r="C256">
        <v>208.69640000000001</v>
      </c>
      <c r="D256">
        <v>231.49</v>
      </c>
      <c r="E256">
        <v>231.49233084130009</v>
      </c>
      <c r="F256">
        <v>1289.6400000000001</v>
      </c>
      <c r="G256">
        <v>1289.6394038000001</v>
      </c>
      <c r="H256">
        <v>17440.759999999998</v>
      </c>
      <c r="I256">
        <v>17440.758147999997</v>
      </c>
    </row>
    <row r="257" spans="1:9" x14ac:dyDescent="0.3">
      <c r="A257" t="s">
        <v>653</v>
      </c>
      <c r="B257" s="43">
        <v>261.56</v>
      </c>
      <c r="C257">
        <v>261.56240000000003</v>
      </c>
      <c r="D257">
        <v>290.13</v>
      </c>
      <c r="E257">
        <v>290.1328898651077</v>
      </c>
      <c r="F257">
        <v>1616.32</v>
      </c>
      <c r="G257">
        <v>1616.3248507999999</v>
      </c>
      <c r="H257">
        <v>21858.77</v>
      </c>
      <c r="I257">
        <v>21858.769767999998</v>
      </c>
    </row>
    <row r="258" spans="1:9" x14ac:dyDescent="0.3">
      <c r="A258" t="s">
        <v>654</v>
      </c>
      <c r="B258" s="43">
        <v>208.7</v>
      </c>
      <c r="C258">
        <v>208.69640000000001</v>
      </c>
      <c r="D258">
        <v>231.49</v>
      </c>
      <c r="E258">
        <v>231.49233084130009</v>
      </c>
      <c r="F258">
        <v>1289.6400000000001</v>
      </c>
      <c r="G258">
        <v>1289.6394038000001</v>
      </c>
      <c r="H258">
        <v>17440.759999999998</v>
      </c>
      <c r="I258">
        <v>17440.758147999997</v>
      </c>
    </row>
    <row r="259" spans="1:9" x14ac:dyDescent="0.3">
      <c r="A259" t="s">
        <v>656</v>
      </c>
      <c r="B259" s="43">
        <v>208.7</v>
      </c>
      <c r="C259">
        <v>208.69640000000001</v>
      </c>
      <c r="D259">
        <v>231.49</v>
      </c>
      <c r="E259">
        <v>231.49233084130009</v>
      </c>
      <c r="F259">
        <v>1289.6400000000001</v>
      </c>
      <c r="G259">
        <v>1289.6394038000001</v>
      </c>
      <c r="H259">
        <v>17440.759999999998</v>
      </c>
      <c r="I259">
        <v>17440.758147999997</v>
      </c>
    </row>
    <row r="260" spans="1:9" x14ac:dyDescent="0.3">
      <c r="A260" t="s">
        <v>657</v>
      </c>
      <c r="B260" s="43">
        <v>208.7</v>
      </c>
      <c r="C260">
        <v>208.69640000000001</v>
      </c>
      <c r="D260">
        <v>231.49</v>
      </c>
      <c r="E260">
        <v>231.49233084130009</v>
      </c>
      <c r="F260">
        <v>1289.6400000000001</v>
      </c>
      <c r="G260">
        <v>1289.6394038000001</v>
      </c>
      <c r="H260">
        <v>17440.759999999998</v>
      </c>
      <c r="I260">
        <v>17440.758147999997</v>
      </c>
    </row>
    <row r="261" spans="1:9" x14ac:dyDescent="0.3">
      <c r="A261" t="s">
        <v>659</v>
      </c>
      <c r="B261" s="43">
        <v>261.56</v>
      </c>
      <c r="C261">
        <v>261.56240000000003</v>
      </c>
      <c r="D261">
        <v>290.13</v>
      </c>
      <c r="E261">
        <v>290.1328898651077</v>
      </c>
      <c r="F261">
        <v>1616.32</v>
      </c>
      <c r="G261">
        <v>1616.3248507999999</v>
      </c>
      <c r="H261">
        <v>21858.77</v>
      </c>
      <c r="I261">
        <v>21858.769767999998</v>
      </c>
    </row>
    <row r="262" spans="1:9" x14ac:dyDescent="0.3">
      <c r="A262" t="s">
        <v>660</v>
      </c>
      <c r="B262" s="43">
        <v>261.56</v>
      </c>
      <c r="C262">
        <v>261.56240000000003</v>
      </c>
      <c r="D262">
        <v>290.13</v>
      </c>
      <c r="E262">
        <v>290.1328898651077</v>
      </c>
      <c r="F262">
        <v>1616.32</v>
      </c>
      <c r="G262">
        <v>1616.3248507999999</v>
      </c>
      <c r="H262">
        <v>21858.77</v>
      </c>
      <c r="I262">
        <v>21858.769767999998</v>
      </c>
    </row>
    <row r="263" spans="1:9" x14ac:dyDescent="0.3">
      <c r="A263" t="s">
        <v>661</v>
      </c>
      <c r="B263" s="43">
        <v>393.67</v>
      </c>
      <c r="C263">
        <v>393.6694</v>
      </c>
      <c r="D263">
        <v>436.67</v>
      </c>
      <c r="E263">
        <v>436.66967532530293</v>
      </c>
      <c r="F263">
        <v>2432.6799999999998</v>
      </c>
      <c r="G263">
        <v>2432.67851551475</v>
      </c>
      <c r="H263">
        <v>32898.93</v>
      </c>
      <c r="I263">
        <v>32898.930907284994</v>
      </c>
    </row>
    <row r="264" spans="1:9" x14ac:dyDescent="0.3">
      <c r="A264" t="s">
        <v>658</v>
      </c>
      <c r="B264" s="43">
        <v>208.7</v>
      </c>
      <c r="C264">
        <v>208.69640000000001</v>
      </c>
      <c r="D264">
        <v>231.49</v>
      </c>
      <c r="E264">
        <v>231.49233084130009</v>
      </c>
      <c r="F264">
        <v>1289.6400000000001</v>
      </c>
      <c r="G264">
        <v>1289.6394038000001</v>
      </c>
      <c r="H264">
        <v>17440.759999999998</v>
      </c>
      <c r="I264">
        <v>17440.758147999997</v>
      </c>
    </row>
    <row r="265" spans="1:9" x14ac:dyDescent="0.3">
      <c r="A265" t="s">
        <v>663</v>
      </c>
      <c r="B265" s="43">
        <v>779.27</v>
      </c>
      <c r="C265">
        <v>779.26800000000003</v>
      </c>
      <c r="D265">
        <v>864.39</v>
      </c>
      <c r="E265">
        <v>864.38609066513925</v>
      </c>
      <c r="F265">
        <v>4815.4799999999996</v>
      </c>
      <c r="G265">
        <v>4815.4785887167</v>
      </c>
      <c r="H265">
        <v>65123.32</v>
      </c>
      <c r="I265">
        <v>65123.318336281984</v>
      </c>
    </row>
    <row r="266" spans="1:9" x14ac:dyDescent="0.3">
      <c r="A266" t="s">
        <v>664</v>
      </c>
      <c r="B266" s="43">
        <v>314.43</v>
      </c>
      <c r="C266">
        <v>314.4264</v>
      </c>
      <c r="D266">
        <v>348.77</v>
      </c>
      <c r="E266">
        <v>348.77123042869431</v>
      </c>
      <c r="F266">
        <v>1943</v>
      </c>
      <c r="G266">
        <v>1942.9979387999999</v>
      </c>
      <c r="H266">
        <v>26276.61</v>
      </c>
      <c r="I266">
        <v>26276.614247999998</v>
      </c>
    </row>
    <row r="267" spans="1:9" x14ac:dyDescent="0.3">
      <c r="A267" t="s">
        <v>662</v>
      </c>
      <c r="B267" s="43">
        <v>314.43</v>
      </c>
      <c r="C267">
        <v>314.4264</v>
      </c>
      <c r="D267">
        <v>348.77</v>
      </c>
      <c r="E267">
        <v>348.77123042869431</v>
      </c>
      <c r="F267">
        <v>1943</v>
      </c>
      <c r="G267">
        <v>1942.9979387999999</v>
      </c>
      <c r="H267">
        <v>26276.61</v>
      </c>
      <c r="I267">
        <v>26276.614247999998</v>
      </c>
    </row>
    <row r="268" spans="1:9" x14ac:dyDescent="0.3">
      <c r="A268" t="s">
        <v>666</v>
      </c>
      <c r="B268" s="43">
        <v>314.43</v>
      </c>
      <c r="C268">
        <v>314.4264</v>
      </c>
      <c r="D268">
        <v>348.77</v>
      </c>
      <c r="E268">
        <v>348.77123042869431</v>
      </c>
      <c r="F268">
        <v>1943</v>
      </c>
      <c r="G268">
        <v>1942.9979387999999</v>
      </c>
      <c r="H268">
        <v>26276.61</v>
      </c>
      <c r="I268">
        <v>26276.614247999998</v>
      </c>
    </row>
    <row r="269" spans="1:9" x14ac:dyDescent="0.3">
      <c r="A269" t="s">
        <v>665</v>
      </c>
      <c r="B269" s="43">
        <v>367.2</v>
      </c>
      <c r="C269">
        <v>367.20439999999996</v>
      </c>
      <c r="D269">
        <v>407.31</v>
      </c>
      <c r="E269">
        <v>407.31417720277437</v>
      </c>
      <c r="F269">
        <v>2269.14</v>
      </c>
      <c r="G269">
        <v>2269.1395897999996</v>
      </c>
      <c r="H269">
        <v>30687.27</v>
      </c>
      <c r="I269">
        <v>30687.271707999993</v>
      </c>
    </row>
    <row r="270" spans="1:9" x14ac:dyDescent="0.3">
      <c r="A270" t="s">
        <v>667</v>
      </c>
      <c r="B270" s="43">
        <v>314.43</v>
      </c>
      <c r="C270">
        <v>314.4264</v>
      </c>
      <c r="D270">
        <v>348.77</v>
      </c>
      <c r="E270">
        <v>348.77123042869431</v>
      </c>
      <c r="F270">
        <v>1943</v>
      </c>
      <c r="G270">
        <v>1942.9979387999999</v>
      </c>
      <c r="H270">
        <v>26276.61</v>
      </c>
      <c r="I270">
        <v>26276.614247999998</v>
      </c>
    </row>
    <row r="271" spans="1:9" x14ac:dyDescent="0.3">
      <c r="A271" t="s">
        <v>668</v>
      </c>
      <c r="B271" s="43">
        <v>367.2</v>
      </c>
      <c r="C271">
        <v>367.20439999999996</v>
      </c>
      <c r="D271">
        <v>407.31</v>
      </c>
      <c r="E271">
        <v>407.31417720277437</v>
      </c>
      <c r="F271">
        <v>2269.14</v>
      </c>
      <c r="G271">
        <v>2269.1395897999996</v>
      </c>
      <c r="H271">
        <v>30687.27</v>
      </c>
      <c r="I271">
        <v>30687.271707999993</v>
      </c>
    </row>
    <row r="272" spans="1:9" x14ac:dyDescent="0.3">
      <c r="A272" t="s">
        <v>669</v>
      </c>
      <c r="B272" s="43">
        <v>314.43</v>
      </c>
      <c r="C272">
        <v>314.4264</v>
      </c>
      <c r="D272">
        <v>348.77</v>
      </c>
      <c r="E272">
        <v>348.77123042869431</v>
      </c>
      <c r="F272">
        <v>1943</v>
      </c>
      <c r="G272">
        <v>1942.9979387999999</v>
      </c>
      <c r="H272">
        <v>26276.61</v>
      </c>
      <c r="I272">
        <v>26276.614247999998</v>
      </c>
    </row>
    <row r="273" spans="1:9" x14ac:dyDescent="0.3">
      <c r="A273" t="s">
        <v>671</v>
      </c>
      <c r="B273" s="43">
        <v>314.43</v>
      </c>
      <c r="C273">
        <v>314.4264</v>
      </c>
      <c r="D273">
        <v>348.77</v>
      </c>
      <c r="E273">
        <v>348.77123042869431</v>
      </c>
      <c r="F273">
        <v>1943</v>
      </c>
      <c r="G273">
        <v>1942.9979387999999</v>
      </c>
      <c r="H273">
        <v>26276.61</v>
      </c>
      <c r="I273">
        <v>26276.614247999998</v>
      </c>
    </row>
    <row r="274" spans="1:9" x14ac:dyDescent="0.3">
      <c r="A274" t="s">
        <v>670</v>
      </c>
      <c r="B274" s="43">
        <v>314.43</v>
      </c>
      <c r="C274">
        <v>314.4264</v>
      </c>
      <c r="D274">
        <v>348.77</v>
      </c>
      <c r="E274">
        <v>348.77123042869431</v>
      </c>
      <c r="F274">
        <v>1943</v>
      </c>
      <c r="G274">
        <v>1942.9979387999999</v>
      </c>
      <c r="H274">
        <v>26276.61</v>
      </c>
      <c r="I274">
        <v>26276.614247999998</v>
      </c>
    </row>
    <row r="275" spans="1:9" x14ac:dyDescent="0.3">
      <c r="A275" t="s">
        <v>672</v>
      </c>
      <c r="B275" s="43">
        <v>367.2</v>
      </c>
      <c r="C275">
        <v>367.20439999999996</v>
      </c>
      <c r="D275">
        <v>407.31</v>
      </c>
      <c r="E275">
        <v>407.31417720277437</v>
      </c>
      <c r="F275">
        <v>2269.14</v>
      </c>
      <c r="G275">
        <v>2269.1395897999996</v>
      </c>
      <c r="H275">
        <v>30687.27</v>
      </c>
      <c r="I275">
        <v>30687.271707999993</v>
      </c>
    </row>
    <row r="276" spans="1:9" x14ac:dyDescent="0.3">
      <c r="A276" t="s">
        <v>674</v>
      </c>
      <c r="B276" s="43">
        <v>314.43</v>
      </c>
      <c r="C276">
        <v>314.4264</v>
      </c>
      <c r="D276">
        <v>348.77</v>
      </c>
      <c r="E276">
        <v>348.77123042869431</v>
      </c>
      <c r="F276">
        <v>1943</v>
      </c>
      <c r="G276">
        <v>1942.9979387999999</v>
      </c>
      <c r="H276">
        <v>26276.61</v>
      </c>
      <c r="I276">
        <v>26276.614247999998</v>
      </c>
    </row>
    <row r="277" spans="1:9" x14ac:dyDescent="0.3">
      <c r="A277" t="s">
        <v>673</v>
      </c>
      <c r="B277" s="43">
        <v>314.43</v>
      </c>
      <c r="C277">
        <v>314.4264</v>
      </c>
      <c r="D277">
        <v>348.77</v>
      </c>
      <c r="E277">
        <v>348.77123042869431</v>
      </c>
      <c r="F277">
        <v>1943</v>
      </c>
      <c r="G277">
        <v>1942.9979387999999</v>
      </c>
      <c r="H277">
        <v>26276.61</v>
      </c>
      <c r="I277">
        <v>26276.614247999998</v>
      </c>
    </row>
    <row r="278" spans="1:9" x14ac:dyDescent="0.3">
      <c r="A278" t="s">
        <v>676</v>
      </c>
      <c r="B278" s="43">
        <v>314.43</v>
      </c>
      <c r="C278">
        <v>314.4264</v>
      </c>
      <c r="D278">
        <v>348.77</v>
      </c>
      <c r="E278">
        <v>348.77123042869431</v>
      </c>
      <c r="F278">
        <v>1943</v>
      </c>
      <c r="G278">
        <v>1942.9979387999999</v>
      </c>
      <c r="H278">
        <v>26276.61</v>
      </c>
      <c r="I278">
        <v>26276.614247999998</v>
      </c>
    </row>
    <row r="279" spans="1:9" x14ac:dyDescent="0.3">
      <c r="A279" t="s">
        <v>675</v>
      </c>
      <c r="B279" s="43">
        <v>367.2</v>
      </c>
      <c r="C279">
        <v>367.20439999999996</v>
      </c>
      <c r="D279">
        <v>407.31</v>
      </c>
      <c r="E279">
        <v>407.31417720277437</v>
      </c>
      <c r="F279">
        <v>2269.14</v>
      </c>
      <c r="G279">
        <v>2269.1395897999996</v>
      </c>
      <c r="H279">
        <v>30687.27</v>
      </c>
      <c r="I279">
        <v>30687.271707999993</v>
      </c>
    </row>
    <row r="280" spans="1:9" x14ac:dyDescent="0.3">
      <c r="A280" t="s">
        <v>677</v>
      </c>
      <c r="B280" s="43">
        <v>314.43</v>
      </c>
      <c r="C280">
        <v>314.4264</v>
      </c>
      <c r="D280">
        <v>348.77</v>
      </c>
      <c r="E280">
        <v>348.77123042869431</v>
      </c>
      <c r="F280">
        <v>1943</v>
      </c>
      <c r="G280">
        <v>1942.9979387999999</v>
      </c>
      <c r="H280">
        <v>26276.61</v>
      </c>
      <c r="I280">
        <v>26276.614247999998</v>
      </c>
    </row>
    <row r="281" spans="1:9" x14ac:dyDescent="0.3">
      <c r="A281" t="s">
        <v>678</v>
      </c>
      <c r="B281" s="43">
        <v>340.78</v>
      </c>
      <c r="C281">
        <v>340.78239999999994</v>
      </c>
      <c r="D281">
        <v>378.01</v>
      </c>
      <c r="E281">
        <v>378.00609922208645</v>
      </c>
      <c r="F281">
        <v>2105.86</v>
      </c>
      <c r="G281">
        <v>2105.8648407999995</v>
      </c>
      <c r="H281">
        <v>28479.19</v>
      </c>
      <c r="I281">
        <v>28479.185167999996</v>
      </c>
    </row>
    <row r="282" spans="1:9" x14ac:dyDescent="0.3">
      <c r="A282" t="s">
        <v>680</v>
      </c>
      <c r="B282" s="43">
        <v>309.14</v>
      </c>
      <c r="C282">
        <v>309.13980000000004</v>
      </c>
      <c r="D282">
        <v>342.91</v>
      </c>
      <c r="E282">
        <v>342.90717452631355</v>
      </c>
      <c r="F282">
        <v>1910.33</v>
      </c>
      <c r="G282">
        <v>1910.3293940999999</v>
      </c>
      <c r="H282">
        <v>25834.81</v>
      </c>
      <c r="I282">
        <v>25834.813085999998</v>
      </c>
    </row>
    <row r="283" spans="1:9" x14ac:dyDescent="0.3">
      <c r="A283" t="s">
        <v>679</v>
      </c>
      <c r="B283" s="43">
        <v>281.33</v>
      </c>
      <c r="C283">
        <v>281.33440000000002</v>
      </c>
      <c r="D283">
        <v>312.06</v>
      </c>
      <c r="E283">
        <v>312.06458761070456</v>
      </c>
      <c r="F283">
        <v>1738.51</v>
      </c>
      <c r="G283">
        <v>1738.5059248</v>
      </c>
      <c r="H283">
        <v>23511.119999999999</v>
      </c>
      <c r="I283">
        <v>23511.115807999999</v>
      </c>
    </row>
    <row r="284" spans="1:9" x14ac:dyDescent="0.3">
      <c r="A284" t="s">
        <v>682</v>
      </c>
      <c r="B284" s="43">
        <v>462.23</v>
      </c>
      <c r="C284">
        <v>462.23</v>
      </c>
      <c r="D284">
        <v>512.72</v>
      </c>
      <c r="E284">
        <v>512.71865464982852</v>
      </c>
      <c r="F284">
        <v>2856.35</v>
      </c>
      <c r="G284">
        <v>2856.3459432832997</v>
      </c>
      <c r="H284">
        <v>38628.5</v>
      </c>
      <c r="I284">
        <v>38628.502383717991</v>
      </c>
    </row>
    <row r="285" spans="1:9" x14ac:dyDescent="0.3">
      <c r="A285" t="s">
        <v>684</v>
      </c>
      <c r="B285" s="43">
        <v>409.45</v>
      </c>
      <c r="C285">
        <v>409.45200000000006</v>
      </c>
      <c r="D285">
        <v>454.18</v>
      </c>
      <c r="E285">
        <v>454.17570787574846</v>
      </c>
      <c r="F285">
        <v>2530.1999999999998</v>
      </c>
      <c r="G285">
        <v>2530.2042922832998</v>
      </c>
      <c r="H285">
        <v>34217.839999999997</v>
      </c>
      <c r="I285">
        <v>34217.844923717996</v>
      </c>
    </row>
    <row r="286" spans="1:9" x14ac:dyDescent="0.3">
      <c r="A286" t="s">
        <v>681</v>
      </c>
      <c r="B286" s="43">
        <v>409.45</v>
      </c>
      <c r="C286">
        <v>409.45200000000006</v>
      </c>
      <c r="D286">
        <v>454.18</v>
      </c>
      <c r="E286">
        <v>454.17570787574846</v>
      </c>
      <c r="F286">
        <v>2530.1999999999998</v>
      </c>
      <c r="G286">
        <v>2530.2042922832998</v>
      </c>
      <c r="H286">
        <v>34217.839999999997</v>
      </c>
      <c r="I286">
        <v>34217.844923717996</v>
      </c>
    </row>
    <row r="287" spans="1:9" x14ac:dyDescent="0.3">
      <c r="A287" t="s">
        <v>685</v>
      </c>
      <c r="B287" s="43">
        <v>451.74</v>
      </c>
      <c r="C287">
        <v>451.73919999999998</v>
      </c>
      <c r="D287">
        <v>501.08</v>
      </c>
      <c r="E287">
        <v>501.0827227512512</v>
      </c>
      <c r="F287">
        <v>2791.52</v>
      </c>
      <c r="G287">
        <v>2791.5223864</v>
      </c>
      <c r="H287">
        <v>37751.839999999997</v>
      </c>
      <c r="I287">
        <v>37751.844943999997</v>
      </c>
    </row>
    <row r="288" spans="1:9" x14ac:dyDescent="0.3">
      <c r="A288" t="s">
        <v>683</v>
      </c>
      <c r="B288" s="43">
        <v>451.74</v>
      </c>
      <c r="C288">
        <v>451.73919999999998</v>
      </c>
      <c r="D288">
        <v>501.08</v>
      </c>
      <c r="E288">
        <v>501.0827227512512</v>
      </c>
      <c r="F288">
        <v>2791.52</v>
      </c>
      <c r="G288">
        <v>2791.5223864</v>
      </c>
      <c r="H288">
        <v>37751.839999999997</v>
      </c>
      <c r="I288">
        <v>37751.844943999997</v>
      </c>
    </row>
    <row r="289" spans="1:9" x14ac:dyDescent="0.3">
      <c r="A289" t="s">
        <v>686</v>
      </c>
      <c r="B289" s="43">
        <v>451.74</v>
      </c>
      <c r="C289">
        <v>451.73919999999998</v>
      </c>
      <c r="D289">
        <v>501.08</v>
      </c>
      <c r="E289">
        <v>501.0827227512512</v>
      </c>
      <c r="F289">
        <v>2791.52</v>
      </c>
      <c r="G289">
        <v>2791.5223864</v>
      </c>
      <c r="H289">
        <v>37751.839999999997</v>
      </c>
      <c r="I289">
        <v>37751.844943999997</v>
      </c>
    </row>
    <row r="290" spans="1:9" x14ac:dyDescent="0.3">
      <c r="A290" t="s">
        <v>687</v>
      </c>
      <c r="B290" s="43">
        <v>142.63</v>
      </c>
      <c r="C290">
        <v>142.62520000000001</v>
      </c>
      <c r="D290">
        <v>158.19999999999999</v>
      </c>
      <c r="E290">
        <v>158.20416636178962</v>
      </c>
      <c r="F290">
        <v>881.35</v>
      </c>
      <c r="G290">
        <v>881.35242339999991</v>
      </c>
      <c r="H290">
        <v>11919.19</v>
      </c>
      <c r="I290">
        <v>11919.187963999999</v>
      </c>
    </row>
    <row r="291" spans="1:9" x14ac:dyDescent="0.3">
      <c r="A291" t="s">
        <v>689</v>
      </c>
      <c r="B291" s="43">
        <v>190.2</v>
      </c>
      <c r="C291">
        <v>190.20460000000003</v>
      </c>
      <c r="D291">
        <v>210.98</v>
      </c>
      <c r="E291">
        <v>210.98066948321653</v>
      </c>
      <c r="F291">
        <v>1175.3699999999999</v>
      </c>
      <c r="G291">
        <v>1175.3693257</v>
      </c>
      <c r="H291">
        <v>15895.4</v>
      </c>
      <c r="I291">
        <v>15895.398422</v>
      </c>
    </row>
    <row r="292" spans="1:9" x14ac:dyDescent="0.3">
      <c r="A292" t="s">
        <v>688</v>
      </c>
      <c r="B292" s="43">
        <v>190.2</v>
      </c>
      <c r="C292">
        <v>190.20460000000003</v>
      </c>
      <c r="D292">
        <v>210.98</v>
      </c>
      <c r="E292">
        <v>210.98066948321653</v>
      </c>
      <c r="F292">
        <v>1175.3699999999999</v>
      </c>
      <c r="G292">
        <v>1175.3693257</v>
      </c>
      <c r="H292">
        <v>15895.4</v>
      </c>
      <c r="I292">
        <v>15895.398422</v>
      </c>
    </row>
    <row r="293" spans="1:9" x14ac:dyDescent="0.3">
      <c r="A293" t="s">
        <v>690</v>
      </c>
      <c r="B293" s="43">
        <v>190.2</v>
      </c>
      <c r="C293">
        <v>190.20460000000003</v>
      </c>
      <c r="D293">
        <v>210.98</v>
      </c>
      <c r="E293">
        <v>210.98066948321653</v>
      </c>
      <c r="F293">
        <v>1175.3699999999999</v>
      </c>
      <c r="G293">
        <v>1175.3693257</v>
      </c>
      <c r="H293">
        <v>15895.4</v>
      </c>
      <c r="I293">
        <v>15895.398422</v>
      </c>
    </row>
    <row r="294" spans="1:9" x14ac:dyDescent="0.3">
      <c r="A294" t="s">
        <v>691</v>
      </c>
      <c r="B294" s="43">
        <v>190.2</v>
      </c>
      <c r="C294">
        <v>190.20460000000003</v>
      </c>
      <c r="D294">
        <v>210.98</v>
      </c>
      <c r="E294">
        <v>210.98066948321653</v>
      </c>
      <c r="F294">
        <v>1175.3699999999999</v>
      </c>
      <c r="G294">
        <v>1175.3693257</v>
      </c>
      <c r="H294">
        <v>15895.4</v>
      </c>
      <c r="I294">
        <v>15895.398422</v>
      </c>
    </row>
    <row r="295" spans="1:9" x14ac:dyDescent="0.3">
      <c r="A295" t="s">
        <v>692</v>
      </c>
      <c r="B295" s="43">
        <v>237.78</v>
      </c>
      <c r="C295">
        <v>237.78400000000002</v>
      </c>
      <c r="D295">
        <v>263.76</v>
      </c>
      <c r="E295">
        <v>263.75717260464336</v>
      </c>
      <c r="F295">
        <v>1469.39</v>
      </c>
      <c r="G295">
        <v>1469.3862280000001</v>
      </c>
      <c r="H295">
        <v>19871.61</v>
      </c>
      <c r="I295">
        <v>19871.608879999996</v>
      </c>
    </row>
    <row r="296" spans="1:9" x14ac:dyDescent="0.3">
      <c r="A296" t="s">
        <v>694</v>
      </c>
      <c r="B296" s="43">
        <v>237.78</v>
      </c>
      <c r="C296">
        <v>237.78400000000002</v>
      </c>
      <c r="D296">
        <v>263.76</v>
      </c>
      <c r="E296">
        <v>263.75717260464336</v>
      </c>
      <c r="F296">
        <v>1469.39</v>
      </c>
      <c r="G296">
        <v>1469.3862280000001</v>
      </c>
      <c r="H296">
        <v>19871.61</v>
      </c>
      <c r="I296">
        <v>19871.608879999996</v>
      </c>
    </row>
    <row r="297" spans="1:9" x14ac:dyDescent="0.3">
      <c r="A297" t="s">
        <v>693</v>
      </c>
      <c r="B297" s="43">
        <v>190.2</v>
      </c>
      <c r="C297">
        <v>190.20460000000003</v>
      </c>
      <c r="D297">
        <v>210.98</v>
      </c>
      <c r="E297">
        <v>210.98066948321653</v>
      </c>
      <c r="F297">
        <v>1175.3699999999999</v>
      </c>
      <c r="G297">
        <v>1175.3693257</v>
      </c>
      <c r="H297">
        <v>15895.4</v>
      </c>
      <c r="I297">
        <v>15895.398422</v>
      </c>
    </row>
    <row r="298" spans="1:9" x14ac:dyDescent="0.3">
      <c r="A298" t="s">
        <v>696</v>
      </c>
      <c r="B298" s="43">
        <v>237.78</v>
      </c>
      <c r="C298">
        <v>237.78400000000002</v>
      </c>
      <c r="D298">
        <v>263.76</v>
      </c>
      <c r="E298">
        <v>263.75717260464336</v>
      </c>
      <c r="F298">
        <v>1469.39</v>
      </c>
      <c r="G298">
        <v>1469.3862280000001</v>
      </c>
      <c r="H298">
        <v>19871.61</v>
      </c>
      <c r="I298">
        <v>19871.608879999996</v>
      </c>
    </row>
    <row r="299" spans="1:9" x14ac:dyDescent="0.3">
      <c r="A299" t="s">
        <v>695</v>
      </c>
      <c r="B299" s="43">
        <v>237.78</v>
      </c>
      <c r="C299">
        <v>237.78400000000002</v>
      </c>
      <c r="D299">
        <v>263.76</v>
      </c>
      <c r="E299">
        <v>263.75717260464336</v>
      </c>
      <c r="F299">
        <v>1469.39</v>
      </c>
      <c r="G299">
        <v>1469.3862280000001</v>
      </c>
      <c r="H299">
        <v>19871.61</v>
      </c>
      <c r="I299">
        <v>19871.608879999996</v>
      </c>
    </row>
    <row r="300" spans="1:9" x14ac:dyDescent="0.3">
      <c r="A300" t="s">
        <v>697</v>
      </c>
      <c r="B300" s="43">
        <v>285.36</v>
      </c>
      <c r="C300">
        <v>285.36160000000001</v>
      </c>
      <c r="D300">
        <v>316.52999999999997</v>
      </c>
      <c r="E300">
        <v>316.53167911187131</v>
      </c>
      <c r="F300">
        <v>1763.39</v>
      </c>
      <c r="G300">
        <v>1763.3920072000001</v>
      </c>
      <c r="H300">
        <v>23847.67</v>
      </c>
      <c r="I300">
        <v>23847.668911999997</v>
      </c>
    </row>
    <row r="301" spans="1:9" x14ac:dyDescent="0.3">
      <c r="A301" t="s">
        <v>699</v>
      </c>
      <c r="B301" s="43">
        <v>285.36</v>
      </c>
      <c r="C301">
        <v>285.36160000000001</v>
      </c>
      <c r="D301">
        <v>316.52999999999997</v>
      </c>
      <c r="E301">
        <v>316.53167911187131</v>
      </c>
      <c r="F301">
        <v>1763.39</v>
      </c>
      <c r="G301">
        <v>1763.3920072000001</v>
      </c>
      <c r="H301">
        <v>23847.67</v>
      </c>
      <c r="I301">
        <v>23847.668911999997</v>
      </c>
    </row>
    <row r="302" spans="1:9" x14ac:dyDescent="0.3">
      <c r="A302" t="s">
        <v>698</v>
      </c>
      <c r="B302" s="43">
        <v>285.36</v>
      </c>
      <c r="C302">
        <v>285.36160000000001</v>
      </c>
      <c r="D302">
        <v>316.52999999999997</v>
      </c>
      <c r="E302">
        <v>316.53167911187131</v>
      </c>
      <c r="F302">
        <v>1763.39</v>
      </c>
      <c r="G302">
        <v>1763.3920072000001</v>
      </c>
      <c r="H302">
        <v>23847.67</v>
      </c>
      <c r="I302">
        <v>23847.668911999997</v>
      </c>
    </row>
    <row r="303" spans="1:9" x14ac:dyDescent="0.3">
      <c r="A303" t="s">
        <v>701</v>
      </c>
      <c r="B303" s="43">
        <v>285.36</v>
      </c>
      <c r="C303">
        <v>285.36160000000001</v>
      </c>
      <c r="D303">
        <v>316.52999999999997</v>
      </c>
      <c r="E303">
        <v>316.53167911187131</v>
      </c>
      <c r="F303">
        <v>1763.39</v>
      </c>
      <c r="G303">
        <v>1763.3920072000001</v>
      </c>
      <c r="H303">
        <v>23847.67</v>
      </c>
      <c r="I303">
        <v>23847.668911999997</v>
      </c>
    </row>
    <row r="304" spans="1:9" x14ac:dyDescent="0.3">
      <c r="A304" t="s">
        <v>703</v>
      </c>
      <c r="B304" s="43">
        <v>332.86</v>
      </c>
      <c r="C304">
        <v>332.86179999999996</v>
      </c>
      <c r="D304">
        <v>369.22</v>
      </c>
      <c r="E304">
        <v>369.22033120854337</v>
      </c>
      <c r="F304">
        <v>2056.92</v>
      </c>
      <c r="G304">
        <v>2056.9194930999997</v>
      </c>
      <c r="H304">
        <v>27817.26</v>
      </c>
      <c r="I304">
        <v>27817.260625999996</v>
      </c>
    </row>
    <row r="305" spans="1:9" x14ac:dyDescent="0.3">
      <c r="A305" t="s">
        <v>702</v>
      </c>
      <c r="B305" s="43">
        <v>285.36</v>
      </c>
      <c r="C305">
        <v>285.36160000000001</v>
      </c>
      <c r="D305">
        <v>316.52999999999997</v>
      </c>
      <c r="E305">
        <v>316.53167911187131</v>
      </c>
      <c r="F305">
        <v>1763.39</v>
      </c>
      <c r="G305">
        <v>1763.3920072000001</v>
      </c>
      <c r="H305">
        <v>23847.67</v>
      </c>
      <c r="I305">
        <v>23847.668911999997</v>
      </c>
    </row>
    <row r="306" spans="1:9" x14ac:dyDescent="0.3">
      <c r="A306" t="s">
        <v>706</v>
      </c>
      <c r="B306" s="43">
        <v>285.36</v>
      </c>
      <c r="C306">
        <v>285.36160000000001</v>
      </c>
      <c r="D306">
        <v>316.52999999999997</v>
      </c>
      <c r="E306">
        <v>316.53167911187131</v>
      </c>
      <c r="F306">
        <v>1763.39</v>
      </c>
      <c r="G306">
        <v>1763.3920072000001</v>
      </c>
      <c r="H306">
        <v>23847.67</v>
      </c>
      <c r="I306">
        <v>23847.668911999997</v>
      </c>
    </row>
    <row r="307" spans="1:9" x14ac:dyDescent="0.3">
      <c r="A307" t="s">
        <v>705</v>
      </c>
      <c r="B307" s="43">
        <v>285.36</v>
      </c>
      <c r="C307">
        <v>285.36160000000001</v>
      </c>
      <c r="D307">
        <v>316.52999999999997</v>
      </c>
      <c r="E307">
        <v>316.53167911187131</v>
      </c>
      <c r="F307">
        <v>1763.39</v>
      </c>
      <c r="G307">
        <v>1763.3920072000001</v>
      </c>
      <c r="H307">
        <v>23847.67</v>
      </c>
      <c r="I307">
        <v>23847.668911999997</v>
      </c>
    </row>
    <row r="308" spans="1:9" x14ac:dyDescent="0.3">
      <c r="A308" t="s">
        <v>709</v>
      </c>
      <c r="B308" s="43">
        <v>285.36</v>
      </c>
      <c r="C308">
        <v>285.36160000000001</v>
      </c>
      <c r="D308">
        <v>316.52999999999997</v>
      </c>
      <c r="E308">
        <v>316.53167911187131</v>
      </c>
      <c r="F308">
        <v>1763.39</v>
      </c>
      <c r="G308">
        <v>1763.3920072000001</v>
      </c>
      <c r="H308">
        <v>23847.67</v>
      </c>
      <c r="I308">
        <v>23847.668911999997</v>
      </c>
    </row>
    <row r="309" spans="1:9" x14ac:dyDescent="0.3">
      <c r="A309" t="s">
        <v>707</v>
      </c>
      <c r="B309" s="43">
        <v>285.36</v>
      </c>
      <c r="C309">
        <v>285.36160000000001</v>
      </c>
      <c r="D309">
        <v>316.52999999999997</v>
      </c>
      <c r="E309">
        <v>316.53167911187131</v>
      </c>
      <c r="F309">
        <v>1763.39</v>
      </c>
      <c r="G309">
        <v>1763.3920072000001</v>
      </c>
      <c r="H309">
        <v>23847.67</v>
      </c>
      <c r="I309">
        <v>23847.668911999997</v>
      </c>
    </row>
    <row r="310" spans="1:9" x14ac:dyDescent="0.3">
      <c r="A310" t="s">
        <v>708</v>
      </c>
      <c r="B310" s="43">
        <v>332.86</v>
      </c>
      <c r="C310">
        <v>332.86179999999996</v>
      </c>
      <c r="D310">
        <v>369.22</v>
      </c>
      <c r="E310">
        <v>369.22033120854337</v>
      </c>
      <c r="F310">
        <v>2056.92</v>
      </c>
      <c r="G310">
        <v>2056.9194930999997</v>
      </c>
      <c r="H310">
        <v>27817.26</v>
      </c>
      <c r="I310">
        <v>27817.260625999996</v>
      </c>
    </row>
    <row r="311" spans="1:9" x14ac:dyDescent="0.3">
      <c r="A311" t="s">
        <v>711</v>
      </c>
      <c r="B311" s="43">
        <v>285.36</v>
      </c>
      <c r="C311">
        <v>285.36160000000001</v>
      </c>
      <c r="D311">
        <v>316.52999999999997</v>
      </c>
      <c r="E311">
        <v>316.53167911187131</v>
      </c>
      <c r="F311">
        <v>1763.39</v>
      </c>
      <c r="G311">
        <v>1763.3920072000001</v>
      </c>
      <c r="H311">
        <v>23847.67</v>
      </c>
      <c r="I311">
        <v>23847.668911999997</v>
      </c>
    </row>
    <row r="312" spans="1:9" x14ac:dyDescent="0.3">
      <c r="A312" t="s">
        <v>710</v>
      </c>
      <c r="B312" s="43">
        <v>309.08</v>
      </c>
      <c r="C312">
        <v>309.08199999999994</v>
      </c>
      <c r="D312">
        <v>342.84</v>
      </c>
      <c r="E312">
        <v>342.84306102592427</v>
      </c>
      <c r="F312">
        <v>1909.97</v>
      </c>
      <c r="G312">
        <v>1909.9722189999998</v>
      </c>
      <c r="H312">
        <v>25829.98</v>
      </c>
      <c r="I312">
        <v>25829.982739999996</v>
      </c>
    </row>
    <row r="313" spans="1:9" x14ac:dyDescent="0.3">
      <c r="A313" t="s">
        <v>715</v>
      </c>
      <c r="B313" s="43">
        <v>309.08</v>
      </c>
      <c r="C313">
        <v>309.08199999999994</v>
      </c>
      <c r="D313">
        <v>342.84</v>
      </c>
      <c r="E313">
        <v>342.84306102592427</v>
      </c>
      <c r="F313">
        <v>1909.97</v>
      </c>
      <c r="G313">
        <v>1909.9722189999998</v>
      </c>
      <c r="H313">
        <v>25829.98</v>
      </c>
      <c r="I313">
        <v>25829.982739999996</v>
      </c>
    </row>
    <row r="314" spans="1:9" x14ac:dyDescent="0.3">
      <c r="A314" t="s">
        <v>712</v>
      </c>
      <c r="B314" s="43">
        <v>309.08</v>
      </c>
      <c r="C314">
        <v>309.08199999999994</v>
      </c>
      <c r="D314">
        <v>342.84</v>
      </c>
      <c r="E314">
        <v>342.84306102592427</v>
      </c>
      <c r="F314">
        <v>1909.97</v>
      </c>
      <c r="G314">
        <v>1909.9722189999998</v>
      </c>
      <c r="H314">
        <v>25829.98</v>
      </c>
      <c r="I314">
        <v>25829.982739999996</v>
      </c>
    </row>
    <row r="315" spans="1:9" x14ac:dyDescent="0.3">
      <c r="A315" t="s">
        <v>713</v>
      </c>
      <c r="B315" s="43">
        <v>280.08</v>
      </c>
      <c r="C315">
        <v>280.07500000000005</v>
      </c>
      <c r="D315">
        <v>310.67</v>
      </c>
      <c r="E315">
        <v>310.66762320949056</v>
      </c>
      <c r="F315">
        <v>1730.72</v>
      </c>
      <c r="G315">
        <v>1730.7234625000001</v>
      </c>
      <c r="H315">
        <v>23405.87</v>
      </c>
      <c r="I315">
        <v>23405.867749999998</v>
      </c>
    </row>
    <row r="316" spans="1:9" x14ac:dyDescent="0.3">
      <c r="A316" t="s">
        <v>714</v>
      </c>
      <c r="B316" s="43">
        <v>232.5</v>
      </c>
      <c r="C316">
        <v>232.49740000000003</v>
      </c>
      <c r="D316">
        <v>257.89</v>
      </c>
      <c r="E316">
        <v>257.8931167022626</v>
      </c>
      <c r="F316">
        <v>1436.72</v>
      </c>
      <c r="G316">
        <v>1436.7176833000001</v>
      </c>
      <c r="H316">
        <v>19429.810000000001</v>
      </c>
      <c r="I316">
        <v>19429.807717999996</v>
      </c>
    </row>
    <row r="317" spans="1:9" x14ac:dyDescent="0.3">
      <c r="A317" t="s">
        <v>716</v>
      </c>
      <c r="B317" s="43">
        <v>118.85</v>
      </c>
      <c r="C317">
        <v>118.8468</v>
      </c>
      <c r="D317">
        <v>131.83000000000001</v>
      </c>
      <c r="E317">
        <v>131.82844910132528</v>
      </c>
      <c r="F317">
        <v>734.41</v>
      </c>
      <c r="G317">
        <v>734.41380059999995</v>
      </c>
      <c r="H317">
        <v>9932.0300000000007</v>
      </c>
      <c r="I317">
        <v>9932.0270759999985</v>
      </c>
    </row>
    <row r="318" spans="1:9" x14ac:dyDescent="0.3">
      <c r="A318" t="s">
        <v>719</v>
      </c>
      <c r="B318" s="43">
        <v>372.47</v>
      </c>
      <c r="C318">
        <v>372.46840000000003</v>
      </c>
      <c r="D318">
        <v>413.15</v>
      </c>
      <c r="E318">
        <v>413.15244594539138</v>
      </c>
      <c r="F318">
        <v>2301.66</v>
      </c>
      <c r="G318">
        <v>2301.6644747198998</v>
      </c>
      <c r="H318">
        <v>31127.13</v>
      </c>
      <c r="I318">
        <v>31127.130051353997</v>
      </c>
    </row>
    <row r="319" spans="1:9" x14ac:dyDescent="0.3">
      <c r="A319" t="s">
        <v>717</v>
      </c>
      <c r="B319" s="43">
        <v>214.01</v>
      </c>
      <c r="C319">
        <v>214.00560000000002</v>
      </c>
      <c r="D319">
        <v>237.38</v>
      </c>
      <c r="E319">
        <v>237.38145534417905</v>
      </c>
      <c r="F319">
        <v>1322.45</v>
      </c>
      <c r="G319">
        <v>1322.4476052</v>
      </c>
      <c r="H319">
        <v>17884.45</v>
      </c>
      <c r="I319">
        <v>17884.447991999998</v>
      </c>
    </row>
    <row r="320" spans="1:9" x14ac:dyDescent="0.3">
      <c r="A320" t="s">
        <v>718</v>
      </c>
      <c r="B320" s="43">
        <v>419.97</v>
      </c>
      <c r="C320">
        <v>419.96859999999998</v>
      </c>
      <c r="D320">
        <v>465.84</v>
      </c>
      <c r="E320">
        <v>465.84109804206344</v>
      </c>
      <c r="F320">
        <v>2595.19</v>
      </c>
      <c r="G320">
        <v>2595.1919606198999</v>
      </c>
      <c r="H320">
        <v>35096.720000000001</v>
      </c>
      <c r="I320">
        <v>35096.721765353999</v>
      </c>
    </row>
    <row r="321" spans="1:9" x14ac:dyDescent="0.3">
      <c r="A321" t="s">
        <v>721</v>
      </c>
      <c r="B321" s="43">
        <v>372.47</v>
      </c>
      <c r="C321">
        <v>372.46840000000003</v>
      </c>
      <c r="D321">
        <v>413.15</v>
      </c>
      <c r="E321">
        <v>413.15244594539138</v>
      </c>
      <c r="F321">
        <v>2301.66</v>
      </c>
      <c r="G321">
        <v>2301.6644747198998</v>
      </c>
      <c r="H321">
        <v>31127.13</v>
      </c>
      <c r="I321">
        <v>31127.130051353997</v>
      </c>
    </row>
    <row r="322" spans="1:9" x14ac:dyDescent="0.3">
      <c r="A322" t="s">
        <v>722</v>
      </c>
      <c r="B322" s="43">
        <v>404.19</v>
      </c>
      <c r="C322">
        <v>404.18799999999999</v>
      </c>
      <c r="D322">
        <v>448.34</v>
      </c>
      <c r="E322">
        <v>448.33749991894155</v>
      </c>
      <c r="F322">
        <v>2497.6799999999998</v>
      </c>
      <c r="G322">
        <v>2497.6797459999998</v>
      </c>
      <c r="H322">
        <v>33777.99</v>
      </c>
      <c r="I322">
        <v>33777.991159999998</v>
      </c>
    </row>
    <row r="323" spans="1:9" x14ac:dyDescent="0.3">
      <c r="A323" t="s">
        <v>723</v>
      </c>
      <c r="B323" s="43">
        <v>404.19</v>
      </c>
      <c r="C323">
        <v>404.18799999999999</v>
      </c>
      <c r="D323">
        <v>448.34</v>
      </c>
      <c r="E323">
        <v>448.33749991894155</v>
      </c>
      <c r="F323">
        <v>2497.6799999999998</v>
      </c>
      <c r="G323">
        <v>2497.6797459999998</v>
      </c>
      <c r="H323">
        <v>33777.99</v>
      </c>
      <c r="I323">
        <v>33777.991159999998</v>
      </c>
    </row>
    <row r="324" spans="1:9" x14ac:dyDescent="0.3">
      <c r="A324" t="s">
        <v>720</v>
      </c>
      <c r="B324" s="43">
        <v>404.19</v>
      </c>
      <c r="C324">
        <v>404.18799999999999</v>
      </c>
      <c r="D324">
        <v>448.34</v>
      </c>
      <c r="E324">
        <v>448.33749991894155</v>
      </c>
      <c r="F324">
        <v>2497.6799999999998</v>
      </c>
      <c r="G324">
        <v>2497.6797459999998</v>
      </c>
      <c r="H324">
        <v>33777.99</v>
      </c>
      <c r="I324">
        <v>33777.991159999998</v>
      </c>
    </row>
    <row r="325" spans="1:9" x14ac:dyDescent="0.3">
      <c r="A325" t="s">
        <v>724</v>
      </c>
      <c r="B325" s="43">
        <v>129.41999999999999</v>
      </c>
      <c r="C325">
        <v>129.41999999999999</v>
      </c>
      <c r="D325">
        <v>143.56</v>
      </c>
      <c r="E325">
        <v>143.55656090608682</v>
      </c>
      <c r="F325">
        <v>799.75</v>
      </c>
      <c r="G325">
        <v>799.75088999999991</v>
      </c>
      <c r="H325">
        <v>10815.63</v>
      </c>
      <c r="I325">
        <v>10815.6294</v>
      </c>
    </row>
    <row r="326" spans="1:9" x14ac:dyDescent="0.3">
      <c r="A326" t="s">
        <v>726</v>
      </c>
      <c r="B326" s="43">
        <v>171.71</v>
      </c>
      <c r="C326">
        <v>171.71280000000002</v>
      </c>
      <c r="D326">
        <v>190.47</v>
      </c>
      <c r="E326">
        <v>190.46900812513294</v>
      </c>
      <c r="F326">
        <v>1061.0999999999999</v>
      </c>
      <c r="G326">
        <v>1061.0992475999999</v>
      </c>
      <c r="H326">
        <v>14350.04</v>
      </c>
      <c r="I326">
        <v>14350.038696</v>
      </c>
    </row>
    <row r="327" spans="1:9" x14ac:dyDescent="0.3">
      <c r="A327" t="s">
        <v>725</v>
      </c>
      <c r="B327" s="43">
        <v>171.71</v>
      </c>
      <c r="C327">
        <v>171.71280000000002</v>
      </c>
      <c r="D327">
        <v>190.47</v>
      </c>
      <c r="E327">
        <v>190.46900812513294</v>
      </c>
      <c r="F327">
        <v>1061.0999999999999</v>
      </c>
      <c r="G327">
        <v>1061.0992475999999</v>
      </c>
      <c r="H327">
        <v>14350.04</v>
      </c>
      <c r="I327">
        <v>14350.038696</v>
      </c>
    </row>
    <row r="328" spans="1:9" x14ac:dyDescent="0.3">
      <c r="A328" t="s">
        <v>727</v>
      </c>
      <c r="B328" s="43">
        <v>171.71</v>
      </c>
      <c r="C328">
        <v>171.71280000000002</v>
      </c>
      <c r="D328">
        <v>190.47</v>
      </c>
      <c r="E328">
        <v>190.46900812513294</v>
      </c>
      <c r="F328">
        <v>1061.0999999999999</v>
      </c>
      <c r="G328">
        <v>1061.0992475999999</v>
      </c>
      <c r="H328">
        <v>14350.04</v>
      </c>
      <c r="I328">
        <v>14350.038696</v>
      </c>
    </row>
    <row r="329" spans="1:9" x14ac:dyDescent="0.3">
      <c r="A329" t="s">
        <v>728</v>
      </c>
      <c r="B329" s="43">
        <v>171.71</v>
      </c>
      <c r="C329">
        <v>171.71280000000002</v>
      </c>
      <c r="D329">
        <v>190.47</v>
      </c>
      <c r="E329">
        <v>190.46900812513294</v>
      </c>
      <c r="F329">
        <v>1061.0999999999999</v>
      </c>
      <c r="G329">
        <v>1061.0992475999999</v>
      </c>
      <c r="H329">
        <v>14350.04</v>
      </c>
      <c r="I329">
        <v>14350.038696</v>
      </c>
    </row>
    <row r="330" spans="1:9" x14ac:dyDescent="0.3">
      <c r="A330" t="s">
        <v>731</v>
      </c>
      <c r="B330" s="43">
        <v>214.01</v>
      </c>
      <c r="C330">
        <v>214.00560000000002</v>
      </c>
      <c r="D330">
        <v>237.38</v>
      </c>
      <c r="E330">
        <v>237.38145534417905</v>
      </c>
      <c r="F330">
        <v>1322.45</v>
      </c>
      <c r="G330">
        <v>1322.4476052</v>
      </c>
      <c r="H330">
        <v>17884.45</v>
      </c>
      <c r="I330">
        <v>17884.447991999998</v>
      </c>
    </row>
    <row r="331" spans="1:9" x14ac:dyDescent="0.3">
      <c r="A331" t="s">
        <v>732</v>
      </c>
      <c r="B331" s="43">
        <v>256.3</v>
      </c>
      <c r="C331">
        <v>256.29680000000002</v>
      </c>
      <c r="D331">
        <v>284.29000000000002</v>
      </c>
      <c r="E331">
        <v>284.29212779504832</v>
      </c>
      <c r="F331">
        <v>1583.79</v>
      </c>
      <c r="G331">
        <v>1583.7860756</v>
      </c>
      <c r="H331">
        <v>21418.720000000001</v>
      </c>
      <c r="I331">
        <v>21418.723575999997</v>
      </c>
    </row>
    <row r="332" spans="1:9" x14ac:dyDescent="0.3">
      <c r="A332" t="s">
        <v>733</v>
      </c>
      <c r="B332" s="43">
        <v>298.52</v>
      </c>
      <c r="C332">
        <v>298.51919999999996</v>
      </c>
      <c r="D332">
        <v>331.13</v>
      </c>
      <c r="E332">
        <v>331.12648521431237</v>
      </c>
      <c r="F332">
        <v>1844.7</v>
      </c>
      <c r="G332">
        <v>1844.6993963999998</v>
      </c>
      <c r="H332">
        <v>24947.25</v>
      </c>
      <c r="I332">
        <v>24947.249543999995</v>
      </c>
    </row>
    <row r="333" spans="1:9" x14ac:dyDescent="0.3">
      <c r="A333" t="s">
        <v>730</v>
      </c>
      <c r="B333" s="43">
        <v>214.01</v>
      </c>
      <c r="C333">
        <v>214.00560000000002</v>
      </c>
      <c r="D333">
        <v>237.38</v>
      </c>
      <c r="E333">
        <v>237.38145534417905</v>
      </c>
      <c r="F333">
        <v>1322.45</v>
      </c>
      <c r="G333">
        <v>1322.4476052</v>
      </c>
      <c r="H333">
        <v>17884.45</v>
      </c>
      <c r="I333">
        <v>17884.447991999998</v>
      </c>
    </row>
    <row r="334" spans="1:9" x14ac:dyDescent="0.3">
      <c r="A334" t="s">
        <v>729</v>
      </c>
      <c r="B334" s="43">
        <v>171.71</v>
      </c>
      <c r="C334">
        <v>171.71280000000002</v>
      </c>
      <c r="D334">
        <v>190.47</v>
      </c>
      <c r="E334">
        <v>190.46900812513294</v>
      </c>
      <c r="F334">
        <v>1061.0999999999999</v>
      </c>
      <c r="G334">
        <v>1061.0992475999999</v>
      </c>
      <c r="H334">
        <v>14350.04</v>
      </c>
      <c r="I334">
        <v>14350.038696</v>
      </c>
    </row>
    <row r="335" spans="1:9" x14ac:dyDescent="0.3">
      <c r="A335" t="s">
        <v>734</v>
      </c>
      <c r="B335" s="43">
        <v>256.3</v>
      </c>
      <c r="C335">
        <v>256.29680000000002</v>
      </c>
      <c r="D335">
        <v>284.29000000000002</v>
      </c>
      <c r="E335">
        <v>284.29212779504832</v>
      </c>
      <c r="F335">
        <v>1583.79</v>
      </c>
      <c r="G335">
        <v>1583.7860756</v>
      </c>
      <c r="H335">
        <v>21418.720000000001</v>
      </c>
      <c r="I335">
        <v>21418.723575999997</v>
      </c>
    </row>
    <row r="336" spans="1:9" x14ac:dyDescent="0.3">
      <c r="A336" t="s">
        <v>735</v>
      </c>
      <c r="B336" s="43">
        <v>256.3</v>
      </c>
      <c r="C336">
        <v>256.29680000000002</v>
      </c>
      <c r="D336">
        <v>284.29000000000002</v>
      </c>
      <c r="E336">
        <v>284.29212779504832</v>
      </c>
      <c r="F336">
        <v>1583.79</v>
      </c>
      <c r="G336">
        <v>1583.7860756</v>
      </c>
      <c r="H336">
        <v>21418.720000000001</v>
      </c>
      <c r="I336">
        <v>21418.723575999997</v>
      </c>
    </row>
    <row r="337" spans="1:9" x14ac:dyDescent="0.3">
      <c r="A337" t="s">
        <v>738</v>
      </c>
      <c r="B337" s="43">
        <v>298.52</v>
      </c>
      <c r="C337">
        <v>298.51919999999996</v>
      </c>
      <c r="D337">
        <v>331.13</v>
      </c>
      <c r="E337">
        <v>331.12648521431237</v>
      </c>
      <c r="F337">
        <v>1844.7</v>
      </c>
      <c r="G337">
        <v>1844.6993963999998</v>
      </c>
      <c r="H337">
        <v>24947.25</v>
      </c>
      <c r="I337">
        <v>24947.249543999995</v>
      </c>
    </row>
    <row r="338" spans="1:9" x14ac:dyDescent="0.3">
      <c r="A338" t="s">
        <v>736</v>
      </c>
      <c r="B338" s="43">
        <v>256.3</v>
      </c>
      <c r="C338">
        <v>256.29680000000002</v>
      </c>
      <c r="D338">
        <v>284.29000000000002</v>
      </c>
      <c r="E338">
        <v>284.29212779504832</v>
      </c>
      <c r="F338">
        <v>1583.79</v>
      </c>
      <c r="G338">
        <v>1583.7860756</v>
      </c>
      <c r="H338">
        <v>21418.720000000001</v>
      </c>
      <c r="I338">
        <v>21418.723575999997</v>
      </c>
    </row>
    <row r="339" spans="1:9" x14ac:dyDescent="0.3">
      <c r="A339" t="s">
        <v>737</v>
      </c>
      <c r="B339" s="43">
        <v>256.3</v>
      </c>
      <c r="C339">
        <v>256.29680000000002</v>
      </c>
      <c r="D339">
        <v>284.29000000000002</v>
      </c>
      <c r="E339">
        <v>284.29212779504832</v>
      </c>
      <c r="F339">
        <v>1583.79</v>
      </c>
      <c r="G339">
        <v>1583.7860756</v>
      </c>
      <c r="H339">
        <v>21418.720000000001</v>
      </c>
      <c r="I339">
        <v>21418.723575999997</v>
      </c>
    </row>
    <row r="340" spans="1:9" x14ac:dyDescent="0.3">
      <c r="A340" t="s">
        <v>739</v>
      </c>
      <c r="B340" s="43">
        <v>256.3</v>
      </c>
      <c r="C340">
        <v>256.29680000000002</v>
      </c>
      <c r="D340">
        <v>284.29000000000002</v>
      </c>
      <c r="E340">
        <v>284.29212779504832</v>
      </c>
      <c r="F340">
        <v>1583.79</v>
      </c>
      <c r="G340">
        <v>1583.7860756</v>
      </c>
      <c r="H340">
        <v>21418.720000000001</v>
      </c>
      <c r="I340">
        <v>21418.723575999997</v>
      </c>
    </row>
    <row r="341" spans="1:9" x14ac:dyDescent="0.3">
      <c r="A341" t="s">
        <v>741</v>
      </c>
      <c r="B341" s="43">
        <v>256.3</v>
      </c>
      <c r="C341">
        <v>256.29680000000002</v>
      </c>
      <c r="D341">
        <v>284.29000000000002</v>
      </c>
      <c r="E341">
        <v>284.29212779504832</v>
      </c>
      <c r="F341">
        <v>1583.79</v>
      </c>
      <c r="G341">
        <v>1583.7860756</v>
      </c>
      <c r="H341">
        <v>21418.720000000001</v>
      </c>
      <c r="I341">
        <v>21418.723575999997</v>
      </c>
    </row>
    <row r="342" spans="1:9" x14ac:dyDescent="0.3">
      <c r="A342" t="s">
        <v>743</v>
      </c>
      <c r="B342" s="43">
        <v>277.38</v>
      </c>
      <c r="C342">
        <v>277.38159999999999</v>
      </c>
      <c r="D342">
        <v>307.68</v>
      </c>
      <c r="E342">
        <v>307.68002282976204</v>
      </c>
      <c r="F342">
        <v>1714.08</v>
      </c>
      <c r="G342">
        <v>1714.0795971999999</v>
      </c>
      <c r="H342">
        <v>23180.78</v>
      </c>
      <c r="I342">
        <v>23180.780311999995</v>
      </c>
    </row>
    <row r="343" spans="1:9" x14ac:dyDescent="0.3">
      <c r="A343" t="s">
        <v>742</v>
      </c>
      <c r="B343" s="43">
        <v>298.52</v>
      </c>
      <c r="C343">
        <v>298.51919999999996</v>
      </c>
      <c r="D343">
        <v>331.13</v>
      </c>
      <c r="E343">
        <v>331.12648521431237</v>
      </c>
      <c r="F343">
        <v>1844.7</v>
      </c>
      <c r="G343">
        <v>1844.6993963999998</v>
      </c>
      <c r="H343">
        <v>24947.25</v>
      </c>
      <c r="I343">
        <v>24947.249543999995</v>
      </c>
    </row>
    <row r="344" spans="1:9" x14ac:dyDescent="0.3">
      <c r="A344" t="s">
        <v>744</v>
      </c>
      <c r="B344" s="43">
        <v>190.23</v>
      </c>
      <c r="C344">
        <v>190.22720000000001</v>
      </c>
      <c r="D344">
        <v>211.01</v>
      </c>
      <c r="E344">
        <v>211.0057380837147</v>
      </c>
      <c r="F344">
        <v>1175.51</v>
      </c>
      <c r="G344">
        <v>1175.5089823999999</v>
      </c>
      <c r="H344">
        <v>15897.29</v>
      </c>
      <c r="I344">
        <v>15897.287103999999</v>
      </c>
    </row>
    <row r="345" spans="1:9" x14ac:dyDescent="0.3">
      <c r="A345" t="s">
        <v>745</v>
      </c>
      <c r="B345" s="43">
        <v>232.52</v>
      </c>
      <c r="C345">
        <v>232.51840000000001</v>
      </c>
      <c r="D345">
        <v>257.92</v>
      </c>
      <c r="E345">
        <v>257.91641053458397</v>
      </c>
      <c r="F345">
        <v>1436.85</v>
      </c>
      <c r="G345">
        <v>1436.8474527999999</v>
      </c>
      <c r="H345">
        <v>19431.560000000001</v>
      </c>
      <c r="I345">
        <v>19431.562687999998</v>
      </c>
    </row>
    <row r="346" spans="1:9" x14ac:dyDescent="0.3">
      <c r="A346" t="s">
        <v>746</v>
      </c>
      <c r="B346" s="43">
        <v>274.74</v>
      </c>
      <c r="C346">
        <v>274.74079999999998</v>
      </c>
      <c r="D346">
        <v>304.75</v>
      </c>
      <c r="E346">
        <v>304.75076795384803</v>
      </c>
      <c r="F346">
        <v>1697.76</v>
      </c>
      <c r="G346">
        <v>1697.7607735999998</v>
      </c>
      <c r="H346">
        <v>22960.09</v>
      </c>
      <c r="I346">
        <v>22960.088655999996</v>
      </c>
    </row>
    <row r="347" spans="1:9" x14ac:dyDescent="0.3">
      <c r="A347" t="s">
        <v>747</v>
      </c>
      <c r="B347" s="43">
        <v>287.95</v>
      </c>
      <c r="C347">
        <v>287.94599999999997</v>
      </c>
      <c r="D347">
        <v>319.39999999999998</v>
      </c>
      <c r="E347">
        <v>319.39846414457389</v>
      </c>
      <c r="F347">
        <v>1779.36</v>
      </c>
      <c r="G347">
        <v>1779.3628124830998</v>
      </c>
      <c r="H347">
        <v>24063.65</v>
      </c>
      <c r="I347">
        <v>24063.654056025996</v>
      </c>
    </row>
    <row r="348" spans="1:9" x14ac:dyDescent="0.3">
      <c r="A348" t="s">
        <v>748</v>
      </c>
      <c r="B348" s="43">
        <v>335.48</v>
      </c>
      <c r="C348">
        <v>335.48480000000001</v>
      </c>
      <c r="D348">
        <v>372.13</v>
      </c>
      <c r="E348">
        <v>372.1291840150343</v>
      </c>
      <c r="F348">
        <v>2073.12</v>
      </c>
      <c r="G348">
        <v>2073.1246571564998</v>
      </c>
      <c r="H348">
        <v>28036.42</v>
      </c>
      <c r="I348">
        <v>28036.415178989995</v>
      </c>
    </row>
    <row r="349" spans="1:9" x14ac:dyDescent="0.3">
      <c r="A349" t="s">
        <v>749</v>
      </c>
      <c r="B349" s="43">
        <v>377.71</v>
      </c>
      <c r="C349">
        <v>377.7072</v>
      </c>
      <c r="D349">
        <v>418.96</v>
      </c>
      <c r="E349">
        <v>418.96354143429835</v>
      </c>
      <c r="F349">
        <v>2334.04</v>
      </c>
      <c r="G349">
        <v>2334.0379779564996</v>
      </c>
      <c r="H349">
        <v>31564.94</v>
      </c>
      <c r="I349">
        <v>31564.941146989993</v>
      </c>
    </row>
    <row r="350" spans="1:9" x14ac:dyDescent="0.3">
      <c r="A350" t="s">
        <v>751</v>
      </c>
      <c r="B350" s="43">
        <v>202.12</v>
      </c>
      <c r="C350">
        <v>202.11640000000003</v>
      </c>
      <c r="D350">
        <v>224.19</v>
      </c>
      <c r="E350">
        <v>224.19359671394687</v>
      </c>
      <c r="F350">
        <v>1248.98</v>
      </c>
      <c r="G350">
        <v>1248.9782938000001</v>
      </c>
      <c r="H350">
        <v>16890.87</v>
      </c>
      <c r="I350">
        <v>16890.867547999998</v>
      </c>
    </row>
    <row r="351" spans="1:9" x14ac:dyDescent="0.3">
      <c r="A351" t="s">
        <v>753</v>
      </c>
      <c r="B351" s="43">
        <v>162.47</v>
      </c>
      <c r="C351">
        <v>162.46690000000001</v>
      </c>
      <c r="D351">
        <v>180.21</v>
      </c>
      <c r="E351">
        <v>180.21317744609115</v>
      </c>
      <c r="F351">
        <v>1003.96</v>
      </c>
      <c r="G351">
        <v>1003.9642085499999</v>
      </c>
      <c r="H351">
        <v>13577.36</v>
      </c>
      <c r="I351">
        <v>13577.358833</v>
      </c>
    </row>
    <row r="352" spans="1:9" x14ac:dyDescent="0.3">
      <c r="A352" t="s">
        <v>750</v>
      </c>
      <c r="B352" s="43">
        <v>202.12</v>
      </c>
      <c r="C352">
        <v>202.11640000000003</v>
      </c>
      <c r="D352">
        <v>224.19</v>
      </c>
      <c r="E352">
        <v>224.19359671394687</v>
      </c>
      <c r="F352">
        <v>1248.98</v>
      </c>
      <c r="G352">
        <v>1248.9782938000001</v>
      </c>
      <c r="H352">
        <v>16890.87</v>
      </c>
      <c r="I352">
        <v>16890.867547999998</v>
      </c>
    </row>
    <row r="353" spans="1:9" x14ac:dyDescent="0.3">
      <c r="A353" t="s">
        <v>752</v>
      </c>
      <c r="B353" s="43">
        <v>162.47</v>
      </c>
      <c r="C353">
        <v>162.46690000000001</v>
      </c>
      <c r="D353">
        <v>180.21</v>
      </c>
      <c r="E353">
        <v>180.21317744609115</v>
      </c>
      <c r="F353">
        <v>1003.96</v>
      </c>
      <c r="G353">
        <v>1003.9642085499999</v>
      </c>
      <c r="H353">
        <v>13577.36</v>
      </c>
      <c r="I353">
        <v>13577.358833</v>
      </c>
    </row>
    <row r="354" spans="1:9" x14ac:dyDescent="0.3">
      <c r="A354" t="s">
        <v>756</v>
      </c>
      <c r="B354" s="43">
        <v>202.12</v>
      </c>
      <c r="C354">
        <v>202.11640000000003</v>
      </c>
      <c r="D354">
        <v>224.19</v>
      </c>
      <c r="E354">
        <v>224.19359671394687</v>
      </c>
      <c r="F354">
        <v>1248.98</v>
      </c>
      <c r="G354">
        <v>1248.9782938000001</v>
      </c>
      <c r="H354">
        <v>16890.87</v>
      </c>
      <c r="I354">
        <v>16890.867547999998</v>
      </c>
    </row>
    <row r="355" spans="1:9" x14ac:dyDescent="0.3">
      <c r="A355" t="s">
        <v>754</v>
      </c>
      <c r="B355" s="43">
        <v>241.76</v>
      </c>
      <c r="C355">
        <v>241.76440000000002</v>
      </c>
      <c r="D355">
        <v>268.17</v>
      </c>
      <c r="E355">
        <v>268.17235213663679</v>
      </c>
      <c r="F355">
        <v>1493.98</v>
      </c>
      <c r="G355">
        <v>1493.9831098</v>
      </c>
      <c r="H355">
        <v>20204.25</v>
      </c>
      <c r="I355">
        <v>20204.250907999998</v>
      </c>
    </row>
    <row r="356" spans="1:9" x14ac:dyDescent="0.3">
      <c r="A356" t="s">
        <v>757</v>
      </c>
      <c r="B356" s="43">
        <v>281.35000000000002</v>
      </c>
      <c r="C356">
        <v>281.34789999999998</v>
      </c>
      <c r="D356">
        <v>312.08</v>
      </c>
      <c r="E356">
        <v>312.07956221719684</v>
      </c>
      <c r="F356">
        <v>1738.59</v>
      </c>
      <c r="G356">
        <v>1738.5893480499999</v>
      </c>
      <c r="H356">
        <v>23512.240000000002</v>
      </c>
      <c r="I356">
        <v>23512.244002999996</v>
      </c>
    </row>
    <row r="357" spans="1:9" x14ac:dyDescent="0.3">
      <c r="A357" t="s">
        <v>755</v>
      </c>
      <c r="B357" s="43">
        <v>162.47</v>
      </c>
      <c r="C357">
        <v>162.46690000000001</v>
      </c>
      <c r="D357">
        <v>180.21</v>
      </c>
      <c r="E357">
        <v>180.21317744609115</v>
      </c>
      <c r="F357">
        <v>1003.96</v>
      </c>
      <c r="G357">
        <v>1003.9642085499999</v>
      </c>
      <c r="H357">
        <v>13577.36</v>
      </c>
      <c r="I357">
        <v>13577.358833</v>
      </c>
    </row>
    <row r="358" spans="1:9" x14ac:dyDescent="0.3">
      <c r="A358" t="s">
        <v>759</v>
      </c>
      <c r="B358" s="43">
        <v>241.76</v>
      </c>
      <c r="C358">
        <v>241.76440000000002</v>
      </c>
      <c r="D358">
        <v>268.17</v>
      </c>
      <c r="E358">
        <v>268.17235213663679</v>
      </c>
      <c r="F358">
        <v>1493.98</v>
      </c>
      <c r="G358">
        <v>1493.9831098</v>
      </c>
      <c r="H358">
        <v>20204.25</v>
      </c>
      <c r="I358">
        <v>20204.250907999998</v>
      </c>
    </row>
    <row r="359" spans="1:9" x14ac:dyDescent="0.3">
      <c r="A359" t="s">
        <v>758</v>
      </c>
      <c r="B359" s="43">
        <v>241.76</v>
      </c>
      <c r="C359">
        <v>241.76440000000002</v>
      </c>
      <c r="D359">
        <v>268.17</v>
      </c>
      <c r="E359">
        <v>268.17235213663679</v>
      </c>
      <c r="F359">
        <v>1493.98</v>
      </c>
      <c r="G359">
        <v>1493.9831098</v>
      </c>
      <c r="H359">
        <v>20204.25</v>
      </c>
      <c r="I359">
        <v>20204.250907999998</v>
      </c>
    </row>
    <row r="360" spans="1:9" x14ac:dyDescent="0.3">
      <c r="A360" t="s">
        <v>761</v>
      </c>
      <c r="B360" s="43">
        <v>356.64</v>
      </c>
      <c r="C360">
        <v>356.63679999999999</v>
      </c>
      <c r="D360">
        <v>395.59</v>
      </c>
      <c r="E360">
        <v>395.5922770866319</v>
      </c>
      <c r="F360">
        <v>2203.84</v>
      </c>
      <c r="G360">
        <v>2203.8371055999996</v>
      </c>
      <c r="H360">
        <v>29804.14</v>
      </c>
      <c r="I360">
        <v>29804.137375999999</v>
      </c>
    </row>
    <row r="361" spans="1:9" x14ac:dyDescent="0.3">
      <c r="A361" t="s">
        <v>760</v>
      </c>
      <c r="B361" s="43">
        <v>138.69</v>
      </c>
      <c r="C361">
        <v>138.6885</v>
      </c>
      <c r="D361">
        <v>153.84</v>
      </c>
      <c r="E361">
        <v>153.83746018562681</v>
      </c>
      <c r="F361">
        <v>857.03</v>
      </c>
      <c r="G361">
        <v>857.02558574999989</v>
      </c>
      <c r="H361">
        <v>11590.2</v>
      </c>
      <c r="I361">
        <v>11590.197945</v>
      </c>
    </row>
    <row r="362" spans="1:9" x14ac:dyDescent="0.3">
      <c r="A362" t="s">
        <v>763</v>
      </c>
      <c r="B362" s="43">
        <v>190.23</v>
      </c>
      <c r="C362">
        <v>190.22720000000001</v>
      </c>
      <c r="D362">
        <v>211.01</v>
      </c>
      <c r="E362">
        <v>211.0057380837147</v>
      </c>
      <c r="F362">
        <v>1175.51</v>
      </c>
      <c r="G362">
        <v>1175.5089823999999</v>
      </c>
      <c r="H362">
        <v>15897.29</v>
      </c>
      <c r="I362">
        <v>15897.287103999999</v>
      </c>
    </row>
    <row r="363" spans="1:9" x14ac:dyDescent="0.3">
      <c r="A363" t="s">
        <v>764</v>
      </c>
      <c r="B363" s="43">
        <v>153.22</v>
      </c>
      <c r="C363">
        <v>153.221</v>
      </c>
      <c r="D363">
        <v>169.96</v>
      </c>
      <c r="E363">
        <v>169.95734676704936</v>
      </c>
      <c r="F363">
        <v>946.83</v>
      </c>
      <c r="G363">
        <v>946.82916949999992</v>
      </c>
      <c r="H363">
        <v>12804.68</v>
      </c>
      <c r="I363">
        <v>12804.678969999999</v>
      </c>
    </row>
    <row r="364" spans="1:9" x14ac:dyDescent="0.3">
      <c r="A364" t="s">
        <v>766</v>
      </c>
      <c r="B364" s="43">
        <v>153.22</v>
      </c>
      <c r="C364">
        <v>153.221</v>
      </c>
      <c r="D364">
        <v>169.96</v>
      </c>
      <c r="E364">
        <v>169.95734676704936</v>
      </c>
      <c r="F364">
        <v>946.83</v>
      </c>
      <c r="G364">
        <v>946.82916949999992</v>
      </c>
      <c r="H364">
        <v>12804.68</v>
      </c>
      <c r="I364">
        <v>12804.678969999999</v>
      </c>
    </row>
    <row r="365" spans="1:9" x14ac:dyDescent="0.3">
      <c r="A365" t="s">
        <v>765</v>
      </c>
      <c r="B365" s="43">
        <v>190.23</v>
      </c>
      <c r="C365">
        <v>190.22720000000001</v>
      </c>
      <c r="D365">
        <v>211.01</v>
      </c>
      <c r="E365">
        <v>211.0057380837147</v>
      </c>
      <c r="F365">
        <v>1175.51</v>
      </c>
      <c r="G365">
        <v>1175.5089823999999</v>
      </c>
      <c r="H365">
        <v>15897.29</v>
      </c>
      <c r="I365">
        <v>15897.287103999999</v>
      </c>
    </row>
    <row r="366" spans="1:9" x14ac:dyDescent="0.3">
      <c r="A366" t="s">
        <v>768</v>
      </c>
      <c r="B366" s="43">
        <v>227.23</v>
      </c>
      <c r="C366">
        <v>227.23200000000003</v>
      </c>
      <c r="D366">
        <v>252.05</v>
      </c>
      <c r="E366">
        <v>252.05257647822532</v>
      </c>
      <c r="F366">
        <v>1404.18</v>
      </c>
      <c r="G366">
        <v>1404.1801439999999</v>
      </c>
      <c r="H366">
        <v>18989.78</v>
      </c>
      <c r="I366">
        <v>18989.778239999996</v>
      </c>
    </row>
    <row r="367" spans="1:9" x14ac:dyDescent="0.3">
      <c r="A367" t="s">
        <v>767</v>
      </c>
      <c r="B367" s="43">
        <v>153.22</v>
      </c>
      <c r="C367">
        <v>153.221</v>
      </c>
      <c r="D367">
        <v>169.96</v>
      </c>
      <c r="E367">
        <v>169.95734676704936</v>
      </c>
      <c r="F367">
        <v>946.83</v>
      </c>
      <c r="G367">
        <v>946.82916949999992</v>
      </c>
      <c r="H367">
        <v>12804.68</v>
      </c>
      <c r="I367">
        <v>12804.678969999999</v>
      </c>
    </row>
    <row r="368" spans="1:9" x14ac:dyDescent="0.3">
      <c r="A368" t="s">
        <v>769</v>
      </c>
      <c r="B368" s="43">
        <v>227.23</v>
      </c>
      <c r="C368">
        <v>227.23200000000003</v>
      </c>
      <c r="D368">
        <v>252.05</v>
      </c>
      <c r="E368">
        <v>252.05257647822532</v>
      </c>
      <c r="F368">
        <v>1404.18</v>
      </c>
      <c r="G368">
        <v>1404.1801439999999</v>
      </c>
      <c r="H368">
        <v>18989.78</v>
      </c>
      <c r="I368">
        <v>18989.778239999996</v>
      </c>
    </row>
    <row r="369" spans="1:9" x14ac:dyDescent="0.3">
      <c r="A369" t="s">
        <v>770</v>
      </c>
      <c r="B369" s="43">
        <v>227.23</v>
      </c>
      <c r="C369">
        <v>227.23200000000003</v>
      </c>
      <c r="D369">
        <v>252.05</v>
      </c>
      <c r="E369">
        <v>252.05257647822532</v>
      </c>
      <c r="F369">
        <v>1404.18</v>
      </c>
      <c r="G369">
        <v>1404.1801439999999</v>
      </c>
      <c r="H369">
        <v>18989.78</v>
      </c>
      <c r="I369">
        <v>18989.778239999996</v>
      </c>
    </row>
    <row r="370" spans="1:9" x14ac:dyDescent="0.3">
      <c r="A370" t="s">
        <v>774</v>
      </c>
      <c r="B370" s="43">
        <v>227.23</v>
      </c>
      <c r="C370">
        <v>227.23200000000003</v>
      </c>
      <c r="D370">
        <v>252.05</v>
      </c>
      <c r="E370">
        <v>252.05257647822532</v>
      </c>
      <c r="F370">
        <v>1404.18</v>
      </c>
      <c r="G370">
        <v>1404.1801439999999</v>
      </c>
      <c r="H370">
        <v>18989.78</v>
      </c>
      <c r="I370">
        <v>18989.778239999996</v>
      </c>
    </row>
    <row r="371" spans="1:9" x14ac:dyDescent="0.3">
      <c r="A371" t="s">
        <v>772</v>
      </c>
      <c r="B371" s="43">
        <v>227.23</v>
      </c>
      <c r="C371">
        <v>227.23200000000003</v>
      </c>
      <c r="D371">
        <v>252.05</v>
      </c>
      <c r="E371">
        <v>252.05257647822532</v>
      </c>
      <c r="F371">
        <v>1404.18</v>
      </c>
      <c r="G371">
        <v>1404.1801439999999</v>
      </c>
      <c r="H371">
        <v>18989.78</v>
      </c>
      <c r="I371">
        <v>18989.778239999996</v>
      </c>
    </row>
    <row r="372" spans="1:9" x14ac:dyDescent="0.3">
      <c r="A372" t="s">
        <v>773</v>
      </c>
      <c r="B372" s="43">
        <v>227.23</v>
      </c>
      <c r="C372">
        <v>227.23200000000003</v>
      </c>
      <c r="D372">
        <v>252.05</v>
      </c>
      <c r="E372">
        <v>252.05257647822532</v>
      </c>
      <c r="F372">
        <v>1404.18</v>
      </c>
      <c r="G372">
        <v>1404.1801439999999</v>
      </c>
      <c r="H372">
        <v>18989.78</v>
      </c>
      <c r="I372">
        <v>18989.778239999996</v>
      </c>
    </row>
    <row r="373" spans="1:9" x14ac:dyDescent="0.3">
      <c r="A373" t="s">
        <v>775</v>
      </c>
      <c r="B373" s="43">
        <v>227.23</v>
      </c>
      <c r="C373">
        <v>227.23200000000003</v>
      </c>
      <c r="D373">
        <v>252.05</v>
      </c>
      <c r="E373">
        <v>252.05257647822532</v>
      </c>
      <c r="F373">
        <v>1404.18</v>
      </c>
      <c r="G373">
        <v>1404.1801439999999</v>
      </c>
      <c r="H373">
        <v>18989.78</v>
      </c>
      <c r="I373">
        <v>18989.778239999996</v>
      </c>
    </row>
    <row r="374" spans="1:9" x14ac:dyDescent="0.3">
      <c r="A374" t="s">
        <v>776</v>
      </c>
      <c r="B374" s="43">
        <v>227.23</v>
      </c>
      <c r="C374">
        <v>227.23200000000003</v>
      </c>
      <c r="D374">
        <v>252.05</v>
      </c>
      <c r="E374">
        <v>252.05257647822532</v>
      </c>
      <c r="F374">
        <v>1404.18</v>
      </c>
      <c r="G374">
        <v>1404.1801439999999</v>
      </c>
      <c r="H374">
        <v>18989.78</v>
      </c>
      <c r="I374">
        <v>18989.778239999996</v>
      </c>
    </row>
    <row r="375" spans="1:9" x14ac:dyDescent="0.3">
      <c r="A375" t="s">
        <v>779</v>
      </c>
      <c r="B375" s="43">
        <v>227.23</v>
      </c>
      <c r="C375">
        <v>227.23200000000003</v>
      </c>
      <c r="D375">
        <v>252.05</v>
      </c>
      <c r="E375">
        <v>252.05257647822532</v>
      </c>
      <c r="F375">
        <v>1404.18</v>
      </c>
      <c r="G375">
        <v>1404.1801439999999</v>
      </c>
      <c r="H375">
        <v>18989.78</v>
      </c>
      <c r="I375">
        <v>18989.778239999996</v>
      </c>
    </row>
    <row r="376" spans="1:9" x14ac:dyDescent="0.3">
      <c r="A376" t="s">
        <v>778</v>
      </c>
      <c r="B376" s="43">
        <v>227.23</v>
      </c>
      <c r="C376">
        <v>227.23200000000003</v>
      </c>
      <c r="D376">
        <v>252.05</v>
      </c>
      <c r="E376">
        <v>252.05257647822532</v>
      </c>
      <c r="F376">
        <v>1404.18</v>
      </c>
      <c r="G376">
        <v>1404.1801439999999</v>
      </c>
      <c r="H376">
        <v>18989.78</v>
      </c>
      <c r="I376">
        <v>18989.778239999996</v>
      </c>
    </row>
    <row r="377" spans="1:9" x14ac:dyDescent="0.3">
      <c r="A377" t="s">
        <v>780</v>
      </c>
      <c r="B377" s="43">
        <v>147.93</v>
      </c>
      <c r="C377">
        <v>147.93440000000001</v>
      </c>
      <c r="D377">
        <v>164.09</v>
      </c>
      <c r="E377">
        <v>164.0932908646686</v>
      </c>
      <c r="F377">
        <v>914.16</v>
      </c>
      <c r="G377">
        <v>914.16062479999994</v>
      </c>
      <c r="H377">
        <v>12362.88</v>
      </c>
      <c r="I377">
        <v>12362.877807999999</v>
      </c>
    </row>
    <row r="378" spans="1:9" x14ac:dyDescent="0.3">
      <c r="A378" t="s">
        <v>781</v>
      </c>
      <c r="B378" s="43">
        <v>221.95</v>
      </c>
      <c r="C378">
        <v>221.94540000000003</v>
      </c>
      <c r="D378">
        <v>246.19</v>
      </c>
      <c r="E378">
        <v>246.18852057584456</v>
      </c>
      <c r="F378">
        <v>1371.51</v>
      </c>
      <c r="G378">
        <v>1371.5115992999999</v>
      </c>
      <c r="H378">
        <v>18547.98</v>
      </c>
      <c r="I378">
        <v>18547.977077999996</v>
      </c>
    </row>
    <row r="379" spans="1:9" x14ac:dyDescent="0.3">
      <c r="A379" t="s">
        <v>782</v>
      </c>
      <c r="B379" s="43">
        <v>143.97999999999999</v>
      </c>
      <c r="C379">
        <v>143.9751</v>
      </c>
      <c r="D379">
        <v>159.69999999999999</v>
      </c>
      <c r="E379">
        <v>159.70151608800759</v>
      </c>
      <c r="F379">
        <v>889.69</v>
      </c>
      <c r="G379">
        <v>889.69413044999988</v>
      </c>
      <c r="H379">
        <v>12032</v>
      </c>
      <c r="I379">
        <v>12031.999107</v>
      </c>
    </row>
    <row r="380" spans="1:9" x14ac:dyDescent="0.3">
      <c r="A380" t="s">
        <v>784</v>
      </c>
      <c r="B380" s="43">
        <v>120.2</v>
      </c>
      <c r="C380">
        <v>120.19670000000001</v>
      </c>
      <c r="D380">
        <v>133.33000000000001</v>
      </c>
      <c r="E380">
        <v>133.32579882754325</v>
      </c>
      <c r="F380">
        <v>742.76</v>
      </c>
      <c r="G380">
        <v>742.75550764999991</v>
      </c>
      <c r="H380">
        <v>10044.84</v>
      </c>
      <c r="I380">
        <v>10044.838218999999</v>
      </c>
    </row>
    <row r="381" spans="1:9" x14ac:dyDescent="0.3">
      <c r="A381" t="s">
        <v>783</v>
      </c>
      <c r="B381" s="43">
        <v>207.41</v>
      </c>
      <c r="C381">
        <v>207.41300000000001</v>
      </c>
      <c r="D381">
        <v>230.07</v>
      </c>
      <c r="E381">
        <v>230.06874491743307</v>
      </c>
      <c r="F381">
        <v>1281.71</v>
      </c>
      <c r="G381">
        <v>1281.7086335000001</v>
      </c>
      <c r="H381">
        <v>17333.5</v>
      </c>
      <c r="I381">
        <v>17333.504409999998</v>
      </c>
    </row>
    <row r="382" spans="1:9" x14ac:dyDescent="0.3">
      <c r="A382" t="s">
        <v>785</v>
      </c>
      <c r="B382" s="43">
        <v>309.08999999999997</v>
      </c>
      <c r="C382">
        <v>309.0856</v>
      </c>
      <c r="D382">
        <v>342.85</v>
      </c>
      <c r="E382">
        <v>342.84705425432225</v>
      </c>
      <c r="F382">
        <v>1909.99</v>
      </c>
      <c r="G382">
        <v>1909.9944652000001</v>
      </c>
      <c r="H382">
        <v>25830.28</v>
      </c>
      <c r="I382">
        <v>25830.283592</v>
      </c>
    </row>
    <row r="383" spans="1:9" x14ac:dyDescent="0.3">
      <c r="A383" t="s">
        <v>789</v>
      </c>
      <c r="B383" s="43">
        <v>309.08999999999997</v>
      </c>
      <c r="C383">
        <v>309.0856</v>
      </c>
      <c r="D383">
        <v>342.85</v>
      </c>
      <c r="E383">
        <v>342.84705425432225</v>
      </c>
      <c r="F383">
        <v>1909.99</v>
      </c>
      <c r="G383">
        <v>1909.9944652000001</v>
      </c>
      <c r="H383">
        <v>25830.28</v>
      </c>
      <c r="I383">
        <v>25830.283592</v>
      </c>
    </row>
    <row r="384" spans="1:9" x14ac:dyDescent="0.3">
      <c r="A384" t="s">
        <v>787</v>
      </c>
      <c r="B384" s="43">
        <v>309.08999999999997</v>
      </c>
      <c r="C384">
        <v>309.0856</v>
      </c>
      <c r="D384">
        <v>342.85</v>
      </c>
      <c r="E384">
        <v>342.84705425432225</v>
      </c>
      <c r="F384">
        <v>1909.99</v>
      </c>
      <c r="G384">
        <v>1909.9944652000001</v>
      </c>
      <c r="H384">
        <v>25830.28</v>
      </c>
      <c r="I384">
        <v>25830.283592</v>
      </c>
    </row>
    <row r="385" spans="1:9" x14ac:dyDescent="0.3">
      <c r="A385" t="s">
        <v>788</v>
      </c>
      <c r="B385" s="43">
        <v>309.08999999999997</v>
      </c>
      <c r="C385">
        <v>309.0856</v>
      </c>
      <c r="D385">
        <v>342.85</v>
      </c>
      <c r="E385">
        <v>342.84705425432225</v>
      </c>
      <c r="F385">
        <v>1909.99</v>
      </c>
      <c r="G385">
        <v>1909.9944652000001</v>
      </c>
      <c r="H385">
        <v>25830.28</v>
      </c>
      <c r="I385">
        <v>25830.283592</v>
      </c>
    </row>
    <row r="386" spans="1:9" x14ac:dyDescent="0.3">
      <c r="A386" t="s">
        <v>786</v>
      </c>
      <c r="B386" s="43">
        <v>277.39</v>
      </c>
      <c r="C386">
        <v>277.38639999999998</v>
      </c>
      <c r="D386">
        <v>307.69</v>
      </c>
      <c r="E386">
        <v>307.68534713429267</v>
      </c>
      <c r="F386">
        <v>1714.11</v>
      </c>
      <c r="G386">
        <v>1714.1092588000001</v>
      </c>
      <c r="H386">
        <v>23181.18</v>
      </c>
      <c r="I386">
        <v>23181.181447999996</v>
      </c>
    </row>
    <row r="387" spans="1:9" x14ac:dyDescent="0.3">
      <c r="A387" t="s">
        <v>790</v>
      </c>
      <c r="B387" s="43">
        <v>364.55</v>
      </c>
      <c r="C387">
        <v>364.54820000000001</v>
      </c>
      <c r="D387">
        <v>404.37</v>
      </c>
      <c r="E387">
        <v>404.36784018315802</v>
      </c>
      <c r="F387">
        <v>2252.73</v>
      </c>
      <c r="G387">
        <v>2252.7256018999997</v>
      </c>
      <c r="H387">
        <v>30465.29</v>
      </c>
      <c r="I387">
        <v>30465.293073999997</v>
      </c>
    </row>
    <row r="388" spans="1:9" x14ac:dyDescent="0.3">
      <c r="A388" t="s">
        <v>792</v>
      </c>
      <c r="B388" s="43">
        <v>103.01</v>
      </c>
      <c r="C388">
        <v>103.00960000000001</v>
      </c>
      <c r="D388">
        <v>114.26</v>
      </c>
      <c r="E388">
        <v>114.2613499946812</v>
      </c>
      <c r="F388">
        <v>636.54999999999995</v>
      </c>
      <c r="G388">
        <v>636.54782319999993</v>
      </c>
      <c r="H388">
        <v>8608.51</v>
      </c>
      <c r="I388">
        <v>8608.5122719999999</v>
      </c>
    </row>
    <row r="389" spans="1:9" x14ac:dyDescent="0.3">
      <c r="A389" t="s">
        <v>794</v>
      </c>
      <c r="B389" s="43">
        <v>103.01</v>
      </c>
      <c r="C389">
        <v>103.00960000000001</v>
      </c>
      <c r="D389">
        <v>114.26</v>
      </c>
      <c r="E389">
        <v>114.2613499946812</v>
      </c>
      <c r="F389">
        <v>636.54999999999995</v>
      </c>
      <c r="G389">
        <v>636.54782319999993</v>
      </c>
      <c r="H389">
        <v>8608.51</v>
      </c>
      <c r="I389">
        <v>8608.5122719999999</v>
      </c>
    </row>
    <row r="390" spans="1:9" x14ac:dyDescent="0.3">
      <c r="A390" t="s">
        <v>793</v>
      </c>
      <c r="B390" s="43">
        <v>103.01</v>
      </c>
      <c r="C390">
        <v>103.00960000000001</v>
      </c>
      <c r="D390">
        <v>114.26</v>
      </c>
      <c r="E390">
        <v>114.2613499946812</v>
      </c>
      <c r="F390">
        <v>636.54999999999995</v>
      </c>
      <c r="G390">
        <v>636.54782319999993</v>
      </c>
      <c r="H390">
        <v>8608.51</v>
      </c>
      <c r="I390">
        <v>8608.5122719999999</v>
      </c>
    </row>
    <row r="391" spans="1:9" x14ac:dyDescent="0.3">
      <c r="A391" t="s">
        <v>798</v>
      </c>
      <c r="B391" s="43">
        <v>134.72999999999999</v>
      </c>
      <c r="C391">
        <v>134.72920000000002</v>
      </c>
      <c r="D391">
        <v>149.44999999999999</v>
      </c>
      <c r="E391">
        <v>149.4456854089658</v>
      </c>
      <c r="F391">
        <v>832.56</v>
      </c>
      <c r="G391">
        <v>832.55909139999994</v>
      </c>
      <c r="H391">
        <v>11259.32</v>
      </c>
      <c r="I391">
        <v>11259.319244</v>
      </c>
    </row>
    <row r="392" spans="1:9" x14ac:dyDescent="0.3">
      <c r="A392" t="s">
        <v>796</v>
      </c>
      <c r="B392" s="43">
        <v>134.72999999999999</v>
      </c>
      <c r="C392">
        <v>134.72920000000002</v>
      </c>
      <c r="D392">
        <v>149.44999999999999</v>
      </c>
      <c r="E392">
        <v>149.4456854089658</v>
      </c>
      <c r="F392">
        <v>832.56</v>
      </c>
      <c r="G392">
        <v>832.55909139999994</v>
      </c>
      <c r="H392">
        <v>11259.32</v>
      </c>
      <c r="I392">
        <v>11259.319244</v>
      </c>
    </row>
    <row r="393" spans="1:9" x14ac:dyDescent="0.3">
      <c r="A393" t="s">
        <v>797</v>
      </c>
      <c r="B393" s="43">
        <v>166.45</v>
      </c>
      <c r="C393">
        <v>166.44880000000001</v>
      </c>
      <c r="D393">
        <v>184.63</v>
      </c>
      <c r="E393">
        <v>184.63002082325036</v>
      </c>
      <c r="F393">
        <v>1028.57</v>
      </c>
      <c r="G393">
        <v>1028.5703596000001</v>
      </c>
      <c r="H393">
        <v>13910.13</v>
      </c>
      <c r="I393">
        <v>13910.126215999999</v>
      </c>
    </row>
    <row r="394" spans="1:9" x14ac:dyDescent="0.3">
      <c r="A394" t="s">
        <v>799</v>
      </c>
      <c r="B394" s="43">
        <v>134.72999999999999</v>
      </c>
      <c r="C394">
        <v>134.72920000000002</v>
      </c>
      <c r="D394">
        <v>149.44999999999999</v>
      </c>
      <c r="E394">
        <v>149.4456854089658</v>
      </c>
      <c r="F394">
        <v>832.56</v>
      </c>
      <c r="G394">
        <v>832.55909139999994</v>
      </c>
      <c r="H394">
        <v>11259.32</v>
      </c>
      <c r="I394">
        <v>11259.319244</v>
      </c>
    </row>
    <row r="395" spans="1:9" x14ac:dyDescent="0.3">
      <c r="A395" t="s">
        <v>802</v>
      </c>
      <c r="B395" s="43">
        <v>134.72999999999999</v>
      </c>
      <c r="C395">
        <v>134.72920000000002</v>
      </c>
      <c r="D395">
        <v>149.44999999999999</v>
      </c>
      <c r="E395">
        <v>149.4456854089658</v>
      </c>
      <c r="F395">
        <v>832.56</v>
      </c>
      <c r="G395">
        <v>832.55909139999994</v>
      </c>
      <c r="H395">
        <v>11259.32</v>
      </c>
      <c r="I395">
        <v>11259.319244</v>
      </c>
    </row>
    <row r="396" spans="1:9" x14ac:dyDescent="0.3">
      <c r="A396" t="s">
        <v>800</v>
      </c>
      <c r="B396" s="43">
        <v>166.45</v>
      </c>
      <c r="C396">
        <v>166.44880000000001</v>
      </c>
      <c r="D396">
        <v>184.63</v>
      </c>
      <c r="E396">
        <v>184.63002082325036</v>
      </c>
      <c r="F396">
        <v>1028.57</v>
      </c>
      <c r="G396">
        <v>1028.5703596000001</v>
      </c>
      <c r="H396">
        <v>13910.13</v>
      </c>
      <c r="I396">
        <v>13910.126215999999</v>
      </c>
    </row>
    <row r="397" spans="1:9" x14ac:dyDescent="0.3">
      <c r="A397" t="s">
        <v>801</v>
      </c>
      <c r="B397" s="43">
        <v>166.45</v>
      </c>
      <c r="C397">
        <v>166.44880000000001</v>
      </c>
      <c r="D397">
        <v>184.63</v>
      </c>
      <c r="E397">
        <v>184.63002082325036</v>
      </c>
      <c r="F397">
        <v>1028.57</v>
      </c>
      <c r="G397">
        <v>1028.5703596000001</v>
      </c>
      <c r="H397">
        <v>13910.13</v>
      </c>
      <c r="I397">
        <v>13910.126215999999</v>
      </c>
    </row>
    <row r="398" spans="1:9" x14ac:dyDescent="0.3">
      <c r="A398" t="s">
        <v>803</v>
      </c>
      <c r="B398" s="43">
        <v>134.72999999999999</v>
      </c>
      <c r="C398">
        <v>134.72920000000002</v>
      </c>
      <c r="D398">
        <v>149.44999999999999</v>
      </c>
      <c r="E398">
        <v>149.4456854089658</v>
      </c>
      <c r="F398">
        <v>832.56</v>
      </c>
      <c r="G398">
        <v>832.55909139999994</v>
      </c>
      <c r="H398">
        <v>11259.32</v>
      </c>
      <c r="I398">
        <v>11259.319244</v>
      </c>
    </row>
    <row r="399" spans="1:9" x14ac:dyDescent="0.3">
      <c r="A399" t="s">
        <v>804</v>
      </c>
      <c r="B399" s="43">
        <v>166.45</v>
      </c>
      <c r="C399">
        <v>166.44880000000001</v>
      </c>
      <c r="D399">
        <v>184.63</v>
      </c>
      <c r="E399">
        <v>184.63002082325036</v>
      </c>
      <c r="F399">
        <v>1028.57</v>
      </c>
      <c r="G399">
        <v>1028.5703596000001</v>
      </c>
      <c r="H399">
        <v>13910.13</v>
      </c>
      <c r="I399">
        <v>13910.126215999999</v>
      </c>
    </row>
    <row r="400" spans="1:9" x14ac:dyDescent="0.3">
      <c r="A400" t="s">
        <v>805</v>
      </c>
      <c r="B400" s="43">
        <v>134.72999999999999</v>
      </c>
      <c r="C400">
        <v>134.72920000000002</v>
      </c>
      <c r="D400">
        <v>149.44999999999999</v>
      </c>
      <c r="E400">
        <v>149.4456854089658</v>
      </c>
      <c r="F400">
        <v>832.56</v>
      </c>
      <c r="G400">
        <v>832.55909139999994</v>
      </c>
      <c r="H400">
        <v>11259.32</v>
      </c>
      <c r="I400">
        <v>11259.319244</v>
      </c>
    </row>
    <row r="401" spans="1:9" x14ac:dyDescent="0.3">
      <c r="A401" t="s">
        <v>806</v>
      </c>
      <c r="B401" s="43">
        <v>134.72999999999999</v>
      </c>
      <c r="C401">
        <v>134.72920000000002</v>
      </c>
      <c r="D401">
        <v>149.44999999999999</v>
      </c>
      <c r="E401">
        <v>149.4456854089658</v>
      </c>
      <c r="F401">
        <v>832.56</v>
      </c>
      <c r="G401">
        <v>832.55909139999994</v>
      </c>
      <c r="H401">
        <v>11259.32</v>
      </c>
      <c r="I401">
        <v>11259.319244</v>
      </c>
    </row>
    <row r="402" spans="1:9" x14ac:dyDescent="0.3">
      <c r="A402" t="s">
        <v>808</v>
      </c>
      <c r="B402" s="43">
        <v>166.45</v>
      </c>
      <c r="C402">
        <v>166.44880000000001</v>
      </c>
      <c r="D402">
        <v>184.63</v>
      </c>
      <c r="E402">
        <v>184.63002082325036</v>
      </c>
      <c r="F402">
        <v>1028.57</v>
      </c>
      <c r="G402">
        <v>1028.5703596000001</v>
      </c>
      <c r="H402">
        <v>13910.13</v>
      </c>
      <c r="I402">
        <v>13910.126215999999</v>
      </c>
    </row>
    <row r="403" spans="1:9" x14ac:dyDescent="0.3">
      <c r="A403" t="s">
        <v>809</v>
      </c>
      <c r="B403" s="43">
        <v>166.45</v>
      </c>
      <c r="C403">
        <v>166.44880000000001</v>
      </c>
      <c r="D403">
        <v>184.63</v>
      </c>
      <c r="E403">
        <v>184.63002082325036</v>
      </c>
      <c r="F403">
        <v>1028.57</v>
      </c>
      <c r="G403">
        <v>1028.5703596000001</v>
      </c>
      <c r="H403">
        <v>13910.13</v>
      </c>
      <c r="I403">
        <v>13910.126215999999</v>
      </c>
    </row>
    <row r="404" spans="1:9" x14ac:dyDescent="0.3">
      <c r="A404" t="s">
        <v>807</v>
      </c>
      <c r="B404" s="43">
        <v>134.72999999999999</v>
      </c>
      <c r="C404">
        <v>134.72920000000002</v>
      </c>
      <c r="D404">
        <v>149.44999999999999</v>
      </c>
      <c r="E404">
        <v>149.4456854089658</v>
      </c>
      <c r="F404">
        <v>832.56</v>
      </c>
      <c r="G404">
        <v>832.55909139999994</v>
      </c>
      <c r="H404">
        <v>11259.32</v>
      </c>
      <c r="I404">
        <v>11259.319244</v>
      </c>
    </row>
    <row r="405" spans="1:9" x14ac:dyDescent="0.3">
      <c r="A405" t="s">
        <v>811</v>
      </c>
      <c r="B405" s="43">
        <v>166.45</v>
      </c>
      <c r="C405">
        <v>166.44880000000001</v>
      </c>
      <c r="D405">
        <v>184.63</v>
      </c>
      <c r="E405">
        <v>184.63002082325036</v>
      </c>
      <c r="F405">
        <v>1028.57</v>
      </c>
      <c r="G405">
        <v>1028.5703596000001</v>
      </c>
      <c r="H405">
        <v>13910.13</v>
      </c>
      <c r="I405">
        <v>13910.126215999999</v>
      </c>
    </row>
    <row r="406" spans="1:9" x14ac:dyDescent="0.3">
      <c r="A406" t="s">
        <v>810</v>
      </c>
      <c r="B406" s="43">
        <v>134.72999999999999</v>
      </c>
      <c r="C406">
        <v>134.72920000000002</v>
      </c>
      <c r="D406">
        <v>149.44999999999999</v>
      </c>
      <c r="E406">
        <v>149.4456854089658</v>
      </c>
      <c r="F406">
        <v>832.56</v>
      </c>
      <c r="G406">
        <v>832.55909139999994</v>
      </c>
      <c r="H406">
        <v>11259.32</v>
      </c>
      <c r="I406">
        <v>11259.319244</v>
      </c>
    </row>
    <row r="407" spans="1:9" x14ac:dyDescent="0.3">
      <c r="A407" t="s">
        <v>813</v>
      </c>
      <c r="B407" s="43">
        <v>166.45</v>
      </c>
      <c r="C407">
        <v>166.44880000000001</v>
      </c>
      <c r="D407">
        <v>184.63</v>
      </c>
      <c r="E407">
        <v>184.63002082325036</v>
      </c>
      <c r="F407">
        <v>1028.57</v>
      </c>
      <c r="G407">
        <v>1028.5703596000001</v>
      </c>
      <c r="H407">
        <v>13910.13</v>
      </c>
      <c r="I407">
        <v>13910.126215999999</v>
      </c>
    </row>
    <row r="408" spans="1:9" x14ac:dyDescent="0.3">
      <c r="A408" t="s">
        <v>812</v>
      </c>
      <c r="B408" s="43">
        <v>182.3</v>
      </c>
      <c r="C408">
        <v>182.29740000000001</v>
      </c>
      <c r="D408">
        <v>202.21</v>
      </c>
      <c r="E408">
        <v>202.20970980257209</v>
      </c>
      <c r="F408">
        <v>1126.51</v>
      </c>
      <c r="G408">
        <v>1126.50647494295</v>
      </c>
      <c r="H408">
        <v>15234.59</v>
      </c>
      <c r="I408">
        <v>15234.589547856998</v>
      </c>
    </row>
    <row r="409" spans="1:9" x14ac:dyDescent="0.3">
      <c r="A409" t="s">
        <v>814</v>
      </c>
      <c r="B409" s="43">
        <v>198.17</v>
      </c>
      <c r="C409">
        <v>198.16720000000001</v>
      </c>
      <c r="D409">
        <v>219.81</v>
      </c>
      <c r="E409">
        <v>219.81302516140232</v>
      </c>
      <c r="F409">
        <v>1224.57</v>
      </c>
      <c r="G409">
        <v>1224.5742124000001</v>
      </c>
      <c r="H409">
        <v>16560.830000000002</v>
      </c>
      <c r="I409">
        <v>16560.832903999999</v>
      </c>
    </row>
    <row r="410" spans="1:9" x14ac:dyDescent="0.3">
      <c r="A410" t="s">
        <v>816</v>
      </c>
      <c r="B410" s="43">
        <v>166.45</v>
      </c>
      <c r="C410">
        <v>166.44880000000001</v>
      </c>
      <c r="D410">
        <v>184.63</v>
      </c>
      <c r="E410">
        <v>184.63002082325036</v>
      </c>
      <c r="F410">
        <v>1028.57</v>
      </c>
      <c r="G410">
        <v>1028.5703596000001</v>
      </c>
      <c r="H410">
        <v>13910.13</v>
      </c>
      <c r="I410">
        <v>13910.126215999999</v>
      </c>
    </row>
    <row r="411" spans="1:9" x14ac:dyDescent="0.3">
      <c r="A411" t="s">
        <v>815</v>
      </c>
      <c r="B411" s="43">
        <v>166.45</v>
      </c>
      <c r="C411">
        <v>166.44880000000001</v>
      </c>
      <c r="D411">
        <v>184.63</v>
      </c>
      <c r="E411">
        <v>184.63002082325036</v>
      </c>
      <c r="F411">
        <v>1028.57</v>
      </c>
      <c r="G411">
        <v>1028.5703596000001</v>
      </c>
      <c r="H411">
        <v>13910.13</v>
      </c>
      <c r="I411">
        <v>13910.126215999999</v>
      </c>
    </row>
    <row r="412" spans="1:9" x14ac:dyDescent="0.3">
      <c r="A412" t="s">
        <v>818</v>
      </c>
      <c r="B412" s="43">
        <v>166.45</v>
      </c>
      <c r="C412">
        <v>166.44880000000001</v>
      </c>
      <c r="D412">
        <v>184.63</v>
      </c>
      <c r="E412">
        <v>184.63002082325036</v>
      </c>
      <c r="F412">
        <v>1028.57</v>
      </c>
      <c r="G412">
        <v>1028.5703596000001</v>
      </c>
      <c r="H412">
        <v>13910.13</v>
      </c>
      <c r="I412">
        <v>13910.126215999999</v>
      </c>
    </row>
    <row r="413" spans="1:9" x14ac:dyDescent="0.3">
      <c r="A413" t="s">
        <v>820</v>
      </c>
      <c r="B413" s="43">
        <v>166.45</v>
      </c>
      <c r="C413">
        <v>166.44880000000001</v>
      </c>
      <c r="D413">
        <v>184.63</v>
      </c>
      <c r="E413">
        <v>184.63002082325036</v>
      </c>
      <c r="F413">
        <v>1028.57</v>
      </c>
      <c r="G413">
        <v>1028.5703596000001</v>
      </c>
      <c r="H413">
        <v>13910.13</v>
      </c>
      <c r="I413">
        <v>13910.126215999999</v>
      </c>
    </row>
    <row r="414" spans="1:9" x14ac:dyDescent="0.3">
      <c r="A414" t="s">
        <v>817</v>
      </c>
      <c r="B414" s="43">
        <v>166.45</v>
      </c>
      <c r="C414">
        <v>166.44880000000001</v>
      </c>
      <c r="D414">
        <v>184.63</v>
      </c>
      <c r="E414">
        <v>184.63002082325036</v>
      </c>
      <c r="F414">
        <v>1028.57</v>
      </c>
      <c r="G414">
        <v>1028.5703596000001</v>
      </c>
      <c r="H414">
        <v>13910.13</v>
      </c>
      <c r="I414">
        <v>13910.126215999999</v>
      </c>
    </row>
    <row r="415" spans="1:9" x14ac:dyDescent="0.3">
      <c r="A415" t="s">
        <v>821</v>
      </c>
      <c r="B415" s="43">
        <v>198.17</v>
      </c>
      <c r="C415">
        <v>198.16720000000001</v>
      </c>
      <c r="D415">
        <v>219.81</v>
      </c>
      <c r="E415">
        <v>219.81302516140232</v>
      </c>
      <c r="F415">
        <v>1224.57</v>
      </c>
      <c r="G415">
        <v>1224.5742124000001</v>
      </c>
      <c r="H415">
        <v>16560.830000000002</v>
      </c>
      <c r="I415">
        <v>16560.832903999999</v>
      </c>
    </row>
    <row r="416" spans="1:9" x14ac:dyDescent="0.3">
      <c r="A416" t="s">
        <v>819</v>
      </c>
      <c r="B416" s="43">
        <v>166.45</v>
      </c>
      <c r="C416">
        <v>166.44880000000001</v>
      </c>
      <c r="D416">
        <v>184.63</v>
      </c>
      <c r="E416">
        <v>184.63002082325036</v>
      </c>
      <c r="F416">
        <v>1028.57</v>
      </c>
      <c r="G416">
        <v>1028.5703596000001</v>
      </c>
      <c r="H416">
        <v>13910.13</v>
      </c>
      <c r="I416">
        <v>13910.126215999999</v>
      </c>
    </row>
    <row r="417" spans="1:9" x14ac:dyDescent="0.3">
      <c r="A417" t="s">
        <v>823</v>
      </c>
      <c r="B417" s="43">
        <v>261.56</v>
      </c>
      <c r="C417">
        <v>261.5616</v>
      </c>
      <c r="D417">
        <v>290.13</v>
      </c>
      <c r="E417">
        <v>290.13178107868924</v>
      </c>
      <c r="F417">
        <v>1616.32</v>
      </c>
      <c r="G417">
        <v>1616.3186737718001</v>
      </c>
      <c r="H417">
        <v>21858.69</v>
      </c>
      <c r="I417">
        <v>21858.686231427997</v>
      </c>
    </row>
    <row r="418" spans="1:9" x14ac:dyDescent="0.3">
      <c r="A418" t="s">
        <v>822</v>
      </c>
      <c r="B418" s="43">
        <v>166.45</v>
      </c>
      <c r="C418">
        <v>166.44880000000001</v>
      </c>
      <c r="D418">
        <v>184.63</v>
      </c>
      <c r="E418">
        <v>184.63002082325036</v>
      </c>
      <c r="F418">
        <v>1028.57</v>
      </c>
      <c r="G418">
        <v>1028.5703596000001</v>
      </c>
      <c r="H418">
        <v>13910.13</v>
      </c>
      <c r="I418">
        <v>13910.126215999999</v>
      </c>
    </row>
    <row r="419" spans="1:9" x14ac:dyDescent="0.3">
      <c r="A419" t="s">
        <v>825</v>
      </c>
      <c r="B419" s="43">
        <v>198.17</v>
      </c>
      <c r="C419">
        <v>198.16720000000001</v>
      </c>
      <c r="D419">
        <v>219.81</v>
      </c>
      <c r="E419">
        <v>219.81302516140232</v>
      </c>
      <c r="F419">
        <v>1224.57</v>
      </c>
      <c r="G419">
        <v>1224.5742124000001</v>
      </c>
      <c r="H419">
        <v>16560.830000000002</v>
      </c>
      <c r="I419">
        <v>16560.832903999999</v>
      </c>
    </row>
    <row r="420" spans="1:9" x14ac:dyDescent="0.3">
      <c r="A420" t="s">
        <v>964</v>
      </c>
      <c r="B420" s="43">
        <v>388.32</v>
      </c>
      <c r="C420">
        <v>388.31999999999994</v>
      </c>
      <c r="D420">
        <v>430.74</v>
      </c>
      <c r="E420">
        <v>430.73568301906766</v>
      </c>
      <c r="F420">
        <v>2399.62</v>
      </c>
      <c r="G420">
        <v>2399.6203564294997</v>
      </c>
      <c r="H420">
        <v>32451.86</v>
      </c>
      <c r="I420">
        <v>32451.860698569995</v>
      </c>
    </row>
    <row r="421" spans="1:9" x14ac:dyDescent="0.3">
      <c r="A421" t="s">
        <v>828</v>
      </c>
      <c r="B421" s="43">
        <v>229.83</v>
      </c>
      <c r="C421">
        <v>229.83399999999997</v>
      </c>
      <c r="D421">
        <v>254.94</v>
      </c>
      <c r="E421">
        <v>254.93879322585036</v>
      </c>
      <c r="F421">
        <v>1420.26</v>
      </c>
      <c r="G421">
        <v>1420.2592029999998</v>
      </c>
      <c r="H421">
        <v>19207.23</v>
      </c>
      <c r="I421">
        <v>19207.227379999997</v>
      </c>
    </row>
    <row r="422" spans="1:9" x14ac:dyDescent="0.3">
      <c r="A422" t="s">
        <v>826</v>
      </c>
      <c r="B422" s="43">
        <v>229.83</v>
      </c>
      <c r="C422">
        <v>229.83399999999997</v>
      </c>
      <c r="D422">
        <v>254.94</v>
      </c>
      <c r="E422">
        <v>254.93879322585036</v>
      </c>
      <c r="F422">
        <v>1420.26</v>
      </c>
      <c r="G422">
        <v>1420.2592029999998</v>
      </c>
      <c r="H422">
        <v>19207.23</v>
      </c>
      <c r="I422">
        <v>19207.227379999997</v>
      </c>
    </row>
    <row r="423" spans="1:9" x14ac:dyDescent="0.3">
      <c r="A423" t="s">
        <v>827</v>
      </c>
      <c r="B423" s="43">
        <v>198.17</v>
      </c>
      <c r="C423">
        <v>198.16720000000001</v>
      </c>
      <c r="D423">
        <v>219.81</v>
      </c>
      <c r="E423">
        <v>219.81302516140232</v>
      </c>
      <c r="F423">
        <v>1224.57</v>
      </c>
      <c r="G423">
        <v>1224.5742124000001</v>
      </c>
      <c r="H423">
        <v>16560.830000000002</v>
      </c>
      <c r="I423">
        <v>16560.832903999999</v>
      </c>
    </row>
    <row r="424" spans="1:9" x14ac:dyDescent="0.3">
      <c r="A424" t="s">
        <v>830</v>
      </c>
      <c r="B424" s="43">
        <v>198.17</v>
      </c>
      <c r="C424">
        <v>198.16720000000001</v>
      </c>
      <c r="D424">
        <v>219.81</v>
      </c>
      <c r="E424">
        <v>219.81302516140232</v>
      </c>
      <c r="F424">
        <v>1224.57</v>
      </c>
      <c r="G424">
        <v>1224.5742124000001</v>
      </c>
      <c r="H424">
        <v>16560.830000000002</v>
      </c>
      <c r="I424">
        <v>16560.832903999999</v>
      </c>
    </row>
    <row r="425" spans="1:9" x14ac:dyDescent="0.3">
      <c r="A425" t="s">
        <v>831</v>
      </c>
      <c r="B425" s="43">
        <v>198.17</v>
      </c>
      <c r="C425">
        <v>198.16720000000001</v>
      </c>
      <c r="D425">
        <v>219.81</v>
      </c>
      <c r="E425">
        <v>219.81302516140232</v>
      </c>
      <c r="F425">
        <v>1224.57</v>
      </c>
      <c r="G425">
        <v>1224.5742124000001</v>
      </c>
      <c r="H425">
        <v>16560.830000000002</v>
      </c>
      <c r="I425">
        <v>16560.832903999999</v>
      </c>
    </row>
    <row r="426" spans="1:9" x14ac:dyDescent="0.3">
      <c r="A426" t="s">
        <v>833</v>
      </c>
      <c r="B426" s="43">
        <v>198.17</v>
      </c>
      <c r="C426">
        <v>198.16720000000001</v>
      </c>
      <c r="D426">
        <v>219.81</v>
      </c>
      <c r="E426">
        <v>219.81302516140232</v>
      </c>
      <c r="F426">
        <v>1224.57</v>
      </c>
      <c r="G426">
        <v>1224.5742124000001</v>
      </c>
      <c r="H426">
        <v>16560.830000000002</v>
      </c>
      <c r="I426">
        <v>16560.832903999999</v>
      </c>
    </row>
    <row r="427" spans="1:9" x14ac:dyDescent="0.3">
      <c r="A427" t="s">
        <v>832</v>
      </c>
      <c r="B427" s="43">
        <v>229.83</v>
      </c>
      <c r="C427">
        <v>229.83399999999997</v>
      </c>
      <c r="D427">
        <v>254.94</v>
      </c>
      <c r="E427">
        <v>254.93879322585036</v>
      </c>
      <c r="F427">
        <v>1420.26</v>
      </c>
      <c r="G427">
        <v>1420.2592029999998</v>
      </c>
      <c r="H427">
        <v>19207.23</v>
      </c>
      <c r="I427">
        <v>19207.227379999997</v>
      </c>
    </row>
    <row r="428" spans="1:9" x14ac:dyDescent="0.3">
      <c r="A428" t="s">
        <v>829</v>
      </c>
      <c r="B428" s="43">
        <v>198.17</v>
      </c>
      <c r="C428">
        <v>198.16720000000001</v>
      </c>
      <c r="D428">
        <v>219.81</v>
      </c>
      <c r="E428">
        <v>219.81302516140232</v>
      </c>
      <c r="F428">
        <v>1224.57</v>
      </c>
      <c r="G428">
        <v>1224.5742124000001</v>
      </c>
      <c r="H428">
        <v>16560.830000000002</v>
      </c>
      <c r="I428">
        <v>16560.832903999999</v>
      </c>
    </row>
    <row r="429" spans="1:9" x14ac:dyDescent="0.3">
      <c r="A429" t="s">
        <v>835</v>
      </c>
      <c r="B429" s="43">
        <v>198.17</v>
      </c>
      <c r="C429">
        <v>198.16720000000001</v>
      </c>
      <c r="D429">
        <v>219.81</v>
      </c>
      <c r="E429">
        <v>219.81302516140232</v>
      </c>
      <c r="F429">
        <v>1224.57</v>
      </c>
      <c r="G429">
        <v>1224.5742124000001</v>
      </c>
      <c r="H429">
        <v>16560.830000000002</v>
      </c>
      <c r="I429">
        <v>16560.832903999999</v>
      </c>
    </row>
    <row r="430" spans="1:9" x14ac:dyDescent="0.3">
      <c r="A430" t="s">
        <v>834</v>
      </c>
      <c r="B430" s="43">
        <v>229.83</v>
      </c>
      <c r="C430">
        <v>229.83399999999997</v>
      </c>
      <c r="D430">
        <v>254.94</v>
      </c>
      <c r="E430">
        <v>254.93879322585036</v>
      </c>
      <c r="F430">
        <v>1420.26</v>
      </c>
      <c r="G430">
        <v>1420.2592029999998</v>
      </c>
      <c r="H430">
        <v>19207.23</v>
      </c>
      <c r="I430">
        <v>19207.227379999997</v>
      </c>
    </row>
    <row r="431" spans="1:9" x14ac:dyDescent="0.3">
      <c r="A431" t="s">
        <v>838</v>
      </c>
      <c r="B431" s="43">
        <v>198.17</v>
      </c>
      <c r="C431">
        <v>198.16720000000001</v>
      </c>
      <c r="D431">
        <v>219.81</v>
      </c>
      <c r="E431">
        <v>219.81302516140232</v>
      </c>
      <c r="F431">
        <v>1224.57</v>
      </c>
      <c r="G431">
        <v>1224.5742124000001</v>
      </c>
      <c r="H431">
        <v>16560.830000000002</v>
      </c>
      <c r="I431">
        <v>16560.832903999999</v>
      </c>
    </row>
    <row r="432" spans="1:9" x14ac:dyDescent="0.3">
      <c r="A432" t="s">
        <v>836</v>
      </c>
      <c r="B432" s="43">
        <v>198.17</v>
      </c>
      <c r="C432">
        <v>198.16720000000001</v>
      </c>
      <c r="D432">
        <v>219.81</v>
      </c>
      <c r="E432">
        <v>219.81302516140232</v>
      </c>
      <c r="F432">
        <v>1224.57</v>
      </c>
      <c r="G432">
        <v>1224.5742124000001</v>
      </c>
      <c r="H432">
        <v>16560.830000000002</v>
      </c>
      <c r="I432">
        <v>16560.832903999999</v>
      </c>
    </row>
    <row r="433" spans="1:9" x14ac:dyDescent="0.3">
      <c r="A433" t="s">
        <v>837</v>
      </c>
      <c r="B433" s="43">
        <v>198.17</v>
      </c>
      <c r="C433">
        <v>198.16720000000001</v>
      </c>
      <c r="D433">
        <v>219.81</v>
      </c>
      <c r="E433">
        <v>219.81302516140232</v>
      </c>
      <c r="F433">
        <v>1224.57</v>
      </c>
      <c r="G433">
        <v>1224.5742124000001</v>
      </c>
      <c r="H433">
        <v>16560.830000000002</v>
      </c>
      <c r="I433">
        <v>16560.832903999999</v>
      </c>
    </row>
    <row r="434" spans="1:9" x14ac:dyDescent="0.3">
      <c r="A434" t="s">
        <v>839</v>
      </c>
      <c r="B434" s="43">
        <v>198.17</v>
      </c>
      <c r="C434">
        <v>198.16720000000001</v>
      </c>
      <c r="D434">
        <v>219.81</v>
      </c>
      <c r="E434">
        <v>219.81302516140232</v>
      </c>
      <c r="F434">
        <v>1224.57</v>
      </c>
      <c r="G434">
        <v>1224.5742124000001</v>
      </c>
      <c r="H434">
        <v>16560.830000000002</v>
      </c>
      <c r="I434">
        <v>16560.832903999999</v>
      </c>
    </row>
    <row r="435" spans="1:9" x14ac:dyDescent="0.3">
      <c r="A435" t="s">
        <v>841</v>
      </c>
      <c r="B435" s="43">
        <v>229.83</v>
      </c>
      <c r="C435">
        <v>229.83399999999997</v>
      </c>
      <c r="D435">
        <v>254.94</v>
      </c>
      <c r="E435">
        <v>254.93879322585036</v>
      </c>
      <c r="F435">
        <v>1420.26</v>
      </c>
      <c r="G435">
        <v>1420.2592029999998</v>
      </c>
      <c r="H435">
        <v>19207.23</v>
      </c>
      <c r="I435">
        <v>19207.227379999997</v>
      </c>
    </row>
    <row r="436" spans="1:9" x14ac:dyDescent="0.3">
      <c r="A436" t="s">
        <v>962</v>
      </c>
      <c r="B436" s="43">
        <v>198.17</v>
      </c>
      <c r="C436">
        <v>198.16720000000001</v>
      </c>
      <c r="D436">
        <v>219.81</v>
      </c>
      <c r="E436">
        <v>219.81302516140232</v>
      </c>
      <c r="F436">
        <v>1224.57</v>
      </c>
      <c r="G436">
        <v>1224.5742124000001</v>
      </c>
      <c r="H436">
        <v>16560.830000000002</v>
      </c>
      <c r="I436">
        <v>16560.832903999999</v>
      </c>
    </row>
    <row r="437" spans="1:9" x14ac:dyDescent="0.3">
      <c r="A437" t="s">
        <v>840</v>
      </c>
      <c r="B437" s="43">
        <v>229.83</v>
      </c>
      <c r="C437">
        <v>229.83399999999997</v>
      </c>
      <c r="D437">
        <v>254.94</v>
      </c>
      <c r="E437">
        <v>254.93879322585036</v>
      </c>
      <c r="F437">
        <v>1420.26</v>
      </c>
      <c r="G437">
        <v>1420.2592029999998</v>
      </c>
      <c r="H437">
        <v>19207.23</v>
      </c>
      <c r="I437">
        <v>19207.227379999997</v>
      </c>
    </row>
    <row r="438" spans="1:9" x14ac:dyDescent="0.3">
      <c r="A438" t="s">
        <v>842</v>
      </c>
      <c r="B438" s="43">
        <v>198.17</v>
      </c>
      <c r="C438">
        <v>198.16720000000001</v>
      </c>
      <c r="D438">
        <v>219.81</v>
      </c>
      <c r="E438">
        <v>219.81302516140232</v>
      </c>
      <c r="F438">
        <v>1224.57</v>
      </c>
      <c r="G438">
        <v>1224.5742124000001</v>
      </c>
      <c r="H438">
        <v>16560.830000000002</v>
      </c>
      <c r="I438">
        <v>16560.832903999999</v>
      </c>
    </row>
    <row r="439" spans="1:9" x14ac:dyDescent="0.3">
      <c r="A439" t="s">
        <v>843</v>
      </c>
      <c r="B439" s="43">
        <v>198.17</v>
      </c>
      <c r="C439">
        <v>198.16720000000001</v>
      </c>
      <c r="D439">
        <v>219.81</v>
      </c>
      <c r="E439">
        <v>219.81302516140232</v>
      </c>
      <c r="F439">
        <v>1224.57</v>
      </c>
      <c r="G439">
        <v>1224.5742124000001</v>
      </c>
      <c r="H439">
        <v>16560.830000000002</v>
      </c>
      <c r="I439">
        <v>16560.832903999999</v>
      </c>
    </row>
    <row r="440" spans="1:9" x14ac:dyDescent="0.3">
      <c r="A440" t="s">
        <v>845</v>
      </c>
      <c r="B440" s="43">
        <v>198.17</v>
      </c>
      <c r="C440">
        <v>198.16720000000001</v>
      </c>
      <c r="D440">
        <v>219.81</v>
      </c>
      <c r="E440">
        <v>219.81302516140232</v>
      </c>
      <c r="F440">
        <v>1224.57</v>
      </c>
      <c r="G440">
        <v>1224.5742124000001</v>
      </c>
      <c r="H440">
        <v>16560.830000000002</v>
      </c>
      <c r="I440">
        <v>16560.832903999999</v>
      </c>
    </row>
    <row r="441" spans="1:9" x14ac:dyDescent="0.3">
      <c r="A441" t="s">
        <v>844</v>
      </c>
      <c r="B441" s="43">
        <v>198.17</v>
      </c>
      <c r="C441">
        <v>198.16720000000001</v>
      </c>
      <c r="D441">
        <v>219.81</v>
      </c>
      <c r="E441">
        <v>219.81302516140232</v>
      </c>
      <c r="F441">
        <v>1224.57</v>
      </c>
      <c r="G441">
        <v>1224.5742124000001</v>
      </c>
      <c r="H441">
        <v>16560.830000000002</v>
      </c>
      <c r="I441">
        <v>16560.832903999999</v>
      </c>
    </row>
    <row r="442" spans="1:9" x14ac:dyDescent="0.3">
      <c r="A442" t="s">
        <v>846</v>
      </c>
      <c r="B442" s="43">
        <v>198.17</v>
      </c>
      <c r="C442">
        <v>198.16720000000001</v>
      </c>
      <c r="D442">
        <v>219.81</v>
      </c>
      <c r="E442">
        <v>219.81302516140232</v>
      </c>
      <c r="F442">
        <v>1224.57</v>
      </c>
      <c r="G442">
        <v>1224.5742124000001</v>
      </c>
      <c r="H442">
        <v>16560.830000000002</v>
      </c>
      <c r="I442">
        <v>16560.832903999999</v>
      </c>
    </row>
    <row r="443" spans="1:9" x14ac:dyDescent="0.3">
      <c r="A443" t="s">
        <v>847</v>
      </c>
      <c r="B443" s="43">
        <v>229.83</v>
      </c>
      <c r="C443">
        <v>229.83399999999997</v>
      </c>
      <c r="D443">
        <v>254.94</v>
      </c>
      <c r="E443">
        <v>254.93879322585036</v>
      </c>
      <c r="F443">
        <v>1420.26</v>
      </c>
      <c r="G443">
        <v>1420.2592029999998</v>
      </c>
      <c r="H443">
        <v>19207.23</v>
      </c>
      <c r="I443">
        <v>19207.227379999997</v>
      </c>
    </row>
    <row r="444" spans="1:9" x14ac:dyDescent="0.3">
      <c r="A444" t="s">
        <v>848</v>
      </c>
      <c r="B444" s="43">
        <v>198.17</v>
      </c>
      <c r="C444">
        <v>198.16720000000001</v>
      </c>
      <c r="D444">
        <v>219.81</v>
      </c>
      <c r="E444">
        <v>219.81302516140232</v>
      </c>
      <c r="F444">
        <v>1224.57</v>
      </c>
      <c r="G444">
        <v>1224.5742124000001</v>
      </c>
      <c r="H444">
        <v>16560.830000000002</v>
      </c>
      <c r="I444">
        <v>16560.832903999999</v>
      </c>
    </row>
    <row r="445" spans="1:9" x14ac:dyDescent="0.3">
      <c r="A445" t="s">
        <v>850</v>
      </c>
      <c r="B445" s="43">
        <v>198.17</v>
      </c>
      <c r="C445">
        <v>198.16720000000001</v>
      </c>
      <c r="D445">
        <v>219.81</v>
      </c>
      <c r="E445">
        <v>219.81302516140232</v>
      </c>
      <c r="F445">
        <v>1224.57</v>
      </c>
      <c r="G445">
        <v>1224.5742124000001</v>
      </c>
      <c r="H445">
        <v>16560.830000000002</v>
      </c>
      <c r="I445">
        <v>16560.832903999999</v>
      </c>
    </row>
    <row r="446" spans="1:9" x14ac:dyDescent="0.3">
      <c r="A446" t="s">
        <v>851</v>
      </c>
      <c r="B446" s="43">
        <v>229.83</v>
      </c>
      <c r="C446">
        <v>229.83399999999997</v>
      </c>
      <c r="D446">
        <v>254.94</v>
      </c>
      <c r="E446">
        <v>254.93879322585036</v>
      </c>
      <c r="F446">
        <v>1420.26</v>
      </c>
      <c r="G446">
        <v>1420.2592029999998</v>
      </c>
      <c r="H446">
        <v>19207.23</v>
      </c>
      <c r="I446">
        <v>19207.227379999997</v>
      </c>
    </row>
    <row r="447" spans="1:9" x14ac:dyDescent="0.3">
      <c r="A447" t="s">
        <v>849</v>
      </c>
      <c r="B447" s="43">
        <v>229.83</v>
      </c>
      <c r="C447">
        <v>229.83399999999997</v>
      </c>
      <c r="D447">
        <v>254.94</v>
      </c>
      <c r="E447">
        <v>254.93879322585036</v>
      </c>
      <c r="F447">
        <v>1420.26</v>
      </c>
      <c r="G447">
        <v>1420.2592029999998</v>
      </c>
      <c r="H447">
        <v>19207.23</v>
      </c>
      <c r="I447">
        <v>19207.227379999997</v>
      </c>
    </row>
    <row r="448" spans="1:9" x14ac:dyDescent="0.3">
      <c r="A448" t="s">
        <v>852</v>
      </c>
      <c r="B448" s="43">
        <v>229.83</v>
      </c>
      <c r="C448">
        <v>229.83399999999997</v>
      </c>
      <c r="D448">
        <v>254.94</v>
      </c>
      <c r="E448">
        <v>254.93879322585036</v>
      </c>
      <c r="F448">
        <v>1420.26</v>
      </c>
      <c r="G448">
        <v>1420.2592029999998</v>
      </c>
      <c r="H448">
        <v>19207.23</v>
      </c>
      <c r="I448">
        <v>19207.227379999997</v>
      </c>
    </row>
    <row r="449" spans="1:9" x14ac:dyDescent="0.3">
      <c r="A449" t="s">
        <v>853</v>
      </c>
      <c r="B449" s="43">
        <v>198.17</v>
      </c>
      <c r="C449">
        <v>198.16720000000001</v>
      </c>
      <c r="D449">
        <v>219.81</v>
      </c>
      <c r="E449">
        <v>219.81302516140232</v>
      </c>
      <c r="F449">
        <v>1224.57</v>
      </c>
      <c r="G449">
        <v>1224.5742124000001</v>
      </c>
      <c r="H449">
        <v>16560.830000000002</v>
      </c>
      <c r="I449">
        <v>16560.832903999999</v>
      </c>
    </row>
    <row r="450" spans="1:9" x14ac:dyDescent="0.3">
      <c r="A450" t="s">
        <v>855</v>
      </c>
      <c r="B450" s="43">
        <v>285.3</v>
      </c>
      <c r="C450">
        <v>285.29660000000001</v>
      </c>
      <c r="D450">
        <v>316.45999999999998</v>
      </c>
      <c r="E450">
        <v>316.45957915468614</v>
      </c>
      <c r="F450">
        <v>1762.99</v>
      </c>
      <c r="G450">
        <v>1762.9903397</v>
      </c>
      <c r="H450">
        <v>23842.240000000002</v>
      </c>
      <c r="I450">
        <v>23842.236861999998</v>
      </c>
    </row>
    <row r="451" spans="1:9" x14ac:dyDescent="0.3">
      <c r="A451" t="s">
        <v>854</v>
      </c>
      <c r="B451" s="43">
        <v>229.83</v>
      </c>
      <c r="C451">
        <v>229.83399999999997</v>
      </c>
      <c r="D451">
        <v>254.94</v>
      </c>
      <c r="E451">
        <v>254.93879322585036</v>
      </c>
      <c r="F451">
        <v>1420.26</v>
      </c>
      <c r="G451">
        <v>1420.2592029999998</v>
      </c>
      <c r="H451">
        <v>19207.23</v>
      </c>
      <c r="I451">
        <v>19207.227379999997</v>
      </c>
    </row>
    <row r="452" spans="1:9" x14ac:dyDescent="0.3">
      <c r="A452" t="s">
        <v>857</v>
      </c>
      <c r="B452" s="43">
        <v>285.3</v>
      </c>
      <c r="C452">
        <v>285.29660000000001</v>
      </c>
      <c r="D452">
        <v>316.45999999999998</v>
      </c>
      <c r="E452">
        <v>316.45957915468614</v>
      </c>
      <c r="F452">
        <v>1762.99</v>
      </c>
      <c r="G452">
        <v>1762.9903397</v>
      </c>
      <c r="H452">
        <v>23842.240000000002</v>
      </c>
      <c r="I452">
        <v>23842.236861999998</v>
      </c>
    </row>
    <row r="453" spans="1:9" x14ac:dyDescent="0.3">
      <c r="A453" t="s">
        <v>858</v>
      </c>
      <c r="B453" s="43">
        <v>285.3</v>
      </c>
      <c r="C453">
        <v>285.29660000000001</v>
      </c>
      <c r="D453">
        <v>316.45999999999998</v>
      </c>
      <c r="E453">
        <v>316.45957915468614</v>
      </c>
      <c r="F453">
        <v>1762.99</v>
      </c>
      <c r="G453">
        <v>1762.9903397</v>
      </c>
      <c r="H453">
        <v>23842.240000000002</v>
      </c>
      <c r="I453">
        <v>23842.236861999998</v>
      </c>
    </row>
    <row r="454" spans="1:9" x14ac:dyDescent="0.3">
      <c r="A454" t="s">
        <v>859</v>
      </c>
      <c r="B454" s="43">
        <v>317</v>
      </c>
      <c r="C454">
        <v>316.99580000000003</v>
      </c>
      <c r="D454">
        <v>351.62</v>
      </c>
      <c r="E454">
        <v>351.62128627471577</v>
      </c>
      <c r="F454">
        <v>1958.88</v>
      </c>
      <c r="G454">
        <v>1958.8755461000001</v>
      </c>
      <c r="H454">
        <v>26491.34</v>
      </c>
      <c r="I454">
        <v>26491.339005999998</v>
      </c>
    </row>
    <row r="455" spans="1:9" x14ac:dyDescent="0.3">
      <c r="A455" t="s">
        <v>863</v>
      </c>
      <c r="B455" s="43">
        <v>142.66</v>
      </c>
      <c r="C455">
        <v>142.65639999999999</v>
      </c>
      <c r="D455">
        <v>158.24</v>
      </c>
      <c r="E455">
        <v>158.23877434123847</v>
      </c>
      <c r="F455">
        <v>881.55</v>
      </c>
      <c r="G455">
        <v>881.54522379999992</v>
      </c>
      <c r="H455">
        <v>11921.8</v>
      </c>
      <c r="I455">
        <v>11921.795348</v>
      </c>
    </row>
    <row r="456" spans="1:9" x14ac:dyDescent="0.3">
      <c r="A456" t="s">
        <v>862</v>
      </c>
      <c r="B456" s="43">
        <v>213.98</v>
      </c>
      <c r="C456">
        <v>213.98079999999999</v>
      </c>
      <c r="D456">
        <v>237.35</v>
      </c>
      <c r="E456">
        <v>237.35394643743763</v>
      </c>
      <c r="F456">
        <v>1322.29</v>
      </c>
      <c r="G456">
        <v>1322.2943536</v>
      </c>
      <c r="H456">
        <v>17882.38</v>
      </c>
      <c r="I456">
        <v>17882.375455999998</v>
      </c>
    </row>
    <row r="457" spans="1:9" x14ac:dyDescent="0.3">
      <c r="A457" t="s">
        <v>860</v>
      </c>
      <c r="B457" s="43">
        <v>142.66</v>
      </c>
      <c r="C457">
        <v>142.65639999999999</v>
      </c>
      <c r="D457">
        <v>158.24</v>
      </c>
      <c r="E457">
        <v>158.23877434123847</v>
      </c>
      <c r="F457">
        <v>881.55</v>
      </c>
      <c r="G457">
        <v>881.54522379999992</v>
      </c>
      <c r="H457">
        <v>11921.8</v>
      </c>
      <c r="I457">
        <v>11921.795348</v>
      </c>
    </row>
    <row r="458" spans="1:9" x14ac:dyDescent="0.3">
      <c r="A458" t="s">
        <v>861</v>
      </c>
      <c r="B458" s="43">
        <v>213.98</v>
      </c>
      <c r="C458">
        <v>213.98079999999999</v>
      </c>
      <c r="D458">
        <v>237.35</v>
      </c>
      <c r="E458">
        <v>237.35394643743763</v>
      </c>
      <c r="F458">
        <v>1322.29</v>
      </c>
      <c r="G458">
        <v>1322.2943536</v>
      </c>
      <c r="H458">
        <v>17882.38</v>
      </c>
      <c r="I458">
        <v>17882.375455999998</v>
      </c>
    </row>
    <row r="459" spans="1:9" x14ac:dyDescent="0.3">
      <c r="A459" t="s">
        <v>963</v>
      </c>
      <c r="B459" s="43">
        <v>213.98</v>
      </c>
      <c r="C459">
        <v>213.98079999999999</v>
      </c>
      <c r="D459">
        <v>237.35</v>
      </c>
      <c r="E459">
        <v>237.35394643743763</v>
      </c>
      <c r="F459">
        <v>1322.29</v>
      </c>
      <c r="G459">
        <v>1322.2943536</v>
      </c>
      <c r="H459">
        <v>17882.38</v>
      </c>
      <c r="I459">
        <v>17882.375455999998</v>
      </c>
    </row>
    <row r="460" spans="1:9" x14ac:dyDescent="0.3">
      <c r="A460" t="s">
        <v>865</v>
      </c>
      <c r="B460" s="43">
        <v>213.98</v>
      </c>
      <c r="C460">
        <v>213.98079999999999</v>
      </c>
      <c r="D460">
        <v>237.35</v>
      </c>
      <c r="E460">
        <v>237.35394643743763</v>
      </c>
      <c r="F460">
        <v>1322.29</v>
      </c>
      <c r="G460">
        <v>1322.2943536</v>
      </c>
      <c r="H460">
        <v>17882.38</v>
      </c>
      <c r="I460">
        <v>17882.375455999998</v>
      </c>
    </row>
    <row r="461" spans="1:9" x14ac:dyDescent="0.3">
      <c r="A461" t="s">
        <v>864</v>
      </c>
      <c r="B461" s="43">
        <v>213.98</v>
      </c>
      <c r="C461">
        <v>213.98079999999999</v>
      </c>
      <c r="D461">
        <v>237.35</v>
      </c>
      <c r="E461">
        <v>237.35394643743763</v>
      </c>
      <c r="F461">
        <v>1322.29</v>
      </c>
      <c r="G461">
        <v>1322.2943536</v>
      </c>
      <c r="H461">
        <v>17882.38</v>
      </c>
      <c r="I461">
        <v>17882.375455999998</v>
      </c>
    </row>
    <row r="462" spans="1:9" x14ac:dyDescent="0.3">
      <c r="A462" t="s">
        <v>866</v>
      </c>
      <c r="B462" s="43">
        <v>213.98</v>
      </c>
      <c r="C462">
        <v>213.98079999999999</v>
      </c>
      <c r="D462">
        <v>237.35</v>
      </c>
      <c r="E462">
        <v>237.35394643743763</v>
      </c>
      <c r="F462">
        <v>1322.29</v>
      </c>
      <c r="G462">
        <v>1322.2943536</v>
      </c>
      <c r="H462">
        <v>17882.38</v>
      </c>
      <c r="I462">
        <v>17882.375455999998</v>
      </c>
    </row>
    <row r="463" spans="1:9" x14ac:dyDescent="0.3">
      <c r="A463" t="s">
        <v>867</v>
      </c>
      <c r="B463" s="43">
        <v>364.55</v>
      </c>
      <c r="C463">
        <v>364.54820000000001</v>
      </c>
      <c r="D463">
        <v>404.37</v>
      </c>
      <c r="E463">
        <v>404.36784018315802</v>
      </c>
      <c r="F463">
        <v>2252.73</v>
      </c>
      <c r="G463">
        <v>2252.7256018999997</v>
      </c>
      <c r="H463">
        <v>30465.29</v>
      </c>
      <c r="I463">
        <v>30465.293073999997</v>
      </c>
    </row>
    <row r="464" spans="1:9" x14ac:dyDescent="0.3">
      <c r="A464" t="s">
        <v>869</v>
      </c>
      <c r="B464" s="43">
        <v>97.72</v>
      </c>
      <c r="C464">
        <v>97.722999999999999</v>
      </c>
      <c r="D464">
        <v>108.4</v>
      </c>
      <c r="E464">
        <v>108.39729409230043</v>
      </c>
      <c r="F464">
        <v>603.88</v>
      </c>
      <c r="G464">
        <v>603.87927849999994</v>
      </c>
      <c r="H464">
        <v>8166.71</v>
      </c>
      <c r="I464">
        <v>8166.7111099999993</v>
      </c>
    </row>
    <row r="465" spans="1:9" x14ac:dyDescent="0.3">
      <c r="A465" t="s">
        <v>868</v>
      </c>
      <c r="B465" s="43">
        <v>129.44</v>
      </c>
      <c r="C465">
        <v>129.44260000000003</v>
      </c>
      <c r="D465">
        <v>143.58000000000001</v>
      </c>
      <c r="E465">
        <v>143.58162950658505</v>
      </c>
      <c r="F465">
        <v>799.89</v>
      </c>
      <c r="G465">
        <v>799.89054669999996</v>
      </c>
      <c r="H465">
        <v>10817.52</v>
      </c>
      <c r="I465">
        <v>10817.518082000001</v>
      </c>
    </row>
    <row r="466" spans="1:9" x14ac:dyDescent="0.3">
      <c r="A466" t="s">
        <v>870</v>
      </c>
      <c r="B466" s="43">
        <v>161.16</v>
      </c>
      <c r="C466">
        <v>161.16220000000001</v>
      </c>
      <c r="D466">
        <v>178.77</v>
      </c>
      <c r="E466">
        <v>178.76596492086961</v>
      </c>
      <c r="F466">
        <v>995.9</v>
      </c>
      <c r="G466">
        <v>995.90181489999998</v>
      </c>
      <c r="H466">
        <v>13468.33</v>
      </c>
      <c r="I466">
        <v>13468.325053999999</v>
      </c>
    </row>
    <row r="467" spans="1:9" x14ac:dyDescent="0.3">
      <c r="A467" t="s">
        <v>874</v>
      </c>
      <c r="B467" s="43">
        <v>110.95</v>
      </c>
      <c r="C467">
        <v>110.95080000000002</v>
      </c>
      <c r="D467">
        <v>123.07</v>
      </c>
      <c r="E467">
        <v>123.06996814850146</v>
      </c>
      <c r="F467">
        <v>685.62</v>
      </c>
      <c r="G467">
        <v>685.62046859999998</v>
      </c>
      <c r="H467">
        <v>9272.16</v>
      </c>
      <c r="I467">
        <v>9272.1583559999999</v>
      </c>
    </row>
    <row r="468" spans="1:9" x14ac:dyDescent="0.3">
      <c r="A468" t="s">
        <v>871</v>
      </c>
      <c r="B468" s="43">
        <v>192.88</v>
      </c>
      <c r="C468">
        <v>192.88060000000002</v>
      </c>
      <c r="D468">
        <v>213.95</v>
      </c>
      <c r="E468">
        <v>213.94896925902157</v>
      </c>
      <c r="F468">
        <v>1191.9100000000001</v>
      </c>
      <c r="G468">
        <v>1191.9056677000001</v>
      </c>
      <c r="H468">
        <v>16119.03</v>
      </c>
      <c r="I468">
        <v>16119.031741999999</v>
      </c>
    </row>
    <row r="469" spans="1:9" x14ac:dyDescent="0.3">
      <c r="A469" t="s">
        <v>872</v>
      </c>
      <c r="B469" s="43">
        <v>192.88</v>
      </c>
      <c r="C469">
        <v>192.88060000000002</v>
      </c>
      <c r="D469">
        <v>213.95</v>
      </c>
      <c r="E469">
        <v>213.94896925902157</v>
      </c>
      <c r="F469">
        <v>1191.9100000000001</v>
      </c>
      <c r="G469">
        <v>1191.9056677000001</v>
      </c>
      <c r="H469">
        <v>16119.03</v>
      </c>
      <c r="I469">
        <v>16119.031741999999</v>
      </c>
    </row>
    <row r="470" spans="1:9" x14ac:dyDescent="0.3">
      <c r="A470" t="s">
        <v>873</v>
      </c>
      <c r="B470" s="43">
        <v>224.55</v>
      </c>
      <c r="C470">
        <v>224.54739999999998</v>
      </c>
      <c r="D470">
        <v>249.07</v>
      </c>
      <c r="E470">
        <v>249.07473732346961</v>
      </c>
      <c r="F470">
        <v>1387.59</v>
      </c>
      <c r="G470">
        <v>1387.5906582999999</v>
      </c>
      <c r="H470">
        <v>18765.43</v>
      </c>
      <c r="I470">
        <v>18765.426217999997</v>
      </c>
    </row>
    <row r="471" spans="1:9" x14ac:dyDescent="0.3">
      <c r="A471" t="s">
        <v>875</v>
      </c>
      <c r="B471" s="43">
        <v>142.66999999999999</v>
      </c>
      <c r="C471">
        <v>142.6704</v>
      </c>
      <c r="D471">
        <v>158.25</v>
      </c>
      <c r="E471">
        <v>158.25430356278602</v>
      </c>
      <c r="F471">
        <v>881.63</v>
      </c>
      <c r="G471">
        <v>881.6317368</v>
      </c>
      <c r="H471">
        <v>11922.97</v>
      </c>
      <c r="I471">
        <v>11922.965327999998</v>
      </c>
    </row>
    <row r="472" spans="1:9" x14ac:dyDescent="0.3">
      <c r="A472" t="s">
        <v>965</v>
      </c>
      <c r="B472" s="43">
        <v>110.95</v>
      </c>
      <c r="C472">
        <v>110.95080000000002</v>
      </c>
      <c r="D472">
        <v>123.07</v>
      </c>
      <c r="E472">
        <v>123.06996814850146</v>
      </c>
      <c r="F472">
        <v>685.62</v>
      </c>
      <c r="G472">
        <v>685.62046859999998</v>
      </c>
      <c r="H472">
        <v>9272.16</v>
      </c>
      <c r="I472">
        <v>9272.1583559999999</v>
      </c>
    </row>
    <row r="473" spans="1:9" x14ac:dyDescent="0.3">
      <c r="A473" t="s">
        <v>876</v>
      </c>
      <c r="B473" s="43">
        <v>110.95</v>
      </c>
      <c r="C473">
        <v>110.95080000000002</v>
      </c>
      <c r="D473">
        <v>123.07</v>
      </c>
      <c r="E473">
        <v>123.06996814850146</v>
      </c>
      <c r="F473">
        <v>685.62</v>
      </c>
      <c r="G473">
        <v>685.62046859999998</v>
      </c>
      <c r="H473">
        <v>9272.16</v>
      </c>
      <c r="I473">
        <v>9272.1583559999999</v>
      </c>
    </row>
    <row r="474" spans="1:9" x14ac:dyDescent="0.3">
      <c r="A474" t="s">
        <v>877</v>
      </c>
      <c r="B474" s="43">
        <v>142.66999999999999</v>
      </c>
      <c r="C474">
        <v>142.6704</v>
      </c>
      <c r="D474">
        <v>158.25</v>
      </c>
      <c r="E474">
        <v>158.25430356278602</v>
      </c>
      <c r="F474">
        <v>881.63</v>
      </c>
      <c r="G474">
        <v>881.6317368</v>
      </c>
      <c r="H474">
        <v>11922.97</v>
      </c>
      <c r="I474">
        <v>11922.965327999998</v>
      </c>
    </row>
    <row r="475" spans="1:9" x14ac:dyDescent="0.3">
      <c r="A475" t="s">
        <v>878</v>
      </c>
      <c r="B475" s="43">
        <v>174.39</v>
      </c>
      <c r="C475">
        <v>174.3888</v>
      </c>
      <c r="D475">
        <v>193.44</v>
      </c>
      <c r="E475">
        <v>193.43730790093798</v>
      </c>
      <c r="F475">
        <v>1077.6400000000001</v>
      </c>
      <c r="G475">
        <v>1077.6355896</v>
      </c>
      <c r="H475">
        <v>14573.67</v>
      </c>
      <c r="I475">
        <v>14573.672015999999</v>
      </c>
    </row>
    <row r="476" spans="1:9" x14ac:dyDescent="0.3">
      <c r="A476" t="s">
        <v>966</v>
      </c>
      <c r="B476" s="43">
        <v>314.36</v>
      </c>
      <c r="C476">
        <v>314.36159999999995</v>
      </c>
      <c r="D476">
        <v>348.7</v>
      </c>
      <c r="E476">
        <v>348.69888954672911</v>
      </c>
      <c r="F476">
        <v>1942.59</v>
      </c>
      <c r="G476">
        <v>1942.5949291125999</v>
      </c>
      <c r="H476">
        <v>26271.16</v>
      </c>
      <c r="I476">
        <v>26271.164046595994</v>
      </c>
    </row>
    <row r="477" spans="1:9" x14ac:dyDescent="0.3">
      <c r="A477" t="s">
        <v>881</v>
      </c>
      <c r="B477" s="43">
        <v>187.59</v>
      </c>
      <c r="C477">
        <v>187.59399999999999</v>
      </c>
      <c r="D477">
        <v>208.09</v>
      </c>
      <c r="E477">
        <v>208.08500409166382</v>
      </c>
      <c r="F477">
        <v>1159.24</v>
      </c>
      <c r="G477">
        <v>1159.2376284831</v>
      </c>
      <c r="H477">
        <v>15677.24</v>
      </c>
      <c r="I477">
        <v>15677.237416025999</v>
      </c>
    </row>
    <row r="478" spans="1:9" x14ac:dyDescent="0.3">
      <c r="A478" t="s">
        <v>883</v>
      </c>
      <c r="B478" s="43">
        <v>261.52</v>
      </c>
      <c r="C478">
        <v>261.51760000000002</v>
      </c>
      <c r="D478">
        <v>290.08</v>
      </c>
      <c r="E478">
        <v>290.08266015432008</v>
      </c>
      <c r="F478">
        <v>1616.05</v>
      </c>
      <c r="G478">
        <v>1616.0450220296998</v>
      </c>
      <c r="H478">
        <v>21854.99</v>
      </c>
      <c r="I478">
        <v>21854.985434261998</v>
      </c>
    </row>
    <row r="479" spans="1:9" x14ac:dyDescent="0.3">
      <c r="A479" t="s">
        <v>879</v>
      </c>
      <c r="B479" s="43">
        <v>206.06</v>
      </c>
      <c r="C479">
        <v>206.05559999999997</v>
      </c>
      <c r="D479">
        <v>228.56</v>
      </c>
      <c r="E479">
        <v>228.56307596538602</v>
      </c>
      <c r="F479">
        <v>1273.32</v>
      </c>
      <c r="G479">
        <v>1273.3205801999998</v>
      </c>
      <c r="H479">
        <v>17220.07</v>
      </c>
      <c r="I479">
        <v>17220.066491999998</v>
      </c>
    </row>
    <row r="480" spans="1:9" x14ac:dyDescent="0.3">
      <c r="A480" t="s">
        <v>880</v>
      </c>
      <c r="B480" s="43">
        <v>124.16</v>
      </c>
      <c r="C480">
        <v>124.15600000000002</v>
      </c>
      <c r="D480">
        <v>137.72</v>
      </c>
      <c r="E480">
        <v>137.7176643392273</v>
      </c>
      <c r="F480">
        <v>767.22</v>
      </c>
      <c r="G480">
        <v>767.2225074831</v>
      </c>
      <c r="H480">
        <v>10375.719999999999</v>
      </c>
      <c r="I480">
        <v>10375.723756026</v>
      </c>
    </row>
    <row r="481" spans="1:9" x14ac:dyDescent="0.3">
      <c r="A481" t="s">
        <v>882</v>
      </c>
      <c r="B481" s="43">
        <v>261.52</v>
      </c>
      <c r="C481">
        <v>261.51760000000002</v>
      </c>
      <c r="D481">
        <v>290.08</v>
      </c>
      <c r="E481">
        <v>290.08266015432008</v>
      </c>
      <c r="F481">
        <v>1616.05</v>
      </c>
      <c r="G481">
        <v>1616.0450220296998</v>
      </c>
      <c r="H481">
        <v>21854.99</v>
      </c>
      <c r="I481">
        <v>21854.985434261998</v>
      </c>
    </row>
    <row r="482" spans="1:9" x14ac:dyDescent="0.3">
      <c r="A482" t="s">
        <v>884</v>
      </c>
      <c r="B482" s="43">
        <v>235.12</v>
      </c>
      <c r="C482">
        <v>235.11840000000001</v>
      </c>
      <c r="D482">
        <v>260.8</v>
      </c>
      <c r="E482">
        <v>260.8004088219879</v>
      </c>
      <c r="F482">
        <v>1452.91</v>
      </c>
      <c r="G482">
        <v>1452.9141528000002</v>
      </c>
      <c r="H482">
        <v>19648.84</v>
      </c>
      <c r="I482">
        <v>19648.844687999997</v>
      </c>
    </row>
    <row r="483" spans="1:9" x14ac:dyDescent="0.3">
      <c r="A483" t="s">
        <v>885</v>
      </c>
      <c r="B483" s="43">
        <v>293.18</v>
      </c>
      <c r="C483">
        <v>293.18439999999998</v>
      </c>
      <c r="D483">
        <v>325.20999999999998</v>
      </c>
      <c r="E483">
        <v>325.20842821876812</v>
      </c>
      <c r="F483">
        <v>1811.73</v>
      </c>
      <c r="G483">
        <v>1811.7300126296996</v>
      </c>
      <c r="H483">
        <v>24501.38</v>
      </c>
      <c r="I483">
        <v>24501.379910261996</v>
      </c>
    </row>
    <row r="484" spans="1:9" x14ac:dyDescent="0.3">
      <c r="A484" t="s">
        <v>967</v>
      </c>
      <c r="B484" s="43">
        <v>89.8</v>
      </c>
      <c r="C484">
        <v>89.804400000000001</v>
      </c>
      <c r="D484">
        <v>99.61</v>
      </c>
      <c r="E484">
        <v>99.613744538978381</v>
      </c>
      <c r="F484">
        <v>554.95000000000005</v>
      </c>
      <c r="G484">
        <v>554.94628979999993</v>
      </c>
      <c r="H484">
        <v>7504.95</v>
      </c>
      <c r="I484">
        <v>7504.9537079999991</v>
      </c>
    </row>
    <row r="485" spans="1:9" x14ac:dyDescent="0.3">
      <c r="A485" t="s">
        <v>887</v>
      </c>
      <c r="B485" s="43">
        <v>116.24</v>
      </c>
      <c r="C485">
        <v>116.23740000000001</v>
      </c>
      <c r="D485">
        <v>128.93</v>
      </c>
      <c r="E485">
        <v>128.93402405088221</v>
      </c>
      <c r="F485">
        <v>718.29</v>
      </c>
      <c r="G485">
        <v>718.28901329999997</v>
      </c>
      <c r="H485">
        <v>9713.9599999999991</v>
      </c>
      <c r="I485">
        <v>9713.9595179999997</v>
      </c>
    </row>
    <row r="486" spans="1:9" x14ac:dyDescent="0.3">
      <c r="A486" t="s">
        <v>886</v>
      </c>
      <c r="B486" s="43">
        <v>116.24</v>
      </c>
      <c r="C486">
        <v>116.23740000000001</v>
      </c>
      <c r="D486">
        <v>128.93</v>
      </c>
      <c r="E486">
        <v>128.93402405088221</v>
      </c>
      <c r="F486">
        <v>718.29</v>
      </c>
      <c r="G486">
        <v>718.28901329999997</v>
      </c>
      <c r="H486">
        <v>9713.9599999999991</v>
      </c>
      <c r="I486">
        <v>9713.9595179999997</v>
      </c>
    </row>
    <row r="487" spans="1:9" x14ac:dyDescent="0.3">
      <c r="A487" t="s">
        <v>888</v>
      </c>
      <c r="B487" s="43">
        <v>116.24</v>
      </c>
      <c r="C487">
        <v>116.23740000000001</v>
      </c>
      <c r="D487">
        <v>128.93</v>
      </c>
      <c r="E487">
        <v>128.93402405088221</v>
      </c>
      <c r="F487">
        <v>718.29</v>
      </c>
      <c r="G487">
        <v>718.28901329999997</v>
      </c>
      <c r="H487">
        <v>9713.9599999999991</v>
      </c>
      <c r="I487">
        <v>9713.9595179999997</v>
      </c>
    </row>
    <row r="488" spans="1:9" x14ac:dyDescent="0.3">
      <c r="A488" t="s">
        <v>890</v>
      </c>
      <c r="B488" s="43">
        <v>116.24</v>
      </c>
      <c r="C488">
        <v>116.23740000000001</v>
      </c>
      <c r="D488">
        <v>128.93</v>
      </c>
      <c r="E488">
        <v>128.93402405088221</v>
      </c>
      <c r="F488">
        <v>718.29</v>
      </c>
      <c r="G488">
        <v>718.28901329999997</v>
      </c>
      <c r="H488">
        <v>9713.9599999999991</v>
      </c>
      <c r="I488">
        <v>9713.9595179999997</v>
      </c>
    </row>
    <row r="489" spans="1:9" x14ac:dyDescent="0.3">
      <c r="A489" t="s">
        <v>889</v>
      </c>
      <c r="B489" s="43">
        <v>116.24</v>
      </c>
      <c r="C489">
        <v>116.23740000000001</v>
      </c>
      <c r="D489">
        <v>128.93</v>
      </c>
      <c r="E489">
        <v>128.93402405088221</v>
      </c>
      <c r="F489">
        <v>718.29</v>
      </c>
      <c r="G489">
        <v>718.28901329999997</v>
      </c>
      <c r="H489">
        <v>9713.9599999999991</v>
      </c>
      <c r="I489">
        <v>9713.9595179999997</v>
      </c>
    </row>
    <row r="490" spans="1:9" x14ac:dyDescent="0.3">
      <c r="A490" t="s">
        <v>892</v>
      </c>
      <c r="B490" s="43">
        <v>116.24</v>
      </c>
      <c r="C490">
        <v>116.23740000000001</v>
      </c>
      <c r="D490">
        <v>128.93</v>
      </c>
      <c r="E490">
        <v>128.93402405088221</v>
      </c>
      <c r="F490">
        <v>718.29</v>
      </c>
      <c r="G490">
        <v>718.28901329999997</v>
      </c>
      <c r="H490">
        <v>9713.9599999999991</v>
      </c>
      <c r="I490">
        <v>9713.9595179999997</v>
      </c>
    </row>
    <row r="491" spans="1:9" x14ac:dyDescent="0.3">
      <c r="A491" t="s">
        <v>891</v>
      </c>
      <c r="B491" s="43">
        <v>116.24</v>
      </c>
      <c r="C491">
        <v>116.23740000000001</v>
      </c>
      <c r="D491">
        <v>128.93</v>
      </c>
      <c r="E491">
        <v>128.93402405088221</v>
      </c>
      <c r="F491">
        <v>718.29</v>
      </c>
      <c r="G491">
        <v>718.28901329999997</v>
      </c>
      <c r="H491">
        <v>9713.9599999999991</v>
      </c>
      <c r="I491">
        <v>9713.9595179999997</v>
      </c>
    </row>
    <row r="492" spans="1:9" x14ac:dyDescent="0.3">
      <c r="A492" t="s">
        <v>894</v>
      </c>
      <c r="B492" s="43">
        <v>116.24</v>
      </c>
      <c r="C492">
        <v>116.23740000000001</v>
      </c>
      <c r="D492">
        <v>128.93</v>
      </c>
      <c r="E492">
        <v>128.93402405088221</v>
      </c>
      <c r="F492">
        <v>718.29</v>
      </c>
      <c r="G492">
        <v>718.28901329999997</v>
      </c>
      <c r="H492">
        <v>9713.9599999999991</v>
      </c>
      <c r="I492">
        <v>9713.9595179999997</v>
      </c>
    </row>
    <row r="493" spans="1:9" x14ac:dyDescent="0.3">
      <c r="A493" t="s">
        <v>893</v>
      </c>
      <c r="B493" s="43">
        <v>116.24</v>
      </c>
      <c r="C493">
        <v>116.23740000000001</v>
      </c>
      <c r="D493">
        <v>128.93</v>
      </c>
      <c r="E493">
        <v>128.93402405088221</v>
      </c>
      <c r="F493">
        <v>718.29</v>
      </c>
      <c r="G493">
        <v>718.28901329999997</v>
      </c>
      <c r="H493">
        <v>9713.9599999999991</v>
      </c>
      <c r="I493">
        <v>9713.9595179999997</v>
      </c>
    </row>
    <row r="494" spans="1:9" x14ac:dyDescent="0.3">
      <c r="A494" t="s">
        <v>895</v>
      </c>
      <c r="B494" s="43">
        <v>116.24</v>
      </c>
      <c r="C494">
        <v>116.23740000000001</v>
      </c>
      <c r="D494">
        <v>128.93</v>
      </c>
      <c r="E494">
        <v>128.93402405088221</v>
      </c>
      <c r="F494">
        <v>718.29</v>
      </c>
      <c r="G494">
        <v>718.28901329999997</v>
      </c>
      <c r="H494">
        <v>9713.9599999999991</v>
      </c>
      <c r="I494">
        <v>9713.9595179999997</v>
      </c>
    </row>
    <row r="495" spans="1:9" x14ac:dyDescent="0.3">
      <c r="A495" t="s">
        <v>896</v>
      </c>
      <c r="B495" s="43">
        <v>169.1</v>
      </c>
      <c r="C495">
        <v>169.10240000000002</v>
      </c>
      <c r="D495">
        <v>187.57</v>
      </c>
      <c r="E495">
        <v>187.57347384457933</v>
      </c>
      <c r="F495">
        <v>1044.97</v>
      </c>
      <c r="G495">
        <v>1044.9682808</v>
      </c>
      <c r="H495">
        <v>14131.89</v>
      </c>
      <c r="I495">
        <v>14131.887568</v>
      </c>
    </row>
    <row r="496" spans="1:9" x14ac:dyDescent="0.3">
      <c r="A496" t="s">
        <v>898</v>
      </c>
      <c r="B496" s="43">
        <v>142.66999999999999</v>
      </c>
      <c r="C496">
        <v>142.6704</v>
      </c>
      <c r="D496">
        <v>158.25</v>
      </c>
      <c r="E496">
        <v>158.25430356278602</v>
      </c>
      <c r="F496">
        <v>881.63</v>
      </c>
      <c r="G496">
        <v>881.63173679999989</v>
      </c>
      <c r="H496">
        <v>11922.97</v>
      </c>
      <c r="I496">
        <v>11922.965328</v>
      </c>
    </row>
    <row r="497" spans="1:9" x14ac:dyDescent="0.3">
      <c r="A497" t="s">
        <v>901</v>
      </c>
      <c r="B497" s="43">
        <v>169.1</v>
      </c>
      <c r="C497">
        <v>169.10240000000002</v>
      </c>
      <c r="D497">
        <v>187.57</v>
      </c>
      <c r="E497">
        <v>187.57347384457933</v>
      </c>
      <c r="F497">
        <v>1044.97</v>
      </c>
      <c r="G497">
        <v>1044.9682808</v>
      </c>
      <c r="H497">
        <v>14131.89</v>
      </c>
      <c r="I497">
        <v>14131.887568</v>
      </c>
    </row>
    <row r="498" spans="1:9" x14ac:dyDescent="0.3">
      <c r="A498" t="s">
        <v>900</v>
      </c>
      <c r="B498" s="43">
        <v>169.1</v>
      </c>
      <c r="C498">
        <v>169.10240000000002</v>
      </c>
      <c r="D498">
        <v>187.57</v>
      </c>
      <c r="E498">
        <v>187.57347384457933</v>
      </c>
      <c r="F498">
        <v>1044.97</v>
      </c>
      <c r="G498">
        <v>1044.9682808</v>
      </c>
      <c r="H498">
        <v>14131.89</v>
      </c>
      <c r="I498">
        <v>14131.887568</v>
      </c>
    </row>
    <row r="499" spans="1:9" x14ac:dyDescent="0.3">
      <c r="A499" t="s">
        <v>897</v>
      </c>
      <c r="B499" s="43">
        <v>195.49</v>
      </c>
      <c r="C499">
        <v>195.4914</v>
      </c>
      <c r="D499">
        <v>216.84</v>
      </c>
      <c r="E499">
        <v>216.84494723161936</v>
      </c>
      <c r="F499">
        <v>1208.04</v>
      </c>
      <c r="G499">
        <v>1208.0391063</v>
      </c>
      <c r="H499">
        <v>16337.22</v>
      </c>
      <c r="I499">
        <v>16337.216297999998</v>
      </c>
    </row>
    <row r="500" spans="1:9" x14ac:dyDescent="0.3">
      <c r="A500" t="s">
        <v>902</v>
      </c>
      <c r="B500" s="43">
        <v>169.1</v>
      </c>
      <c r="C500">
        <v>169.10240000000002</v>
      </c>
      <c r="D500">
        <v>187.57</v>
      </c>
      <c r="E500">
        <v>187.57347384457933</v>
      </c>
      <c r="F500">
        <v>1044.97</v>
      </c>
      <c r="G500">
        <v>1044.9682808</v>
      </c>
      <c r="H500">
        <v>14131.89</v>
      </c>
      <c r="I500">
        <v>14131.887568</v>
      </c>
    </row>
    <row r="501" spans="1:9" x14ac:dyDescent="0.3">
      <c r="A501" t="s">
        <v>904</v>
      </c>
      <c r="B501" s="43">
        <v>195.49</v>
      </c>
      <c r="C501">
        <v>195.4914</v>
      </c>
      <c r="D501">
        <v>216.84</v>
      </c>
      <c r="E501">
        <v>216.84494723161936</v>
      </c>
      <c r="F501">
        <v>1208.04</v>
      </c>
      <c r="G501">
        <v>1208.0391063</v>
      </c>
      <c r="H501">
        <v>16337.22</v>
      </c>
      <c r="I501">
        <v>16337.216297999998</v>
      </c>
    </row>
    <row r="502" spans="1:9" x14ac:dyDescent="0.3">
      <c r="A502" t="s">
        <v>903</v>
      </c>
      <c r="B502" s="43">
        <v>169.1</v>
      </c>
      <c r="C502">
        <v>169.10240000000002</v>
      </c>
      <c r="D502">
        <v>187.57</v>
      </c>
      <c r="E502">
        <v>187.57347384457933</v>
      </c>
      <c r="F502">
        <v>1044.97</v>
      </c>
      <c r="G502">
        <v>1044.9682808</v>
      </c>
      <c r="H502">
        <v>14131.89</v>
      </c>
      <c r="I502">
        <v>14131.887568</v>
      </c>
    </row>
    <row r="503" spans="1:9" x14ac:dyDescent="0.3">
      <c r="A503" t="s">
        <v>905</v>
      </c>
      <c r="B503" s="43">
        <v>169.1</v>
      </c>
      <c r="C503">
        <v>169.10240000000002</v>
      </c>
      <c r="D503">
        <v>187.57</v>
      </c>
      <c r="E503">
        <v>187.57347384457933</v>
      </c>
      <c r="F503">
        <v>1044.97</v>
      </c>
      <c r="G503">
        <v>1044.9682808</v>
      </c>
      <c r="H503">
        <v>14131.89</v>
      </c>
      <c r="I503">
        <v>14131.887568</v>
      </c>
    </row>
    <row r="504" spans="1:9" x14ac:dyDescent="0.3">
      <c r="A504" t="s">
        <v>906</v>
      </c>
      <c r="B504" s="43">
        <v>195.49</v>
      </c>
      <c r="C504">
        <v>195.4914</v>
      </c>
      <c r="D504">
        <v>216.84</v>
      </c>
      <c r="E504">
        <v>216.84494723161936</v>
      </c>
      <c r="F504">
        <v>1208.04</v>
      </c>
      <c r="G504">
        <v>1208.0391063</v>
      </c>
      <c r="H504">
        <v>16337.22</v>
      </c>
      <c r="I504">
        <v>16337.216297999998</v>
      </c>
    </row>
    <row r="505" spans="1:9" x14ac:dyDescent="0.3">
      <c r="A505" t="s">
        <v>910</v>
      </c>
      <c r="B505" s="43">
        <v>118.89</v>
      </c>
      <c r="C505">
        <v>118.89200000000001</v>
      </c>
      <c r="D505">
        <v>131.88</v>
      </c>
      <c r="E505">
        <v>131.87858630232168</v>
      </c>
      <c r="F505">
        <v>734.69</v>
      </c>
      <c r="G505">
        <v>734.69311399999992</v>
      </c>
      <c r="H505">
        <v>9935.7999999999993</v>
      </c>
      <c r="I505">
        <v>9935.8044399999999</v>
      </c>
    </row>
    <row r="506" spans="1:9" x14ac:dyDescent="0.3">
      <c r="A506" t="s">
        <v>908</v>
      </c>
      <c r="B506" s="43">
        <v>182.28</v>
      </c>
      <c r="C506">
        <v>182.28039999999999</v>
      </c>
      <c r="D506">
        <v>202.19</v>
      </c>
      <c r="E506">
        <v>202.19090824127539</v>
      </c>
      <c r="F506">
        <v>1126.4000000000001</v>
      </c>
      <c r="G506">
        <v>1126.4017317999999</v>
      </c>
      <c r="H506">
        <v>15233.17</v>
      </c>
      <c r="I506">
        <v>15233.173027999999</v>
      </c>
    </row>
    <row r="507" spans="1:9" x14ac:dyDescent="0.3">
      <c r="A507" t="s">
        <v>907</v>
      </c>
      <c r="B507" s="43">
        <v>169.1</v>
      </c>
      <c r="C507">
        <v>169.10240000000002</v>
      </c>
      <c r="D507">
        <v>187.57</v>
      </c>
      <c r="E507">
        <v>187.57347384457933</v>
      </c>
      <c r="F507">
        <v>1044.97</v>
      </c>
      <c r="G507">
        <v>1044.9682808</v>
      </c>
      <c r="H507">
        <v>14131.89</v>
      </c>
      <c r="I507">
        <v>14131.887568</v>
      </c>
    </row>
    <row r="508" spans="1:9" x14ac:dyDescent="0.3">
      <c r="A508" t="s">
        <v>912</v>
      </c>
      <c r="B508" s="43">
        <v>130.78</v>
      </c>
      <c r="C508">
        <v>130.78120000000001</v>
      </c>
      <c r="D508">
        <v>145.07</v>
      </c>
      <c r="E508">
        <v>145.06644493255385</v>
      </c>
      <c r="F508">
        <v>808.16</v>
      </c>
      <c r="G508">
        <v>808.16242539999996</v>
      </c>
      <c r="H508">
        <v>10929.38</v>
      </c>
      <c r="I508">
        <v>10929.384883999999</v>
      </c>
    </row>
    <row r="509" spans="1:9" x14ac:dyDescent="0.3">
      <c r="A509" t="s">
        <v>909</v>
      </c>
      <c r="B509" s="43">
        <v>66.03</v>
      </c>
      <c r="C509">
        <v>66.025999999999996</v>
      </c>
      <c r="D509">
        <v>73.239999999999995</v>
      </c>
      <c r="E509">
        <v>73.238027278514039</v>
      </c>
      <c r="F509">
        <v>408.01</v>
      </c>
      <c r="G509">
        <v>408.00766699999997</v>
      </c>
      <c r="H509">
        <v>5517.79</v>
      </c>
      <c r="I509">
        <v>5517.7928199999997</v>
      </c>
    </row>
    <row r="510" spans="1:9" x14ac:dyDescent="0.3">
      <c r="A510" t="s">
        <v>911</v>
      </c>
      <c r="B510" s="43">
        <v>237.75</v>
      </c>
      <c r="C510">
        <v>237.75049999999999</v>
      </c>
      <c r="D510">
        <v>263.72000000000003</v>
      </c>
      <c r="E510">
        <v>263.72001339594027</v>
      </c>
      <c r="F510">
        <v>1469.18</v>
      </c>
      <c r="G510">
        <v>1469.17921475</v>
      </c>
      <c r="H510">
        <v>19868.810000000001</v>
      </c>
      <c r="I510">
        <v>19868.809284999999</v>
      </c>
    </row>
    <row r="511" spans="1:9" x14ac:dyDescent="0.3">
      <c r="A511" t="s">
        <v>914</v>
      </c>
      <c r="B511" s="43">
        <v>125.49</v>
      </c>
      <c r="C511">
        <v>125.49460000000001</v>
      </c>
      <c r="D511">
        <v>139.19999999999999</v>
      </c>
      <c r="E511">
        <v>139.20238903017309</v>
      </c>
      <c r="F511">
        <v>775.49</v>
      </c>
      <c r="G511">
        <v>775.49388069999998</v>
      </c>
      <c r="H511">
        <v>10487.58</v>
      </c>
      <c r="I511">
        <v>10487.583721999999</v>
      </c>
    </row>
    <row r="512" spans="1:9" x14ac:dyDescent="0.3">
      <c r="A512" t="s">
        <v>913</v>
      </c>
      <c r="B512" s="43">
        <v>213.98</v>
      </c>
      <c r="C512">
        <v>213.98320000000001</v>
      </c>
      <c r="D512">
        <v>237.36</v>
      </c>
      <c r="E512">
        <v>237.35660858970294</v>
      </c>
      <c r="F512">
        <v>1322.31</v>
      </c>
      <c r="G512">
        <v>1322.3091844</v>
      </c>
      <c r="H512">
        <v>17882.580000000002</v>
      </c>
      <c r="I512">
        <v>17882.576023999998</v>
      </c>
    </row>
    <row r="513" spans="1:9" x14ac:dyDescent="0.3">
      <c r="A513" t="s">
        <v>915</v>
      </c>
      <c r="B513" s="43">
        <v>97.75</v>
      </c>
      <c r="C513">
        <v>97.74560000000001</v>
      </c>
      <c r="D513">
        <v>108.42</v>
      </c>
      <c r="E513">
        <v>108.42236269279864</v>
      </c>
      <c r="F513">
        <v>604.02</v>
      </c>
      <c r="G513">
        <v>604.01893519999999</v>
      </c>
      <c r="H513">
        <v>8168.6</v>
      </c>
      <c r="I513">
        <v>8168.5997919999991</v>
      </c>
    </row>
    <row r="514" spans="1:9" x14ac:dyDescent="0.3">
      <c r="A514" t="s">
        <v>917</v>
      </c>
      <c r="B514" s="43">
        <v>97.75</v>
      </c>
      <c r="C514">
        <v>97.74560000000001</v>
      </c>
      <c r="D514">
        <v>108.42</v>
      </c>
      <c r="E514">
        <v>108.42236269279864</v>
      </c>
      <c r="F514">
        <v>604.02</v>
      </c>
      <c r="G514">
        <v>604.01893519999999</v>
      </c>
      <c r="H514">
        <v>8168.6</v>
      </c>
      <c r="I514">
        <v>8168.5997919999991</v>
      </c>
    </row>
    <row r="515" spans="1:9" x14ac:dyDescent="0.3">
      <c r="A515" t="s">
        <v>920</v>
      </c>
      <c r="B515" s="43">
        <v>97.75</v>
      </c>
      <c r="C515">
        <v>97.74560000000001</v>
      </c>
      <c r="D515">
        <v>108.42</v>
      </c>
      <c r="E515">
        <v>108.42236269279864</v>
      </c>
      <c r="F515">
        <v>604.02</v>
      </c>
      <c r="G515">
        <v>604.01893519999999</v>
      </c>
      <c r="H515">
        <v>8168.6</v>
      </c>
      <c r="I515">
        <v>8168.5997919999991</v>
      </c>
    </row>
    <row r="516" spans="1:9" x14ac:dyDescent="0.3">
      <c r="A516" t="s">
        <v>918</v>
      </c>
      <c r="B516" s="43">
        <v>97.75</v>
      </c>
      <c r="C516">
        <v>97.74560000000001</v>
      </c>
      <c r="D516">
        <v>108.42</v>
      </c>
      <c r="E516">
        <v>108.42236269279864</v>
      </c>
      <c r="F516">
        <v>604.02</v>
      </c>
      <c r="G516">
        <v>604.01893519999999</v>
      </c>
      <c r="H516">
        <v>8168.6</v>
      </c>
      <c r="I516">
        <v>8168.5997919999991</v>
      </c>
    </row>
    <row r="517" spans="1:9" x14ac:dyDescent="0.3">
      <c r="A517" t="s">
        <v>916</v>
      </c>
      <c r="B517" s="43">
        <v>97.75</v>
      </c>
      <c r="C517">
        <v>97.74560000000001</v>
      </c>
      <c r="D517">
        <v>108.42</v>
      </c>
      <c r="E517">
        <v>108.42236269279864</v>
      </c>
      <c r="F517">
        <v>604.02</v>
      </c>
      <c r="G517">
        <v>604.01893519999999</v>
      </c>
      <c r="H517">
        <v>8168.6</v>
      </c>
      <c r="I517">
        <v>8168.5997919999991</v>
      </c>
    </row>
    <row r="518" spans="1:9" x14ac:dyDescent="0.3">
      <c r="A518" t="s">
        <v>919</v>
      </c>
      <c r="B518" s="43">
        <v>118.89</v>
      </c>
      <c r="C518">
        <v>118.89200000000001</v>
      </c>
      <c r="D518">
        <v>131.88</v>
      </c>
      <c r="E518">
        <v>131.87858630232168</v>
      </c>
      <c r="F518">
        <v>734.69</v>
      </c>
      <c r="G518">
        <v>734.69311399999992</v>
      </c>
      <c r="H518">
        <v>9935.7999999999993</v>
      </c>
      <c r="I518">
        <v>9935.8044399999999</v>
      </c>
    </row>
    <row r="519" spans="1:9" x14ac:dyDescent="0.3">
      <c r="A519" t="s">
        <v>921</v>
      </c>
      <c r="B519" s="43">
        <v>118.89</v>
      </c>
      <c r="C519">
        <v>118.89200000000001</v>
      </c>
      <c r="D519">
        <v>131.88</v>
      </c>
      <c r="E519">
        <v>131.87858630232168</v>
      </c>
      <c r="F519">
        <v>734.69</v>
      </c>
      <c r="G519">
        <v>734.69311399999992</v>
      </c>
      <c r="H519">
        <v>9935.7999999999993</v>
      </c>
      <c r="I519">
        <v>9935.8044399999999</v>
      </c>
    </row>
    <row r="520" spans="1:9" x14ac:dyDescent="0.3">
      <c r="A520" t="s">
        <v>968</v>
      </c>
      <c r="B520" s="43">
        <v>277.38</v>
      </c>
      <c r="C520">
        <v>277.37799999999999</v>
      </c>
      <c r="D520">
        <v>307.68</v>
      </c>
      <c r="E520">
        <v>307.67547609553895</v>
      </c>
      <c r="F520">
        <v>1714.05</v>
      </c>
      <c r="G520">
        <v>1714.0542674294998</v>
      </c>
      <c r="H520">
        <v>23180.44</v>
      </c>
      <c r="I520">
        <v>23180.437758569999</v>
      </c>
    </row>
    <row r="521" spans="1:9" x14ac:dyDescent="0.3">
      <c r="A521" t="s">
        <v>923</v>
      </c>
      <c r="B521" s="43">
        <v>118.89</v>
      </c>
      <c r="C521">
        <v>118.89200000000001</v>
      </c>
      <c r="D521">
        <v>131.88</v>
      </c>
      <c r="E521">
        <v>131.87858630232168</v>
      </c>
      <c r="F521">
        <v>734.69</v>
      </c>
      <c r="G521">
        <v>734.69311399999992</v>
      </c>
      <c r="H521">
        <v>9935.7999999999993</v>
      </c>
      <c r="I521">
        <v>9935.8044399999999</v>
      </c>
    </row>
    <row r="522" spans="1:9" x14ac:dyDescent="0.3">
      <c r="A522" t="s">
        <v>922</v>
      </c>
      <c r="B522" s="43">
        <v>140.04</v>
      </c>
      <c r="C522">
        <v>140.0376</v>
      </c>
      <c r="D522">
        <v>155.33000000000001</v>
      </c>
      <c r="E522">
        <v>155.33392252775633</v>
      </c>
      <c r="F522">
        <v>865.36</v>
      </c>
      <c r="G522">
        <v>865.36234919999993</v>
      </c>
      <c r="H522">
        <v>11702.94</v>
      </c>
      <c r="I522">
        <v>11702.942231999999</v>
      </c>
    </row>
    <row r="523" spans="1:9" x14ac:dyDescent="0.3">
      <c r="A523" t="s">
        <v>924</v>
      </c>
      <c r="B523" s="43">
        <v>140.04</v>
      </c>
      <c r="C523">
        <v>140.0376</v>
      </c>
      <c r="D523">
        <v>155.33000000000001</v>
      </c>
      <c r="E523">
        <v>155.33392252775633</v>
      </c>
      <c r="F523">
        <v>865.36</v>
      </c>
      <c r="G523">
        <v>865.36234919999993</v>
      </c>
      <c r="H523">
        <v>11702.94</v>
      </c>
      <c r="I523">
        <v>11702.942231999999</v>
      </c>
    </row>
    <row r="524" spans="1:9" x14ac:dyDescent="0.3">
      <c r="A524" t="s">
        <v>925</v>
      </c>
      <c r="B524" s="43">
        <v>140.04</v>
      </c>
      <c r="C524">
        <v>140.0376</v>
      </c>
      <c r="D524">
        <v>155.33000000000001</v>
      </c>
      <c r="E524">
        <v>155.33392252775633</v>
      </c>
      <c r="F524">
        <v>865.36</v>
      </c>
      <c r="G524">
        <v>865.36234919999993</v>
      </c>
      <c r="H524">
        <v>11702.94</v>
      </c>
      <c r="I524">
        <v>11702.942231999999</v>
      </c>
    </row>
    <row r="525" spans="1:9" x14ac:dyDescent="0.3">
      <c r="A525" t="s">
        <v>927</v>
      </c>
      <c r="B525" s="43">
        <v>116.26</v>
      </c>
      <c r="C525">
        <v>116.25920000000001</v>
      </c>
      <c r="D525">
        <v>128.96</v>
      </c>
      <c r="E525">
        <v>128.95820526729199</v>
      </c>
      <c r="F525">
        <v>718.42</v>
      </c>
      <c r="G525">
        <v>718.42372639999996</v>
      </c>
      <c r="H525">
        <v>9715.7800000000007</v>
      </c>
      <c r="I525">
        <v>9715.7813439999991</v>
      </c>
    </row>
    <row r="526" spans="1:9" x14ac:dyDescent="0.3">
      <c r="A526" t="s">
        <v>929</v>
      </c>
      <c r="B526" s="43">
        <v>116.26</v>
      </c>
      <c r="C526">
        <v>116.25920000000001</v>
      </c>
      <c r="D526">
        <v>128.96</v>
      </c>
      <c r="E526">
        <v>128.95820526729199</v>
      </c>
      <c r="F526">
        <v>718.42</v>
      </c>
      <c r="G526">
        <v>718.42372639999996</v>
      </c>
      <c r="H526">
        <v>9715.7800000000007</v>
      </c>
      <c r="I526">
        <v>9715.7813439999991</v>
      </c>
    </row>
    <row r="527" spans="1:9" x14ac:dyDescent="0.3">
      <c r="A527" t="s">
        <v>926</v>
      </c>
      <c r="B527" s="43">
        <v>206.04</v>
      </c>
      <c r="C527">
        <v>206.04259999999999</v>
      </c>
      <c r="D527">
        <v>228.55</v>
      </c>
      <c r="E527">
        <v>228.54865597394902</v>
      </c>
      <c r="F527">
        <v>1273.24</v>
      </c>
      <c r="G527">
        <v>1273.2402467000002</v>
      </c>
      <c r="H527">
        <v>17218.98</v>
      </c>
      <c r="I527">
        <v>17218.980081999998</v>
      </c>
    </row>
    <row r="528" spans="1:9" x14ac:dyDescent="0.3">
      <c r="A528" t="s">
        <v>928</v>
      </c>
      <c r="B528" s="43">
        <v>126.8</v>
      </c>
      <c r="C528">
        <v>126.80080000000001</v>
      </c>
      <c r="D528">
        <v>140.65</v>
      </c>
      <c r="E528">
        <v>140.65126540056042</v>
      </c>
      <c r="F528">
        <v>783.57</v>
      </c>
      <c r="G528">
        <v>783.56554359999996</v>
      </c>
      <c r="H528">
        <v>10596.74</v>
      </c>
      <c r="I528">
        <v>10596.742856000001</v>
      </c>
    </row>
    <row r="529" spans="1:9" x14ac:dyDescent="0.3">
      <c r="A529" t="s">
        <v>930</v>
      </c>
      <c r="B529" s="43">
        <v>88.5</v>
      </c>
      <c r="C529">
        <v>88.499700000000004</v>
      </c>
      <c r="D529">
        <v>98.17</v>
      </c>
      <c r="E529">
        <v>98.16653201375685</v>
      </c>
      <c r="F529">
        <v>546.88</v>
      </c>
      <c r="G529">
        <v>546.88389614999994</v>
      </c>
      <c r="H529">
        <v>7395.92</v>
      </c>
      <c r="I529">
        <v>7395.9199289999997</v>
      </c>
    </row>
    <row r="530" spans="1:9" x14ac:dyDescent="0.3">
      <c r="A530" t="s">
        <v>932</v>
      </c>
      <c r="B530" s="43">
        <v>83.22</v>
      </c>
      <c r="C530">
        <v>83.224400000000003</v>
      </c>
      <c r="D530">
        <v>92.32</v>
      </c>
      <c r="E530">
        <v>92.315010411625181</v>
      </c>
      <c r="F530">
        <v>514.29</v>
      </c>
      <c r="G530">
        <v>514.28517979999992</v>
      </c>
      <c r="H530">
        <v>6955.06</v>
      </c>
      <c r="I530">
        <v>6955.0631079999994</v>
      </c>
    </row>
    <row r="531" spans="1:9" x14ac:dyDescent="0.3">
      <c r="A531" t="s">
        <v>931</v>
      </c>
      <c r="B531" s="43">
        <v>150.58000000000001</v>
      </c>
      <c r="C531">
        <v>150.58240000000001</v>
      </c>
      <c r="D531">
        <v>167.03</v>
      </c>
      <c r="E531">
        <v>167.03053219737851</v>
      </c>
      <c r="F531">
        <v>930.52</v>
      </c>
      <c r="G531">
        <v>930.52394079999999</v>
      </c>
      <c r="H531">
        <v>12584.17</v>
      </c>
      <c r="I531">
        <v>12584.171167999999</v>
      </c>
    </row>
    <row r="532" spans="1:9" x14ac:dyDescent="0.3">
      <c r="A532" t="s">
        <v>933</v>
      </c>
      <c r="B532" s="43">
        <v>63.39</v>
      </c>
      <c r="C532">
        <v>63.394000000000005</v>
      </c>
      <c r="D532">
        <v>70.319999999999993</v>
      </c>
      <c r="E532">
        <v>70.318533627572762</v>
      </c>
      <c r="F532">
        <v>391.74</v>
      </c>
      <c r="G532">
        <v>391.74322299999994</v>
      </c>
      <c r="H532">
        <v>5297.84</v>
      </c>
      <c r="I532">
        <v>5297.8365799999992</v>
      </c>
    </row>
    <row r="533" spans="1:9" x14ac:dyDescent="0.3">
      <c r="A533" t="s">
        <v>934</v>
      </c>
      <c r="B533" s="43">
        <v>79.25</v>
      </c>
      <c r="C533">
        <v>79.253800000000012</v>
      </c>
      <c r="D533">
        <v>87.91</v>
      </c>
      <c r="E533">
        <v>87.910701334715071</v>
      </c>
      <c r="F533">
        <v>489.75</v>
      </c>
      <c r="G533">
        <v>489.74885710000001</v>
      </c>
      <c r="H533">
        <v>6623.24</v>
      </c>
      <c r="I533">
        <v>6623.2400660000003</v>
      </c>
    </row>
    <row r="534" spans="1:9" x14ac:dyDescent="0.3">
      <c r="A534" t="s">
        <v>935</v>
      </c>
      <c r="B534" s="43">
        <v>79.25</v>
      </c>
      <c r="C534">
        <v>79.253800000000012</v>
      </c>
      <c r="D534">
        <v>87.91</v>
      </c>
      <c r="E534">
        <v>87.910701334715071</v>
      </c>
      <c r="F534">
        <v>489.75</v>
      </c>
      <c r="G534">
        <v>489.74885710000001</v>
      </c>
      <c r="H534">
        <v>6623.24</v>
      </c>
      <c r="I534">
        <v>6623.2400660000003</v>
      </c>
    </row>
    <row r="535" spans="1:9" x14ac:dyDescent="0.3">
      <c r="A535" t="s">
        <v>937</v>
      </c>
      <c r="B535" s="43">
        <v>79.25</v>
      </c>
      <c r="C535">
        <v>79.253800000000012</v>
      </c>
      <c r="D535">
        <v>87.91</v>
      </c>
      <c r="E535">
        <v>87.910701334715071</v>
      </c>
      <c r="F535">
        <v>489.75</v>
      </c>
      <c r="G535">
        <v>489.74885710000001</v>
      </c>
      <c r="H535">
        <v>6623.24</v>
      </c>
      <c r="I535">
        <v>6623.2400660000003</v>
      </c>
    </row>
    <row r="536" spans="1:9" x14ac:dyDescent="0.3">
      <c r="A536" t="s">
        <v>940</v>
      </c>
      <c r="B536" s="43">
        <v>95.11</v>
      </c>
      <c r="C536">
        <v>95.113600000000005</v>
      </c>
      <c r="D536">
        <v>105.5</v>
      </c>
      <c r="E536">
        <v>105.50286904185735</v>
      </c>
      <c r="F536">
        <v>587.75</v>
      </c>
      <c r="G536">
        <v>587.75449119999996</v>
      </c>
      <c r="H536">
        <v>7948.64</v>
      </c>
      <c r="I536">
        <v>7948.6435519999995</v>
      </c>
    </row>
    <row r="537" spans="1:9" x14ac:dyDescent="0.3">
      <c r="A537" t="s">
        <v>936</v>
      </c>
      <c r="B537" s="43">
        <v>63.39</v>
      </c>
      <c r="C537">
        <v>63.394000000000005</v>
      </c>
      <c r="D537">
        <v>70.319999999999993</v>
      </c>
      <c r="E537">
        <v>70.318533627572762</v>
      </c>
      <c r="F537">
        <v>391.74</v>
      </c>
      <c r="G537">
        <v>391.74322299999994</v>
      </c>
      <c r="H537">
        <v>5297.84</v>
      </c>
      <c r="I537">
        <v>5297.8365799999992</v>
      </c>
    </row>
    <row r="538" spans="1:9" x14ac:dyDescent="0.3">
      <c r="A538" t="s">
        <v>939</v>
      </c>
      <c r="B538" s="43">
        <v>79.25</v>
      </c>
      <c r="C538">
        <v>79.253800000000012</v>
      </c>
      <c r="D538">
        <v>87.91</v>
      </c>
      <c r="E538">
        <v>87.910701334715071</v>
      </c>
      <c r="F538">
        <v>489.75</v>
      </c>
      <c r="G538">
        <v>489.74885710000001</v>
      </c>
      <c r="H538">
        <v>6623.24</v>
      </c>
      <c r="I538">
        <v>6623.2400660000003</v>
      </c>
    </row>
    <row r="539" spans="1:9" x14ac:dyDescent="0.3">
      <c r="A539" t="s">
        <v>942</v>
      </c>
      <c r="B539" s="43">
        <v>79.25</v>
      </c>
      <c r="C539">
        <v>79.253800000000012</v>
      </c>
      <c r="D539">
        <v>87.91</v>
      </c>
      <c r="E539">
        <v>87.910701334715071</v>
      </c>
      <c r="F539">
        <v>489.75</v>
      </c>
      <c r="G539">
        <v>489.74885710000001</v>
      </c>
      <c r="H539">
        <v>6623.24</v>
      </c>
      <c r="I539">
        <v>6623.2400660000003</v>
      </c>
    </row>
    <row r="540" spans="1:9" x14ac:dyDescent="0.3">
      <c r="A540" t="s">
        <v>941</v>
      </c>
      <c r="B540" s="43">
        <v>79.25</v>
      </c>
      <c r="C540">
        <v>79.253800000000012</v>
      </c>
      <c r="D540">
        <v>87.91</v>
      </c>
      <c r="E540">
        <v>87.910701334715071</v>
      </c>
      <c r="F540">
        <v>489.75</v>
      </c>
      <c r="G540">
        <v>489.74885710000001</v>
      </c>
      <c r="H540">
        <v>6623.24</v>
      </c>
      <c r="I540">
        <v>6623.2400660000003</v>
      </c>
    </row>
    <row r="541" spans="1:9" x14ac:dyDescent="0.3">
      <c r="A541" t="s">
        <v>944</v>
      </c>
      <c r="B541" s="43">
        <v>79.25</v>
      </c>
      <c r="C541">
        <v>79.253800000000012</v>
      </c>
      <c r="D541">
        <v>87.91</v>
      </c>
      <c r="E541">
        <v>87.910701334715071</v>
      </c>
      <c r="F541">
        <v>489.75</v>
      </c>
      <c r="G541">
        <v>489.74885710000001</v>
      </c>
      <c r="H541">
        <v>6623.24</v>
      </c>
      <c r="I541">
        <v>6623.2400660000003</v>
      </c>
    </row>
    <row r="542" spans="1:9" x14ac:dyDescent="0.3">
      <c r="A542" t="s">
        <v>945</v>
      </c>
      <c r="B542" s="43">
        <v>79.25</v>
      </c>
      <c r="C542">
        <v>79.253800000000012</v>
      </c>
      <c r="D542">
        <v>87.91</v>
      </c>
      <c r="E542">
        <v>87.910701334715071</v>
      </c>
      <c r="F542">
        <v>489.75</v>
      </c>
      <c r="G542">
        <v>489.74885710000001</v>
      </c>
      <c r="H542">
        <v>6623.24</v>
      </c>
      <c r="I542">
        <v>6623.2400660000003</v>
      </c>
    </row>
    <row r="543" spans="1:9" x14ac:dyDescent="0.3">
      <c r="A543" t="s">
        <v>943</v>
      </c>
      <c r="B543" s="43">
        <v>95.11</v>
      </c>
      <c r="C543">
        <v>95.113600000000005</v>
      </c>
      <c r="D543">
        <v>105.5</v>
      </c>
      <c r="E543">
        <v>105.50286904185735</v>
      </c>
      <c r="F543">
        <v>587.75</v>
      </c>
      <c r="G543">
        <v>587.75449119999996</v>
      </c>
      <c r="H543">
        <v>7948.64</v>
      </c>
      <c r="I543">
        <v>7948.6435519999995</v>
      </c>
    </row>
    <row r="544" spans="1:9" x14ac:dyDescent="0.3">
      <c r="A544" t="s">
        <v>949</v>
      </c>
      <c r="B544" s="43">
        <v>110.97</v>
      </c>
      <c r="C544">
        <v>110.97280000000001</v>
      </c>
      <c r="D544">
        <v>123.09</v>
      </c>
      <c r="E544">
        <v>123.09437121093333</v>
      </c>
      <c r="F544">
        <v>685.76</v>
      </c>
      <c r="G544">
        <v>685.75641759999996</v>
      </c>
      <c r="H544">
        <v>9274</v>
      </c>
      <c r="I544">
        <v>9273.9968959999987</v>
      </c>
    </row>
    <row r="545" spans="1:9" x14ac:dyDescent="0.3">
      <c r="A545" t="s">
        <v>947</v>
      </c>
      <c r="B545" s="43">
        <v>95.11</v>
      </c>
      <c r="C545">
        <v>95.113600000000005</v>
      </c>
      <c r="D545">
        <v>105.5</v>
      </c>
      <c r="E545">
        <v>105.50286904185735</v>
      </c>
      <c r="F545">
        <v>587.75</v>
      </c>
      <c r="G545">
        <v>587.75449119999996</v>
      </c>
      <c r="H545">
        <v>7948.64</v>
      </c>
      <c r="I545">
        <v>7948.6435519999995</v>
      </c>
    </row>
    <row r="546" spans="1:9" x14ac:dyDescent="0.3">
      <c r="A546" t="s">
        <v>946</v>
      </c>
      <c r="B546" s="43">
        <v>95.11</v>
      </c>
      <c r="C546">
        <v>95.113600000000005</v>
      </c>
      <c r="D546">
        <v>105.5</v>
      </c>
      <c r="E546">
        <v>105.50286904185735</v>
      </c>
      <c r="F546">
        <v>587.75</v>
      </c>
      <c r="G546">
        <v>587.75449119999996</v>
      </c>
      <c r="H546">
        <v>7948.64</v>
      </c>
      <c r="I546">
        <v>7948.6435519999995</v>
      </c>
    </row>
    <row r="547" spans="1:9" x14ac:dyDescent="0.3">
      <c r="A547" t="s">
        <v>950</v>
      </c>
      <c r="B547" s="43">
        <v>126.81</v>
      </c>
      <c r="C547">
        <v>126.80619999999999</v>
      </c>
      <c r="D547">
        <v>140.66</v>
      </c>
      <c r="E547">
        <v>140.65725524315735</v>
      </c>
      <c r="F547">
        <v>783.6</v>
      </c>
      <c r="G547">
        <v>783.59891289999985</v>
      </c>
      <c r="H547">
        <v>10597.19</v>
      </c>
      <c r="I547">
        <v>10597.194133999999</v>
      </c>
    </row>
    <row r="548" spans="1:9" x14ac:dyDescent="0.3">
      <c r="A548" t="s">
        <v>952</v>
      </c>
      <c r="B548" s="43">
        <v>110.97</v>
      </c>
      <c r="C548">
        <v>110.97280000000001</v>
      </c>
      <c r="D548">
        <v>123.09</v>
      </c>
      <c r="E548">
        <v>123.09437121093333</v>
      </c>
      <c r="F548">
        <v>685.76</v>
      </c>
      <c r="G548">
        <v>685.75641759999996</v>
      </c>
      <c r="H548">
        <v>9274</v>
      </c>
      <c r="I548">
        <v>9273.9968959999987</v>
      </c>
    </row>
    <row r="549" spans="1:9" x14ac:dyDescent="0.3">
      <c r="A549" t="s">
        <v>953</v>
      </c>
      <c r="B549" s="43">
        <v>110.97</v>
      </c>
      <c r="C549">
        <v>110.97280000000001</v>
      </c>
      <c r="D549">
        <v>123.09</v>
      </c>
      <c r="E549">
        <v>123.09437121093333</v>
      </c>
      <c r="F549">
        <v>685.76</v>
      </c>
      <c r="G549">
        <v>685.75641759999996</v>
      </c>
      <c r="H549">
        <v>9274</v>
      </c>
      <c r="I549">
        <v>9273.9968959999987</v>
      </c>
    </row>
    <row r="550" spans="1:9" x14ac:dyDescent="0.3">
      <c r="A550" t="s">
        <v>951</v>
      </c>
      <c r="B550" s="43">
        <v>58.11</v>
      </c>
      <c r="C550">
        <v>58.107399999999998</v>
      </c>
      <c r="D550">
        <v>64.45</v>
      </c>
      <c r="E550">
        <v>64.454477725192007</v>
      </c>
      <c r="F550">
        <v>359.07</v>
      </c>
      <c r="G550">
        <v>359.07467829999996</v>
      </c>
      <c r="H550">
        <v>4856.04</v>
      </c>
      <c r="I550">
        <v>4856.0354179999995</v>
      </c>
    </row>
    <row r="551" spans="1:9" x14ac:dyDescent="0.3">
      <c r="A551" t="s">
        <v>956</v>
      </c>
      <c r="B551" s="43">
        <v>89.83</v>
      </c>
      <c r="C551">
        <v>89.826999999999998</v>
      </c>
      <c r="D551">
        <v>99.64</v>
      </c>
      <c r="E551">
        <v>99.638813139476582</v>
      </c>
      <c r="F551">
        <v>555.09</v>
      </c>
      <c r="G551">
        <v>555.08594649999998</v>
      </c>
      <c r="H551">
        <v>7506.84</v>
      </c>
      <c r="I551">
        <v>7506.8423899999989</v>
      </c>
    </row>
    <row r="552" spans="1:9" x14ac:dyDescent="0.3">
      <c r="A552" t="s">
        <v>969</v>
      </c>
      <c r="B552" s="43">
        <v>73.97</v>
      </c>
      <c r="C552">
        <v>73.967200000000005</v>
      </c>
      <c r="D552">
        <v>82.05</v>
      </c>
      <c r="E552">
        <v>82.046645432334302</v>
      </c>
      <c r="F552">
        <v>457.08</v>
      </c>
      <c r="G552">
        <v>457.08031239999997</v>
      </c>
      <c r="H552">
        <v>6181.44</v>
      </c>
      <c r="I552">
        <v>6181.4389039999996</v>
      </c>
    </row>
    <row r="553" spans="1:9" x14ac:dyDescent="0.3">
      <c r="A553" t="s">
        <v>955</v>
      </c>
      <c r="B553" s="43">
        <v>39.619999999999997</v>
      </c>
      <c r="C553">
        <v>39.615600000000001</v>
      </c>
      <c r="D553">
        <v>43.94</v>
      </c>
      <c r="E553">
        <v>43.942816367108428</v>
      </c>
      <c r="F553">
        <v>244.8</v>
      </c>
      <c r="G553">
        <v>244.80460019999998</v>
      </c>
      <c r="H553">
        <v>3310.68</v>
      </c>
      <c r="I553">
        <v>3310.6756919999998</v>
      </c>
    </row>
    <row r="554" spans="1:9" x14ac:dyDescent="0.3">
      <c r="A554" t="s">
        <v>971</v>
      </c>
      <c r="B554" s="43">
        <v>166.4</v>
      </c>
      <c r="C554">
        <v>166.40019999999998</v>
      </c>
      <c r="D554">
        <v>184.58</v>
      </c>
      <c r="E554">
        <v>184.57575839547286</v>
      </c>
      <c r="F554">
        <v>1028.27</v>
      </c>
      <c r="G554">
        <v>1028.2680646394997</v>
      </c>
      <c r="H554">
        <v>13906.04</v>
      </c>
      <c r="I554">
        <v>13906.038055169998</v>
      </c>
    </row>
    <row r="555" spans="1:9" x14ac:dyDescent="0.3">
      <c r="A555" t="s">
        <v>970</v>
      </c>
      <c r="B555" s="43">
        <v>55.48</v>
      </c>
      <c r="C555">
        <v>55.475400000000008</v>
      </c>
      <c r="D555">
        <v>61.53</v>
      </c>
      <c r="E555">
        <v>61.53498407425073</v>
      </c>
      <c r="F555">
        <v>342.81</v>
      </c>
      <c r="G555">
        <v>342.81023429999999</v>
      </c>
      <c r="H555">
        <v>4636.08</v>
      </c>
      <c r="I555">
        <v>4636.079178</v>
      </c>
    </row>
    <row r="556" spans="1:9" x14ac:dyDescent="0.3">
      <c r="A556" t="s">
        <v>954</v>
      </c>
      <c r="B556" s="43">
        <v>150.57</v>
      </c>
      <c r="C556">
        <v>150.5668</v>
      </c>
      <c r="D556">
        <v>167.01</v>
      </c>
      <c r="E556">
        <v>167.01287436324884</v>
      </c>
      <c r="F556">
        <v>930.43</v>
      </c>
      <c r="G556">
        <v>930.42556933949993</v>
      </c>
      <c r="H556">
        <v>12582.84</v>
      </c>
      <c r="I556">
        <v>12582.840817169999</v>
      </c>
    </row>
    <row r="557" spans="1:9" x14ac:dyDescent="0.3">
      <c r="A557" t="s">
        <v>957</v>
      </c>
      <c r="B557" s="43">
        <v>372.56</v>
      </c>
      <c r="C557">
        <v>372.55599999999998</v>
      </c>
      <c r="D557">
        <v>413.25</v>
      </c>
      <c r="E557">
        <v>413.2503330623403</v>
      </c>
      <c r="F557">
        <v>2302.21</v>
      </c>
      <c r="G557">
        <v>2302.2098019999999</v>
      </c>
      <c r="H557">
        <v>31134.5</v>
      </c>
      <c r="I557">
        <v>31134.504919999996</v>
      </c>
    </row>
    <row r="558" spans="1:9" x14ac:dyDescent="0.3">
      <c r="A558" t="s">
        <v>958</v>
      </c>
      <c r="B558" s="43">
        <v>372.56</v>
      </c>
      <c r="C558">
        <v>372.55599999999998</v>
      </c>
      <c r="D558">
        <v>413.25</v>
      </c>
      <c r="E558">
        <v>413.2503330623403</v>
      </c>
      <c r="F558">
        <v>2302.21</v>
      </c>
      <c r="G558">
        <v>2302.2098019999999</v>
      </c>
      <c r="H558">
        <v>31134.5</v>
      </c>
      <c r="I558">
        <v>31134.504919999996</v>
      </c>
    </row>
    <row r="559" spans="1:9" x14ac:dyDescent="0.3">
      <c r="A559" t="s">
        <v>972</v>
      </c>
      <c r="B559" s="43">
        <v>198.17</v>
      </c>
      <c r="C559">
        <v>198.16720000000001</v>
      </c>
      <c r="D559">
        <v>219.81</v>
      </c>
      <c r="E559">
        <v>219.81302516140232</v>
      </c>
      <c r="F559">
        <v>1224.57</v>
      </c>
      <c r="G559">
        <v>1224.5742124000001</v>
      </c>
      <c r="H559">
        <v>16560.830000000002</v>
      </c>
      <c r="I559">
        <v>16560.832903999999</v>
      </c>
    </row>
    <row r="560" spans="1:9" x14ac:dyDescent="0.3">
      <c r="A560" t="s">
        <v>974</v>
      </c>
      <c r="B560" s="43">
        <v>198.17</v>
      </c>
      <c r="C560">
        <v>198.16720000000001</v>
      </c>
      <c r="D560">
        <v>219.81</v>
      </c>
      <c r="E560">
        <v>219.81302516140232</v>
      </c>
      <c r="F560">
        <v>1224.57</v>
      </c>
      <c r="G560">
        <v>1224.5742124000001</v>
      </c>
      <c r="H560">
        <v>16560.830000000002</v>
      </c>
      <c r="I560">
        <v>16560.832903999999</v>
      </c>
    </row>
    <row r="561" spans="1:9" x14ac:dyDescent="0.3">
      <c r="A561" t="s">
        <v>959</v>
      </c>
      <c r="B561" s="43">
        <v>404.18</v>
      </c>
      <c r="C561">
        <v>404.17760000000004</v>
      </c>
      <c r="D561">
        <v>448.33</v>
      </c>
      <c r="E561">
        <v>448.32596392579194</v>
      </c>
      <c r="F561">
        <v>2497.62</v>
      </c>
      <c r="G561">
        <v>2497.6154792000002</v>
      </c>
      <c r="H561">
        <v>33777.120000000003</v>
      </c>
      <c r="I561">
        <v>33777.122031999999</v>
      </c>
    </row>
    <row r="562" spans="1:9" x14ac:dyDescent="0.3">
      <c r="A562" t="s">
        <v>961</v>
      </c>
      <c r="B562" s="43">
        <v>285.3</v>
      </c>
      <c r="C562">
        <v>285.29660000000001</v>
      </c>
      <c r="D562">
        <v>316.45999999999998</v>
      </c>
      <c r="E562">
        <v>316.45957915468614</v>
      </c>
      <c r="F562">
        <v>1762.99</v>
      </c>
      <c r="G562">
        <v>1762.9903397</v>
      </c>
      <c r="H562">
        <v>23842.240000000002</v>
      </c>
      <c r="I562">
        <v>23842.236861999998</v>
      </c>
    </row>
    <row r="563" spans="1:9" x14ac:dyDescent="0.3">
      <c r="A563" t="s">
        <v>960</v>
      </c>
      <c r="B563" s="43">
        <v>285.3</v>
      </c>
      <c r="C563">
        <v>285.29660000000001</v>
      </c>
      <c r="D563">
        <v>316.45999999999998</v>
      </c>
      <c r="E563">
        <v>316.45957915468614</v>
      </c>
      <c r="F563">
        <v>1762.99</v>
      </c>
      <c r="G563">
        <v>1762.9903397</v>
      </c>
      <c r="H563">
        <v>23842.240000000002</v>
      </c>
      <c r="I563">
        <v>23842.236861999998</v>
      </c>
    </row>
    <row r="564" spans="1:9" x14ac:dyDescent="0.3">
      <c r="A564" t="s">
        <v>973</v>
      </c>
      <c r="B564" s="43">
        <v>641.94000000000005</v>
      </c>
      <c r="C564">
        <v>641.93960000000004</v>
      </c>
      <c r="D564">
        <v>712.06</v>
      </c>
      <c r="E564">
        <v>712.05873346800342</v>
      </c>
      <c r="F564">
        <v>3966.87</v>
      </c>
      <c r="G564">
        <v>3966.8657582000005</v>
      </c>
      <c r="H564">
        <v>53646.89</v>
      </c>
      <c r="I564">
        <v>53646.892372000002</v>
      </c>
    </row>
    <row r="565" spans="1:9" x14ac:dyDescent="0.3">
      <c r="A565" t="s">
        <v>609</v>
      </c>
      <c r="B565" s="43">
        <v>372.56</v>
      </c>
      <c r="C565">
        <v>372.55599999999998</v>
      </c>
      <c r="D565">
        <v>413.25</v>
      </c>
      <c r="E565">
        <v>413.2503330623403</v>
      </c>
      <c r="F565">
        <v>2302.21</v>
      </c>
      <c r="G565">
        <v>2302.2098019999999</v>
      </c>
      <c r="H565">
        <v>31134.5</v>
      </c>
      <c r="I565">
        <v>31134.504919999996</v>
      </c>
    </row>
    <row r="566" spans="1:9" x14ac:dyDescent="0.3">
      <c r="A566" t="s">
        <v>504</v>
      </c>
      <c r="B566" s="43">
        <v>546.94000000000005</v>
      </c>
      <c r="C566">
        <v>546.9448000000001</v>
      </c>
      <c r="D566">
        <v>606.69000000000005</v>
      </c>
      <c r="E566">
        <v>606.68764096327823</v>
      </c>
      <c r="F566">
        <v>3379.85</v>
      </c>
      <c r="G566">
        <v>3379.8453915999999</v>
      </c>
      <c r="H566">
        <v>45708.18</v>
      </c>
      <c r="I566">
        <v>45708.176935999996</v>
      </c>
    </row>
    <row r="567" spans="1:9" x14ac:dyDescent="0.3">
      <c r="A567" t="s">
        <v>621</v>
      </c>
      <c r="B567" s="43">
        <v>435.89</v>
      </c>
      <c r="C567">
        <v>435.88959999999992</v>
      </c>
      <c r="D567">
        <v>483.5</v>
      </c>
      <c r="E567">
        <v>483.50186919123638</v>
      </c>
      <c r="F567">
        <v>2693.58</v>
      </c>
      <c r="G567">
        <v>2693.5797831999994</v>
      </c>
      <c r="H567">
        <v>36427.29</v>
      </c>
      <c r="I567">
        <v>36427.293871999995</v>
      </c>
    </row>
    <row r="568" spans="1:9" x14ac:dyDescent="0.3">
      <c r="A568" t="s">
        <v>510</v>
      </c>
      <c r="B568" s="43">
        <v>641.95000000000005</v>
      </c>
      <c r="C568">
        <v>641.9452</v>
      </c>
      <c r="D568">
        <v>712.06</v>
      </c>
      <c r="E568">
        <v>712.06494515662234</v>
      </c>
      <c r="F568">
        <v>3966.9</v>
      </c>
      <c r="G568">
        <v>3966.9003633999992</v>
      </c>
      <c r="H568">
        <v>53647.360000000001</v>
      </c>
      <c r="I568">
        <v>53647.360363999993</v>
      </c>
    </row>
    <row r="569" spans="1:9" x14ac:dyDescent="0.3">
      <c r="A569" t="s">
        <v>700</v>
      </c>
      <c r="B569" s="43">
        <v>285.36</v>
      </c>
      <c r="C569">
        <v>285.36160000000001</v>
      </c>
      <c r="D569">
        <v>316.52999999999997</v>
      </c>
      <c r="E569">
        <v>316.53167911187131</v>
      </c>
      <c r="F569">
        <v>1763.39</v>
      </c>
      <c r="G569">
        <v>1763.3920072000001</v>
      </c>
      <c r="H569">
        <v>23847.67</v>
      </c>
      <c r="I569">
        <v>23847.668911999997</v>
      </c>
    </row>
    <row r="570" spans="1:9" x14ac:dyDescent="0.3">
      <c r="A570" t="s">
        <v>740</v>
      </c>
      <c r="B570" s="43">
        <v>298.52</v>
      </c>
      <c r="C570">
        <v>298.51919999999996</v>
      </c>
      <c r="D570">
        <v>331.13</v>
      </c>
      <c r="E570">
        <v>331.12648521431237</v>
      </c>
      <c r="F570">
        <v>1844.7</v>
      </c>
      <c r="G570">
        <v>1844.6993963999998</v>
      </c>
      <c r="H570">
        <v>24947.25</v>
      </c>
      <c r="I570">
        <v>24947.249543999995</v>
      </c>
    </row>
    <row r="571" spans="1:9" x14ac:dyDescent="0.3">
      <c r="A571" t="s">
        <v>704</v>
      </c>
      <c r="B571" s="43">
        <v>285.36</v>
      </c>
      <c r="C571">
        <v>285.36160000000001</v>
      </c>
      <c r="D571">
        <v>316.52999999999997</v>
      </c>
      <c r="E571">
        <v>316.53167911187131</v>
      </c>
      <c r="F571">
        <v>1763.39</v>
      </c>
      <c r="G571">
        <v>1763.3920072000001</v>
      </c>
      <c r="H571">
        <v>23847.67</v>
      </c>
      <c r="I571">
        <v>23847.668911999997</v>
      </c>
    </row>
    <row r="572" spans="1:9" x14ac:dyDescent="0.3">
      <c r="A572" t="s">
        <v>762</v>
      </c>
      <c r="B572" s="43">
        <v>153.22</v>
      </c>
      <c r="C572">
        <v>153.221</v>
      </c>
      <c r="D572">
        <v>169.96</v>
      </c>
      <c r="E572">
        <v>169.95734676704936</v>
      </c>
      <c r="F572">
        <v>946.83</v>
      </c>
      <c r="G572">
        <v>946.82916949999992</v>
      </c>
      <c r="H572">
        <v>12804.68</v>
      </c>
      <c r="I572">
        <v>12804.678969999999</v>
      </c>
    </row>
    <row r="573" spans="1:9" x14ac:dyDescent="0.3">
      <c r="A573" t="s">
        <v>777</v>
      </c>
      <c r="B573" s="43">
        <v>227.23</v>
      </c>
      <c r="C573">
        <v>227.23200000000003</v>
      </c>
      <c r="D573">
        <v>252.05</v>
      </c>
      <c r="E573">
        <v>252.05257647822532</v>
      </c>
      <c r="F573">
        <v>1404.18</v>
      </c>
      <c r="G573">
        <v>1404.1801439999999</v>
      </c>
      <c r="H573">
        <v>18989.78</v>
      </c>
      <c r="I573">
        <v>18989.778239999996</v>
      </c>
    </row>
    <row r="574" spans="1:9" x14ac:dyDescent="0.3">
      <c r="A574" t="s">
        <v>791</v>
      </c>
      <c r="B574" s="43">
        <v>364.55</v>
      </c>
      <c r="C574">
        <v>364.54820000000001</v>
      </c>
      <c r="D574">
        <v>404.37</v>
      </c>
      <c r="E574">
        <v>404.36784018315802</v>
      </c>
      <c r="F574">
        <v>2252.73</v>
      </c>
      <c r="G574">
        <v>2252.7256018999997</v>
      </c>
      <c r="H574">
        <v>30465.29</v>
      </c>
      <c r="I574">
        <v>30465.293073999997</v>
      </c>
    </row>
    <row r="575" spans="1:9" x14ac:dyDescent="0.3">
      <c r="A575" t="s">
        <v>856</v>
      </c>
      <c r="B575" s="43">
        <v>285.3</v>
      </c>
      <c r="C575">
        <v>285.29660000000001</v>
      </c>
      <c r="D575">
        <v>316.45999999999998</v>
      </c>
      <c r="E575">
        <v>316.45957915468614</v>
      </c>
      <c r="F575">
        <v>1762.99</v>
      </c>
      <c r="G575">
        <v>1762.9903397</v>
      </c>
      <c r="H575">
        <v>23842.240000000002</v>
      </c>
      <c r="I575">
        <v>23842.236861999998</v>
      </c>
    </row>
    <row r="576" spans="1:9" x14ac:dyDescent="0.3">
      <c r="A576" t="s">
        <v>795</v>
      </c>
      <c r="B576" s="43">
        <v>261.52</v>
      </c>
      <c r="C576">
        <v>261.51800000000003</v>
      </c>
      <c r="D576">
        <v>290.08</v>
      </c>
      <c r="E576">
        <v>290.08319724353964</v>
      </c>
      <c r="F576">
        <v>1616.05</v>
      </c>
      <c r="G576">
        <v>1616.0480141435999</v>
      </c>
      <c r="H576">
        <v>21855.03</v>
      </c>
      <c r="I576">
        <v>21855.025898855998</v>
      </c>
    </row>
    <row r="577" spans="1:9" x14ac:dyDescent="0.3">
      <c r="A577" t="s">
        <v>824</v>
      </c>
      <c r="B577" s="43">
        <v>388.32</v>
      </c>
      <c r="C577">
        <v>388.31999999999994</v>
      </c>
      <c r="D577">
        <v>430.74</v>
      </c>
      <c r="E577">
        <v>430.73568301906766</v>
      </c>
      <c r="F577">
        <v>2399.62</v>
      </c>
      <c r="G577">
        <v>2399.6203564294997</v>
      </c>
      <c r="H577">
        <v>32451.86</v>
      </c>
      <c r="I577">
        <v>32451.860698569995</v>
      </c>
    </row>
    <row r="578" spans="1:9" x14ac:dyDescent="0.3">
      <c r="A578" t="s">
        <v>899</v>
      </c>
      <c r="B578" s="43">
        <v>169.1</v>
      </c>
      <c r="C578">
        <v>169.10240000000002</v>
      </c>
      <c r="D578">
        <v>187.57</v>
      </c>
      <c r="E578">
        <v>187.57347384457933</v>
      </c>
      <c r="F578">
        <v>1044.97</v>
      </c>
      <c r="G578">
        <v>1044.9682808</v>
      </c>
      <c r="H578">
        <v>14131.89</v>
      </c>
      <c r="I578">
        <v>14131.887568</v>
      </c>
    </row>
    <row r="579" spans="1:9" x14ac:dyDescent="0.3">
      <c r="A579" t="s">
        <v>938</v>
      </c>
      <c r="B579" s="43">
        <v>79.25</v>
      </c>
      <c r="C579">
        <v>79.253800000000012</v>
      </c>
      <c r="D579">
        <v>87.91</v>
      </c>
      <c r="E579">
        <v>87.910701334715071</v>
      </c>
      <c r="F579">
        <v>489.75</v>
      </c>
      <c r="G579">
        <v>489.74885710000001</v>
      </c>
      <c r="H579">
        <v>6623.24</v>
      </c>
      <c r="I579">
        <v>6623.2400660000003</v>
      </c>
    </row>
    <row r="580" spans="1:9" x14ac:dyDescent="0.3">
      <c r="A580" t="s">
        <v>948</v>
      </c>
      <c r="B580" s="43">
        <v>158.52000000000001</v>
      </c>
      <c r="C580">
        <v>158.51859999999999</v>
      </c>
      <c r="D580">
        <v>175.83</v>
      </c>
      <c r="E580">
        <v>175.83343814889849</v>
      </c>
      <c r="F580">
        <v>979.56</v>
      </c>
      <c r="G580">
        <v>979.56476362884996</v>
      </c>
      <c r="H580">
        <v>13247.39</v>
      </c>
      <c r="I580">
        <v>13247.386891570997</v>
      </c>
    </row>
    <row r="581" spans="1:9" x14ac:dyDescent="0.3">
      <c r="A581" t="s">
        <v>975</v>
      </c>
      <c r="B581" s="43">
        <v>523.05999999999995</v>
      </c>
      <c r="C581">
        <v>523.05859999999996</v>
      </c>
      <c r="D581">
        <v>580.19000000000005</v>
      </c>
      <c r="E581">
        <v>580.19234869689762</v>
      </c>
      <c r="F581">
        <v>3232.24</v>
      </c>
      <c r="G581">
        <v>3232.2406187000001</v>
      </c>
      <c r="H581">
        <v>43712.01</v>
      </c>
      <c r="I581">
        <v>43712.007202000001</v>
      </c>
    </row>
    <row r="582" spans="1:9" x14ac:dyDescent="0.3">
      <c r="A582" t="s">
        <v>771</v>
      </c>
      <c r="B582" s="43">
        <v>227.23</v>
      </c>
      <c r="C582">
        <v>227.23200000000003</v>
      </c>
      <c r="D582">
        <v>252.05</v>
      </c>
      <c r="E582">
        <v>252.05257647822532</v>
      </c>
      <c r="F582">
        <v>1404.18</v>
      </c>
      <c r="G582">
        <v>1404.1801439999999</v>
      </c>
      <c r="H582">
        <v>18989.78</v>
      </c>
      <c r="I582">
        <v>18989.778239999996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b3764de-d77e-46e9-b8ab-67618f655149" xsi:nil="true"/>
    <lcf76f155ced4ddcb4097134ff3c332f xmlns="21230d39-7673-4100-ac72-63fcb55cb7aa">
      <Terms xmlns="http://schemas.microsoft.com/office/infopath/2007/PartnerControls"/>
    </lcf76f155ced4ddcb4097134ff3c332f>
    <SharedWithUsers xmlns="cb3764de-d77e-46e9-b8ab-67618f655149">
      <UserInfo>
        <DisplayName>Winer, Scott</DisplayName>
        <AccountId>33</AccountId>
        <AccountType/>
      </UserInfo>
      <UserInfo>
        <DisplayName>Taylor, Donna</DisplayName>
        <AccountId>50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E095F99A06AC48B658E610AADC5BA9" ma:contentTypeVersion="17" ma:contentTypeDescription="Create a new document." ma:contentTypeScope="" ma:versionID="c463aa7c80e9a5b8f976c2c7279c1c5a">
  <xsd:schema xmlns:xsd="http://www.w3.org/2001/XMLSchema" xmlns:xs="http://www.w3.org/2001/XMLSchema" xmlns:p="http://schemas.microsoft.com/office/2006/metadata/properties" xmlns:ns2="21230d39-7673-4100-ac72-63fcb55cb7aa" xmlns:ns3="cb3764de-d77e-46e9-b8ab-67618f655149" targetNamespace="http://schemas.microsoft.com/office/2006/metadata/properties" ma:root="true" ma:fieldsID="52019f7bc9ba3cb4ddc5dd3115b5b364" ns2:_="" ns3:_="">
    <xsd:import namespace="21230d39-7673-4100-ac72-63fcb55cb7aa"/>
    <xsd:import namespace="cb3764de-d77e-46e9-b8ab-67618f6551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230d39-7673-4100-ac72-63fcb55cb7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61afc70-17ef-48e8-9522-1fbc9f28ec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3764de-d77e-46e9-b8ab-67618f65514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eb54ec9-3ce9-4841-b437-458e1297d1e1}" ma:internalName="TaxCatchAll" ma:showField="CatchAllData" ma:web="cb3764de-d77e-46e9-b8ab-67618f65514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D4EA75-177A-47F8-B549-7DCCF6292D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DA4A87-F7BE-4685-930C-13CE85515F8D}">
  <ds:schemaRefs>
    <ds:schemaRef ds:uri="http://schemas.microsoft.com/office/2006/metadata/properties"/>
    <ds:schemaRef ds:uri="http://schemas.microsoft.com/office/infopath/2007/PartnerControls"/>
    <ds:schemaRef ds:uri="cb3764de-d77e-46e9-b8ab-67618f655149"/>
    <ds:schemaRef ds:uri="21230d39-7673-4100-ac72-63fcb55cb7aa"/>
  </ds:schemaRefs>
</ds:datastoreItem>
</file>

<file path=customXml/itemProps3.xml><?xml version="1.0" encoding="utf-8"?>
<ds:datastoreItem xmlns:ds="http://schemas.openxmlformats.org/officeDocument/2006/customXml" ds:itemID="{1D1772AE-798A-417F-B943-54A5946C1C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230d39-7673-4100-ac72-63fcb55cb7aa"/>
    <ds:schemaRef ds:uri="cb3764de-d77e-46e9-b8ab-67618f6551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36</vt:i4>
      </vt:variant>
    </vt:vector>
  </HeadingPairs>
  <TitlesOfParts>
    <vt:vector size="47" baseType="lpstr">
      <vt:lpstr>Pricing</vt:lpstr>
      <vt:lpstr>Increase</vt:lpstr>
      <vt:lpstr>Euro Web Results</vt:lpstr>
      <vt:lpstr>Euro Comparison</vt:lpstr>
      <vt:lpstr>Yuan Web Results</vt:lpstr>
      <vt:lpstr>Rupee Comparison</vt:lpstr>
      <vt:lpstr>Rupee Web Results</vt:lpstr>
      <vt:lpstr>Yuan Comparison</vt:lpstr>
      <vt:lpstr>USD Web Results</vt:lpstr>
      <vt:lpstr>USD Comparison</vt:lpstr>
      <vt:lpstr>Final Comparison</vt:lpstr>
      <vt:lpstr>'Euro Web Results'!ExternalData_1</vt:lpstr>
      <vt:lpstr>'Rupee Web Results'!ExternalData_1</vt:lpstr>
      <vt:lpstr>'USD Web Results'!ExternalData_1</vt:lpstr>
      <vt:lpstr>'Yuan Web Results'!ExternalData_1</vt:lpstr>
      <vt:lpstr>'Euro Web Results'!ExternalData_10</vt:lpstr>
      <vt:lpstr>'Euro Web Results'!ExternalData_11</vt:lpstr>
      <vt:lpstr>'Euro Web Results'!ExternalData_12</vt:lpstr>
      <vt:lpstr>'Euro Web Results'!ExternalData_13</vt:lpstr>
      <vt:lpstr>'Euro Web Results'!ExternalData_14</vt:lpstr>
      <vt:lpstr>'Euro Web Results'!ExternalData_15</vt:lpstr>
      <vt:lpstr>'Euro Web Results'!ExternalData_16</vt:lpstr>
      <vt:lpstr>'Euro Web Results'!ExternalData_17</vt:lpstr>
      <vt:lpstr>'Euro Web Results'!ExternalData_18</vt:lpstr>
      <vt:lpstr>'Euro Web Results'!ExternalData_19</vt:lpstr>
      <vt:lpstr>'Euro Web Results'!ExternalData_2</vt:lpstr>
      <vt:lpstr>'Rupee Web Results'!ExternalData_2</vt:lpstr>
      <vt:lpstr>'USD Web Results'!ExternalData_2</vt:lpstr>
      <vt:lpstr>'Yuan Web Results'!ExternalData_2</vt:lpstr>
      <vt:lpstr>'Euro Web Results'!ExternalData_20</vt:lpstr>
      <vt:lpstr>'Euro Web Results'!ExternalData_21</vt:lpstr>
      <vt:lpstr>'Euro Web Results'!ExternalData_22</vt:lpstr>
      <vt:lpstr>'Euro Web Results'!ExternalData_3</vt:lpstr>
      <vt:lpstr>'Rupee Web Results'!ExternalData_3</vt:lpstr>
      <vt:lpstr>'USD Web Results'!ExternalData_3</vt:lpstr>
      <vt:lpstr>'Yuan Web Results'!ExternalData_3</vt:lpstr>
      <vt:lpstr>'Euro Web Results'!ExternalData_4</vt:lpstr>
      <vt:lpstr>'USD Web Results'!ExternalData_4</vt:lpstr>
      <vt:lpstr>'Yuan Web Results'!ExternalData_4</vt:lpstr>
      <vt:lpstr>'Euro Web Results'!ExternalData_5</vt:lpstr>
      <vt:lpstr>'USD Web Results'!ExternalData_5</vt:lpstr>
      <vt:lpstr>'Euro Web Results'!ExternalData_6</vt:lpstr>
      <vt:lpstr>'USD Web Results'!ExternalData_6</vt:lpstr>
      <vt:lpstr>'Euro Web Results'!ExternalData_7</vt:lpstr>
      <vt:lpstr>'USD Web Results'!ExternalData_7</vt:lpstr>
      <vt:lpstr>'Euro Web Results'!ExternalData_8</vt:lpstr>
      <vt:lpstr>'Euro Web Results'!ExternalData_9</vt:lpstr>
    </vt:vector>
  </TitlesOfParts>
  <Manager/>
  <Company>Pentair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e1232165</dc:creator>
  <cp:keywords/>
  <dc:description/>
  <cp:lastModifiedBy>Skocic, David</cp:lastModifiedBy>
  <cp:revision/>
  <dcterms:created xsi:type="dcterms:W3CDTF">2022-12-08T01:25:06Z</dcterms:created>
  <dcterms:modified xsi:type="dcterms:W3CDTF">2024-07-12T18:13:10Z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0x01010074E095F99A06AC48B658E610AADC5BA9</vt:lpwstr>
  </property>
  <property fmtid="{D5CDD505-2E9C-101B-9397-08002B2CF9AE}" pid="3" name="MediaServiceImageTags">
    <vt:lpwstr/>
  </property>
</Properties>
</file>