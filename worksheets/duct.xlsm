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5736" documentId="8_{AB314067-4635-442B-86C2-C610EE95806E}" xr6:coauthVersionLast="47" xr6:coauthVersionMax="47" xr10:uidLastSave="{8E772580-B4D4-455D-A187-A48086CFA6B3}"/>
  <bookViews>
    <workbookView xWindow="-108" yWindow="-108" windowWidth="23256" windowHeight="12456" tabRatio="757" activeTab="1" xr2:uid="{5AE9A327-56C9-4D44-A1D7-B2A946B1E1BB}"/>
  </bookViews>
  <sheets>
    <sheet name="Inputs" sheetId="7" r:id="rId1"/>
    <sheet name="Testing" sheetId="16" r:id="rId2"/>
    <sheet name="Website Tests" sheetId="23" r:id="rId3"/>
    <sheet name="Excel Tests" sheetId="18" r:id="rId4"/>
    <sheet name="Calculations" sheetId="6" r:id="rId5"/>
    <sheet name="Duct Calcs for Span" sheetId="15" r:id="rId6"/>
    <sheet name="Strut loads" sheetId="4" r:id="rId7"/>
    <sheet name="Duct gauge weights" sheetId="8" r:id="rId8"/>
    <sheet name="Pictures" sheetId="9" state="hidden" r:id="rId9"/>
    <sheet name="Strut loadsAltered" sheetId="13" state="hidden" r:id="rId10"/>
    <sheet name="Hanger_list" sheetId="2" state="hidden" r:id="rId11"/>
    <sheet name="Quoting tool" sheetId="11" state="hidden" r:id="rId12"/>
    <sheet name="Pallet and shipping info" sheetId="12" state="hidden" r:id="rId13"/>
    <sheet name="reference tables" sheetId="5" r:id="rId14"/>
    <sheet name="H-frame item list" sheetId="1" state="hidden" r:id="rId15"/>
  </sheets>
  <functionGroups builtInGroupCount="19"/>
  <externalReferences>
    <externalReference r:id="rId16"/>
  </externalReferences>
  <definedNames>
    <definedName name="_xlnm._FilterDatabase" localSheetId="3" hidden="1">'Excel Tests'!$A$1:$O$101</definedName>
    <definedName name="city" localSheetId="1">[1]Inputs!#REF!</definedName>
    <definedName name="city">Inputs!#REF!</definedName>
    <definedName name="DWGLookup" localSheetId="1">_xlfn.XLOOKUP([1]Pictures!$E$2,[1]Pictures!$A$2:$A$6,[1]Pictures!$B$2:$B$6)</definedName>
    <definedName name="DWGLookup">_xlfn.XLOOKUP(Pictures!$E$2,Pictures!$A$2:$A$6,Pictures!$B$2:$B$6)</definedName>
    <definedName name="ExternalData_1" localSheetId="2">'Website Tests'!$A$1:$O$18</definedName>
    <definedName name="ExternalData_2" localSheetId="2">'Website Tests'!$A$1:$O$18</definedName>
    <definedName name="ExternalData_3" localSheetId="2">'Website Tests'!$A$1:$O$101</definedName>
    <definedName name="ExternalData_4" localSheetId="2">'Website Tests'!$A$1:$O$101</definedName>
    <definedName name="ExternalData_5" localSheetId="2">'Website Tests'!$A$1:$O$101</definedName>
    <definedName name="ExternalData_6" localSheetId="2">'Website Tests'!$A$1:$O$107</definedName>
    <definedName name="state" localSheetId="1">[1]Inputs!#REF!</definedName>
    <definedName name="state">Inputs!#REF!</definedName>
    <definedName name="street_address" localSheetId="1">[1]Inputs!#REF!</definedName>
    <definedName name="street_address">Inputs!#REF!</definedName>
    <definedName name="zip" localSheetId="1">[1]Inputs!#REF!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 l="1"/>
  <c r="H6" i="8" s="1"/>
  <c r="B2" i="6" l="1"/>
  <c r="B3" i="6"/>
  <c r="B4" i="6"/>
  <c r="B5" i="6"/>
  <c r="G29" i="4" s="1"/>
  <c r="B6" i="6"/>
  <c r="B7" i="6"/>
  <c r="A103" i="15"/>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98" i="15"/>
  <c r="A99" i="15" s="1"/>
  <c r="A100" i="15" s="1"/>
  <c r="A101" i="15" s="1"/>
  <c r="A102" i="15" s="1"/>
  <c r="A97" i="15"/>
  <c r="A96" i="15"/>
  <c r="A50" i="15"/>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47" i="15"/>
  <c r="A48" i="15" s="1"/>
  <c r="A49" i="15" s="1"/>
  <c r="A6" i="15"/>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 i="15"/>
  <c r="A5" i="15" s="1"/>
  <c r="A3" i="15"/>
  <c r="B17" i="6" l="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B30" i="6"/>
  <c r="D18" i="7"/>
  <c r="B10" i="6"/>
  <c r="B11" i="6"/>
  <c r="B8" i="6" s="1"/>
  <c r="B12" i="6"/>
  <c r="B13" i="6"/>
  <c r="B14" i="6"/>
  <c r="B15" i="6"/>
  <c r="B16" i="6"/>
  <c r="B28" i="6" s="1"/>
  <c r="B146" i="15" s="1"/>
  <c r="B9" i="6"/>
  <c r="B13" i="7"/>
  <c r="B18" i="7"/>
  <c r="B19" i="7"/>
  <c r="A11" i="7"/>
  <c r="A21" i="7"/>
  <c r="B24" i="7"/>
  <c r="B22" i="7"/>
  <c r="B23" i="7"/>
  <c r="B21" i="7"/>
  <c r="B14" i="7"/>
  <c r="B15" i="7"/>
  <c r="B16" i="7"/>
  <c r="B17" i="7"/>
  <c r="B11" i="7"/>
  <c r="B20" i="6" l="1"/>
  <c r="A41" i="4" s="1"/>
  <c r="B23" i="6"/>
  <c r="B24" i="6" s="1"/>
  <c r="H29" i="4"/>
  <c r="B22" i="6"/>
  <c r="B26" i="6" s="1"/>
  <c r="E17" i="15"/>
  <c r="E26" i="15"/>
  <c r="E19" i="15"/>
  <c r="E3" i="15"/>
  <c r="E27" i="15"/>
  <c r="E30" i="15"/>
  <c r="E31" i="15"/>
  <c r="E34" i="15"/>
  <c r="E36" i="15"/>
  <c r="E16" i="15"/>
  <c r="E23" i="15"/>
  <c r="E25" i="15"/>
  <c r="E4" i="15"/>
  <c r="E28" i="15"/>
  <c r="E7" i="15"/>
  <c r="E18" i="15"/>
  <c r="E20" i="15"/>
  <c r="E5" i="15"/>
  <c r="E29" i="15"/>
  <c r="E6" i="15"/>
  <c r="E35" i="15"/>
  <c r="E21" i="15"/>
  <c r="E8" i="15"/>
  <c r="E32" i="15"/>
  <c r="E9" i="15"/>
  <c r="E33" i="15"/>
  <c r="E10" i="15"/>
  <c r="E12" i="15"/>
  <c r="E40" i="15"/>
  <c r="E42" i="15"/>
  <c r="E11" i="15"/>
  <c r="E13" i="15"/>
  <c r="E37" i="15"/>
  <c r="E14" i="15"/>
  <c r="E38" i="15"/>
  <c r="E15" i="15"/>
  <c r="E39" i="15"/>
  <c r="E41" i="15"/>
  <c r="E2" i="15"/>
  <c r="E22" i="15"/>
  <c r="E24" i="15"/>
  <c r="B25" i="6"/>
  <c r="I8" i="2"/>
  <c r="I7" i="2"/>
  <c r="J8" i="2"/>
  <c r="J9" i="2" s="1"/>
  <c r="J10" i="2" s="1"/>
  <c r="W5" i="1"/>
  <c r="B21" i="6"/>
  <c r="B27" i="6" l="1"/>
  <c r="I6" i="8"/>
  <c r="B32" i="6" s="1"/>
  <c r="L44" i="2" a="1"/>
  <c r="L44" i="2" s="1"/>
  <c r="I9" i="2"/>
  <c r="J11" i="2"/>
  <c r="I10" i="2"/>
  <c r="W6" i="1"/>
  <c r="U3" i="5"/>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B95" i="15" l="1"/>
  <c r="B46" i="15"/>
  <c r="B2" i="15"/>
  <c r="C149" i="15"/>
  <c r="C47" i="15"/>
  <c r="C71" i="15"/>
  <c r="C5" i="15"/>
  <c r="C29" i="15"/>
  <c r="C105" i="15"/>
  <c r="C129" i="15"/>
  <c r="C72" i="15"/>
  <c r="C6" i="15"/>
  <c r="C30" i="15"/>
  <c r="C106" i="15"/>
  <c r="C130" i="15"/>
  <c r="C49" i="15"/>
  <c r="C73" i="15"/>
  <c r="C7" i="15"/>
  <c r="C31" i="15"/>
  <c r="C107" i="15"/>
  <c r="C50" i="15"/>
  <c r="C8" i="15"/>
  <c r="C32" i="15"/>
  <c r="C132" i="15"/>
  <c r="C51" i="15"/>
  <c r="C9" i="15"/>
  <c r="C109" i="15"/>
  <c r="C52" i="15"/>
  <c r="C10" i="15"/>
  <c r="C110" i="15"/>
  <c r="C77" i="15"/>
  <c r="C35" i="15"/>
  <c r="C135" i="15"/>
  <c r="C12" i="15"/>
  <c r="C36" i="15"/>
  <c r="C112" i="15"/>
  <c r="C48" i="15"/>
  <c r="C53" i="15"/>
  <c r="C54" i="15"/>
  <c r="C55" i="15"/>
  <c r="C79" i="15"/>
  <c r="C13" i="15"/>
  <c r="C37" i="15"/>
  <c r="C113" i="15"/>
  <c r="C137" i="15"/>
  <c r="C80" i="15"/>
  <c r="C14" i="15"/>
  <c r="C38" i="15"/>
  <c r="C114" i="15"/>
  <c r="C138" i="15"/>
  <c r="C81" i="15"/>
  <c r="C15" i="15"/>
  <c r="C39" i="15"/>
  <c r="C115" i="15"/>
  <c r="C139" i="15"/>
  <c r="C82" i="15"/>
  <c r="C16" i="15"/>
  <c r="C40" i="15"/>
  <c r="C116" i="15"/>
  <c r="C140" i="15"/>
  <c r="C83" i="15"/>
  <c r="C17" i="15"/>
  <c r="C41" i="15"/>
  <c r="C117" i="15"/>
  <c r="C141" i="15"/>
  <c r="C84" i="15"/>
  <c r="C18" i="15"/>
  <c r="C42" i="15"/>
  <c r="C118" i="15"/>
  <c r="C142" i="15"/>
  <c r="C85" i="15"/>
  <c r="C19" i="15"/>
  <c r="C2" i="15"/>
  <c r="C119" i="15"/>
  <c r="C95" i="15"/>
  <c r="C86" i="15"/>
  <c r="C20" i="15"/>
  <c r="C96" i="15"/>
  <c r="C120" i="15"/>
  <c r="C87" i="15"/>
  <c r="C21" i="15"/>
  <c r="C97" i="15"/>
  <c r="C121" i="15"/>
  <c r="C88" i="15"/>
  <c r="C22" i="15"/>
  <c r="C98" i="15"/>
  <c r="C122" i="15"/>
  <c r="C89" i="15"/>
  <c r="C23" i="15"/>
  <c r="C99" i="15"/>
  <c r="C123" i="15"/>
  <c r="C90" i="15"/>
  <c r="C24" i="15"/>
  <c r="C100" i="15"/>
  <c r="C124" i="15"/>
  <c r="C91" i="15"/>
  <c r="C25" i="15"/>
  <c r="C101" i="15"/>
  <c r="C125" i="15"/>
  <c r="C46" i="15"/>
  <c r="C26" i="15"/>
  <c r="C102" i="15"/>
  <c r="C126" i="15"/>
  <c r="C69" i="15"/>
  <c r="C3" i="15"/>
  <c r="C27" i="15"/>
  <c r="C103" i="15"/>
  <c r="C127" i="15"/>
  <c r="C70" i="15"/>
  <c r="C4" i="15"/>
  <c r="C28" i="15"/>
  <c r="C104" i="15"/>
  <c r="C128" i="15"/>
  <c r="C131" i="15"/>
  <c r="C74" i="15"/>
  <c r="C108" i="15"/>
  <c r="C75" i="15"/>
  <c r="C33" i="15"/>
  <c r="C133" i="15"/>
  <c r="C76" i="15"/>
  <c r="C34" i="15"/>
  <c r="C134" i="15"/>
  <c r="C11" i="15"/>
  <c r="C111" i="15"/>
  <c r="C56" i="15"/>
  <c r="C57" i="15"/>
  <c r="C58" i="15"/>
  <c r="C59" i="15"/>
  <c r="C60" i="15"/>
  <c r="C61" i="15"/>
  <c r="C62" i="15"/>
  <c r="C63" i="15"/>
  <c r="C64" i="15"/>
  <c r="C65" i="15"/>
  <c r="C66" i="15"/>
  <c r="C67" i="15"/>
  <c r="C68" i="15"/>
  <c r="C136" i="15"/>
  <c r="C78" i="15"/>
  <c r="B29" i="6"/>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D19" i="7" l="1"/>
  <c r="B31" i="6"/>
  <c r="R44" i="13" a="1"/>
  <c r="R44" i="13" s="1"/>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41" i="4" l="1"/>
  <c r="D41" i="4" s="1"/>
  <c r="E44" i="13" a="1"/>
  <c r="E44" i="13" s="1"/>
  <c r="N44" i="13" a="1"/>
  <c r="N44" i="13" s="1"/>
  <c r="J44" i="13" a="1"/>
  <c r="J44" i="13" s="1"/>
  <c r="V44" i="13" a="1"/>
  <c r="V44" i="13"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E136" i="15" l="1"/>
  <c r="E112" i="15"/>
  <c r="E133" i="15"/>
  <c r="E128" i="15"/>
  <c r="E118" i="15"/>
  <c r="E96" i="15"/>
  <c r="E115" i="15"/>
  <c r="E137" i="15"/>
  <c r="E135" i="15"/>
  <c r="E111" i="15"/>
  <c r="E104" i="15"/>
  <c r="E127" i="15"/>
  <c r="E101" i="15"/>
  <c r="E123" i="15"/>
  <c r="E122" i="15"/>
  <c r="E139" i="15"/>
  <c r="E138" i="15"/>
  <c r="E113" i="15"/>
  <c r="E134" i="15"/>
  <c r="E110" i="15"/>
  <c r="E109" i="15"/>
  <c r="E132" i="15"/>
  <c r="E108" i="15"/>
  <c r="E129" i="15"/>
  <c r="E103" i="15"/>
  <c r="E100" i="15"/>
  <c r="E121" i="15"/>
  <c r="E141" i="15"/>
  <c r="E131" i="15"/>
  <c r="E107" i="15"/>
  <c r="E130" i="15"/>
  <c r="E106" i="15"/>
  <c r="E105" i="15"/>
  <c r="E99" i="15"/>
  <c r="E119" i="15"/>
  <c r="E142" i="15"/>
  <c r="E117" i="15"/>
  <c r="E116" i="15"/>
  <c r="E95" i="15"/>
  <c r="E114" i="15"/>
  <c r="E126" i="15"/>
  <c r="E120" i="15"/>
  <c r="E125" i="15"/>
  <c r="E102" i="15"/>
  <c r="E124" i="15"/>
  <c r="E98" i="15"/>
  <c r="E97" i="15"/>
  <c r="E140" i="15"/>
  <c r="L14" i="4"/>
  <c r="L11" i="4" s="1" a="1"/>
  <c r="L11" i="4" s="1"/>
  <c r="I29" i="4"/>
  <c r="F29" i="13"/>
  <c r="H29" i="13"/>
  <c r="G29" i="13"/>
  <c r="J29" i="13" s="1"/>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E89" i="15" l="1"/>
  <c r="E65" i="15"/>
  <c r="E86" i="15"/>
  <c r="E85" i="15"/>
  <c r="E82" i="15"/>
  <c r="E80" i="15"/>
  <c r="E90" i="15"/>
  <c r="E66" i="15"/>
  <c r="E88" i="15"/>
  <c r="E64" i="15"/>
  <c r="E73" i="15"/>
  <c r="E48" i="15"/>
  <c r="E70" i="15"/>
  <c r="E69" i="15"/>
  <c r="E67" i="15"/>
  <c r="E87" i="15"/>
  <c r="E63" i="15"/>
  <c r="E62" i="15"/>
  <c r="E61" i="15"/>
  <c r="E57" i="15"/>
  <c r="E53" i="15"/>
  <c r="E52" i="15"/>
  <c r="E75" i="15"/>
  <c r="E74" i="15"/>
  <c r="E68" i="15"/>
  <c r="E84" i="15"/>
  <c r="E60" i="15"/>
  <c r="E83" i="15"/>
  <c r="E59" i="15"/>
  <c r="E58" i="15"/>
  <c r="E81" i="15"/>
  <c r="E56" i="15"/>
  <c r="E50" i="15"/>
  <c r="E49" i="15"/>
  <c r="E47" i="15"/>
  <c r="E79" i="15"/>
  <c r="E55" i="15"/>
  <c r="E78" i="15"/>
  <c r="E54" i="15"/>
  <c r="E77" i="15"/>
  <c r="E76" i="15"/>
  <c r="E51" i="15"/>
  <c r="E72" i="15"/>
  <c r="E71" i="15"/>
  <c r="E46" i="15"/>
  <c r="E91" i="15"/>
  <c r="W11" i="1"/>
  <c r="V10" i="1"/>
  <c r="J14" i="2"/>
  <c r="W12" i="1" l="1"/>
  <c r="V11" i="1"/>
  <c r="J15" i="2"/>
  <c r="W13" i="1" l="1"/>
  <c r="V12" i="1"/>
  <c r="J16" i="2"/>
  <c r="W14" i="1" l="1"/>
  <c r="V13" i="1"/>
  <c r="J17" i="2"/>
  <c r="W15" i="1" l="1"/>
  <c r="V14" i="1"/>
  <c r="J18" i="2"/>
  <c r="W16" i="1" l="1"/>
  <c r="V15" i="1"/>
  <c r="J19" i="2"/>
  <c r="W17" i="1" l="1"/>
  <c r="V16" i="1"/>
  <c r="J20" i="2"/>
  <c r="W18" i="1" l="1"/>
  <c r="V17" i="1"/>
  <c r="J21" i="2"/>
  <c r="W19" i="1" l="1"/>
  <c r="V18" i="1"/>
  <c r="J22" i="2"/>
  <c r="W20" i="1" l="1"/>
  <c r="V19" i="1"/>
  <c r="J23" i="2"/>
  <c r="W21" i="1" l="1"/>
  <c r="V20" i="1"/>
  <c r="J24" i="2"/>
  <c r="W22" i="1" l="1"/>
  <c r="V21" i="1"/>
  <c r="J25" i="2"/>
  <c r="W23" i="1" l="1"/>
  <c r="V22" i="1"/>
  <c r="J26" i="2"/>
  <c r="W24" i="1" l="1"/>
  <c r="V23" i="1"/>
  <c r="J27" i="2"/>
  <c r="W25" i="1" l="1"/>
  <c r="V24" i="1"/>
  <c r="J28" i="2"/>
  <c r="W26" i="1" l="1"/>
  <c r="V25" i="1"/>
  <c r="J29" i="2"/>
  <c r="W27" i="1" l="1"/>
  <c r="V26" i="1"/>
  <c r="J30" i="2"/>
  <c r="W28" i="1" l="1"/>
  <c r="V27" i="1"/>
  <c r="J31" i="2"/>
  <c r="W29" i="1" l="1"/>
  <c r="V28" i="1"/>
  <c r="J32" i="2"/>
  <c r="W30" i="1" l="1"/>
  <c r="V29" i="1"/>
  <c r="J33" i="2"/>
  <c r="W31" i="1" l="1"/>
  <c r="V30" i="1"/>
  <c r="J34" i="2"/>
  <c r="W32" i="1" l="1"/>
  <c r="V31" i="1"/>
  <c r="J35" i="2"/>
  <c r="W33" i="1" l="1"/>
  <c r="V32" i="1"/>
  <c r="J36" i="2"/>
  <c r="W34" i="1" l="1"/>
  <c r="V33" i="1"/>
  <c r="J37" i="2"/>
  <c r="W35" i="1" l="1"/>
  <c r="V34" i="1"/>
  <c r="J38" i="2"/>
  <c r="W36" i="1" l="1"/>
  <c r="V35" i="1"/>
  <c r="J39" i="2"/>
  <c r="W37" i="1" l="1"/>
  <c r="V36" i="1"/>
  <c r="J40" i="2"/>
  <c r="W38" i="1" l="1"/>
  <c r="V37" i="1"/>
  <c r="J41" i="2"/>
  <c r="W39" i="1" l="1"/>
  <c r="V38" i="1"/>
  <c r="W40" i="1" l="1"/>
  <c r="V39" i="1"/>
  <c r="W41" i="1" l="1"/>
  <c r="V40" i="1"/>
  <c r="W42" i="1" l="1"/>
  <c r="V41" i="1"/>
  <c r="W43" i="1" l="1"/>
  <c r="V42" i="1"/>
  <c r="W44" i="1" l="1"/>
  <c r="V43" i="1"/>
  <c r="W45" i="1" l="1"/>
  <c r="V44" i="1"/>
  <c r="W46" i="1" l="1"/>
  <c r="V45" i="1"/>
  <c r="W47" i="1" l="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Z44" i="13" l="1" a="1"/>
  <c r="Z44" i="13" s="1"/>
  <c r="AD44" i="13" a="1"/>
  <c r="AD44" i="13" s="1"/>
  <c r="AP44" i="13" a="1"/>
  <c r="AP44" i="13" s="1"/>
  <c r="AH44" i="13" a="1"/>
  <c r="AH44" i="13" s="1"/>
  <c r="AL44" i="13" a="1"/>
  <c r="AL44" i="13" s="1"/>
  <c r="G32" i="13" l="1"/>
  <c r="J32" i="13" s="1"/>
  <c r="H32" i="13"/>
  <c r="F32" i="13"/>
  <c r="A245" i="1" l="1" a="1"/>
  <c r="G6" i="9" l="1"/>
  <c r="G5" i="9"/>
  <c r="G3" i="9"/>
  <c r="A245" i="1"/>
  <c r="G2" i="9"/>
  <c r="B7" i="11" l="1"/>
  <c r="E4" i="7"/>
  <c r="D7" i="11" l="1"/>
  <c r="E7" i="11"/>
  <c r="C7" i="11"/>
  <c r="D8" i="11" l="1"/>
  <c r="D9" i="11"/>
  <c r="F9" i="11" s="1"/>
  <c r="F7" i="11"/>
  <c r="F8" i="11" l="1"/>
  <c r="F17" i="11" s="1"/>
  <c r="D19" i="11"/>
  <c r="B3" i="15"/>
  <c r="B4" i="15" s="1"/>
  <c r="D2" i="15"/>
  <c r="F2" i="15" s="1"/>
  <c r="D3" i="15" l="1"/>
  <c r="F3" i="15" s="1"/>
  <c r="D43" i="15" s="1"/>
  <c r="D4" i="15"/>
  <c r="F4" i="15" s="1"/>
  <c r="B5" i="15"/>
  <c r="B43" i="15"/>
  <c r="B6" i="15" l="1"/>
  <c r="D5" i="15"/>
  <c r="F5" i="15" s="1"/>
  <c r="D6" i="15" l="1"/>
  <c r="F6" i="15" s="1"/>
  <c r="B7" i="15"/>
  <c r="B8" i="15" l="1"/>
  <c r="D7" i="15"/>
  <c r="F7" i="15" s="1"/>
  <c r="B9" i="15" l="1"/>
  <c r="D8" i="15"/>
  <c r="F8" i="15" s="1"/>
  <c r="D9" i="15" l="1"/>
  <c r="F9" i="15" s="1"/>
  <c r="B10" i="15"/>
  <c r="B11" i="15" l="1"/>
  <c r="D10" i="15"/>
  <c r="F10" i="15" s="1"/>
  <c r="B12" i="15" l="1"/>
  <c r="D11" i="15"/>
  <c r="F11" i="15" s="1"/>
  <c r="D12" i="15" l="1"/>
  <c r="F12" i="15" s="1"/>
  <c r="B13" i="15"/>
  <c r="B14" i="15" l="1"/>
  <c r="D13" i="15"/>
  <c r="F13" i="15" s="1"/>
  <c r="D14" i="15" l="1"/>
  <c r="F14" i="15" s="1"/>
  <c r="B15" i="15"/>
  <c r="B16" i="15" l="1"/>
  <c r="D15" i="15"/>
  <c r="F15" i="15" s="1"/>
  <c r="B17" i="15" l="1"/>
  <c r="D16" i="15"/>
  <c r="F16" i="15" s="1"/>
  <c r="D17" i="15" l="1"/>
  <c r="F17" i="15" s="1"/>
  <c r="B18" i="15"/>
  <c r="B19" i="15" l="1"/>
  <c r="D18" i="15"/>
  <c r="F18" i="15" s="1"/>
  <c r="B20" i="15" l="1"/>
  <c r="D19" i="15"/>
  <c r="F19" i="15" s="1"/>
  <c r="D20" i="15" l="1"/>
  <c r="F20" i="15" s="1"/>
  <c r="B21" i="15"/>
  <c r="B22" i="15" l="1"/>
  <c r="D21" i="15"/>
  <c r="F21" i="15" s="1"/>
  <c r="D22" i="15" l="1"/>
  <c r="F22" i="15" s="1"/>
  <c r="B23" i="15"/>
  <c r="D23" i="15" l="1"/>
  <c r="F23" i="15" s="1"/>
  <c r="B24" i="15"/>
  <c r="B25" i="15" l="1"/>
  <c r="D24" i="15"/>
  <c r="F24" i="15" s="1"/>
  <c r="D25" i="15" l="1"/>
  <c r="F25" i="15" s="1"/>
  <c r="B26" i="15"/>
  <c r="B27" i="15" l="1"/>
  <c r="D26" i="15"/>
  <c r="F26" i="15" s="1"/>
  <c r="B28" i="15" l="1"/>
  <c r="D27" i="15"/>
  <c r="F27" i="15" s="1"/>
  <c r="D28" i="15" l="1"/>
  <c r="F28" i="15" s="1"/>
  <c r="B29" i="15"/>
  <c r="B30" i="15" l="1"/>
  <c r="D29" i="15"/>
  <c r="F29" i="15" s="1"/>
  <c r="D30" i="15" l="1"/>
  <c r="F30" i="15" s="1"/>
  <c r="B31" i="15"/>
  <c r="B32" i="15" l="1"/>
  <c r="D31" i="15"/>
  <c r="F31" i="15" s="1"/>
  <c r="B33" i="15" l="1"/>
  <c r="D32" i="15"/>
  <c r="F32" i="15" s="1"/>
  <c r="D33" i="15" l="1"/>
  <c r="F33" i="15" s="1"/>
  <c r="B34" i="15"/>
  <c r="B35" i="15" l="1"/>
  <c r="D34" i="15"/>
  <c r="F34" i="15" s="1"/>
  <c r="B36" i="15" l="1"/>
  <c r="D35" i="15"/>
  <c r="F35" i="15" s="1"/>
  <c r="D36" i="15" l="1"/>
  <c r="F36" i="15" s="1"/>
  <c r="B37" i="15"/>
  <c r="B38" i="15" l="1"/>
  <c r="D37" i="15"/>
  <c r="F37" i="15" s="1"/>
  <c r="D38" i="15" l="1"/>
  <c r="F38" i="15" s="1"/>
  <c r="B39" i="15"/>
  <c r="B40" i="15" l="1"/>
  <c r="D39" i="15"/>
  <c r="F39" i="15" s="1"/>
  <c r="B41" i="15" l="1"/>
  <c r="D40" i="15"/>
  <c r="F40" i="15" s="1"/>
  <c r="D41" i="15" l="1"/>
  <c r="F41" i="15" s="1"/>
  <c r="B42" i="15"/>
  <c r="D42" i="15" s="1"/>
  <c r="F42" i="15" s="1"/>
  <c r="D46" i="15"/>
  <c r="F46" i="15" s="1"/>
  <c r="B47" i="15"/>
  <c r="B48" i="15" s="1"/>
  <c r="D48" i="15" l="1"/>
  <c r="F48" i="15" s="1"/>
  <c r="B49" i="15"/>
  <c r="D49" i="15" s="1"/>
  <c r="F49" i="15" s="1"/>
  <c r="D92" i="15"/>
  <c r="B92" i="15"/>
  <c r="D47" i="15"/>
  <c r="F47" i="15" s="1"/>
  <c r="B50" i="15"/>
  <c r="D50" i="15" l="1"/>
  <c r="F50" i="15" s="1"/>
  <c r="B51" i="15"/>
  <c r="D51" i="15" l="1"/>
  <c r="F51" i="15" s="1"/>
  <c r="B52" i="15"/>
  <c r="B53" i="15" l="1"/>
  <c r="D52" i="15"/>
  <c r="F52" i="15" s="1"/>
  <c r="B54" i="15" l="1"/>
  <c r="D53" i="15"/>
  <c r="F53" i="15" s="1"/>
  <c r="B55" i="15" l="1"/>
  <c r="D54" i="15"/>
  <c r="F54" i="15" s="1"/>
  <c r="D55" i="15" l="1"/>
  <c r="F55" i="15" s="1"/>
  <c r="B56" i="15"/>
  <c r="B57" i="15" l="1"/>
  <c r="D56" i="15"/>
  <c r="F56" i="15" s="1"/>
  <c r="B58" i="15" l="1"/>
  <c r="D57" i="15"/>
  <c r="F57" i="15" s="1"/>
  <c r="B59" i="15" l="1"/>
  <c r="D58" i="15"/>
  <c r="F58" i="15" s="1"/>
  <c r="B60" i="15" l="1"/>
  <c r="D59" i="15"/>
  <c r="F59" i="15" s="1"/>
  <c r="D60" i="15" l="1"/>
  <c r="F60" i="15" s="1"/>
  <c r="B61" i="15"/>
  <c r="D61" i="15" l="1"/>
  <c r="F61" i="15" s="1"/>
  <c r="B62" i="15"/>
  <c r="D62" i="15" l="1"/>
  <c r="F62" i="15" s="1"/>
  <c r="B63" i="15"/>
  <c r="D63" i="15" l="1"/>
  <c r="F63" i="15" s="1"/>
  <c r="B64" i="15"/>
  <c r="B65" i="15" l="1"/>
  <c r="D64" i="15"/>
  <c r="F64" i="15" s="1"/>
  <c r="B66" i="15" l="1"/>
  <c r="D65" i="15"/>
  <c r="F65" i="15" s="1"/>
  <c r="D66" i="15" l="1"/>
  <c r="F66" i="15" s="1"/>
  <c r="B67" i="15"/>
  <c r="D67" i="15" l="1"/>
  <c r="F67" i="15" s="1"/>
  <c r="B68" i="15"/>
  <c r="B69" i="15" l="1"/>
  <c r="D68" i="15"/>
  <c r="F68" i="15" s="1"/>
  <c r="D69" i="15" l="1"/>
  <c r="F69" i="15" s="1"/>
  <c r="B70" i="15"/>
  <c r="B71" i="15" l="1"/>
  <c r="D70" i="15"/>
  <c r="F70" i="15" s="1"/>
  <c r="B72" i="15" l="1"/>
  <c r="D71" i="15"/>
  <c r="F71" i="15" s="1"/>
  <c r="B73" i="15" l="1"/>
  <c r="D72" i="15"/>
  <c r="F72" i="15" s="1"/>
  <c r="B74" i="15" l="1"/>
  <c r="D73" i="15"/>
  <c r="F73" i="15" s="1"/>
  <c r="B75" i="15" l="1"/>
  <c r="D74" i="15"/>
  <c r="F74" i="15" s="1"/>
  <c r="D75" i="15" l="1"/>
  <c r="F75" i="15" s="1"/>
  <c r="B76" i="15"/>
  <c r="B77" i="15" l="1"/>
  <c r="D76" i="15"/>
  <c r="F76" i="15" s="1"/>
  <c r="B78" i="15" l="1"/>
  <c r="D77" i="15"/>
  <c r="F77" i="15" s="1"/>
  <c r="B79" i="15" l="1"/>
  <c r="D78" i="15"/>
  <c r="F78" i="15" s="1"/>
  <c r="B80" i="15" l="1"/>
  <c r="D79" i="15"/>
  <c r="F79" i="15" s="1"/>
  <c r="B81" i="15" l="1"/>
  <c r="D80" i="15"/>
  <c r="F80" i="15" s="1"/>
  <c r="B82" i="15" l="1"/>
  <c r="D81" i="15"/>
  <c r="F81" i="15" s="1"/>
  <c r="D82" i="15" l="1"/>
  <c r="F82" i="15" s="1"/>
  <c r="B83" i="15"/>
  <c r="B84" i="15" l="1"/>
  <c r="D83" i="15"/>
  <c r="F83" i="15" s="1"/>
  <c r="D84" i="15" l="1"/>
  <c r="F84" i="15" s="1"/>
  <c r="B85" i="15"/>
  <c r="B86" i="15" l="1"/>
  <c r="D85" i="15"/>
  <c r="F85" i="15" s="1"/>
  <c r="B87" i="15" l="1"/>
  <c r="D86" i="15"/>
  <c r="F86" i="15" s="1"/>
  <c r="B88" i="15" l="1"/>
  <c r="D87" i="15"/>
  <c r="F87" i="15" s="1"/>
  <c r="B89" i="15" l="1"/>
  <c r="D88" i="15"/>
  <c r="F88" i="15" s="1"/>
  <c r="D89" i="15" l="1"/>
  <c r="F89" i="15" s="1"/>
  <c r="B90" i="15"/>
  <c r="B91" i="15" l="1"/>
  <c r="D91" i="15" s="1"/>
  <c r="F91" i="15" s="1"/>
  <c r="D90" i="15"/>
  <c r="F90" i="15" s="1"/>
  <c r="D95" i="15"/>
  <c r="F95" i="15" s="1"/>
  <c r="B96" i="15"/>
  <c r="D96" i="15" s="1"/>
  <c r="F96" i="15" s="1"/>
  <c r="B97" i="15" l="1"/>
  <c r="B98" i="15" s="1"/>
  <c r="D98" i="15" s="1"/>
  <c r="F98" i="15" s="1"/>
  <c r="D97" i="15" l="1"/>
  <c r="F97" i="15" s="1"/>
  <c r="B99" i="15"/>
  <c r="B100" i="15" s="1"/>
  <c r="D99" i="15" l="1"/>
  <c r="F99" i="15" s="1"/>
  <c r="D100" i="15"/>
  <c r="F100" i="15" s="1"/>
  <c r="B101" i="15"/>
  <c r="D101" i="15" l="1"/>
  <c r="F101" i="15" s="1"/>
  <c r="B102" i="15"/>
  <c r="B103" i="15" l="1"/>
  <c r="D102" i="15"/>
  <c r="F102" i="15" s="1"/>
  <c r="B104" i="15" l="1"/>
  <c r="D103" i="15"/>
  <c r="F103" i="15" s="1"/>
  <c r="D104" i="15" l="1"/>
  <c r="F104" i="15" s="1"/>
  <c r="B105" i="15"/>
  <c r="B106" i="15" l="1"/>
  <c r="D105" i="15"/>
  <c r="F105" i="15" s="1"/>
  <c r="D106" i="15" l="1"/>
  <c r="F106" i="15" s="1"/>
  <c r="B107" i="15"/>
  <c r="D107" i="15" l="1"/>
  <c r="F107" i="15" s="1"/>
  <c r="B108" i="15"/>
  <c r="D108" i="15" l="1"/>
  <c r="F108" i="15" s="1"/>
  <c r="B109" i="15"/>
  <c r="B110" i="15" l="1"/>
  <c r="D109" i="15"/>
  <c r="F109" i="15" s="1"/>
  <c r="B111" i="15" l="1"/>
  <c r="D110" i="15"/>
  <c r="F110" i="15" s="1"/>
  <c r="D111" i="15" l="1"/>
  <c r="F111" i="15" s="1"/>
  <c r="B112" i="15"/>
  <c r="B113" i="15" l="1"/>
  <c r="D112" i="15"/>
  <c r="F112" i="15" s="1"/>
  <c r="B114" i="15" l="1"/>
  <c r="D113" i="15"/>
  <c r="F113" i="15" s="1"/>
  <c r="D114" i="15" l="1"/>
  <c r="F114" i="15" s="1"/>
  <c r="B115" i="15"/>
  <c r="D115" i="15" l="1"/>
  <c r="F115" i="15" s="1"/>
  <c r="B116" i="15"/>
  <c r="B117" i="15" l="1"/>
  <c r="D116" i="15"/>
  <c r="F116" i="15" s="1"/>
  <c r="B118" i="15" l="1"/>
  <c r="D117" i="15"/>
  <c r="F117" i="15" s="1"/>
  <c r="D118" i="15" l="1"/>
  <c r="F118" i="15" s="1"/>
  <c r="B119" i="15"/>
  <c r="D119" i="15" l="1"/>
  <c r="F119" i="15" s="1"/>
  <c r="B120" i="15"/>
  <c r="D120" i="15" l="1"/>
  <c r="F120" i="15" s="1"/>
  <c r="B121" i="15"/>
  <c r="B122" i="15" l="1"/>
  <c r="D121" i="15"/>
  <c r="F121" i="15" s="1"/>
  <c r="B123" i="15" l="1"/>
  <c r="D122" i="15"/>
  <c r="F122" i="15" s="1"/>
  <c r="D123" i="15" l="1"/>
  <c r="F123" i="15" s="1"/>
  <c r="B124" i="15"/>
  <c r="D124" i="15" l="1"/>
  <c r="F124" i="15" s="1"/>
  <c r="B125" i="15"/>
  <c r="D125" i="15" l="1"/>
  <c r="F125" i="15" s="1"/>
  <c r="B126" i="15"/>
  <c r="B127" i="15" l="1"/>
  <c r="D126" i="15"/>
  <c r="F126" i="15" s="1"/>
  <c r="B128" i="15" l="1"/>
  <c r="D127" i="15"/>
  <c r="F127" i="15" s="1"/>
  <c r="D128" i="15" l="1"/>
  <c r="F128" i="15" s="1"/>
  <c r="B129" i="15"/>
  <c r="B130" i="15" l="1"/>
  <c r="D129" i="15"/>
  <c r="F129" i="15" s="1"/>
  <c r="D130" i="15" l="1"/>
  <c r="F130" i="15" s="1"/>
  <c r="B131" i="15"/>
  <c r="D131" i="15" l="1"/>
  <c r="F131" i="15" s="1"/>
  <c r="B132" i="15"/>
  <c r="D132" i="15" l="1"/>
  <c r="F132" i="15" s="1"/>
  <c r="B133" i="15"/>
  <c r="B134" i="15" l="1"/>
  <c r="D133" i="15"/>
  <c r="F133" i="15" s="1"/>
  <c r="D134" i="15" l="1"/>
  <c r="F134" i="15" s="1"/>
  <c r="B135" i="15"/>
  <c r="B136" i="15" l="1"/>
  <c r="D135" i="15"/>
  <c r="F135" i="15" s="1"/>
  <c r="D136" i="15" l="1"/>
  <c r="F136" i="15" s="1"/>
  <c r="B137" i="15"/>
  <c r="D137" i="15" l="1"/>
  <c r="F137" i="15" s="1"/>
  <c r="B138" i="15"/>
  <c r="B139" i="15" l="1"/>
  <c r="D138" i="15"/>
  <c r="F138" i="15" s="1"/>
  <c r="B140" i="15" l="1"/>
  <c r="D139" i="15"/>
  <c r="F139" i="15" s="1"/>
  <c r="B141" i="15" l="1"/>
  <c r="D140" i="15"/>
  <c r="F140" i="15" s="1"/>
  <c r="B142" i="15" l="1"/>
  <c r="D142" i="15" s="1"/>
  <c r="F142" i="15" s="1"/>
  <c r="D141" i="15"/>
  <c r="F141" i="15" s="1"/>
  <c r="B143" i="15" l="1"/>
  <c r="B149" i="15" s="1"/>
  <c r="D143" i="15"/>
  <c r="B33" i="6" l="1"/>
  <c r="B34" i="6" s="1"/>
  <c r="D14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743C26-1D50-453A-B725-3DC8C0767C74}" name="duct" type="6" refreshedVersion="8" background="1" saveData="1">
    <textPr prompt="0" sourceFile="C:\Users\E2023355\OneDrive - nVent Management Company\Documents\VSCode\Projects\CPQ\CPQ_Automation\output\duct.csv" tab="0" comma="1">
      <textFields>
        <textField/>
      </textFields>
    </textPr>
  </connection>
  <connection id="2" xr16:uid="{482059C1-912C-4434-B092-408B36822F99}" name="duct1" type="6" refreshedVersion="8" background="1" saveData="1">
    <textPr prompt="0" sourceFile="C:\Users\E2023355\OneDrive - nVent Management Company\Documents\VSCode\Projects\CPQ\CPQ_Automation\output\duct.csv" tab="0" comma="1">
      <textFields>
        <textField/>
      </textFields>
    </textPr>
  </connection>
  <connection id="3" xr16:uid="{ED92558F-EDDF-49DF-A78E-D9B390D8E09C}" name="duct2" type="6" refreshedVersion="8" background="1" saveData="1">
    <textPr prompt="0" sourceFile="C:\Users\E2023355\OneDrive - nVent Management Company\Documents\VSCode\Projects\CPQ\CPQ_Automation\output\duct.csv" tab="0" comma="1">
      <textFields>
        <textField/>
      </textFields>
    </textPr>
  </connection>
  <connection id="4" xr16:uid="{2232DFB4-644F-4949-B1C2-A21E763406BC}" name="duct3" type="6" refreshedVersion="8" background="1" saveData="1">
    <textPr prompt="0" sourceFile="C:\Users\E2023355\OneDrive - nVent Management Company\Documents\VSCode\Projects\CPQ\CPQ_Automation\output\duct.csv" tab="0" comma="1">
      <textFields>
        <textField/>
      </textFields>
    </textPr>
  </connection>
  <connection id="5" xr16:uid="{99DF1447-CEA4-4D45-B8C1-E809622B6071}" name="duct4" type="6" refreshedVersion="8" background="1" saveData="1">
    <textPr prompt="0" sourceFile="C:\Users\E2023355\OneDrive - nVent Management Company\Documents\VSCode\Projects\CPQ\CPQ_Automation\output\duct.csv" tab="0" comma="1">
      <textFields>
        <textField/>
      </textFields>
    </textPr>
  </connection>
  <connection id="6" xr16:uid="{472B7B95-5D53-4FF6-8605-07E619B96FA8}" name="duct5" type="6" refreshedVersion="8" background="1" saveData="1">
    <textPr prompt="0" sourceFile="C:\Users\E2023355\OneDrive - nVent Management Company\Documents\VSCode\Projects\CPQ\CPQ_Automation\output\duct.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<sst xmlns="http://schemas.openxmlformats.org/spreadsheetml/2006/main" count="1918" uniqueCount="787">
  <si>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</si>
  <si>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</si>
  <si>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</si>
  <si>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</si>
  <si>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</si>
  <si>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</si>
  <si>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</si>
  <si>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</si>
  <si>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</si>
  <si>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</si>
  <si>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</si>
  <si>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</si>
  <si>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</si>
  <si>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</si>
  <si>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</si>
  <si>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</si>
  <si>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</si>
  <si>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</si>
  <si>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Iron - Schedule 80</t>
  </si>
  <si>
    <t>Water</t>
  </si>
  <si>
    <t>Gas</t>
  </si>
  <si>
    <t>Frames required</t>
  </si>
  <si>
    <t>yoke roller</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</si>
  <si>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</si>
  <si>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</si>
  <si>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</si>
  <si>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</si>
  <si>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</si>
  <si>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</si>
  <si>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</si>
  <si>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</si>
  <si>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</si>
  <si>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</si>
  <si>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</si>
  <si>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</si>
  <si>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</si>
  <si>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</si>
  <si>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</si>
  <si>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</si>
  <si>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</si>
  <si>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</si>
  <si>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</si>
  <si>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</si>
  <si>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</si>
  <si>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</si>
  <si>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</si>
  <si>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 xml:space="preserve">What is the insulation density in lbs/cu ft? </t>
  </si>
  <si>
    <t>What is the insulation thickness in inches?</t>
  </si>
  <si>
    <t>Is a second cross-piece required to prevent uplift of duct?</t>
  </si>
  <si>
    <t>Calculated weight per foot of duct</t>
  </si>
  <si>
    <t>calculation (H*W*gauge weight*insulation weight)</t>
  </si>
  <si>
    <t>Width required</t>
  </si>
  <si>
    <t>Height of vertical strut (inches)</t>
  </si>
  <si>
    <t>Top view square footage per foot of duct (ft^2)</t>
  </si>
  <si>
    <t>W * 12 in</t>
  </si>
  <si>
    <t>Total square footage per foot of duct</t>
  </si>
  <si>
    <t>Duct weight per foot</t>
  </si>
  <si>
    <t>Insulation weight per foot (lb)</t>
  </si>
  <si>
    <t>Snow load to account for per foot of duct run (lb)</t>
  </si>
  <si>
    <t>Final weight per foot (incl snow &amp; insulation)</t>
  </si>
  <si>
    <t>Max spacing based on ductwork lengths</t>
  </si>
  <si>
    <t>duct segment length *2</t>
  </si>
  <si>
    <t>Weight per frame at max spacing</t>
  </si>
  <si>
    <t>Final weight * max spacing</t>
  </si>
  <si>
    <t>Max weight capacity with 2 legs</t>
  </si>
  <si>
    <t>Spacing at max weight of 2 legs (ft)</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</si>
  <si>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</si>
  <si>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</si>
  <si>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</si>
  <si>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</si>
  <si>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</si>
  <si>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</si>
  <si>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</si>
  <si>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</si>
  <si>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</si>
  <si>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</si>
  <si>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</si>
  <si>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</si>
  <si>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</si>
  <si>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</si>
  <si>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</si>
  <si>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</si>
  <si>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</si>
  <si>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</si>
  <si>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</si>
  <si>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</si>
  <si>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</si>
  <si>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</si>
  <si>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</si>
  <si>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</si>
  <si>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</si>
  <si>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</si>
  <si>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</si>
  <si>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</si>
  <si>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</si>
  <si>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</si>
  <si>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</si>
  <si>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</si>
  <si>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Contents of pipe</t>
  </si>
  <si>
    <t>Pipe sizes</t>
  </si>
  <si>
    <t>Copper pipe insulation thickness</t>
  </si>
  <si>
    <t>Iron pipe insulation thickness</t>
  </si>
  <si>
    <t>Pipe quantity</t>
  </si>
  <si>
    <t>Duct gauge</t>
  </si>
  <si>
    <t>duct insulation density</t>
  </si>
  <si>
    <t>Duct insulation thickness</t>
  </si>
  <si>
    <t>Snow loads</t>
  </si>
  <si>
    <t>Duct segments</t>
  </si>
  <si>
    <t>Duct shape</t>
  </si>
  <si>
    <t>Shipment method</t>
  </si>
  <si>
    <t>Duct</t>
  </si>
  <si>
    <t>Iron - Schedule 40</t>
  </si>
  <si>
    <t>No insulation</t>
  </si>
  <si>
    <t>Rectangular</t>
  </si>
  <si>
    <t>clevis hanger</t>
  </si>
  <si>
    <t>Round</t>
  </si>
  <si>
    <t>Full prefab</t>
  </si>
  <si>
    <t>Other</t>
  </si>
  <si>
    <t>Copper - type K</t>
  </si>
  <si>
    <t>strut clamp</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</si>
  <si>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</si>
  <si>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</si>
  <si>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</si>
  <si>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</si>
  <si>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</si>
  <si>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</si>
  <si>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</si>
  <si>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</si>
  <si>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</si>
  <si>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</si>
  <si>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</si>
  <si>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</si>
  <si>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</si>
  <si>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</si>
  <si>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</si>
  <si>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</si>
  <si>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</si>
  <si>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</si>
  <si>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</si>
  <si>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</si>
  <si>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</si>
  <si>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</si>
  <si>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</si>
  <si>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</si>
  <si>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</si>
  <si>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</si>
  <si>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</si>
  <si>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</si>
  <si>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</si>
  <si>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</si>
  <si>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</si>
  <si>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</si>
  <si>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</si>
  <si>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</si>
  <si>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</si>
  <si>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</si>
  <si>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</si>
  <si>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</si>
  <si>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</si>
  <si>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</si>
  <si>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</si>
  <si>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</si>
  <si>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</si>
  <si>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</si>
  <si>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</si>
  <si>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</si>
  <si>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</si>
  <si>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</si>
  <si>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</si>
  <si>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</si>
  <si>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</si>
  <si>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</si>
  <si>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</si>
  <si>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</si>
  <si>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</si>
  <si>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</si>
  <si>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</si>
  <si>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</si>
  <si>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</si>
  <si>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</si>
  <si>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</si>
  <si>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</si>
  <si>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</si>
  <si>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</si>
  <si>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</si>
  <si>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</si>
  <si>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</si>
  <si>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</si>
  <si>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</si>
  <si>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</si>
  <si>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</si>
  <si>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</si>
  <si>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</si>
  <si>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</si>
  <si>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</si>
  <si>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</si>
  <si>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</si>
  <si>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</si>
  <si>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</si>
  <si>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</si>
  <si>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</si>
  <si>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</si>
  <si>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</si>
  <si>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</si>
  <si>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</si>
  <si>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</si>
  <si>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</si>
  <si>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</si>
  <si>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</si>
  <si>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</si>
  <si>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</si>
  <si>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</si>
  <si>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</si>
  <si>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</si>
  <si>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</si>
  <si>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</si>
  <si>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</si>
  <si>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</si>
  <si>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</si>
  <si>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</si>
  <si>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</si>
  <si>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</si>
  <si>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</si>
  <si>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</si>
  <si>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</si>
  <si>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</si>
  <si>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</si>
  <si>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</si>
  <si>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</si>
  <si>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</si>
  <si>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</si>
  <si>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</si>
  <si>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</si>
  <si>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</si>
  <si>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</si>
  <si>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</si>
  <si>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</si>
  <si>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</si>
  <si>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</si>
  <si>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</si>
  <si>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</si>
  <si>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</si>
  <si>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</si>
  <si>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</si>
  <si>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</si>
  <si>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</si>
  <si>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</si>
  <si>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</si>
  <si>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</si>
  <si>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</si>
  <si>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</si>
  <si>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</si>
  <si>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</si>
  <si>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</si>
  <si>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</si>
  <si>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</si>
  <si>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</si>
  <si>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</si>
  <si>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</si>
  <si>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</si>
  <si>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</si>
  <si>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</si>
  <si>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</si>
  <si>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</si>
  <si>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</si>
  <si>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</si>
  <si>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</si>
  <si>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</si>
  <si>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</si>
  <si>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</si>
  <si>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</si>
  <si>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</si>
  <si>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</si>
  <si>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</si>
  <si>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</si>
  <si>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</si>
  <si>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</si>
  <si>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</si>
  <si>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</si>
  <si>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</si>
  <si>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</si>
  <si>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</si>
  <si>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</si>
  <si>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</si>
  <si>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</si>
  <si>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</si>
  <si>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</si>
  <si>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</si>
  <si>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</si>
  <si>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</si>
  <si>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</si>
  <si>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</si>
  <si>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</si>
  <si>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</si>
  <si>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</si>
  <si>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</si>
  <si>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</si>
  <si>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</si>
  <si>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</si>
  <si>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</si>
  <si>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</si>
  <si>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</si>
  <si>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</si>
  <si>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</si>
  <si>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</si>
  <si>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</si>
  <si>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</si>
  <si>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</si>
  <si>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</si>
  <si>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</si>
  <si>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</si>
  <si>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</si>
  <si>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</si>
  <si>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</si>
  <si>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</si>
  <si>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</si>
  <si>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</si>
  <si>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</si>
  <si>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</si>
  <si>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</si>
  <si>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</si>
  <si>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</si>
  <si>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</si>
  <si>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</si>
  <si>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</si>
  <si>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</si>
  <si>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</si>
  <si>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</si>
  <si>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</si>
  <si>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</si>
  <si>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</si>
  <si>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</si>
  <si>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</si>
  <si>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</si>
  <si>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</si>
  <si>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</si>
  <si>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</si>
  <si>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</si>
  <si>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</si>
  <si>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</si>
  <si>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</si>
  <si>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</si>
  <si>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</si>
  <si>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</si>
  <si>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</si>
  <si>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</si>
  <si>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</si>
  <si>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</si>
  <si>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</si>
  <si>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</si>
  <si>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</si>
  <si>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</si>
  <si>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</si>
  <si>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</si>
  <si>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</si>
  <si>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</si>
  <si>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</si>
  <si>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</si>
  <si>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</si>
  <si>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</si>
  <si>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</si>
  <si>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</si>
  <si>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</si>
  <si>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</si>
  <si>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</si>
  <si>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</si>
  <si>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</si>
  <si>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</si>
  <si>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</si>
  <si>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</si>
  <si>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</si>
  <si>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</si>
  <si>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</si>
  <si>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</si>
  <si>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</si>
  <si>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</si>
  <si>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</si>
  <si>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</si>
  <si>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</si>
  <si>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</si>
  <si>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</si>
  <si>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</si>
  <si>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</si>
  <si>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</si>
  <si>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</si>
  <si>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</si>
  <si>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</si>
  <si>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</si>
  <si>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</si>
  <si>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</si>
  <si>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</si>
  <si>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</si>
  <si>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</si>
  <si>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</si>
  <si>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</si>
  <si>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</si>
  <si>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</si>
  <si>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</si>
  <si>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</si>
  <si>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</si>
  <si>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</si>
  <si>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</si>
  <si>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</si>
  <si>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</si>
  <si>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</si>
  <si>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</si>
  <si>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</si>
  <si>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</si>
  <si>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</si>
  <si>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</si>
  <si>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</si>
  <si>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</si>
  <si>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</si>
  <si>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</si>
  <si>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</si>
  <si>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</si>
  <si>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</si>
  <si>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</si>
  <si>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</si>
  <si>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</si>
  <si>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</si>
  <si>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</si>
  <si>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</si>
  <si>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</si>
  <si>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</si>
  <si>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</si>
  <si>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</si>
  <si>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</si>
  <si>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</si>
  <si>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</si>
  <si>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</si>
  <si>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</si>
  <si>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</si>
  <si>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</si>
  <si>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</si>
  <si>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</si>
  <si>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</si>
  <si>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</si>
  <si>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</si>
  <si>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</si>
  <si>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</si>
  <si>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</si>
  <si>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</si>
  <si>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</si>
  <si>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</si>
  <si>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</si>
  <si>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</si>
  <si>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</si>
  <si>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</si>
  <si>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</si>
  <si>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</si>
  <si>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</si>
  <si>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</si>
  <si>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</si>
  <si>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</si>
  <si>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</si>
  <si>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</si>
  <si>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</si>
  <si>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</si>
  <si>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</si>
  <si>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</si>
  <si>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</si>
  <si>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</si>
  <si>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</si>
  <si>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</si>
  <si>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</si>
  <si>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</si>
  <si>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</si>
  <si>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</si>
  <si>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</si>
  <si>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</si>
  <si>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</si>
  <si>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</si>
  <si>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</si>
  <si>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</si>
  <si>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</si>
  <si>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</si>
  <si>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</si>
  <si>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</si>
  <si>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</si>
  <si>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</si>
  <si>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</si>
  <si>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</si>
  <si>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</si>
  <si>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</si>
  <si>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</si>
  <si>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</si>
  <si>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</si>
  <si>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</si>
  <si>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</si>
  <si>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</si>
  <si>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</si>
  <si>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</si>
  <si>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</si>
  <si>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</si>
  <si>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</si>
  <si>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</si>
  <si>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</si>
  <si>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</si>
  <si>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</si>
  <si>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</si>
  <si>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</si>
  <si>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</si>
  <si>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</si>
  <si>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</si>
  <si>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</si>
  <si>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</si>
  <si>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</si>
  <si>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</si>
  <si>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</si>
  <si>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</si>
  <si>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</si>
  <si>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</si>
  <si>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</si>
  <si>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</si>
  <si>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</si>
  <si>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</si>
  <si>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</si>
  <si>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</si>
  <si>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</si>
  <si>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</si>
  <si>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</si>
  <si>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</si>
  <si>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</si>
  <si>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</si>
  <si>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</si>
  <si>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</si>
  <si>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</si>
  <si>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</si>
  <si>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</si>
  <si>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</si>
  <si>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</si>
  <si>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</si>
  <si>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</si>
  <si>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</si>
  <si>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</si>
  <si>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</si>
  <si>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</si>
  <si>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</si>
  <si>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</si>
  <si>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</si>
  <si>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</si>
  <si>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</si>
  <si>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</si>
  <si>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</si>
  <si>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</si>
  <si>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</si>
  <si>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</si>
  <si>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</si>
  <si>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</si>
  <si>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</si>
  <si>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</si>
  <si>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</si>
  <si>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</si>
  <si>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</si>
  <si>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</si>
  <si>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</si>
  <si>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</si>
  <si>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</si>
  <si>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</si>
  <si>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</si>
  <si>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</si>
  <si>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</si>
  <si>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</si>
  <si>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</si>
  <si>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</si>
  <si>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</si>
  <si>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</si>
  <si>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</si>
  <si>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</si>
  <si>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</si>
  <si>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</si>
  <si>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</si>
  <si>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</si>
  <si>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</si>
  <si>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</si>
  <si>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</si>
  <si>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</si>
  <si>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</si>
  <si>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</si>
  <si>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</si>
  <si>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</si>
  <si>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</si>
  <si>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</si>
  <si>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</si>
  <si>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</si>
  <si>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</si>
  <si>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</si>
  <si>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</si>
  <si>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</si>
  <si>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</si>
  <si>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</si>
  <si>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</si>
  <si>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</si>
  <si>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</si>
  <si>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</si>
  <si>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</si>
  <si>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</si>
  <si>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</si>
  <si>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</si>
  <si>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</si>
  <si>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</si>
  <si>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</si>
  <si>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</si>
  <si>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</si>
  <si>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</si>
  <si>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</si>
  <si>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</si>
  <si>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</si>
  <si>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</si>
  <si>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</si>
  <si>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</si>
  <si>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</si>
  <si>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</si>
  <si>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</si>
  <si>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</si>
  <si>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</si>
  <si>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</si>
  <si>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</si>
  <si>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</si>
  <si>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</si>
  <si>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</si>
  <si>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</si>
  <si>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</si>
  <si>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</si>
  <si>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</si>
  <si>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</si>
  <si>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</si>
  <si>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</si>
  <si>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</si>
  <si>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</si>
  <si>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</si>
  <si>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</si>
  <si>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</si>
  <si>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</si>
  <si>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</si>
  <si>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</si>
  <si>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</si>
  <si>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</si>
  <si>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</si>
  <si>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</si>
  <si>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</si>
  <si>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</si>
  <si>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</si>
  <si>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</si>
  <si>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</si>
  <si>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</si>
  <si>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</si>
  <si>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</si>
  <si>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</si>
  <si>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</si>
  <si>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</si>
  <si>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</si>
  <si>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</si>
  <si>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</si>
  <si>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</si>
  <si>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</si>
  <si>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</si>
  <si>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</si>
  <si>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</si>
  <si>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</si>
  <si>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</si>
  <si>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</si>
  <si>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</si>
  <si>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</si>
  <si>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</si>
  <si>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</si>
  <si>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</si>
  <si>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</si>
  <si>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</si>
  <si>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</si>
  <si>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</si>
  <si>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</si>
  <si>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</si>
  <si>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</si>
  <si>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</si>
  <si>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</si>
  <si>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</si>
  <si>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</si>
  <si>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</si>
  <si>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</si>
  <si>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</si>
  <si>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</si>
  <si>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</si>
  <si>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</si>
  <si>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</si>
  <si>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</si>
  <si>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</si>
  <si>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</si>
  <si>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</si>
  <si>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</si>
  <si>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</si>
  <si>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</si>
  <si>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</si>
  <si>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</si>
  <si>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</si>
  <si>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</si>
  <si>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</si>
  <si>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</si>
  <si>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</si>
  <si>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</si>
  <si>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</si>
  <si>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</si>
  <si>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</si>
  <si>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</si>
  <si>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</si>
  <si>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</si>
  <si>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</si>
  <si>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</si>
  <si>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</si>
  <si>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</si>
  <si>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</si>
  <si>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</si>
  <si>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</si>
  <si>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</si>
  <si>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</si>
  <si>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</si>
  <si>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</si>
  <si>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</si>
  <si>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</si>
  <si>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</si>
  <si>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</si>
  <si>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</si>
  <si>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</si>
  <si>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</si>
  <si>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</si>
  <si>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</si>
  <si>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</si>
  <si>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</si>
  <si>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</si>
  <si>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</si>
  <si>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</si>
  <si>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</si>
  <si>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</si>
  <si>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</si>
  <si>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</si>
  <si>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</si>
  <si>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</si>
  <si>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</si>
  <si>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</si>
  <si>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</si>
  <si>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</si>
  <si>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</si>
  <si>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</si>
  <si>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</si>
  <si>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</si>
  <si>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</si>
  <si>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</si>
  <si>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</si>
  <si>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</si>
  <si>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</si>
  <si>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</si>
  <si>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Gauge</t>
  </si>
  <si>
    <t>Thickness in</t>
  </si>
  <si>
    <t>Thickness mm</t>
  </si>
  <si>
    <t>Weight Per Area lb/ft²</t>
  </si>
  <si>
    <t>Weight Per Area kg/m²</t>
  </si>
  <si>
    <t>pipe_to_strut</t>
  </si>
  <si>
    <t>Max beam load</t>
  </si>
  <si>
    <t>Extra Legs</t>
  </si>
  <si>
    <t>What is the clearance between hanger and bottom of strut</t>
  </si>
  <si>
    <t>None</t>
  </si>
  <si>
    <t>DuctArea</t>
  </si>
  <si>
    <t>MaxSpacing</t>
  </si>
  <si>
    <t>Value from Duct Area Table</t>
  </si>
  <si>
    <t>Duct Calculations</t>
  </si>
  <si>
    <t>What is the width/diameter of the duct? (inches)</t>
  </si>
  <si>
    <t>Cross Sectional Area of Duct (ft2)</t>
  </si>
  <si>
    <t>Row start</t>
  </si>
  <si>
    <t>Number of Tests</t>
  </si>
  <si>
    <t>clearance</t>
  </si>
  <si>
    <t>extra cross member</t>
  </si>
  <si>
    <t>snow load</t>
  </si>
  <si>
    <t>shape</t>
  </si>
  <si>
    <t>width</t>
  </si>
  <si>
    <t>height</t>
  </si>
  <si>
    <t>gauge</t>
  </si>
  <si>
    <t>insulation thickness</t>
  </si>
  <si>
    <t>length</t>
  </si>
  <si>
    <t>insulation density</t>
  </si>
  <si>
    <t>overall weight</t>
  </si>
  <si>
    <t>cross member width</t>
  </si>
  <si>
    <t>frame spacing</t>
  </si>
  <si>
    <t>section length</t>
  </si>
  <si>
    <t>total frames</t>
  </si>
  <si>
    <t>Rectangle</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</si>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</sst>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0.000"/>
    <numFmt numFmtId="165" formatCode="&quot;$&quot;#,##0.00"/>
    <numFmt numFmtId="166" formatCode="0.0"/>
    <numFmt numFmtId="167" formatCode="0.0000"/>
  </numFmts>
  <fonts count="16"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
      <sz val="11"/>
      <color rgb="FF000000"/>
      <name val="Calibri"/>
      <family val="2"/>
    </font>
  </fonts>
  <fills count="8">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theme="9" tint="0.39997558519241921"/>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9" fontId="10" fillId="0" borderId="0" applyFont="0" applyFill="0" applyBorder="0" applyAlignment="0" applyProtection="0"/>
  </cellStyleXfs>
  <cellXfs count="64">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0" applyFont="1"/>
    <xf numFmtId="0" fontId="6" fillId="0" borderId="0" xfId="0" applyFont="1"/>
    <xf numFmtId="0" fontId="9" fillId="0" borderId="0" xfId="0" applyFont="1"/>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7" fillId="0" borderId="1" xfId="0" applyFont="1" applyBorder="1" applyProtection="1">
      <protection locked="0"/>
    </xf>
    <xf numFmtId="0" fontId="3" fillId="0" borderId="0" xfId="0" applyFont="1" applyAlignment="1" applyProtection="1">
      <alignment horizontal="center"/>
      <protection locked="0"/>
    </xf>
    <xf numFmtId="0" fontId="11" fillId="0" borderId="0" xfId="0" applyFont="1"/>
    <xf numFmtId="0" fontId="11" fillId="0" borderId="0" xfId="0" applyFont="1" applyAlignment="1">
      <alignment horizontal="right"/>
    </xf>
    <xf numFmtId="1" fontId="11" fillId="0" borderId="0" xfId="0" applyNumberFormat="1" applyFont="1" applyAlignment="1">
      <alignment horizontal="center"/>
    </xf>
    <xf numFmtId="165" fontId="11" fillId="0" borderId="0" xfId="0" applyNumberFormat="1" applyFont="1"/>
    <xf numFmtId="14" fontId="11" fillId="0" borderId="0" xfId="0" applyNumberFormat="1" applyFont="1"/>
    <xf numFmtId="0" fontId="11" fillId="0" borderId="0" xfId="0" applyFont="1" applyAlignment="1">
      <alignment horizontal="center"/>
    </xf>
    <xf numFmtId="0" fontId="11" fillId="0" borderId="0" xfId="0" applyFont="1" applyProtection="1">
      <protection locked="0"/>
    </xf>
    <xf numFmtId="0" fontId="11" fillId="0" borderId="0" xfId="0" applyFont="1" applyAlignment="1" applyProtection="1">
      <alignment horizontal="center"/>
      <protection locked="0"/>
    </xf>
    <xf numFmtId="165" fontId="11"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2" fillId="0" borderId="0" xfId="1" applyFont="1"/>
    <xf numFmtId="0" fontId="1" fillId="0" borderId="0" xfId="0" applyFont="1"/>
    <xf numFmtId="0" fontId="13" fillId="0" borderId="0" xfId="0" applyFont="1" applyAlignment="1">
      <alignment wrapText="1"/>
    </xf>
    <xf numFmtId="0" fontId="13"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167" fontId="0" fillId="0" borderId="0" xfId="0" applyNumberFormat="1"/>
    <xf numFmtId="1" fontId="0" fillId="0" borderId="0" xfId="0" applyNumberFormat="1" applyAlignment="1">
      <alignment wrapText="1"/>
    </xf>
    <xf numFmtId="0" fontId="14" fillId="0" borderId="0" xfId="0" applyFont="1"/>
    <xf numFmtId="0" fontId="3" fillId="6" borderId="0" xfId="0" applyFont="1" applyFill="1" applyAlignment="1" applyProtection="1">
      <alignment horizontal="center"/>
      <protection locked="0"/>
    </xf>
    <xf numFmtId="0" fontId="3" fillId="7" borderId="0" xfId="0" applyFont="1" applyFill="1" applyAlignment="1" applyProtection="1">
      <alignment horizontal="center"/>
      <protection locked="0"/>
    </xf>
    <xf numFmtId="0" fontId="3" fillId="6" borderId="0" xfId="0" applyFont="1" applyFill="1" applyAlignment="1">
      <alignment horizontal="center"/>
    </xf>
    <xf numFmtId="0" fontId="8" fillId="0" borderId="0" xfId="0" applyFont="1" applyAlignment="1">
      <alignment horizontal="center" vertical="center" textRotation="90"/>
    </xf>
    <xf numFmtId="0" fontId="7"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46">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0" formatCode="General"/>
    </dxf>
    <dxf>
      <fill>
        <patternFill>
          <bgColor rgb="FFF48484"/>
        </patternFill>
      </fill>
    </dxf>
    <dxf>
      <fill>
        <patternFill>
          <bgColor rgb="FFF97F7F"/>
        </patternFill>
      </fill>
    </dxf>
    <dxf>
      <fill>
        <patternFill>
          <bgColor rgb="FFF97F7F"/>
        </patternFill>
      </fill>
    </dxf>
    <dxf>
      <fill>
        <patternFill>
          <bgColor rgb="FFF97F7F"/>
        </patternFill>
      </fill>
    </dxf>
    <dxf>
      <fill>
        <patternFill>
          <bgColor theme="7" tint="0.59996337778862885"/>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colors>
    <mruColors>
      <color rgb="FFF48484"/>
      <color rgb="FFF9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492369</xdr:colOff>
          <xdr:row>9</xdr:row>
          <xdr:rowOff>51289</xdr:rowOff>
        </xdr:from>
        <xdr:to>
          <xdr:col>10</xdr:col>
          <xdr:colOff>477960</xdr:colOff>
          <xdr:row>27</xdr:row>
          <xdr:rowOff>3972</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0778"/>
                </a:ext>
              </a:extLst>
            </xdr:cNvPicPr>
          </xdr:nvPicPr>
          <xdr:blipFill>
            <a:blip xmlns:r="http://schemas.openxmlformats.org/officeDocument/2006/relationships" r:embed="rId1"/>
            <a:srcRect/>
            <a:stretch>
              <a:fillRect/>
            </a:stretch>
          </xdr:blipFill>
          <xdr:spPr bwMode="auto">
            <a:xfrm>
              <a:off x="8867042" y="1707174"/>
              <a:ext cx="3890841" cy="3337721"/>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137160</xdr:rowOff>
        </xdr:from>
        <xdr:to>
          <xdr:col>4</xdr:col>
          <xdr:colOff>335280</xdr:colOff>
          <xdr:row>6</xdr:row>
          <xdr:rowOff>22860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601980</xdr:colOff>
          <xdr:row>2</xdr:row>
          <xdr:rowOff>68580</xdr:rowOff>
        </xdr:from>
        <xdr:to>
          <xdr:col>9</xdr:col>
          <xdr:colOff>7620</xdr:colOff>
          <xdr:row>4</xdr:row>
          <xdr:rowOff>137160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6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6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800-0000083C0000}"/>
            </a:ext>
          </a:extLst>
        </xdr:cNvPr>
        <xdr:cNvGrpSpPr>
          <a:grpSpLocks/>
        </xdr:cNvGrpSpPr>
      </xdr:nvGrpSpPr>
      <xdr:grpSpPr bwMode="auto">
        <a:xfrm>
          <a:off x="1440997" y="478973"/>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8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8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8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8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8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8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8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8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8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8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8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8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800-0000163C0000}"/>
            </a:ext>
          </a:extLst>
        </xdr:cNvPr>
        <xdr:cNvGrpSpPr>
          <a:grpSpLocks/>
        </xdr:cNvGrpSpPr>
      </xdr:nvGrpSpPr>
      <xdr:grpSpPr bwMode="auto">
        <a:xfrm>
          <a:off x="1442356" y="3954235"/>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8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8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8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8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8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8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8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8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800-000025000000}"/>
            </a:ext>
          </a:extLst>
        </xdr:cNvPr>
        <xdr:cNvGrpSpPr>
          <a:grpSpLocks/>
        </xdr:cNvGrpSpPr>
      </xdr:nvGrpSpPr>
      <xdr:grpSpPr bwMode="auto">
        <a:xfrm>
          <a:off x="1510392" y="10504714"/>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8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8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8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8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8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8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8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8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8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8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8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8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800-0000263C0000}"/>
            </a:ext>
          </a:extLst>
        </xdr:cNvPr>
        <xdr:cNvGrpSpPr>
          <a:grpSpLocks/>
        </xdr:cNvGrpSpPr>
      </xdr:nvGrpSpPr>
      <xdr:grpSpPr bwMode="auto">
        <a:xfrm>
          <a:off x="1386568" y="13773149"/>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8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8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8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8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8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8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8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8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ventco-my.sharepoint.com/personal/e2023355_nventco_com/Documents/Documents/VSCode/Projects/CPQ/CPQ_Automation/worksheets/pipe.xlsm" TargetMode="External"/><Relationship Id="rId1" Type="http://schemas.openxmlformats.org/officeDocument/2006/relationships/externalLinkPath" Target="pip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puts"/>
      <sheetName val="Testing"/>
      <sheetName val="Website Tests"/>
      <sheetName val="Excel Tests"/>
      <sheetName val="Calculations"/>
      <sheetName val="Pipe Calcs for Span"/>
      <sheetName val="Strut loads"/>
      <sheetName val="Pipe weight, hangers, spacing"/>
      <sheetName val="Pictures"/>
      <sheetName val="Strut loadsAltered"/>
      <sheetName val="Hanger_list"/>
      <sheetName val="Quoting tool"/>
      <sheetName val="Pallet and shipping info"/>
      <sheetName val="reference tables"/>
      <sheetName val="H-frame item list"/>
    </sheetNames>
    <sheetDataSet>
      <sheetData sheetId="0"/>
      <sheetData sheetId="1"/>
      <sheetData sheetId="2"/>
      <sheetData sheetId="3"/>
      <sheetData sheetId="4"/>
      <sheetData sheetId="5"/>
      <sheetData sheetId="6"/>
      <sheetData sheetId="7"/>
      <sheetData sheetId="8">
        <row r="2">
          <cell r="A2" t="str">
            <v>Duct</v>
          </cell>
          <cell r="E2" t="str">
            <v>Pipe</v>
          </cell>
        </row>
        <row r="3">
          <cell r="A3" t="str">
            <v>Pipe</v>
          </cell>
        </row>
        <row r="5">
          <cell r="A5" t="str">
            <v>Other</v>
          </cell>
        </row>
        <row r="6">
          <cell r="A6" t="str">
            <v>pipe_to_strut</v>
          </cell>
        </row>
      </sheetData>
      <sheetData sheetId="9"/>
      <sheetData sheetId="10"/>
      <sheetData sheetId="11"/>
      <sheetData sheetId="12"/>
      <sheetData sheetId="13"/>
      <sheetData sheetId="1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D32E852-3163-442C-A48E-D6667B68EF97}"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5" xr16:uid="{9059E8ED-43CF-4803-8B9D-7622D9393893}"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4" xr16:uid="{A7870DAB-38A0-48B2-92BC-E2AEA2E4ECDF}"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6" connectionId="6" xr16:uid="{1F47A2E0-B19F-4F21-8C92-EBBBE10C8472}"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3" xr16:uid="{B68F11A9-D4B2-4F42-8B3B-998D1A0968CB}"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56D2E9B0-90B7-432F-8B50-C080B91D94CD}"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38">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045C17-EE99-4E03-99CC-96C97E9125B2}" name="Duct_gauge_weights" displayName="Duct_gauge_weights" ref="A1:E26" totalsRowShown="0">
  <autoFilter ref="A1:E26" xr:uid="{82045C17-EE99-4E03-99CC-96C97E9125B2}"/>
  <tableColumns count="5">
    <tableColumn id="1" xr3:uid="{A8C1A048-48E2-4E24-9A78-54A648360B9C}" name="Gauge"/>
    <tableColumn id="2" xr3:uid="{413BF717-D605-4257-A284-65E12334945E}" name="Thickness in"/>
    <tableColumn id="3" xr3:uid="{808F29E1-42A6-4662-8BA2-A9DDFD3D93E9}" name="Thickness mm"/>
    <tableColumn id="4" xr3:uid="{E1E76BEC-1FBC-4D7C-8E85-12AB31806846}" name="Weight Per Area lb/ft²"/>
    <tableColumn id="5" xr3:uid="{BAADBEC0-876F-4AB9-95A9-F9C6A9BE0D01}" name="Weight Per Area kg/m²"/>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50DE6C-4394-4656-B52B-D1632E8378D7}" name="Table11" displayName="Table11" ref="H1:I4" totalsRowShown="0">
  <autoFilter ref="H1:I4" xr:uid="{8150DE6C-4394-4656-B52B-D1632E8378D7}"/>
  <tableColumns count="2">
    <tableColumn id="1" xr3:uid="{1050E31D-105A-4212-AAE9-6ED54C34DF4B}" name="DuctArea"/>
    <tableColumn id="2" xr3:uid="{1EBC8E32-6474-407D-B769-33B209A29269}" name="MaxSpacing"/>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37"/>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36"/>
    <tableColumn id="8" xr3:uid="{1BCF781F-95F4-480D-9BA2-1CCFD418CBFC}" name="Labor cost" dataDxfId="35">
      <calculatedColumnFormula>H$2</calculatedColumnFormula>
    </tableColumn>
    <tableColumn id="9" xr3:uid="{CA10D561-0ED7-4C95-B60A-C03EFE0EFD44}" name="Price" dataDxfId="34">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3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3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5" totalsRowShown="0">
  <autoFilter ref="E1:E5"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6DDD62-29EA-4502-9AC0-3E2E93208A24}" name="Pipe_contents" displayName="Pipe_contents" ref="G1:G4" totalsRowShown="0">
  <autoFilter ref="G1:G4" xr:uid="{F86DDD62-29EA-4502-9AC0-3E2E93208A24}"/>
  <tableColumns count="1">
    <tableColumn id="1" xr3:uid="{B32E75B1-F284-4D2A-AB6B-A50E0A293694}" name="Contents of pi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I1:I11" totalsRowShown="0">
  <autoFilter ref="I1:I11" xr:uid="{91A84ACA-9397-44DA-8055-2BAF53340280}"/>
  <tableColumns count="1">
    <tableColumn id="1" xr3:uid="{8E5EEDC6-648B-4675-B382-FBDE0CEEA36C}" name="Pipe size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992DCCB-2F68-41FD-A729-1F313F4B9FA0}" name="Copper_insulation" displayName="Copper_insulation" ref="K1:K6" totalsRowShown="0">
  <autoFilter ref="K1:K6" xr:uid="{0992DCCB-2F68-41FD-A729-1F313F4B9FA0}"/>
  <tableColumns count="1">
    <tableColumn id="1" xr3:uid="{2119A99C-8D3B-4041-8A54-0644B4CBC8B1}" name="Copper pipe insulation thicknes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53C5A4-1C86-4FB7-9EFC-DFB58F38FD59}" name="Iron_pipe_insulation" displayName="Iron_pipe_insulation" ref="M1:M11" totalsRowShown="0">
  <autoFilter ref="M1:M11" xr:uid="{3553C5A4-1C86-4FB7-9EFC-DFB58F38FD59}"/>
  <tableColumns count="1">
    <tableColumn id="1" xr3:uid="{FDBF8FC2-4D96-4A88-B5D3-4E5ABA40BD8E}" name="Iron pipe insulation thicknes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8" totalsRowShown="0">
  <autoFilter ref="C1:C8"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O1:O12" totalsRowShown="0">
  <autoFilter ref="O1:O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5559A7-5C17-4690-8AF1-47D885A06B05}" name="Duct_gauges" displayName="Duct_gauges" ref="Q1:Q20" totalsRowShown="0">
  <autoFilter ref="Q1:Q20" xr:uid="{DB5559A7-5C17-4690-8AF1-47D885A06B05}"/>
  <tableColumns count="1">
    <tableColumn id="1" xr3:uid="{CC6E9DDF-75E9-495F-9E10-9ED8E9C71C39}" name="Duct gaug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8E3040-40ED-4DDC-9811-8671D9B055D4}" name="Duct_insulation_density" displayName="Duct_insulation_density" ref="S1:S5" totalsRowShown="0">
  <autoFilter ref="S1:S5" xr:uid="{068E3040-40ED-4DDC-9811-8671D9B055D4}"/>
  <tableColumns count="1">
    <tableColumn id="1" xr3:uid="{930A87C8-C599-4067-8953-BD9B1533E9BF}" name="duct insulation density"/>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DC035C-184F-4C6E-BCBF-1A527EBAA52B}" name="Duct_insulation_thickness" displayName="Duct_insulation_thickness" ref="U1:U7" totalsRowShown="0">
  <autoFilter ref="U1:U7" xr:uid="{ECDC035C-184F-4C6E-BCBF-1A527EBAA52B}"/>
  <tableColumns count="1">
    <tableColumn id="1" xr3:uid="{D91A879C-070E-4EDB-AE27-D368CD41A5C9}" name="Duct insulation thicknes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W1:W7" totalsRowShown="0">
  <autoFilter ref="W1:W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BA1C-A5FC-4C15-9AFB-DF1C4FC90C7E}" name="Duct_segments" displayName="Duct_segments" ref="Y1:Y4" totalsRowShown="0">
  <autoFilter ref="Y1:Y4" xr:uid="{201EBA1C-A5FC-4C15-9AFB-DF1C4FC90C7E}"/>
  <tableColumns count="1">
    <tableColumn id="1" xr3:uid="{65E53FE9-95DC-4106-82F3-2BEE75A9C106}" name="Duct segment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FE680B-5FCF-467A-8250-7E6630896EE9}" name="Duct_shape" displayName="Duct_shape" ref="AA1:AA3" totalsRowShown="0">
  <autoFilter ref="AA1:AA3" xr:uid="{8AFE680B-5FCF-467A-8250-7E6630896EE9}"/>
  <tableColumns count="1">
    <tableColumn id="1" xr3:uid="{381DF3DE-4CD5-4F3B-93AD-132676E06909}" name="Duct shap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AC1:AC3" totalsRowShown="0">
  <autoFilter ref="AC1:AC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1">
  <autoFilter ref="A1:AC241" xr:uid="{12C50D2E-CB36-4F5E-9184-831F98097B7E}"/>
  <tableColumns count="29">
    <tableColumn id="1" xr3:uid="{F8D753F0-DC8F-4C8A-A731-E0F5BF2ECD81}" name="Item number" dataDxfId="30"/>
    <tableColumn id="2" xr3:uid="{5AE67C57-FBEE-48C2-A8E9-242D77DEE3B0}" name="Description" dataDxfId="29"/>
    <tableColumn id="3" xr3:uid="{D9E9E21D-7D4E-4FDF-9AC3-5540A0095818}" name="Height (in)" dataDxfId="28">
      <calculatedColumnFormula>E2+1.675</calculatedColumnFormula>
    </tableColumn>
    <tableColumn id="4" xr3:uid="{8CFAFDF0-17E9-4BE0-B90D-9693A1EC979D}" name="Width (in)" dataDxfId="27">
      <calculatedColumnFormula>F2+1.675+12.376</calculatedColumnFormula>
    </tableColumn>
    <tableColumn id="5" xr3:uid="{A5AE4AE3-3969-4FB1-B90A-7679A6CCA988}" name="Strut height (in)" dataDxfId="26"/>
    <tableColumn id="6" xr3:uid="{A5A24B87-6BB5-47A3-89BC-8B9D97C976AE}" name="Width between uprights (in)" dataDxfId="25"/>
    <tableColumn id="7" xr3:uid="{D296A186-5B9B-4D44-A0D9-061AF6DAD0E9}" name="Width between brackets" dataDxfId="24">
      <calculatedColumnFormula>F2-(1.88*2)</calculatedColumnFormula>
    </tableColumn>
    <tableColumn id="8" xr3:uid="{3772BB46-8596-403E-B4CD-08CA180CC31D}" name="Extra supports" dataDxfId="23"/>
    <tableColumn id="9" xr3:uid="{FFD146C7-D5FE-4A49-98F5-E520D37CD50A}" name="Cross piece style" dataDxfId="22"/>
    <tableColumn id="10" xr3:uid="{8121702C-BF17-483A-8BEC-6EF69A948731}" name="cross piece quantity" dataDxfId="21"/>
    <tableColumn id="11" xr3:uid="{F034BE78-89A7-438A-A026-8FB7571FF4A4}" name="Distance between strut" dataDxfId="20">
      <calculatedColumnFormula>((F2)/(L2-1))-(H2*0.8125)</calculatedColumnFormula>
    </tableColumn>
    <tableColumn id="12" xr3:uid="{71D60462-CA8F-4AB2-85EA-B76A353B4B01}" name="Number of feet" dataDxfId="19">
      <calculatedColumnFormula>2+(H2)</calculatedColumnFormula>
    </tableColumn>
    <tableColumn id="13" xr3:uid="{1FF7A4E3-F5B8-4B31-922E-7A47B2D41A91}" name="Number of bolts" dataDxfId="18">
      <calculatedColumnFormula>3*N2</calculatedColumnFormula>
    </tableColumn>
    <tableColumn id="14" xr3:uid="{D2015818-56BE-48B3-A3C6-825D544FD922}" name="number of L-brackets" dataDxfId="17">
      <calculatedColumnFormula>(2+(2*H2))*J2</calculatedColumnFormula>
    </tableColumn>
    <tableColumn id="15" xr3:uid="{F683A236-07E1-44EF-916D-3F5CDB9F100B}" name="Total feet of strut" dataDxfId="16">
      <calculatedColumnFormula>((E2*(L2+H2))+(F2*J2))/12</calculatedColumnFormula>
    </tableColumn>
    <tableColumn id="16" xr3:uid="{B76D8DCC-0691-4282-8002-E9C1F753926B}" name="Sticks of strut required" dataDxfId="15">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14">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13">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2">
      <calculatedColumnFormula>_xlfn.XLOOKUP(HFrame_List[[#This Row],[Fabrication type]],Fabrication_costs[Fabrication type],Fabrication_costs[unit pricing],"no result",0)</calculatedColumnFormula>
    </tableColumn>
    <tableColumn id="21" xr3:uid="{96507D35-C80E-43C2-96D1-A1376857FA64}" name="Price (est)" dataDxfId="11">
      <calculatedColumnFormula>SUM(T2:U2)/(1-HFrame_List[[#This Row],[Margin]])</calculatedColumnFormula>
    </tableColumn>
    <tableColumn id="23" xr3:uid="{106FA828-8118-46CA-86B4-1E3211BEF50D}" name="Margin" dataCellStyle="Percent"/>
    <tableColumn id="24" xr3:uid="{BE93F725-A6B7-46F5-9B49-9E7ED604CD2F}" name="Fabrication type" dataDxfId="10" dataCellStyle="Percent"/>
    <tableColumn id="25" xr3:uid="{9F153298-31B8-4F55-9DB1-5B5697017C3D}" name="Vertical strut cost" dataDxfId="9">
      <calculatedColumnFormula>_xlfn.XLOOKUP("A12",Strut_costs[size],Strut_costs[Strut cost])/12*HFrame_List[[#This Row],[Strut height (in)]]*(2+HFrame_List[[#This Row],[Extra supports]])</calculatedColumnFormula>
    </tableColumn>
    <tableColumn id="26" xr3:uid="{C8FF4787-32D1-4E7A-9158-2869CDCF1E9C}" name="Component costs" dataDxfId="8">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7"/>
    <tableColumn id="28" xr3:uid="{EA006287-6B1E-4CF7-A760-ABB54B613DDC}" name="4x6 pallet" dataDxfId="6">
      <calculatedColumnFormula>VLOOKUP(HFrame_List[[#This Row],[lookup]],'Pallet and shipping info'!$A$5:$H$33,6,FALSE)</calculatedColumnFormula>
    </tableColumn>
    <tableColumn id="29" xr3:uid="{A60C9DF3-AFCF-4D89-867F-00F1A91EF005}" name="4x8 pallet" dataDxfId="5">
      <calculatedColumnFormula>VLOOKUP(HFrame_List[[#This Row],[lookup]],'Pallet and shipping info'!$A$5:$H$33,8,FALSE)</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4">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3">
  <autoFilter ref="AK1:AL7" xr:uid="{4D8BDB66-2B9D-4F20-B698-8E49D5985540}"/>
  <tableColumns count="2">
    <tableColumn id="1" xr3:uid="{10882B3E-49B4-4690-BB2B-61679E1B9962}" name="Fabrication type"/>
    <tableColumn id="2" xr3:uid="{F4009DDC-F53E-4697-A7F5-C3EB18604F93}" name="unit pricing" dataDxfId="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1">
  <autoFilter ref="AN1:AO3" xr:uid="{111F729B-EAE6-43C6-A22C-3350AF35F69B}"/>
  <tableColumns count="2">
    <tableColumn id="1" xr3:uid="{BCE31027-F49B-4E07-9D92-A48D2EE292F5}" name="Component"/>
    <tableColumn id="2" xr3:uid="{00B98418-4B7C-4EAF-B67E-C409EC01DE4A}" name="Current cost"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table" Target="../tables/table10.xm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5" Type="http://schemas.openxmlformats.org/officeDocument/2006/relationships/table" Target="../tables/table2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1"/>
  <dimension ref="A1:T32"/>
  <sheetViews>
    <sheetView zoomScale="130" zoomScaleNormal="130" workbookViewId="0">
      <selection activeCell="C16" sqref="C16"/>
    </sheetView>
  </sheetViews>
  <sheetFormatPr defaultColWidth="9.109375" defaultRowHeight="13.8" x14ac:dyDescent="0.25"/>
  <cols>
    <col min="1" max="1" width="9.109375" style="13"/>
    <col min="2" max="2" width="68.5546875" style="13" customWidth="1"/>
    <col min="3" max="3" width="18.33203125" style="13" customWidth="1"/>
    <col min="4" max="4" width="19.109375" style="13" bestFit="1" customWidth="1"/>
    <col min="5" max="7" width="10.5546875" style="13" customWidth="1"/>
    <col min="8" max="8" width="13.88671875" style="13" customWidth="1"/>
    <col min="9" max="9" width="12.5546875" style="13" customWidth="1"/>
    <col min="10" max="10" width="11.109375" style="13" customWidth="1"/>
    <col min="11" max="11" width="9.109375" style="13"/>
    <col min="12" max="12" width="21.33203125" style="13" customWidth="1"/>
    <col min="13" max="19" width="9.109375" style="13"/>
    <col min="20" max="25" width="9.109375" style="13" customWidth="1"/>
    <col min="26" max="16384" width="9.109375" style="13"/>
  </cols>
  <sheetData>
    <row r="1" spans="1:20" x14ac:dyDescent="0.25">
      <c r="A1" s="60" t="s">
        <v>0</v>
      </c>
      <c r="B1" s="16" t="s">
        <v>1</v>
      </c>
      <c r="C1" s="16" t="s">
        <v>2</v>
      </c>
      <c r="D1" s="16"/>
      <c r="E1" s="16" t="s">
        <v>3</v>
      </c>
      <c r="F1" s="16"/>
      <c r="G1" s="16"/>
      <c r="H1" s="16" t="s">
        <v>4</v>
      </c>
      <c r="I1" s="16" t="s">
        <v>5</v>
      </c>
      <c r="J1" s="16" t="s">
        <v>6</v>
      </c>
      <c r="L1" s="16" t="s">
        <v>7</v>
      </c>
    </row>
    <row r="2" spans="1:20" x14ac:dyDescent="0.25">
      <c r="A2" s="60"/>
      <c r="B2" s="23"/>
      <c r="C2" s="23"/>
      <c r="D2" s="15"/>
      <c r="E2" s="61"/>
      <c r="F2" s="61"/>
      <c r="G2" s="61"/>
      <c r="H2" s="23"/>
      <c r="I2" s="23"/>
      <c r="J2" s="23"/>
      <c r="L2" s="45" t="s">
        <v>8</v>
      </c>
    </row>
    <row r="3" spans="1:20" x14ac:dyDescent="0.25">
      <c r="A3" s="60"/>
      <c r="E3" s="14"/>
      <c r="F3" s="14"/>
      <c r="G3" s="14"/>
    </row>
    <row r="4" spans="1:20" x14ac:dyDescent="0.25">
      <c r="A4" s="60"/>
      <c r="B4" s="13" t="s">
        <v>9</v>
      </c>
      <c r="C4" s="24" t="s">
        <v>110</v>
      </c>
      <c r="E4" s="62"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62"/>
      <c r="G4" s="62"/>
      <c r="H4" s="62"/>
      <c r="I4" s="62"/>
      <c r="J4" s="62"/>
      <c r="K4" s="62"/>
      <c r="L4" s="62"/>
      <c r="M4" s="62"/>
      <c r="T4" s="13" t="s">
        <v>9</v>
      </c>
    </row>
    <row r="5" spans="1:20" x14ac:dyDescent="0.25">
      <c r="A5" s="60"/>
      <c r="B5" s="13" t="s">
        <v>11</v>
      </c>
      <c r="C5" s="57">
        <v>100</v>
      </c>
      <c r="E5" s="62"/>
      <c r="F5" s="62"/>
      <c r="G5" s="62"/>
      <c r="H5" s="62"/>
      <c r="I5" s="62"/>
      <c r="J5" s="62"/>
      <c r="K5" s="62"/>
      <c r="L5" s="62"/>
      <c r="M5" s="62"/>
      <c r="T5" s="13" t="s">
        <v>12</v>
      </c>
    </row>
    <row r="6" spans="1:20" x14ac:dyDescent="0.25">
      <c r="A6" s="60"/>
      <c r="B6" s="13" t="s">
        <v>13</v>
      </c>
      <c r="C6" s="24"/>
      <c r="E6" s="62"/>
      <c r="F6" s="62"/>
      <c r="G6" s="62"/>
      <c r="H6" s="62"/>
      <c r="I6" s="62"/>
      <c r="J6" s="62"/>
      <c r="K6" s="62"/>
      <c r="L6" s="62"/>
      <c r="M6" s="62"/>
      <c r="T6" s="13" t="s">
        <v>13</v>
      </c>
    </row>
    <row r="7" spans="1:20" x14ac:dyDescent="0.25">
      <c r="A7" s="60"/>
      <c r="B7" s="13" t="s">
        <v>14</v>
      </c>
      <c r="C7" s="58">
        <v>22</v>
      </c>
      <c r="E7" s="62"/>
      <c r="F7" s="62"/>
      <c r="G7" s="62"/>
      <c r="H7" s="62"/>
      <c r="I7" s="62"/>
      <c r="J7" s="62"/>
      <c r="K7" s="62"/>
      <c r="L7" s="62"/>
      <c r="M7" s="62"/>
      <c r="T7" s="13" t="s">
        <v>14</v>
      </c>
    </row>
    <row r="8" spans="1:20" x14ac:dyDescent="0.25">
      <c r="A8" s="60"/>
      <c r="B8" s="13" t="s">
        <v>15</v>
      </c>
      <c r="C8" s="57">
        <v>1</v>
      </c>
      <c r="E8" s="62"/>
      <c r="F8" s="62"/>
      <c r="G8" s="62"/>
      <c r="H8" s="62"/>
      <c r="I8" s="62"/>
      <c r="J8" s="62"/>
      <c r="K8" s="62"/>
      <c r="L8" s="62"/>
      <c r="M8" s="62"/>
    </row>
    <row r="9" spans="1:20" x14ac:dyDescent="0.25">
      <c r="A9" s="60"/>
      <c r="B9" s="13" t="s">
        <v>16</v>
      </c>
      <c r="C9" s="58">
        <v>20</v>
      </c>
      <c r="D9" s="46" t="s">
        <v>17</v>
      </c>
      <c r="E9" s="62"/>
      <c r="F9" s="62"/>
      <c r="G9" s="62"/>
      <c r="H9" s="62"/>
      <c r="I9" s="62"/>
      <c r="J9" s="62"/>
      <c r="K9" s="62"/>
      <c r="L9" s="62"/>
      <c r="M9" s="62"/>
      <c r="T9" s="13" t="s">
        <v>16</v>
      </c>
    </row>
    <row r="10" spans="1:20" ht="17.399999999999999" x14ac:dyDescent="0.3">
      <c r="A10" s="17"/>
      <c r="B10" s="13" t="s">
        <v>760</v>
      </c>
      <c r="C10" s="59">
        <v>1</v>
      </c>
    </row>
    <row r="11" spans="1:20" ht="14.25" customHeight="1" x14ac:dyDescent="0.25">
      <c r="A11" s="60" t="str">
        <f>IF(C$4="duct","Duct","")</f>
        <v>Duct</v>
      </c>
      <c r="B11" s="13" t="str">
        <f>IF(C$4="duct",T11,"")</f>
        <v>What is the height of the duct? (inches)</v>
      </c>
      <c r="C11" s="58">
        <v>6</v>
      </c>
      <c r="T11" s="13" t="s">
        <v>23</v>
      </c>
    </row>
    <row r="12" spans="1:20" x14ac:dyDescent="0.25">
      <c r="A12" s="60"/>
      <c r="B12" s="13" t="s">
        <v>766</v>
      </c>
      <c r="C12" s="58">
        <v>36</v>
      </c>
      <c r="T12" s="13" t="s">
        <v>24</v>
      </c>
    </row>
    <row r="13" spans="1:20" x14ac:dyDescent="0.25">
      <c r="A13" s="60"/>
      <c r="B13" s="13" t="str">
        <f t="shared" ref="B13:B18" si="0">IF(C$4="duct",T13,"")</f>
        <v>What shape is the duct?</v>
      </c>
      <c r="C13" s="58" t="s">
        <v>785</v>
      </c>
      <c r="T13" s="13" t="s">
        <v>25</v>
      </c>
    </row>
    <row r="14" spans="1:20" x14ac:dyDescent="0.25">
      <c r="A14" s="60"/>
      <c r="B14" s="13" t="str">
        <f t="shared" si="0"/>
        <v>What is the gauge of the duct?</v>
      </c>
      <c r="C14" s="58">
        <v>28</v>
      </c>
      <c r="T14" s="13" t="s">
        <v>26</v>
      </c>
    </row>
    <row r="15" spans="1:20" x14ac:dyDescent="0.25">
      <c r="A15" s="60"/>
      <c r="B15" s="13" t="str">
        <f t="shared" si="0"/>
        <v>What is the insulation density in lbs/cu ft? (leave blank for no insulation)</v>
      </c>
      <c r="C15" s="58">
        <v>0</v>
      </c>
      <c r="T15" s="13" t="s">
        <v>27</v>
      </c>
    </row>
    <row r="16" spans="1:20" x14ac:dyDescent="0.25">
      <c r="A16" s="60"/>
      <c r="B16" s="13" t="str">
        <f t="shared" si="0"/>
        <v>What is the insulation thickness in inches? (leave blank for no insulation)</v>
      </c>
      <c r="C16" s="58">
        <v>2</v>
      </c>
      <c r="T16" s="13" t="s">
        <v>28</v>
      </c>
    </row>
    <row r="17" spans="1:20" x14ac:dyDescent="0.25">
      <c r="A17" s="60"/>
      <c r="B17" s="13" t="str">
        <f t="shared" si="0"/>
        <v>Is a top piece required to prevent uplift of duct?</v>
      </c>
      <c r="C17" s="58" t="s">
        <v>786</v>
      </c>
      <c r="T17" s="13" t="s">
        <v>29</v>
      </c>
    </row>
    <row r="18" spans="1:20" x14ac:dyDescent="0.25">
      <c r="A18" s="60"/>
      <c r="B18" s="13" t="str">
        <f t="shared" si="0"/>
        <v>What length are the duct segments?</v>
      </c>
      <c r="C18" s="58">
        <v>4</v>
      </c>
      <c r="D18" s="13" t="str">
        <f>IF(C4="Duct",T20,"")</f>
        <v>Calculated weight (lbs/ft)</v>
      </c>
      <c r="T18" s="13" t="s">
        <v>30</v>
      </c>
    </row>
    <row r="19" spans="1:20" x14ac:dyDescent="0.25">
      <c r="A19" s="60"/>
      <c r="B19" s="13" t="str">
        <f>IF(C$4="duct",T19,"")</f>
        <v>Enter lbs/ft here to override calculated weight per foot</v>
      </c>
      <c r="C19" s="24"/>
      <c r="D19" s="21">
        <f>IFERROR(Calculations!B27,"")</f>
        <v>72.007666666666665</v>
      </c>
      <c r="T19" s="13" t="s">
        <v>31</v>
      </c>
    </row>
    <row r="20" spans="1:20" ht="17.399999999999999" x14ac:dyDescent="0.3">
      <c r="A20" s="17"/>
      <c r="C20" s="18"/>
      <c r="T20" s="13" t="s">
        <v>32</v>
      </c>
    </row>
    <row r="21" spans="1:20" x14ac:dyDescent="0.25">
      <c r="A21" s="60" t="str">
        <f>IF(C$4="other","Other","")</f>
        <v/>
      </c>
      <c r="B21" s="13" t="str">
        <f>IF(C$4="other",T21,"")</f>
        <v/>
      </c>
      <c r="C21" s="24"/>
      <c r="E21" s="13" t="s">
        <v>33</v>
      </c>
      <c r="T21" s="13" t="s">
        <v>34</v>
      </c>
    </row>
    <row r="22" spans="1:20" x14ac:dyDescent="0.25">
      <c r="A22" s="60"/>
      <c r="B22" s="13" t="str">
        <f t="shared" ref="B22:B23" si="1">IF(C$4="other",T22,"")</f>
        <v/>
      </c>
      <c r="C22" s="24"/>
      <c r="E22" s="13" t="s">
        <v>35</v>
      </c>
      <c r="T22" s="13" t="s">
        <v>36</v>
      </c>
    </row>
    <row r="23" spans="1:20" x14ac:dyDescent="0.25">
      <c r="A23" s="60"/>
      <c r="B23" s="13" t="str">
        <f t="shared" si="1"/>
        <v/>
      </c>
      <c r="C23" s="24"/>
      <c r="E23" s="13" t="s">
        <v>37</v>
      </c>
      <c r="T23" s="13" t="s">
        <v>38</v>
      </c>
    </row>
    <row r="24" spans="1:20" x14ac:dyDescent="0.25">
      <c r="A24" s="60"/>
      <c r="B24" s="13" t="str">
        <f>IF(C$4="other",T24,"")</f>
        <v/>
      </c>
      <c r="C24" s="24"/>
      <c r="T24" s="13" t="s">
        <v>39</v>
      </c>
    </row>
    <row r="25" spans="1:20" x14ac:dyDescent="0.25">
      <c r="C25" s="18"/>
    </row>
    <row r="26" spans="1:20" x14ac:dyDescent="0.25">
      <c r="C26" s="18"/>
    </row>
    <row r="27" spans="1:20" x14ac:dyDescent="0.25">
      <c r="C27" s="18"/>
      <c r="H27" s="22"/>
    </row>
    <row r="28" spans="1:20" x14ac:dyDescent="0.25">
      <c r="C28" s="18"/>
      <c r="H28" s="22"/>
    </row>
    <row r="29" spans="1:20" x14ac:dyDescent="0.25">
      <c r="C29" s="18"/>
      <c r="H29" s="22"/>
    </row>
    <row r="30" spans="1:20" x14ac:dyDescent="0.25">
      <c r="C30" s="18"/>
      <c r="H30" s="22"/>
    </row>
    <row r="31" spans="1:20" x14ac:dyDescent="0.25">
      <c r="C31" s="18"/>
      <c r="H31" s="22"/>
    </row>
    <row r="32" spans="1:20" x14ac:dyDescent="0.25">
      <c r="C32" s="18"/>
    </row>
  </sheetData>
  <mergeCells count="5">
    <mergeCell ref="A21:A24"/>
    <mergeCell ref="A11:A19"/>
    <mergeCell ref="E2:G2"/>
    <mergeCell ref="A1:A9"/>
    <mergeCell ref="E4:M9"/>
  </mergeCells>
  <phoneticPr fontId="2" type="noConversion"/>
  <conditionalFormatting sqref="C4:C32">
    <cfRule type="expression" dxfId="45" priority="1">
      <formula>$B4&lt;&gt;""</formula>
    </cfRule>
  </conditionalFormatting>
  <conditionalFormatting sqref="D19">
    <cfRule type="expression" dxfId="44" priority="5">
      <formula>$B19&lt;&gt;""</formula>
    </cfRule>
  </conditionalFormatting>
  <dataValidations count="9">
    <dataValidation type="list" allowBlank="1" showInputMessage="1" showErrorMessage="1" sqref="C4" xr:uid="{7FBDC557-A53F-4455-9542-9DCA126B1965}">
      <formula1>INDIRECT("Utilities")</formula1>
    </dataValidation>
    <dataValidation type="list" allowBlank="1" showInputMessage="1" showErrorMessage="1" sqref="C14" xr:uid="{C00ADE3B-6484-4BBE-9CB6-578536440803}">
      <formula1>INDIRECT("Duct_gauges")</formula1>
    </dataValidation>
    <dataValidation type="list" allowBlank="1" showInputMessage="1" showErrorMessage="1" sqref="C15" xr:uid="{47C837F0-ACD2-460C-AAB9-B1A48601BD00}">
      <formula1>INDIRECT("Duct_insulation_density")</formula1>
    </dataValidation>
    <dataValidation type="list" allowBlank="1" showInputMessage="1" showErrorMessage="1" sqref="C16" xr:uid="{E8677995-09F5-4220-A75C-CEFBCC2C6C48}">
      <formula1>INDIRECT("Duct_insulation_thickness")</formula1>
    </dataValidation>
    <dataValidation type="list" allowBlank="1" showInputMessage="1" showErrorMessage="1" sqref="C24 C17"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34000D3F-6605-4F28-B4EA-8AA505E3C720}">
      <formula1>INDIRECT("Duct_segments")</formula1>
    </dataValidation>
    <dataValidation type="list" allowBlank="1" showInputMessage="1" showErrorMessage="1" sqref="C13" xr:uid="{2D834A93-5745-4CE9-8558-1D7BCD6F0825}">
      <formula1>INDIRECT("Duct_shape")</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A48C8-ECC1-4BB6-8F9A-D8F5BAC9C5EC}">
  <sheetPr codeName="Sheet16"/>
  <dimension ref="H6:I7"/>
  <sheetViews>
    <sheetView tabSelected="1" workbookViewId="0">
      <selection activeCell="J9" sqref="J9"/>
    </sheetView>
  </sheetViews>
  <sheetFormatPr defaultRowHeight="14.4" x14ac:dyDescent="0.3"/>
  <cols>
    <col min="8" max="8" width="15.33203125" bestFit="1" customWidth="1"/>
  </cols>
  <sheetData>
    <row r="6" spans="8:9" x14ac:dyDescent="0.3">
      <c r="H6" t="s">
        <v>768</v>
      </c>
      <c r="I6">
        <v>2</v>
      </c>
    </row>
    <row r="7" spans="8:9" x14ac:dyDescent="0.3">
      <c r="H7" t="s">
        <v>769</v>
      </c>
      <c r="I7">
        <v>100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allCSVToSheet">
                <anchor moveWithCells="1" sizeWithCells="1">
                  <from>
                    <xdr:col>1</xdr:col>
                    <xdr:colOff>533400</xdr:colOff>
                    <xdr:row>2</xdr:row>
                    <xdr:rowOff>137160</xdr:rowOff>
                  </from>
                  <to>
                    <xdr:col>4</xdr:col>
                    <xdr:colOff>335280</xdr:colOff>
                    <xdr:row>6</xdr:row>
                    <xdr:rowOff>22860</xdr:rowOff>
                  </to>
                </anchor>
              </controlPr>
            </control>
          </mc:Choice>
        </mc:AlternateContent>
        <mc:AlternateContent xmlns:mc="http://schemas.openxmlformats.org/markup-compatibility/2006">
          <mc:Choice Requires="x14">
            <control shapeId="23554" r:id="rId4" name="Button 2">
              <controlPr defaultSize="0" print="0" autoFill="0" autoPict="0" macro="[0]!callRunTests">
                <anchor moveWithCells="1" sizeWithCells="1">
                  <from>
                    <xdr:col>6</xdr:col>
                    <xdr:colOff>601980</xdr:colOff>
                    <xdr:row>2</xdr:row>
                    <xdr:rowOff>68580</xdr:rowOff>
                  </from>
                  <to>
                    <xdr:col>9</xdr:col>
                    <xdr:colOff>7620</xdr:colOff>
                    <xdr:row>4</xdr:row>
                    <xdr:rowOff>137160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F2E57-73D6-4EF2-90A3-AF0FA2D1553B}">
  <sheetPr codeName="Sheet20"/>
  <dimension ref="A1:O107"/>
  <sheetViews>
    <sheetView topLeftCell="A76" workbookViewId="0">
      <selection activeCell="A103" sqref="A103:O107"/>
    </sheetView>
  </sheetViews>
  <sheetFormatPr defaultRowHeight="14.4" x14ac:dyDescent="0.3"/>
  <cols>
    <col min="1" max="1" width="9.44140625" bestFit="1" customWidth="1"/>
    <col min="2" max="2" width="18.6640625" bestFit="1" customWidth="1"/>
    <col min="3" max="3" width="10" bestFit="1" customWidth="1"/>
    <col min="4" max="4" width="9.6640625" bestFit="1" customWidth="1"/>
    <col min="5" max="5" width="6.109375" bestFit="1" customWidth="1"/>
    <col min="6" max="6" width="6.6640625" bestFit="1" customWidth="1"/>
    <col min="7" max="7" width="6.33203125" bestFit="1" customWidth="1"/>
    <col min="8" max="8" width="18.88671875" bestFit="1" customWidth="1"/>
    <col min="9" max="9" width="6.6640625" bestFit="1" customWidth="1"/>
    <col min="10" max="10" width="17" bestFit="1" customWidth="1"/>
    <col min="11" max="11" width="13.6640625" bestFit="1" customWidth="1"/>
    <col min="12" max="12" width="13.88671875" bestFit="1" customWidth="1"/>
    <col min="13" max="13" width="19.33203125" bestFit="1" customWidth="1"/>
    <col min="14" max="14" width="13.44140625" bestFit="1" customWidth="1"/>
    <col min="15" max="15" width="11.6640625" bestFit="1" customWidth="1"/>
  </cols>
  <sheetData>
    <row r="1" spans="1:15" x14ac:dyDescent="0.3">
      <c r="A1" t="s">
        <v>770</v>
      </c>
      <c r="B1" t="s">
        <v>771</v>
      </c>
      <c r="C1" t="s">
        <v>772</v>
      </c>
      <c r="D1" t="s">
        <v>773</v>
      </c>
      <c r="E1" t="s">
        <v>774</v>
      </c>
      <c r="F1" t="s">
        <v>775</v>
      </c>
      <c r="G1" t="s">
        <v>776</v>
      </c>
      <c r="H1" t="s">
        <v>777</v>
      </c>
      <c r="I1" t="s">
        <v>778</v>
      </c>
      <c r="J1" t="s">
        <v>779</v>
      </c>
      <c r="K1" t="s">
        <v>783</v>
      </c>
      <c r="L1" t="s">
        <v>780</v>
      </c>
      <c r="M1" t="s">
        <v>781</v>
      </c>
      <c r="N1" t="s">
        <v>782</v>
      </c>
      <c r="O1" t="s">
        <v>784</v>
      </c>
    </row>
    <row r="2" spans="1:15" x14ac:dyDescent="0.3">
      <c r="A2">
        <v>23</v>
      </c>
      <c r="B2" t="b">
        <v>0</v>
      </c>
      <c r="C2">
        <v>20</v>
      </c>
      <c r="D2" t="s">
        <v>785</v>
      </c>
      <c r="E2">
        <v>12</v>
      </c>
      <c r="F2">
        <v>12</v>
      </c>
      <c r="G2">
        <v>32</v>
      </c>
      <c r="H2">
        <v>2.5</v>
      </c>
      <c r="I2">
        <v>10</v>
      </c>
      <c r="J2">
        <v>0</v>
      </c>
      <c r="K2">
        <v>100</v>
      </c>
      <c r="L2">
        <v>30.53</v>
      </c>
      <c r="M2">
        <v>18</v>
      </c>
      <c r="N2">
        <v>8</v>
      </c>
      <c r="O2">
        <v>14</v>
      </c>
    </row>
    <row r="3" spans="1:15" x14ac:dyDescent="0.3">
      <c r="A3">
        <v>18</v>
      </c>
      <c r="B3" t="b">
        <v>1</v>
      </c>
      <c r="C3">
        <v>60</v>
      </c>
      <c r="D3" t="s">
        <v>785</v>
      </c>
      <c r="E3">
        <v>48</v>
      </c>
      <c r="F3">
        <v>6</v>
      </c>
      <c r="G3">
        <v>16</v>
      </c>
      <c r="H3">
        <v>2</v>
      </c>
      <c r="I3">
        <v>5</v>
      </c>
      <c r="J3">
        <v>0</v>
      </c>
      <c r="K3">
        <v>100</v>
      </c>
      <c r="L3">
        <v>283.31</v>
      </c>
      <c r="M3">
        <v>52</v>
      </c>
      <c r="O3">
        <v>51</v>
      </c>
    </row>
    <row r="4" spans="1:15" x14ac:dyDescent="0.3">
      <c r="A4">
        <v>14</v>
      </c>
      <c r="B4" t="b">
        <v>0</v>
      </c>
      <c r="C4">
        <v>10</v>
      </c>
      <c r="D4" t="s">
        <v>115</v>
      </c>
      <c r="E4">
        <v>6</v>
      </c>
      <c r="G4">
        <v>12</v>
      </c>
      <c r="H4">
        <v>2.5</v>
      </c>
      <c r="I4">
        <v>10</v>
      </c>
      <c r="J4">
        <v>1</v>
      </c>
      <c r="K4">
        <v>100</v>
      </c>
      <c r="L4">
        <v>13.87</v>
      </c>
      <c r="M4">
        <v>12</v>
      </c>
      <c r="N4">
        <v>8</v>
      </c>
      <c r="O4">
        <v>14</v>
      </c>
    </row>
    <row r="5" spans="1:15" x14ac:dyDescent="0.3">
      <c r="A5">
        <v>14</v>
      </c>
      <c r="B5" t="b">
        <v>1</v>
      </c>
      <c r="C5">
        <v>40</v>
      </c>
      <c r="D5" t="s">
        <v>115</v>
      </c>
      <c r="E5">
        <v>24</v>
      </c>
      <c r="G5">
        <v>20</v>
      </c>
      <c r="H5">
        <v>2.5</v>
      </c>
      <c r="I5">
        <v>4</v>
      </c>
      <c r="J5">
        <v>0</v>
      </c>
      <c r="K5">
        <v>100</v>
      </c>
      <c r="L5">
        <v>63.32</v>
      </c>
      <c r="M5">
        <v>30</v>
      </c>
      <c r="N5">
        <v>8</v>
      </c>
      <c r="O5">
        <v>14</v>
      </c>
    </row>
    <row r="6" spans="1:15" x14ac:dyDescent="0.3">
      <c r="A6">
        <v>15</v>
      </c>
      <c r="B6" t="b">
        <v>1</v>
      </c>
      <c r="C6">
        <v>60</v>
      </c>
      <c r="D6" t="s">
        <v>115</v>
      </c>
      <c r="E6">
        <v>24</v>
      </c>
      <c r="G6">
        <v>23</v>
      </c>
      <c r="H6">
        <v>3</v>
      </c>
      <c r="I6">
        <v>4</v>
      </c>
      <c r="J6">
        <v>0</v>
      </c>
      <c r="K6">
        <v>100</v>
      </c>
      <c r="L6">
        <v>90.35</v>
      </c>
      <c r="M6">
        <v>30</v>
      </c>
      <c r="N6">
        <v>8</v>
      </c>
      <c r="O6">
        <v>14</v>
      </c>
    </row>
    <row r="7" spans="1:15" x14ac:dyDescent="0.3">
      <c r="A7">
        <v>18</v>
      </c>
      <c r="B7" t="b">
        <v>1</v>
      </c>
      <c r="C7">
        <v>20</v>
      </c>
      <c r="D7" t="s">
        <v>785</v>
      </c>
      <c r="E7">
        <v>48</v>
      </c>
      <c r="F7">
        <v>48</v>
      </c>
      <c r="G7">
        <v>19</v>
      </c>
      <c r="H7">
        <v>1</v>
      </c>
      <c r="I7">
        <v>5</v>
      </c>
      <c r="J7">
        <v>1.5</v>
      </c>
      <c r="K7">
        <v>100</v>
      </c>
      <c r="L7">
        <v>115.14</v>
      </c>
      <c r="M7">
        <v>50</v>
      </c>
      <c r="N7">
        <v>4</v>
      </c>
      <c r="O7">
        <v>26</v>
      </c>
    </row>
    <row r="8" spans="1:15" x14ac:dyDescent="0.3">
      <c r="A8">
        <v>18</v>
      </c>
      <c r="B8" t="b">
        <v>0</v>
      </c>
      <c r="C8">
        <v>60</v>
      </c>
      <c r="D8" t="s">
        <v>785</v>
      </c>
      <c r="E8">
        <v>48</v>
      </c>
      <c r="F8">
        <v>48</v>
      </c>
      <c r="G8">
        <v>18</v>
      </c>
      <c r="H8">
        <v>3</v>
      </c>
      <c r="I8">
        <v>4</v>
      </c>
      <c r="J8">
        <v>0</v>
      </c>
      <c r="K8">
        <v>100</v>
      </c>
      <c r="L8">
        <v>303.68</v>
      </c>
      <c r="M8">
        <v>54</v>
      </c>
      <c r="O8">
        <v>51</v>
      </c>
    </row>
    <row r="9" spans="1:15" x14ac:dyDescent="0.3">
      <c r="A9">
        <v>18</v>
      </c>
      <c r="B9" t="b">
        <v>1</v>
      </c>
      <c r="C9">
        <v>5</v>
      </c>
      <c r="D9" t="s">
        <v>115</v>
      </c>
      <c r="E9">
        <v>6</v>
      </c>
      <c r="G9">
        <v>14</v>
      </c>
      <c r="H9">
        <v>3</v>
      </c>
      <c r="I9">
        <v>10</v>
      </c>
      <c r="J9">
        <v>0.75</v>
      </c>
      <c r="K9">
        <v>100</v>
      </c>
      <c r="L9">
        <v>9.49</v>
      </c>
      <c r="M9">
        <v>12</v>
      </c>
      <c r="N9">
        <v>8</v>
      </c>
      <c r="O9">
        <v>14</v>
      </c>
    </row>
    <row r="10" spans="1:15" x14ac:dyDescent="0.3">
      <c r="A10">
        <v>21</v>
      </c>
      <c r="B10" t="b">
        <v>0</v>
      </c>
      <c r="C10">
        <v>5</v>
      </c>
      <c r="D10" t="s">
        <v>115</v>
      </c>
      <c r="E10">
        <v>12</v>
      </c>
      <c r="G10">
        <v>16</v>
      </c>
      <c r="H10">
        <v>2.5</v>
      </c>
      <c r="I10">
        <v>4</v>
      </c>
      <c r="J10">
        <v>1</v>
      </c>
      <c r="K10">
        <v>100</v>
      </c>
      <c r="L10">
        <v>16.2</v>
      </c>
      <c r="M10">
        <v>18</v>
      </c>
      <c r="N10">
        <v>8</v>
      </c>
      <c r="O10">
        <v>14</v>
      </c>
    </row>
    <row r="11" spans="1:15" x14ac:dyDescent="0.3">
      <c r="A11">
        <v>23</v>
      </c>
      <c r="B11" t="b">
        <v>0</v>
      </c>
      <c r="C11">
        <v>10</v>
      </c>
      <c r="D11" t="s">
        <v>115</v>
      </c>
      <c r="E11">
        <v>36</v>
      </c>
      <c r="G11">
        <v>12</v>
      </c>
      <c r="H11">
        <v>1</v>
      </c>
      <c r="I11">
        <v>5</v>
      </c>
      <c r="J11">
        <v>0.75</v>
      </c>
      <c r="K11">
        <v>100</v>
      </c>
      <c r="L11">
        <v>72.349999999999994</v>
      </c>
      <c r="M11">
        <v>38</v>
      </c>
      <c r="N11">
        <v>6</v>
      </c>
      <c r="O11">
        <v>18</v>
      </c>
    </row>
    <row r="12" spans="1:15" x14ac:dyDescent="0.3">
      <c r="A12">
        <v>19</v>
      </c>
      <c r="B12" t="b">
        <v>1</v>
      </c>
      <c r="C12">
        <v>60</v>
      </c>
      <c r="D12" t="s">
        <v>785</v>
      </c>
      <c r="E12">
        <v>6</v>
      </c>
      <c r="F12">
        <v>24</v>
      </c>
      <c r="G12">
        <v>12</v>
      </c>
      <c r="H12">
        <v>2.5</v>
      </c>
      <c r="I12">
        <v>5</v>
      </c>
      <c r="J12">
        <v>0</v>
      </c>
      <c r="K12">
        <v>100</v>
      </c>
      <c r="L12">
        <v>77.11</v>
      </c>
      <c r="M12">
        <v>12</v>
      </c>
      <c r="N12">
        <v>8</v>
      </c>
      <c r="O12">
        <v>14</v>
      </c>
    </row>
    <row r="13" spans="1:15" x14ac:dyDescent="0.3">
      <c r="A13">
        <v>16</v>
      </c>
      <c r="B13" t="b">
        <v>0</v>
      </c>
      <c r="C13">
        <v>10</v>
      </c>
      <c r="D13" t="s">
        <v>115</v>
      </c>
      <c r="E13">
        <v>48</v>
      </c>
      <c r="G13">
        <v>17</v>
      </c>
      <c r="H13">
        <v>3</v>
      </c>
      <c r="I13">
        <v>4</v>
      </c>
      <c r="J13">
        <v>0.75</v>
      </c>
      <c r="K13">
        <v>100</v>
      </c>
      <c r="L13">
        <v>82.28</v>
      </c>
      <c r="M13">
        <v>54</v>
      </c>
      <c r="N13">
        <v>4</v>
      </c>
      <c r="O13">
        <v>26</v>
      </c>
    </row>
    <row r="14" spans="1:15" x14ac:dyDescent="0.3">
      <c r="A14">
        <v>20</v>
      </c>
      <c r="B14" t="b">
        <v>0</v>
      </c>
      <c r="C14">
        <v>10</v>
      </c>
      <c r="D14" t="s">
        <v>785</v>
      </c>
      <c r="E14">
        <v>6</v>
      </c>
      <c r="F14">
        <v>24</v>
      </c>
      <c r="G14">
        <v>25</v>
      </c>
      <c r="H14">
        <v>1</v>
      </c>
      <c r="I14">
        <v>10</v>
      </c>
      <c r="J14">
        <v>0</v>
      </c>
      <c r="K14">
        <v>100</v>
      </c>
      <c r="L14">
        <v>11.71</v>
      </c>
      <c r="M14">
        <v>8</v>
      </c>
      <c r="N14">
        <v>8</v>
      </c>
      <c r="O14">
        <v>14</v>
      </c>
    </row>
    <row r="15" spans="1:15" x14ac:dyDescent="0.3">
      <c r="A15">
        <v>22</v>
      </c>
      <c r="B15" t="b">
        <v>0</v>
      </c>
      <c r="C15">
        <v>60</v>
      </c>
      <c r="D15" t="s">
        <v>115</v>
      </c>
      <c r="E15">
        <v>12</v>
      </c>
      <c r="G15">
        <v>30</v>
      </c>
      <c r="H15">
        <v>3</v>
      </c>
      <c r="I15">
        <v>5</v>
      </c>
      <c r="J15">
        <v>0</v>
      </c>
      <c r="K15">
        <v>100</v>
      </c>
      <c r="L15">
        <v>51.52</v>
      </c>
      <c r="M15">
        <v>18</v>
      </c>
      <c r="N15">
        <v>8</v>
      </c>
      <c r="O15">
        <v>14</v>
      </c>
    </row>
    <row r="16" spans="1:15" x14ac:dyDescent="0.3">
      <c r="A16">
        <v>16</v>
      </c>
      <c r="B16" t="b">
        <v>0</v>
      </c>
      <c r="C16">
        <v>5</v>
      </c>
      <c r="D16" t="s">
        <v>785</v>
      </c>
      <c r="E16">
        <v>48</v>
      </c>
      <c r="F16">
        <v>36</v>
      </c>
      <c r="G16">
        <v>17</v>
      </c>
      <c r="H16">
        <v>2</v>
      </c>
      <c r="I16">
        <v>4</v>
      </c>
      <c r="J16">
        <v>0.75</v>
      </c>
      <c r="K16">
        <v>100</v>
      </c>
      <c r="L16">
        <v>56.35</v>
      </c>
      <c r="M16">
        <v>52</v>
      </c>
      <c r="N16">
        <v>4</v>
      </c>
      <c r="O16">
        <v>26</v>
      </c>
    </row>
    <row r="17" spans="1:15" x14ac:dyDescent="0.3">
      <c r="A17">
        <v>22</v>
      </c>
      <c r="B17" t="b">
        <v>1</v>
      </c>
      <c r="C17">
        <v>5</v>
      </c>
      <c r="D17" t="s">
        <v>785</v>
      </c>
      <c r="E17">
        <v>6</v>
      </c>
      <c r="F17">
        <v>36</v>
      </c>
      <c r="G17">
        <v>17</v>
      </c>
      <c r="H17">
        <v>1.5</v>
      </c>
      <c r="I17">
        <v>10</v>
      </c>
      <c r="J17">
        <v>1</v>
      </c>
      <c r="K17">
        <v>100</v>
      </c>
      <c r="L17">
        <v>21.11</v>
      </c>
      <c r="M17">
        <v>10</v>
      </c>
      <c r="N17">
        <v>8</v>
      </c>
      <c r="O17">
        <v>14</v>
      </c>
    </row>
    <row r="18" spans="1:15" x14ac:dyDescent="0.3">
      <c r="A18">
        <v>18</v>
      </c>
      <c r="B18" t="b">
        <v>1</v>
      </c>
      <c r="C18">
        <v>10</v>
      </c>
      <c r="D18" t="s">
        <v>785</v>
      </c>
      <c r="E18">
        <v>6</v>
      </c>
      <c r="F18">
        <v>6</v>
      </c>
      <c r="G18">
        <v>27</v>
      </c>
      <c r="H18">
        <v>3</v>
      </c>
      <c r="I18">
        <v>10</v>
      </c>
      <c r="J18">
        <v>0</v>
      </c>
      <c r="K18">
        <v>100</v>
      </c>
      <c r="L18">
        <v>11.65</v>
      </c>
      <c r="M18">
        <v>12</v>
      </c>
      <c r="N18">
        <v>8</v>
      </c>
      <c r="O18">
        <v>14</v>
      </c>
    </row>
    <row r="19" spans="1:15" x14ac:dyDescent="0.3">
      <c r="A19">
        <v>19</v>
      </c>
      <c r="B19" t="b">
        <v>1</v>
      </c>
      <c r="C19">
        <v>40</v>
      </c>
      <c r="D19" t="s">
        <v>785</v>
      </c>
      <c r="E19">
        <v>24</v>
      </c>
      <c r="F19">
        <v>24</v>
      </c>
      <c r="G19">
        <v>29</v>
      </c>
      <c r="H19">
        <v>3</v>
      </c>
      <c r="I19">
        <v>10</v>
      </c>
      <c r="J19">
        <v>1</v>
      </c>
      <c r="K19">
        <v>100</v>
      </c>
      <c r="L19">
        <v>107.87</v>
      </c>
      <c r="M19">
        <v>30</v>
      </c>
      <c r="N19">
        <v>6</v>
      </c>
      <c r="O19">
        <v>18</v>
      </c>
    </row>
    <row r="20" spans="1:15" x14ac:dyDescent="0.3">
      <c r="A20">
        <v>23</v>
      </c>
      <c r="B20" t="b">
        <v>0</v>
      </c>
      <c r="C20">
        <v>0</v>
      </c>
      <c r="D20" t="s">
        <v>785</v>
      </c>
      <c r="E20">
        <v>6</v>
      </c>
      <c r="F20">
        <v>12</v>
      </c>
      <c r="G20">
        <v>30</v>
      </c>
      <c r="H20">
        <v>1</v>
      </c>
      <c r="I20">
        <v>5</v>
      </c>
      <c r="J20">
        <v>1.5</v>
      </c>
      <c r="K20">
        <v>100</v>
      </c>
      <c r="L20">
        <v>2.34</v>
      </c>
      <c r="M20">
        <v>8</v>
      </c>
      <c r="N20">
        <v>8</v>
      </c>
      <c r="O20">
        <v>14</v>
      </c>
    </row>
    <row r="21" spans="1:15" x14ac:dyDescent="0.3">
      <c r="A21">
        <v>17</v>
      </c>
      <c r="B21" t="b">
        <v>0</v>
      </c>
      <c r="C21">
        <v>20</v>
      </c>
      <c r="D21" t="s">
        <v>115</v>
      </c>
      <c r="E21">
        <v>6</v>
      </c>
      <c r="G21">
        <v>12</v>
      </c>
      <c r="H21">
        <v>1</v>
      </c>
      <c r="I21">
        <v>10</v>
      </c>
      <c r="J21">
        <v>1</v>
      </c>
      <c r="K21">
        <v>100</v>
      </c>
      <c r="L21">
        <v>15.18</v>
      </c>
      <c r="M21">
        <v>8</v>
      </c>
      <c r="N21">
        <v>8</v>
      </c>
      <c r="O21">
        <v>14</v>
      </c>
    </row>
    <row r="22" spans="1:15" x14ac:dyDescent="0.3">
      <c r="A22">
        <v>15</v>
      </c>
      <c r="B22" t="b">
        <v>1</v>
      </c>
      <c r="C22">
        <v>60</v>
      </c>
      <c r="D22" t="s">
        <v>785</v>
      </c>
      <c r="E22">
        <v>6</v>
      </c>
      <c r="F22">
        <v>36</v>
      </c>
      <c r="G22">
        <v>13</v>
      </c>
      <c r="H22">
        <v>3</v>
      </c>
      <c r="I22">
        <v>10</v>
      </c>
      <c r="J22">
        <v>1.5</v>
      </c>
      <c r="K22">
        <v>100</v>
      </c>
      <c r="L22">
        <v>89.67</v>
      </c>
      <c r="M22">
        <v>12</v>
      </c>
      <c r="N22">
        <v>8</v>
      </c>
      <c r="O22">
        <v>14</v>
      </c>
    </row>
    <row r="23" spans="1:15" x14ac:dyDescent="0.3">
      <c r="A23">
        <v>23</v>
      </c>
      <c r="B23" t="b">
        <v>1</v>
      </c>
      <c r="C23">
        <v>60</v>
      </c>
      <c r="D23" t="s">
        <v>115</v>
      </c>
      <c r="E23">
        <v>48</v>
      </c>
      <c r="G23">
        <v>19</v>
      </c>
      <c r="H23">
        <v>1.5</v>
      </c>
      <c r="I23">
        <v>10</v>
      </c>
      <c r="J23">
        <v>1.5</v>
      </c>
      <c r="K23">
        <v>100</v>
      </c>
      <c r="L23">
        <v>211.63</v>
      </c>
      <c r="M23">
        <v>52</v>
      </c>
      <c r="N23">
        <v>2</v>
      </c>
      <c r="O23">
        <v>51</v>
      </c>
    </row>
    <row r="24" spans="1:15" x14ac:dyDescent="0.3">
      <c r="A24">
        <v>19</v>
      </c>
      <c r="B24" t="b">
        <v>0</v>
      </c>
      <c r="C24">
        <v>40</v>
      </c>
      <c r="D24" t="s">
        <v>115</v>
      </c>
      <c r="E24">
        <v>12</v>
      </c>
      <c r="G24">
        <v>19</v>
      </c>
      <c r="H24">
        <v>1</v>
      </c>
      <c r="I24">
        <v>5</v>
      </c>
      <c r="J24">
        <v>0.75</v>
      </c>
      <c r="K24">
        <v>100</v>
      </c>
      <c r="L24">
        <v>33.44</v>
      </c>
      <c r="M24">
        <v>14</v>
      </c>
      <c r="N24">
        <v>8</v>
      </c>
      <c r="O24">
        <v>14</v>
      </c>
    </row>
    <row r="25" spans="1:15" x14ac:dyDescent="0.3">
      <c r="A25">
        <v>12</v>
      </c>
      <c r="B25" t="b">
        <v>0</v>
      </c>
      <c r="C25">
        <v>60</v>
      </c>
      <c r="D25" t="s">
        <v>115</v>
      </c>
      <c r="E25">
        <v>12</v>
      </c>
      <c r="G25">
        <v>22</v>
      </c>
      <c r="H25">
        <v>3</v>
      </c>
      <c r="I25">
        <v>5</v>
      </c>
      <c r="J25">
        <v>0</v>
      </c>
      <c r="K25">
        <v>100</v>
      </c>
      <c r="L25">
        <v>53.81</v>
      </c>
      <c r="M25">
        <v>18</v>
      </c>
      <c r="N25">
        <v>8</v>
      </c>
      <c r="O25">
        <v>14</v>
      </c>
    </row>
    <row r="26" spans="1:15" x14ac:dyDescent="0.3">
      <c r="A26">
        <v>16</v>
      </c>
      <c r="B26" t="b">
        <v>0</v>
      </c>
      <c r="C26">
        <v>10</v>
      </c>
      <c r="D26" t="s">
        <v>785</v>
      </c>
      <c r="E26">
        <v>6</v>
      </c>
      <c r="F26">
        <v>24</v>
      </c>
      <c r="G26">
        <v>20</v>
      </c>
      <c r="H26">
        <v>1.5</v>
      </c>
      <c r="I26">
        <v>10</v>
      </c>
      <c r="J26">
        <v>0.75</v>
      </c>
      <c r="K26">
        <v>100</v>
      </c>
      <c r="L26">
        <v>16.100000000000001</v>
      </c>
      <c r="M26">
        <v>10</v>
      </c>
      <c r="N26">
        <v>8</v>
      </c>
      <c r="O26">
        <v>14</v>
      </c>
    </row>
    <row r="27" spans="1:15" x14ac:dyDescent="0.3">
      <c r="A27">
        <v>24</v>
      </c>
      <c r="B27" t="b">
        <v>0</v>
      </c>
      <c r="C27">
        <v>5</v>
      </c>
      <c r="D27" t="s">
        <v>785</v>
      </c>
      <c r="E27">
        <v>12</v>
      </c>
      <c r="F27">
        <v>6</v>
      </c>
      <c r="G27">
        <v>10</v>
      </c>
      <c r="H27">
        <v>2</v>
      </c>
      <c r="I27">
        <v>4</v>
      </c>
      <c r="J27">
        <v>0</v>
      </c>
      <c r="K27">
        <v>100</v>
      </c>
      <c r="L27">
        <v>23.59</v>
      </c>
      <c r="M27">
        <v>16</v>
      </c>
      <c r="N27">
        <v>8</v>
      </c>
      <c r="O27">
        <v>14</v>
      </c>
    </row>
    <row r="28" spans="1:15" x14ac:dyDescent="0.3">
      <c r="A28">
        <v>15</v>
      </c>
      <c r="B28" t="b">
        <v>0</v>
      </c>
      <c r="C28">
        <v>5</v>
      </c>
      <c r="D28" t="s">
        <v>785</v>
      </c>
      <c r="E28">
        <v>36</v>
      </c>
      <c r="F28">
        <v>6</v>
      </c>
      <c r="G28">
        <v>8</v>
      </c>
      <c r="H28">
        <v>1.5</v>
      </c>
      <c r="I28">
        <v>4</v>
      </c>
      <c r="J28">
        <v>1.5</v>
      </c>
      <c r="K28">
        <v>100</v>
      </c>
      <c r="L28">
        <v>65.67</v>
      </c>
      <c r="M28">
        <v>40</v>
      </c>
      <c r="N28">
        <v>8</v>
      </c>
      <c r="O28">
        <v>14</v>
      </c>
    </row>
    <row r="29" spans="1:15" x14ac:dyDescent="0.3">
      <c r="A29">
        <v>22</v>
      </c>
      <c r="B29" t="b">
        <v>0</v>
      </c>
      <c r="C29">
        <v>10</v>
      </c>
      <c r="D29" t="s">
        <v>785</v>
      </c>
      <c r="E29">
        <v>36</v>
      </c>
      <c r="F29">
        <v>12</v>
      </c>
      <c r="G29">
        <v>26</v>
      </c>
      <c r="H29">
        <v>0</v>
      </c>
      <c r="I29">
        <v>10</v>
      </c>
      <c r="J29">
        <v>1</v>
      </c>
      <c r="K29">
        <v>100</v>
      </c>
      <c r="L29">
        <v>37.08</v>
      </c>
      <c r="M29">
        <v>36</v>
      </c>
      <c r="N29">
        <v>8</v>
      </c>
      <c r="O29">
        <v>0</v>
      </c>
    </row>
    <row r="30" spans="1:15" x14ac:dyDescent="0.3">
      <c r="A30">
        <v>13</v>
      </c>
      <c r="B30" t="b">
        <v>0</v>
      </c>
      <c r="C30">
        <v>40</v>
      </c>
      <c r="D30" t="s">
        <v>785</v>
      </c>
      <c r="E30">
        <v>36</v>
      </c>
      <c r="F30">
        <v>12</v>
      </c>
      <c r="G30">
        <v>29</v>
      </c>
      <c r="H30">
        <v>1</v>
      </c>
      <c r="I30">
        <v>10</v>
      </c>
      <c r="J30">
        <v>1</v>
      </c>
      <c r="K30">
        <v>100</v>
      </c>
      <c r="L30">
        <v>132.97999999999999</v>
      </c>
      <c r="M30">
        <v>38</v>
      </c>
      <c r="N30">
        <v>4.5</v>
      </c>
      <c r="O30">
        <v>24</v>
      </c>
    </row>
    <row r="31" spans="1:15" x14ac:dyDescent="0.3">
      <c r="A31">
        <v>24</v>
      </c>
      <c r="B31" t="b">
        <v>0</v>
      </c>
      <c r="C31">
        <v>5</v>
      </c>
      <c r="D31" t="s">
        <v>785</v>
      </c>
      <c r="E31">
        <v>36</v>
      </c>
      <c r="F31">
        <v>24</v>
      </c>
      <c r="G31">
        <v>19</v>
      </c>
      <c r="H31">
        <v>3</v>
      </c>
      <c r="I31">
        <v>10</v>
      </c>
      <c r="J31">
        <v>0</v>
      </c>
      <c r="K31">
        <v>100</v>
      </c>
      <c r="L31">
        <v>36.1</v>
      </c>
      <c r="M31">
        <v>42</v>
      </c>
      <c r="N31">
        <v>6</v>
      </c>
      <c r="O31">
        <v>18</v>
      </c>
    </row>
    <row r="32" spans="1:15" x14ac:dyDescent="0.3">
      <c r="A32">
        <v>17</v>
      </c>
      <c r="B32" t="b">
        <v>0</v>
      </c>
      <c r="C32">
        <v>5</v>
      </c>
      <c r="D32" t="s">
        <v>785</v>
      </c>
      <c r="E32">
        <v>24</v>
      </c>
      <c r="F32">
        <v>12</v>
      </c>
      <c r="G32">
        <v>24</v>
      </c>
      <c r="H32">
        <v>3</v>
      </c>
      <c r="I32">
        <v>4</v>
      </c>
      <c r="J32">
        <v>1</v>
      </c>
      <c r="K32">
        <v>100</v>
      </c>
      <c r="L32">
        <v>21.01</v>
      </c>
      <c r="M32">
        <v>30</v>
      </c>
      <c r="N32">
        <v>8</v>
      </c>
      <c r="O32">
        <v>14</v>
      </c>
    </row>
    <row r="33" spans="1:15" x14ac:dyDescent="0.3">
      <c r="A33">
        <v>17</v>
      </c>
      <c r="B33" t="b">
        <v>0</v>
      </c>
      <c r="C33">
        <v>5</v>
      </c>
      <c r="D33" t="s">
        <v>785</v>
      </c>
      <c r="E33">
        <v>48</v>
      </c>
      <c r="F33">
        <v>36</v>
      </c>
      <c r="G33">
        <v>19</v>
      </c>
      <c r="H33">
        <v>2.5</v>
      </c>
      <c r="I33">
        <v>4</v>
      </c>
      <c r="J33">
        <v>1</v>
      </c>
      <c r="K33">
        <v>100</v>
      </c>
      <c r="L33">
        <v>51.22</v>
      </c>
      <c r="M33">
        <v>54</v>
      </c>
      <c r="N33">
        <v>4</v>
      </c>
      <c r="O33">
        <v>26</v>
      </c>
    </row>
    <row r="34" spans="1:15" x14ac:dyDescent="0.3">
      <c r="A34">
        <v>20</v>
      </c>
      <c r="B34" t="b">
        <v>1</v>
      </c>
      <c r="C34">
        <v>5</v>
      </c>
      <c r="D34" t="s">
        <v>785</v>
      </c>
      <c r="E34">
        <v>6</v>
      </c>
      <c r="F34">
        <v>24</v>
      </c>
      <c r="G34">
        <v>29</v>
      </c>
      <c r="H34">
        <v>1</v>
      </c>
      <c r="I34">
        <v>4</v>
      </c>
      <c r="J34">
        <v>0</v>
      </c>
      <c r="K34">
        <v>100</v>
      </c>
      <c r="L34">
        <v>6.85</v>
      </c>
      <c r="M34">
        <v>8</v>
      </c>
      <c r="N34">
        <v>8</v>
      </c>
      <c r="O34">
        <v>14</v>
      </c>
    </row>
    <row r="35" spans="1:15" x14ac:dyDescent="0.3">
      <c r="A35">
        <v>20</v>
      </c>
      <c r="B35" t="b">
        <v>0</v>
      </c>
      <c r="C35">
        <v>60</v>
      </c>
      <c r="D35" t="s">
        <v>115</v>
      </c>
      <c r="E35">
        <v>12</v>
      </c>
      <c r="G35">
        <v>21</v>
      </c>
      <c r="H35">
        <v>2.5</v>
      </c>
      <c r="I35">
        <v>4</v>
      </c>
      <c r="J35">
        <v>1.5</v>
      </c>
      <c r="K35">
        <v>100</v>
      </c>
      <c r="L35">
        <v>57.7</v>
      </c>
      <c r="M35">
        <v>18</v>
      </c>
      <c r="N35">
        <v>8</v>
      </c>
      <c r="O35">
        <v>14</v>
      </c>
    </row>
    <row r="36" spans="1:15" x14ac:dyDescent="0.3">
      <c r="A36">
        <v>21</v>
      </c>
      <c r="B36" t="b">
        <v>0</v>
      </c>
      <c r="C36">
        <v>20</v>
      </c>
      <c r="D36" t="s">
        <v>115</v>
      </c>
      <c r="E36">
        <v>12</v>
      </c>
      <c r="G36">
        <v>14</v>
      </c>
      <c r="H36">
        <v>0</v>
      </c>
      <c r="I36">
        <v>5</v>
      </c>
      <c r="J36">
        <v>0.75</v>
      </c>
      <c r="K36">
        <v>100</v>
      </c>
      <c r="L36">
        <v>22.33</v>
      </c>
      <c r="M36">
        <v>12</v>
      </c>
      <c r="N36">
        <v>8</v>
      </c>
      <c r="O36">
        <v>14</v>
      </c>
    </row>
    <row r="37" spans="1:15" x14ac:dyDescent="0.3">
      <c r="A37">
        <v>19</v>
      </c>
      <c r="B37" t="b">
        <v>0</v>
      </c>
      <c r="C37">
        <v>20</v>
      </c>
      <c r="D37" t="s">
        <v>115</v>
      </c>
      <c r="E37">
        <v>12</v>
      </c>
      <c r="G37">
        <v>27</v>
      </c>
      <c r="H37">
        <v>0</v>
      </c>
      <c r="I37">
        <v>10</v>
      </c>
      <c r="J37">
        <v>1</v>
      </c>
      <c r="K37">
        <v>100</v>
      </c>
      <c r="L37">
        <v>15.28</v>
      </c>
      <c r="M37">
        <v>12</v>
      </c>
      <c r="N37">
        <v>8</v>
      </c>
      <c r="O37">
        <v>14</v>
      </c>
    </row>
    <row r="38" spans="1:15" x14ac:dyDescent="0.3">
      <c r="A38">
        <v>23</v>
      </c>
      <c r="B38" t="b">
        <v>1</v>
      </c>
      <c r="C38">
        <v>20</v>
      </c>
      <c r="D38" t="s">
        <v>785</v>
      </c>
      <c r="E38">
        <v>36</v>
      </c>
      <c r="F38">
        <v>24</v>
      </c>
      <c r="G38">
        <v>16</v>
      </c>
      <c r="H38">
        <v>2</v>
      </c>
      <c r="I38">
        <v>4</v>
      </c>
      <c r="J38">
        <v>0</v>
      </c>
      <c r="K38">
        <v>100</v>
      </c>
      <c r="L38">
        <v>92.57</v>
      </c>
      <c r="M38">
        <v>40</v>
      </c>
      <c r="N38">
        <v>6</v>
      </c>
      <c r="O38">
        <v>18</v>
      </c>
    </row>
    <row r="39" spans="1:15" x14ac:dyDescent="0.3">
      <c r="A39">
        <v>15</v>
      </c>
      <c r="B39" t="b">
        <v>0</v>
      </c>
      <c r="C39">
        <v>10</v>
      </c>
      <c r="D39" t="s">
        <v>785</v>
      </c>
      <c r="E39">
        <v>36</v>
      </c>
      <c r="F39">
        <v>6</v>
      </c>
      <c r="G39">
        <v>24</v>
      </c>
      <c r="H39">
        <v>3</v>
      </c>
      <c r="I39">
        <v>5</v>
      </c>
      <c r="J39">
        <v>1.5</v>
      </c>
      <c r="K39">
        <v>100</v>
      </c>
      <c r="L39">
        <v>45.89</v>
      </c>
      <c r="M39">
        <v>42</v>
      </c>
      <c r="N39">
        <v>8</v>
      </c>
      <c r="O39">
        <v>14</v>
      </c>
    </row>
    <row r="40" spans="1:15" x14ac:dyDescent="0.3">
      <c r="A40">
        <v>16</v>
      </c>
      <c r="B40" t="b">
        <v>0</v>
      </c>
      <c r="C40">
        <v>40</v>
      </c>
      <c r="D40" t="s">
        <v>785</v>
      </c>
      <c r="E40">
        <v>12</v>
      </c>
      <c r="F40">
        <v>36</v>
      </c>
      <c r="G40">
        <v>14</v>
      </c>
      <c r="H40">
        <v>1.5</v>
      </c>
      <c r="I40">
        <v>5</v>
      </c>
      <c r="J40">
        <v>0.75</v>
      </c>
      <c r="K40">
        <v>100</v>
      </c>
      <c r="L40">
        <v>76.42</v>
      </c>
      <c r="M40">
        <v>16</v>
      </c>
      <c r="N40">
        <v>8</v>
      </c>
      <c r="O40">
        <v>14</v>
      </c>
    </row>
    <row r="41" spans="1:15" x14ac:dyDescent="0.3">
      <c r="A41">
        <v>13</v>
      </c>
      <c r="B41" t="b">
        <v>0</v>
      </c>
      <c r="C41">
        <v>20</v>
      </c>
      <c r="D41" t="s">
        <v>785</v>
      </c>
      <c r="E41">
        <v>36</v>
      </c>
      <c r="F41">
        <v>24</v>
      </c>
      <c r="G41">
        <v>17</v>
      </c>
      <c r="H41">
        <v>3</v>
      </c>
      <c r="I41">
        <v>4</v>
      </c>
      <c r="J41">
        <v>0</v>
      </c>
      <c r="K41">
        <v>100</v>
      </c>
      <c r="L41">
        <v>93.46</v>
      </c>
      <c r="M41">
        <v>42</v>
      </c>
      <c r="N41">
        <v>6</v>
      </c>
      <c r="O41">
        <v>18</v>
      </c>
    </row>
    <row r="42" spans="1:15" x14ac:dyDescent="0.3">
      <c r="A42">
        <v>17</v>
      </c>
      <c r="B42" t="b">
        <v>0</v>
      </c>
      <c r="C42">
        <v>5</v>
      </c>
      <c r="D42" t="s">
        <v>115</v>
      </c>
      <c r="E42">
        <v>12</v>
      </c>
      <c r="G42">
        <v>10</v>
      </c>
      <c r="H42">
        <v>1.5</v>
      </c>
      <c r="I42">
        <v>5</v>
      </c>
      <c r="J42">
        <v>1</v>
      </c>
      <c r="K42">
        <v>100</v>
      </c>
      <c r="L42">
        <v>24.22</v>
      </c>
      <c r="M42">
        <v>16</v>
      </c>
      <c r="N42">
        <v>8</v>
      </c>
      <c r="O42">
        <v>14</v>
      </c>
    </row>
    <row r="43" spans="1:15" x14ac:dyDescent="0.3">
      <c r="A43">
        <v>17</v>
      </c>
      <c r="B43" t="b">
        <v>1</v>
      </c>
      <c r="C43">
        <v>60</v>
      </c>
      <c r="D43" t="s">
        <v>115</v>
      </c>
      <c r="E43">
        <v>36</v>
      </c>
      <c r="G43">
        <v>8</v>
      </c>
      <c r="H43">
        <v>2.5</v>
      </c>
      <c r="I43">
        <v>10</v>
      </c>
      <c r="J43">
        <v>1.5</v>
      </c>
      <c r="K43">
        <v>100</v>
      </c>
      <c r="L43">
        <v>209.99</v>
      </c>
      <c r="M43">
        <v>42</v>
      </c>
      <c r="N43">
        <v>3</v>
      </c>
      <c r="O43">
        <v>35</v>
      </c>
    </row>
    <row r="44" spans="1:15" x14ac:dyDescent="0.3">
      <c r="A44">
        <v>22</v>
      </c>
      <c r="B44" t="b">
        <v>0</v>
      </c>
      <c r="C44">
        <v>10</v>
      </c>
      <c r="D44" t="s">
        <v>115</v>
      </c>
      <c r="E44">
        <v>12</v>
      </c>
      <c r="G44">
        <v>8</v>
      </c>
      <c r="H44">
        <v>2.5</v>
      </c>
      <c r="I44">
        <v>5</v>
      </c>
      <c r="J44">
        <v>0</v>
      </c>
      <c r="K44">
        <v>100</v>
      </c>
      <c r="L44">
        <v>29.34</v>
      </c>
      <c r="M44">
        <v>18</v>
      </c>
      <c r="N44">
        <v>8</v>
      </c>
      <c r="O44">
        <v>14</v>
      </c>
    </row>
    <row r="45" spans="1:15" x14ac:dyDescent="0.3">
      <c r="A45">
        <v>24</v>
      </c>
      <c r="B45" t="b">
        <v>1</v>
      </c>
      <c r="C45">
        <v>20</v>
      </c>
      <c r="D45" t="s">
        <v>115</v>
      </c>
      <c r="E45">
        <v>36</v>
      </c>
      <c r="G45">
        <v>20</v>
      </c>
      <c r="H45">
        <v>0</v>
      </c>
      <c r="I45">
        <v>4</v>
      </c>
      <c r="J45">
        <v>0</v>
      </c>
      <c r="K45">
        <v>100</v>
      </c>
      <c r="L45">
        <v>48.23</v>
      </c>
      <c r="M45">
        <v>36</v>
      </c>
      <c r="N45">
        <v>6</v>
      </c>
      <c r="O45">
        <v>18</v>
      </c>
    </row>
    <row r="46" spans="1:15" x14ac:dyDescent="0.3">
      <c r="A46">
        <v>19</v>
      </c>
      <c r="B46" t="b">
        <v>0</v>
      </c>
      <c r="C46">
        <v>10</v>
      </c>
      <c r="D46" t="s">
        <v>785</v>
      </c>
      <c r="E46">
        <v>48</v>
      </c>
      <c r="F46">
        <v>6</v>
      </c>
      <c r="G46">
        <v>25</v>
      </c>
      <c r="H46">
        <v>3</v>
      </c>
      <c r="I46">
        <v>10</v>
      </c>
      <c r="J46">
        <v>1.5</v>
      </c>
      <c r="K46">
        <v>100</v>
      </c>
      <c r="L46">
        <v>57.83</v>
      </c>
      <c r="M46">
        <v>54</v>
      </c>
      <c r="N46">
        <v>8</v>
      </c>
      <c r="O46">
        <v>14</v>
      </c>
    </row>
    <row r="47" spans="1:15" x14ac:dyDescent="0.3">
      <c r="A47">
        <v>14</v>
      </c>
      <c r="B47" t="b">
        <v>0</v>
      </c>
      <c r="C47">
        <v>20</v>
      </c>
      <c r="D47" t="s">
        <v>115</v>
      </c>
      <c r="E47">
        <v>12</v>
      </c>
      <c r="G47">
        <v>30</v>
      </c>
      <c r="H47">
        <v>0</v>
      </c>
      <c r="I47">
        <v>5</v>
      </c>
      <c r="J47">
        <v>1.5</v>
      </c>
      <c r="K47">
        <v>100</v>
      </c>
      <c r="L47">
        <v>15.54</v>
      </c>
      <c r="M47">
        <v>12</v>
      </c>
      <c r="N47">
        <v>8</v>
      </c>
      <c r="O47">
        <v>14</v>
      </c>
    </row>
    <row r="48" spans="1:15" x14ac:dyDescent="0.3">
      <c r="A48">
        <v>22</v>
      </c>
      <c r="B48" t="b">
        <v>1</v>
      </c>
      <c r="C48">
        <v>40</v>
      </c>
      <c r="D48" t="s">
        <v>785</v>
      </c>
      <c r="E48">
        <v>48</v>
      </c>
      <c r="F48">
        <v>6</v>
      </c>
      <c r="G48">
        <v>12</v>
      </c>
      <c r="H48">
        <v>2</v>
      </c>
      <c r="I48">
        <v>10</v>
      </c>
      <c r="J48">
        <v>0</v>
      </c>
      <c r="K48">
        <v>100</v>
      </c>
      <c r="L48">
        <v>213.14</v>
      </c>
      <c r="M48">
        <v>52</v>
      </c>
      <c r="N48">
        <v>2</v>
      </c>
      <c r="O48">
        <v>0</v>
      </c>
    </row>
    <row r="49" spans="1:15" x14ac:dyDescent="0.3">
      <c r="A49">
        <v>24</v>
      </c>
      <c r="B49" t="b">
        <v>1</v>
      </c>
      <c r="C49">
        <v>0</v>
      </c>
      <c r="D49" t="s">
        <v>785</v>
      </c>
      <c r="E49">
        <v>12</v>
      </c>
      <c r="F49">
        <v>12</v>
      </c>
      <c r="G49">
        <v>14</v>
      </c>
      <c r="H49">
        <v>2</v>
      </c>
      <c r="I49">
        <v>5</v>
      </c>
      <c r="J49">
        <v>0</v>
      </c>
      <c r="K49">
        <v>100</v>
      </c>
      <c r="L49">
        <v>12.81</v>
      </c>
      <c r="M49">
        <v>16</v>
      </c>
      <c r="N49">
        <v>8</v>
      </c>
      <c r="O49">
        <v>0</v>
      </c>
    </row>
    <row r="50" spans="1:15" x14ac:dyDescent="0.3">
      <c r="A50">
        <v>22</v>
      </c>
      <c r="B50" t="b">
        <v>1</v>
      </c>
      <c r="C50">
        <v>60</v>
      </c>
      <c r="D50" t="s">
        <v>785</v>
      </c>
      <c r="E50">
        <v>24</v>
      </c>
      <c r="F50">
        <v>24</v>
      </c>
      <c r="G50">
        <v>24</v>
      </c>
      <c r="H50">
        <v>1</v>
      </c>
      <c r="I50">
        <v>10</v>
      </c>
      <c r="J50">
        <v>1.5</v>
      </c>
      <c r="K50">
        <v>100</v>
      </c>
      <c r="L50">
        <v>140.05000000000001</v>
      </c>
      <c r="M50">
        <v>26</v>
      </c>
      <c r="N50">
        <v>6</v>
      </c>
      <c r="O50">
        <v>18</v>
      </c>
    </row>
    <row r="51" spans="1:15" x14ac:dyDescent="0.3">
      <c r="A51">
        <v>20</v>
      </c>
      <c r="B51" t="b">
        <v>0</v>
      </c>
      <c r="C51">
        <v>10</v>
      </c>
      <c r="D51" t="s">
        <v>115</v>
      </c>
      <c r="E51">
        <v>6</v>
      </c>
      <c r="G51">
        <v>18</v>
      </c>
      <c r="H51">
        <v>2</v>
      </c>
      <c r="I51">
        <v>10</v>
      </c>
      <c r="J51">
        <v>0</v>
      </c>
      <c r="K51">
        <v>100</v>
      </c>
      <c r="L51">
        <v>7.89</v>
      </c>
      <c r="M51">
        <v>10</v>
      </c>
      <c r="N51">
        <v>8</v>
      </c>
      <c r="O51">
        <v>14</v>
      </c>
    </row>
    <row r="52" spans="1:15" x14ac:dyDescent="0.3">
      <c r="A52">
        <v>16</v>
      </c>
      <c r="B52" t="b">
        <v>1</v>
      </c>
      <c r="C52">
        <v>5</v>
      </c>
      <c r="D52" t="s">
        <v>785</v>
      </c>
      <c r="E52">
        <v>48</v>
      </c>
      <c r="F52">
        <v>36</v>
      </c>
      <c r="G52">
        <v>18</v>
      </c>
      <c r="H52">
        <v>1.5</v>
      </c>
      <c r="I52">
        <v>10</v>
      </c>
      <c r="J52">
        <v>0.75</v>
      </c>
      <c r="K52">
        <v>100</v>
      </c>
      <c r="L52">
        <v>52.08</v>
      </c>
      <c r="M52">
        <v>52</v>
      </c>
      <c r="N52">
        <v>4</v>
      </c>
      <c r="O52">
        <v>26</v>
      </c>
    </row>
    <row r="53" spans="1:15" x14ac:dyDescent="0.3">
      <c r="A53">
        <v>19</v>
      </c>
      <c r="B53" t="b">
        <v>0</v>
      </c>
      <c r="C53">
        <v>5</v>
      </c>
      <c r="D53" t="s">
        <v>115</v>
      </c>
      <c r="E53">
        <v>12</v>
      </c>
      <c r="G53">
        <v>12</v>
      </c>
      <c r="H53">
        <v>1.5</v>
      </c>
      <c r="I53">
        <v>4</v>
      </c>
      <c r="J53">
        <v>1.5</v>
      </c>
      <c r="K53">
        <v>100</v>
      </c>
      <c r="L53">
        <v>21.94</v>
      </c>
      <c r="M53">
        <v>16</v>
      </c>
      <c r="N53">
        <v>8</v>
      </c>
      <c r="O53">
        <v>14</v>
      </c>
    </row>
    <row r="54" spans="1:15" x14ac:dyDescent="0.3">
      <c r="A54">
        <v>23</v>
      </c>
      <c r="B54" t="b">
        <v>0</v>
      </c>
      <c r="C54">
        <v>40</v>
      </c>
      <c r="D54" t="s">
        <v>115</v>
      </c>
      <c r="E54">
        <v>24</v>
      </c>
      <c r="G54">
        <v>31</v>
      </c>
      <c r="H54">
        <v>1.5</v>
      </c>
      <c r="I54">
        <v>10</v>
      </c>
      <c r="J54">
        <v>1</v>
      </c>
      <c r="K54">
        <v>100</v>
      </c>
      <c r="L54">
        <v>62.49</v>
      </c>
      <c r="M54">
        <v>28</v>
      </c>
      <c r="N54">
        <v>8</v>
      </c>
      <c r="O54">
        <v>14</v>
      </c>
    </row>
    <row r="55" spans="1:15" x14ac:dyDescent="0.3">
      <c r="A55">
        <v>12</v>
      </c>
      <c r="B55" t="b">
        <v>0</v>
      </c>
      <c r="C55">
        <v>0</v>
      </c>
      <c r="D55" t="s">
        <v>115</v>
      </c>
      <c r="E55">
        <v>36</v>
      </c>
      <c r="G55">
        <v>30</v>
      </c>
      <c r="H55">
        <v>3</v>
      </c>
      <c r="I55">
        <v>5</v>
      </c>
      <c r="J55">
        <v>0.75</v>
      </c>
      <c r="K55">
        <v>100</v>
      </c>
      <c r="L55">
        <v>23.4</v>
      </c>
      <c r="M55">
        <v>42</v>
      </c>
      <c r="N55">
        <v>6</v>
      </c>
      <c r="O55">
        <v>18</v>
      </c>
    </row>
    <row r="56" spans="1:15" x14ac:dyDescent="0.3">
      <c r="A56">
        <v>20</v>
      </c>
      <c r="B56" t="b">
        <v>1</v>
      </c>
      <c r="C56">
        <v>20</v>
      </c>
      <c r="D56" t="s">
        <v>115</v>
      </c>
      <c r="E56">
        <v>36</v>
      </c>
      <c r="G56">
        <v>13</v>
      </c>
      <c r="H56">
        <v>2</v>
      </c>
      <c r="I56">
        <v>4</v>
      </c>
      <c r="J56">
        <v>0</v>
      </c>
      <c r="K56">
        <v>100</v>
      </c>
      <c r="L56">
        <v>72.58</v>
      </c>
      <c r="M56">
        <v>40</v>
      </c>
      <c r="N56">
        <v>6</v>
      </c>
      <c r="O56">
        <v>18</v>
      </c>
    </row>
    <row r="57" spans="1:15" x14ac:dyDescent="0.3">
      <c r="A57">
        <v>16</v>
      </c>
      <c r="B57" t="b">
        <v>0</v>
      </c>
      <c r="C57">
        <v>40</v>
      </c>
      <c r="D57" t="s">
        <v>115</v>
      </c>
      <c r="E57">
        <v>24</v>
      </c>
      <c r="G57">
        <v>27</v>
      </c>
      <c r="H57">
        <v>1.5</v>
      </c>
      <c r="I57">
        <v>4</v>
      </c>
      <c r="J57">
        <v>0</v>
      </c>
      <c r="K57">
        <v>100</v>
      </c>
      <c r="L57">
        <v>54.68</v>
      </c>
      <c r="M57">
        <v>28</v>
      </c>
      <c r="N57">
        <v>8</v>
      </c>
      <c r="O57">
        <v>14</v>
      </c>
    </row>
    <row r="58" spans="1:15" x14ac:dyDescent="0.3">
      <c r="A58">
        <v>15</v>
      </c>
      <c r="B58" t="b">
        <v>0</v>
      </c>
      <c r="C58">
        <v>5</v>
      </c>
      <c r="D58" t="s">
        <v>785</v>
      </c>
      <c r="E58">
        <v>48</v>
      </c>
      <c r="F58">
        <v>48</v>
      </c>
      <c r="G58">
        <v>14</v>
      </c>
      <c r="H58">
        <v>2.5</v>
      </c>
      <c r="I58">
        <v>5</v>
      </c>
      <c r="J58">
        <v>0.75</v>
      </c>
      <c r="K58">
        <v>100</v>
      </c>
      <c r="L58">
        <v>75.95</v>
      </c>
      <c r="M58">
        <v>54</v>
      </c>
      <c r="N58">
        <v>4</v>
      </c>
      <c r="O58">
        <v>26</v>
      </c>
    </row>
    <row r="59" spans="1:15" x14ac:dyDescent="0.3">
      <c r="A59">
        <v>19</v>
      </c>
      <c r="B59" t="b">
        <v>0</v>
      </c>
      <c r="C59">
        <v>60</v>
      </c>
      <c r="D59" t="s">
        <v>115</v>
      </c>
      <c r="E59">
        <v>36</v>
      </c>
      <c r="G59">
        <v>24</v>
      </c>
      <c r="H59">
        <v>2.5</v>
      </c>
      <c r="I59">
        <v>4</v>
      </c>
      <c r="J59">
        <v>0.75</v>
      </c>
      <c r="K59">
        <v>100</v>
      </c>
      <c r="L59">
        <v>139.66999999999999</v>
      </c>
      <c r="M59">
        <v>42</v>
      </c>
      <c r="N59">
        <v>4.5</v>
      </c>
      <c r="O59">
        <v>24</v>
      </c>
    </row>
    <row r="60" spans="1:15" x14ac:dyDescent="0.3">
      <c r="A60">
        <v>19</v>
      </c>
      <c r="B60" t="b">
        <v>1</v>
      </c>
      <c r="C60">
        <v>20</v>
      </c>
      <c r="D60" t="s">
        <v>115</v>
      </c>
      <c r="E60">
        <v>36</v>
      </c>
      <c r="G60">
        <v>23</v>
      </c>
      <c r="H60">
        <v>1.5</v>
      </c>
      <c r="I60">
        <v>10</v>
      </c>
      <c r="J60">
        <v>0</v>
      </c>
      <c r="K60">
        <v>100</v>
      </c>
      <c r="L60">
        <v>47.52</v>
      </c>
      <c r="M60">
        <v>40</v>
      </c>
      <c r="N60">
        <v>6</v>
      </c>
      <c r="O60">
        <v>18</v>
      </c>
    </row>
    <row r="61" spans="1:15" x14ac:dyDescent="0.3">
      <c r="A61">
        <v>14</v>
      </c>
      <c r="B61" t="b">
        <v>1</v>
      </c>
      <c r="C61">
        <v>0</v>
      </c>
      <c r="D61" t="s">
        <v>115</v>
      </c>
      <c r="E61">
        <v>48</v>
      </c>
      <c r="G61">
        <v>27</v>
      </c>
      <c r="H61">
        <v>2.5</v>
      </c>
      <c r="I61">
        <v>10</v>
      </c>
      <c r="J61">
        <v>0</v>
      </c>
      <c r="K61">
        <v>100</v>
      </c>
      <c r="L61">
        <v>10.36</v>
      </c>
      <c r="M61">
        <v>54</v>
      </c>
      <c r="N61">
        <v>4</v>
      </c>
      <c r="O61">
        <v>26</v>
      </c>
    </row>
    <row r="62" spans="1:15" x14ac:dyDescent="0.3">
      <c r="A62">
        <v>20</v>
      </c>
      <c r="B62" t="b">
        <v>1</v>
      </c>
      <c r="C62">
        <v>5</v>
      </c>
      <c r="D62" t="s">
        <v>115</v>
      </c>
      <c r="E62">
        <v>6</v>
      </c>
      <c r="G62">
        <v>18</v>
      </c>
      <c r="H62">
        <v>0</v>
      </c>
      <c r="I62">
        <v>4</v>
      </c>
      <c r="J62">
        <v>1.5</v>
      </c>
      <c r="K62">
        <v>100</v>
      </c>
      <c r="L62">
        <v>5.32</v>
      </c>
      <c r="M62">
        <v>6</v>
      </c>
      <c r="N62">
        <v>8</v>
      </c>
      <c r="O62">
        <v>14</v>
      </c>
    </row>
    <row r="63" spans="1:15" x14ac:dyDescent="0.3">
      <c r="A63">
        <v>24</v>
      </c>
      <c r="B63" t="b">
        <v>0</v>
      </c>
      <c r="C63">
        <v>40</v>
      </c>
      <c r="D63" t="s">
        <v>115</v>
      </c>
      <c r="E63">
        <v>24</v>
      </c>
      <c r="G63">
        <v>19</v>
      </c>
      <c r="H63">
        <v>1</v>
      </c>
      <c r="I63">
        <v>4</v>
      </c>
      <c r="J63">
        <v>0</v>
      </c>
      <c r="K63">
        <v>100</v>
      </c>
      <c r="L63">
        <v>59.36</v>
      </c>
      <c r="M63">
        <v>26</v>
      </c>
      <c r="N63">
        <v>8</v>
      </c>
      <c r="O63">
        <v>14</v>
      </c>
    </row>
    <row r="64" spans="1:15" x14ac:dyDescent="0.3">
      <c r="A64">
        <v>16</v>
      </c>
      <c r="B64" t="b">
        <v>1</v>
      </c>
      <c r="C64">
        <v>20</v>
      </c>
      <c r="D64" t="s">
        <v>785</v>
      </c>
      <c r="E64">
        <v>6</v>
      </c>
      <c r="F64">
        <v>6</v>
      </c>
      <c r="G64">
        <v>26</v>
      </c>
      <c r="H64">
        <v>1</v>
      </c>
      <c r="I64">
        <v>4</v>
      </c>
      <c r="J64">
        <v>0</v>
      </c>
      <c r="K64">
        <v>100</v>
      </c>
      <c r="L64">
        <v>15.11</v>
      </c>
      <c r="M64">
        <v>8</v>
      </c>
      <c r="N64">
        <v>8</v>
      </c>
      <c r="O64">
        <v>14</v>
      </c>
    </row>
    <row r="65" spans="1:15" x14ac:dyDescent="0.3">
      <c r="A65">
        <v>19</v>
      </c>
      <c r="B65" t="b">
        <v>0</v>
      </c>
      <c r="C65">
        <v>40</v>
      </c>
      <c r="D65" t="s">
        <v>115</v>
      </c>
      <c r="E65">
        <v>12</v>
      </c>
      <c r="G65">
        <v>8</v>
      </c>
      <c r="H65">
        <v>2</v>
      </c>
      <c r="I65">
        <v>5</v>
      </c>
      <c r="J65">
        <v>0</v>
      </c>
      <c r="K65">
        <v>100</v>
      </c>
      <c r="L65">
        <v>50.88</v>
      </c>
      <c r="M65">
        <v>16</v>
      </c>
      <c r="N65">
        <v>8</v>
      </c>
      <c r="O65">
        <v>14</v>
      </c>
    </row>
    <row r="66" spans="1:15" x14ac:dyDescent="0.3">
      <c r="A66">
        <v>20</v>
      </c>
      <c r="B66" t="b">
        <v>0</v>
      </c>
      <c r="C66">
        <v>40</v>
      </c>
      <c r="D66" t="s">
        <v>115</v>
      </c>
      <c r="E66">
        <v>36</v>
      </c>
      <c r="G66">
        <v>25</v>
      </c>
      <c r="H66">
        <v>2</v>
      </c>
      <c r="I66">
        <v>5</v>
      </c>
      <c r="J66">
        <v>0</v>
      </c>
      <c r="K66">
        <v>100</v>
      </c>
      <c r="L66">
        <v>82.84</v>
      </c>
      <c r="M66">
        <v>40</v>
      </c>
      <c r="N66">
        <v>6</v>
      </c>
      <c r="O66">
        <v>18</v>
      </c>
    </row>
    <row r="67" spans="1:15" x14ac:dyDescent="0.3">
      <c r="A67">
        <v>17</v>
      </c>
      <c r="B67" t="b">
        <v>1</v>
      </c>
      <c r="C67">
        <v>40</v>
      </c>
      <c r="D67" t="s">
        <v>785</v>
      </c>
      <c r="E67">
        <v>48</v>
      </c>
      <c r="F67">
        <v>24</v>
      </c>
      <c r="G67">
        <v>28</v>
      </c>
      <c r="H67">
        <v>0</v>
      </c>
      <c r="I67">
        <v>4</v>
      </c>
      <c r="J67">
        <v>0.75</v>
      </c>
      <c r="K67">
        <v>100</v>
      </c>
      <c r="L67">
        <v>169.16</v>
      </c>
      <c r="M67">
        <v>48</v>
      </c>
      <c r="N67">
        <v>3.5</v>
      </c>
      <c r="O67">
        <v>30</v>
      </c>
    </row>
    <row r="68" spans="1:15" x14ac:dyDescent="0.3">
      <c r="A68">
        <v>23</v>
      </c>
      <c r="B68" t="b">
        <v>0</v>
      </c>
      <c r="C68">
        <v>10</v>
      </c>
      <c r="D68" t="s">
        <v>785</v>
      </c>
      <c r="E68">
        <v>24</v>
      </c>
      <c r="F68">
        <v>48</v>
      </c>
      <c r="G68">
        <v>18</v>
      </c>
      <c r="H68">
        <v>1.5</v>
      </c>
      <c r="I68">
        <v>10</v>
      </c>
      <c r="J68">
        <v>1.5</v>
      </c>
      <c r="K68">
        <v>100</v>
      </c>
      <c r="L68">
        <v>50.11</v>
      </c>
      <c r="M68">
        <v>28</v>
      </c>
      <c r="N68">
        <v>6</v>
      </c>
      <c r="O68">
        <v>18</v>
      </c>
    </row>
    <row r="69" spans="1:15" x14ac:dyDescent="0.3">
      <c r="A69">
        <v>22</v>
      </c>
      <c r="B69" t="b">
        <v>0</v>
      </c>
      <c r="C69">
        <v>20</v>
      </c>
      <c r="D69" t="s">
        <v>785</v>
      </c>
      <c r="E69">
        <v>6</v>
      </c>
      <c r="F69">
        <v>36</v>
      </c>
      <c r="G69">
        <v>28</v>
      </c>
      <c r="H69">
        <v>1</v>
      </c>
      <c r="I69">
        <v>5</v>
      </c>
      <c r="J69">
        <v>0</v>
      </c>
      <c r="K69">
        <v>100</v>
      </c>
      <c r="L69">
        <v>18.68</v>
      </c>
      <c r="M69">
        <v>8</v>
      </c>
      <c r="N69">
        <v>8</v>
      </c>
      <c r="O69">
        <v>14</v>
      </c>
    </row>
    <row r="70" spans="1:15" x14ac:dyDescent="0.3">
      <c r="A70">
        <v>14</v>
      </c>
      <c r="B70" t="b">
        <v>1</v>
      </c>
      <c r="C70">
        <v>5</v>
      </c>
      <c r="D70" t="s">
        <v>785</v>
      </c>
      <c r="E70">
        <v>12</v>
      </c>
      <c r="F70">
        <v>24</v>
      </c>
      <c r="G70">
        <v>29</v>
      </c>
      <c r="H70">
        <v>1</v>
      </c>
      <c r="I70">
        <v>10</v>
      </c>
      <c r="J70">
        <v>1.5</v>
      </c>
      <c r="K70">
        <v>100</v>
      </c>
      <c r="L70">
        <v>10.84</v>
      </c>
      <c r="M70">
        <v>14</v>
      </c>
      <c r="N70">
        <v>8</v>
      </c>
      <c r="O70">
        <v>14</v>
      </c>
    </row>
    <row r="71" spans="1:15" x14ac:dyDescent="0.3">
      <c r="A71">
        <v>14</v>
      </c>
      <c r="B71" t="b">
        <v>1</v>
      </c>
      <c r="C71">
        <v>40</v>
      </c>
      <c r="D71" t="s">
        <v>785</v>
      </c>
      <c r="E71">
        <v>6</v>
      </c>
      <c r="F71">
        <v>36</v>
      </c>
      <c r="G71">
        <v>31</v>
      </c>
      <c r="H71">
        <v>1</v>
      </c>
      <c r="I71">
        <v>10</v>
      </c>
      <c r="J71">
        <v>0.75</v>
      </c>
      <c r="K71">
        <v>100</v>
      </c>
      <c r="L71">
        <v>31.18</v>
      </c>
      <c r="M71">
        <v>8</v>
      </c>
      <c r="N71">
        <v>8</v>
      </c>
      <c r="O71">
        <v>14</v>
      </c>
    </row>
    <row r="72" spans="1:15" x14ac:dyDescent="0.3">
      <c r="A72">
        <v>22</v>
      </c>
      <c r="B72" t="b">
        <v>1</v>
      </c>
      <c r="C72">
        <v>40</v>
      </c>
      <c r="D72" t="s">
        <v>115</v>
      </c>
      <c r="E72">
        <v>24</v>
      </c>
      <c r="G72">
        <v>25</v>
      </c>
      <c r="H72">
        <v>1</v>
      </c>
      <c r="I72">
        <v>5</v>
      </c>
      <c r="J72">
        <v>0</v>
      </c>
      <c r="K72">
        <v>100</v>
      </c>
      <c r="L72">
        <v>54.01</v>
      </c>
      <c r="M72">
        <v>26</v>
      </c>
      <c r="N72">
        <v>8</v>
      </c>
      <c r="O72">
        <v>14</v>
      </c>
    </row>
    <row r="73" spans="1:15" x14ac:dyDescent="0.3">
      <c r="A73">
        <v>24</v>
      </c>
      <c r="B73" t="b">
        <v>0</v>
      </c>
      <c r="C73">
        <v>40</v>
      </c>
      <c r="D73" t="s">
        <v>785</v>
      </c>
      <c r="E73">
        <v>36</v>
      </c>
      <c r="F73">
        <v>6</v>
      </c>
      <c r="G73">
        <v>17</v>
      </c>
      <c r="H73">
        <v>0</v>
      </c>
      <c r="I73">
        <v>4</v>
      </c>
      <c r="J73">
        <v>1</v>
      </c>
      <c r="K73">
        <v>100</v>
      </c>
      <c r="L73">
        <v>136.43</v>
      </c>
      <c r="M73">
        <v>36</v>
      </c>
      <c r="N73">
        <v>6</v>
      </c>
      <c r="O73">
        <v>18</v>
      </c>
    </row>
    <row r="74" spans="1:15" x14ac:dyDescent="0.3">
      <c r="A74">
        <v>21</v>
      </c>
      <c r="B74" t="b">
        <v>0</v>
      </c>
      <c r="C74">
        <v>40</v>
      </c>
      <c r="D74" t="s">
        <v>785</v>
      </c>
      <c r="E74">
        <v>12</v>
      </c>
      <c r="F74">
        <v>48</v>
      </c>
      <c r="G74">
        <v>23</v>
      </c>
      <c r="H74">
        <v>1</v>
      </c>
      <c r="I74">
        <v>5</v>
      </c>
      <c r="J74">
        <v>1.5</v>
      </c>
      <c r="K74">
        <v>100</v>
      </c>
      <c r="L74">
        <v>60.44</v>
      </c>
      <c r="M74">
        <v>14</v>
      </c>
      <c r="N74">
        <v>6</v>
      </c>
      <c r="O74">
        <v>18</v>
      </c>
    </row>
    <row r="75" spans="1:15" x14ac:dyDescent="0.3">
      <c r="A75">
        <v>19</v>
      </c>
      <c r="B75" t="b">
        <v>0</v>
      </c>
      <c r="C75">
        <v>40</v>
      </c>
      <c r="D75" t="s">
        <v>785</v>
      </c>
      <c r="E75">
        <v>24</v>
      </c>
      <c r="F75">
        <v>12</v>
      </c>
      <c r="G75">
        <v>31</v>
      </c>
      <c r="H75">
        <v>2</v>
      </c>
      <c r="I75">
        <v>10</v>
      </c>
      <c r="J75">
        <v>0</v>
      </c>
      <c r="K75">
        <v>100</v>
      </c>
      <c r="L75">
        <v>96.81</v>
      </c>
      <c r="M75">
        <v>28</v>
      </c>
      <c r="N75">
        <v>8</v>
      </c>
      <c r="O75">
        <v>14</v>
      </c>
    </row>
    <row r="76" spans="1:15" x14ac:dyDescent="0.3">
      <c r="A76">
        <v>21</v>
      </c>
      <c r="B76" t="b">
        <v>1</v>
      </c>
      <c r="C76">
        <v>60</v>
      </c>
      <c r="D76" t="s">
        <v>115</v>
      </c>
      <c r="E76">
        <v>48</v>
      </c>
      <c r="G76">
        <v>32</v>
      </c>
      <c r="H76">
        <v>2</v>
      </c>
      <c r="I76">
        <v>10</v>
      </c>
      <c r="J76">
        <v>0</v>
      </c>
      <c r="K76">
        <v>100</v>
      </c>
      <c r="L76">
        <v>149.88</v>
      </c>
      <c r="M76">
        <v>52</v>
      </c>
      <c r="N76">
        <v>3</v>
      </c>
      <c r="O76">
        <v>35</v>
      </c>
    </row>
    <row r="77" spans="1:15" x14ac:dyDescent="0.3">
      <c r="A77">
        <v>18</v>
      </c>
      <c r="B77" t="b">
        <v>1</v>
      </c>
      <c r="C77">
        <v>10</v>
      </c>
      <c r="D77" t="s">
        <v>115</v>
      </c>
      <c r="E77">
        <v>6</v>
      </c>
      <c r="G77">
        <v>12</v>
      </c>
      <c r="H77">
        <v>0</v>
      </c>
      <c r="I77">
        <v>4</v>
      </c>
      <c r="J77">
        <v>0.75</v>
      </c>
      <c r="K77">
        <v>100</v>
      </c>
      <c r="L77">
        <v>10.02</v>
      </c>
      <c r="M77">
        <v>6</v>
      </c>
      <c r="N77">
        <v>8</v>
      </c>
      <c r="O77">
        <v>14</v>
      </c>
    </row>
    <row r="78" spans="1:15" x14ac:dyDescent="0.3">
      <c r="A78">
        <v>19</v>
      </c>
      <c r="B78" t="b">
        <v>1</v>
      </c>
      <c r="C78">
        <v>5</v>
      </c>
      <c r="D78" t="s">
        <v>785</v>
      </c>
      <c r="E78">
        <v>6</v>
      </c>
      <c r="F78">
        <v>12</v>
      </c>
      <c r="G78">
        <v>29</v>
      </c>
      <c r="H78">
        <v>2</v>
      </c>
      <c r="I78">
        <v>10</v>
      </c>
      <c r="J78">
        <v>0</v>
      </c>
      <c r="K78">
        <v>100</v>
      </c>
      <c r="L78">
        <v>6.28</v>
      </c>
      <c r="M78">
        <v>10</v>
      </c>
      <c r="N78">
        <v>8</v>
      </c>
      <c r="O78">
        <v>14</v>
      </c>
    </row>
    <row r="79" spans="1:15" x14ac:dyDescent="0.3">
      <c r="A79">
        <v>19</v>
      </c>
      <c r="B79" t="b">
        <v>1</v>
      </c>
      <c r="C79">
        <v>60</v>
      </c>
      <c r="D79" t="s">
        <v>115</v>
      </c>
      <c r="E79">
        <v>12</v>
      </c>
      <c r="G79">
        <v>13</v>
      </c>
      <c r="H79">
        <v>1</v>
      </c>
      <c r="I79">
        <v>4</v>
      </c>
      <c r="J79">
        <v>0.75</v>
      </c>
      <c r="K79">
        <v>100</v>
      </c>
      <c r="L79">
        <v>52.4</v>
      </c>
      <c r="M79">
        <v>14</v>
      </c>
      <c r="N79">
        <v>8</v>
      </c>
      <c r="O79">
        <v>14</v>
      </c>
    </row>
    <row r="80" spans="1:15" x14ac:dyDescent="0.3">
      <c r="A80">
        <v>13</v>
      </c>
      <c r="B80" t="b">
        <v>1</v>
      </c>
      <c r="C80">
        <v>60</v>
      </c>
      <c r="D80" t="s">
        <v>115</v>
      </c>
      <c r="E80">
        <v>24</v>
      </c>
      <c r="G80">
        <v>11</v>
      </c>
      <c r="H80">
        <v>2.5</v>
      </c>
      <c r="I80">
        <v>5</v>
      </c>
      <c r="J80">
        <v>0</v>
      </c>
      <c r="K80">
        <v>100</v>
      </c>
      <c r="L80">
        <v>111.36</v>
      </c>
      <c r="M80">
        <v>30</v>
      </c>
      <c r="N80">
        <v>7.5</v>
      </c>
      <c r="O80">
        <v>15</v>
      </c>
    </row>
    <row r="81" spans="1:15" x14ac:dyDescent="0.3">
      <c r="A81">
        <v>22</v>
      </c>
      <c r="B81" t="b">
        <v>0</v>
      </c>
      <c r="C81">
        <v>60</v>
      </c>
      <c r="D81" t="s">
        <v>785</v>
      </c>
      <c r="E81">
        <v>12</v>
      </c>
      <c r="F81">
        <v>6</v>
      </c>
      <c r="G81">
        <v>31</v>
      </c>
      <c r="H81">
        <v>3</v>
      </c>
      <c r="I81">
        <v>4</v>
      </c>
      <c r="J81">
        <v>1.5</v>
      </c>
      <c r="K81">
        <v>100</v>
      </c>
      <c r="L81">
        <v>93.24</v>
      </c>
      <c r="M81">
        <v>18</v>
      </c>
      <c r="N81">
        <v>8</v>
      </c>
      <c r="O81">
        <v>14</v>
      </c>
    </row>
    <row r="82" spans="1:15" x14ac:dyDescent="0.3">
      <c r="A82">
        <v>14</v>
      </c>
      <c r="B82" t="b">
        <v>0</v>
      </c>
      <c r="C82">
        <v>5</v>
      </c>
      <c r="D82" t="s">
        <v>785</v>
      </c>
      <c r="E82">
        <v>6</v>
      </c>
      <c r="F82">
        <v>6</v>
      </c>
      <c r="G82">
        <v>32</v>
      </c>
      <c r="H82">
        <v>0</v>
      </c>
      <c r="I82">
        <v>4</v>
      </c>
      <c r="J82">
        <v>1</v>
      </c>
      <c r="K82">
        <v>100</v>
      </c>
      <c r="L82">
        <v>3.6</v>
      </c>
      <c r="M82">
        <v>6</v>
      </c>
      <c r="N82">
        <v>8</v>
      </c>
      <c r="O82">
        <v>14</v>
      </c>
    </row>
    <row r="83" spans="1:15" x14ac:dyDescent="0.3">
      <c r="A83">
        <v>23</v>
      </c>
      <c r="B83" t="b">
        <v>0</v>
      </c>
      <c r="C83">
        <v>60</v>
      </c>
      <c r="D83" t="s">
        <v>785</v>
      </c>
      <c r="E83">
        <v>36</v>
      </c>
      <c r="F83">
        <v>36</v>
      </c>
      <c r="G83">
        <v>23</v>
      </c>
      <c r="H83">
        <v>2</v>
      </c>
      <c r="I83">
        <v>5</v>
      </c>
      <c r="J83">
        <v>1</v>
      </c>
      <c r="K83">
        <v>100</v>
      </c>
      <c r="L83">
        <v>217.09</v>
      </c>
      <c r="M83">
        <v>40</v>
      </c>
      <c r="N83">
        <v>2.5</v>
      </c>
      <c r="O83">
        <v>41</v>
      </c>
    </row>
    <row r="84" spans="1:15" x14ac:dyDescent="0.3">
      <c r="A84">
        <v>13</v>
      </c>
      <c r="B84" t="b">
        <v>0</v>
      </c>
      <c r="C84">
        <v>0</v>
      </c>
      <c r="D84" t="s">
        <v>785</v>
      </c>
      <c r="E84">
        <v>6</v>
      </c>
      <c r="F84">
        <v>48</v>
      </c>
      <c r="G84">
        <v>26</v>
      </c>
      <c r="H84">
        <v>2</v>
      </c>
      <c r="I84">
        <v>5</v>
      </c>
      <c r="J84">
        <v>1.5</v>
      </c>
      <c r="K84">
        <v>100</v>
      </c>
      <c r="L84">
        <v>10.39</v>
      </c>
      <c r="M84">
        <v>10</v>
      </c>
      <c r="N84">
        <v>8</v>
      </c>
      <c r="O84">
        <v>14</v>
      </c>
    </row>
    <row r="85" spans="1:15" x14ac:dyDescent="0.3">
      <c r="A85">
        <v>14</v>
      </c>
      <c r="B85" t="b">
        <v>1</v>
      </c>
      <c r="C85">
        <v>0</v>
      </c>
      <c r="D85" t="s">
        <v>115</v>
      </c>
      <c r="E85">
        <v>48</v>
      </c>
      <c r="G85">
        <v>24</v>
      </c>
      <c r="H85">
        <v>0</v>
      </c>
      <c r="I85">
        <v>5</v>
      </c>
      <c r="J85">
        <v>0.75</v>
      </c>
      <c r="K85">
        <v>100</v>
      </c>
      <c r="L85">
        <v>34.340000000000003</v>
      </c>
      <c r="M85">
        <v>48</v>
      </c>
      <c r="N85">
        <v>4</v>
      </c>
      <c r="O85">
        <v>26</v>
      </c>
    </row>
    <row r="86" spans="1:15" x14ac:dyDescent="0.3">
      <c r="A86">
        <v>17</v>
      </c>
      <c r="B86" t="b">
        <v>1</v>
      </c>
      <c r="C86">
        <v>20</v>
      </c>
      <c r="D86" t="s">
        <v>115</v>
      </c>
      <c r="E86">
        <v>36</v>
      </c>
      <c r="G86">
        <v>32</v>
      </c>
      <c r="H86">
        <v>2.5</v>
      </c>
      <c r="I86">
        <v>5</v>
      </c>
      <c r="J86">
        <v>0</v>
      </c>
      <c r="K86">
        <v>100</v>
      </c>
      <c r="L86">
        <v>42.74</v>
      </c>
      <c r="M86">
        <v>42</v>
      </c>
      <c r="N86">
        <v>6</v>
      </c>
      <c r="O86">
        <v>18</v>
      </c>
    </row>
    <row r="87" spans="1:15" x14ac:dyDescent="0.3">
      <c r="A87">
        <v>19</v>
      </c>
      <c r="B87" t="b">
        <v>0</v>
      </c>
      <c r="C87">
        <v>10</v>
      </c>
      <c r="D87" t="s">
        <v>785</v>
      </c>
      <c r="E87">
        <v>36</v>
      </c>
      <c r="F87">
        <v>48</v>
      </c>
      <c r="G87">
        <v>8</v>
      </c>
      <c r="H87">
        <v>1</v>
      </c>
      <c r="I87">
        <v>4</v>
      </c>
      <c r="J87">
        <v>0</v>
      </c>
      <c r="K87">
        <v>100</v>
      </c>
      <c r="L87">
        <v>127.68</v>
      </c>
      <c r="M87">
        <v>38</v>
      </c>
      <c r="N87">
        <v>4</v>
      </c>
      <c r="O87">
        <v>26</v>
      </c>
    </row>
    <row r="88" spans="1:15" x14ac:dyDescent="0.3">
      <c r="A88">
        <v>16</v>
      </c>
      <c r="B88" t="b">
        <v>1</v>
      </c>
      <c r="C88">
        <v>10</v>
      </c>
      <c r="D88" t="s">
        <v>785</v>
      </c>
      <c r="E88">
        <v>6</v>
      </c>
      <c r="F88">
        <v>6</v>
      </c>
      <c r="G88">
        <v>28</v>
      </c>
      <c r="H88">
        <v>1</v>
      </c>
      <c r="I88">
        <v>10</v>
      </c>
      <c r="J88">
        <v>0.75</v>
      </c>
      <c r="K88">
        <v>100</v>
      </c>
      <c r="L88">
        <v>8.34</v>
      </c>
      <c r="M88">
        <v>8</v>
      </c>
      <c r="N88">
        <v>8</v>
      </c>
      <c r="O88">
        <v>14</v>
      </c>
    </row>
    <row r="89" spans="1:15" x14ac:dyDescent="0.3">
      <c r="A89">
        <v>21</v>
      </c>
      <c r="B89" t="b">
        <v>1</v>
      </c>
      <c r="C89">
        <v>0</v>
      </c>
      <c r="D89" t="s">
        <v>115</v>
      </c>
      <c r="E89">
        <v>6</v>
      </c>
      <c r="G89">
        <v>19</v>
      </c>
      <c r="H89">
        <v>1.5</v>
      </c>
      <c r="I89">
        <v>4</v>
      </c>
      <c r="J89">
        <v>0.75</v>
      </c>
      <c r="K89">
        <v>100</v>
      </c>
      <c r="L89">
        <v>3.82</v>
      </c>
      <c r="M89">
        <v>10</v>
      </c>
      <c r="N89">
        <v>8</v>
      </c>
      <c r="O89">
        <v>14</v>
      </c>
    </row>
    <row r="90" spans="1:15" x14ac:dyDescent="0.3">
      <c r="A90">
        <v>23</v>
      </c>
      <c r="B90" t="b">
        <v>0</v>
      </c>
      <c r="C90">
        <v>40</v>
      </c>
      <c r="D90" t="s">
        <v>115</v>
      </c>
      <c r="E90">
        <v>24</v>
      </c>
      <c r="G90">
        <v>8</v>
      </c>
      <c r="H90">
        <v>1</v>
      </c>
      <c r="I90">
        <v>5</v>
      </c>
      <c r="J90">
        <v>0.75</v>
      </c>
      <c r="K90">
        <v>100</v>
      </c>
      <c r="L90">
        <v>97.09</v>
      </c>
      <c r="M90">
        <v>26</v>
      </c>
      <c r="N90">
        <v>8</v>
      </c>
      <c r="O90">
        <v>14</v>
      </c>
    </row>
    <row r="91" spans="1:15" x14ac:dyDescent="0.3">
      <c r="A91">
        <v>16</v>
      </c>
      <c r="B91" t="b">
        <v>0</v>
      </c>
      <c r="C91">
        <v>5</v>
      </c>
      <c r="D91" t="s">
        <v>785</v>
      </c>
      <c r="E91">
        <v>24</v>
      </c>
      <c r="F91">
        <v>12</v>
      </c>
      <c r="G91">
        <v>29</v>
      </c>
      <c r="H91">
        <v>1</v>
      </c>
      <c r="I91">
        <v>4</v>
      </c>
      <c r="J91">
        <v>0.75</v>
      </c>
      <c r="K91">
        <v>100</v>
      </c>
      <c r="L91">
        <v>15.45</v>
      </c>
      <c r="M91">
        <v>26</v>
      </c>
      <c r="N91">
        <v>8</v>
      </c>
      <c r="O91">
        <v>14</v>
      </c>
    </row>
    <row r="92" spans="1:15" x14ac:dyDescent="0.3">
      <c r="A92">
        <v>13</v>
      </c>
      <c r="B92" t="b">
        <v>0</v>
      </c>
      <c r="C92">
        <v>10</v>
      </c>
      <c r="D92" t="s">
        <v>115</v>
      </c>
      <c r="E92">
        <v>48</v>
      </c>
      <c r="G92">
        <v>16</v>
      </c>
      <c r="H92">
        <v>2.5</v>
      </c>
      <c r="I92">
        <v>10</v>
      </c>
      <c r="J92">
        <v>1.5</v>
      </c>
      <c r="K92">
        <v>100</v>
      </c>
      <c r="L92">
        <v>110.19</v>
      </c>
      <c r="M92">
        <v>54</v>
      </c>
      <c r="N92">
        <v>4</v>
      </c>
      <c r="O92">
        <v>26</v>
      </c>
    </row>
    <row r="93" spans="1:15" x14ac:dyDescent="0.3">
      <c r="A93">
        <v>14</v>
      </c>
      <c r="B93" t="b">
        <v>1</v>
      </c>
      <c r="C93">
        <v>20</v>
      </c>
      <c r="D93" t="s">
        <v>785</v>
      </c>
      <c r="E93">
        <v>12</v>
      </c>
      <c r="F93">
        <v>36</v>
      </c>
      <c r="G93">
        <v>32</v>
      </c>
      <c r="H93">
        <v>2.5</v>
      </c>
      <c r="I93">
        <v>5</v>
      </c>
      <c r="J93">
        <v>1.5</v>
      </c>
      <c r="K93">
        <v>100</v>
      </c>
      <c r="L93">
        <v>35.47</v>
      </c>
      <c r="M93">
        <v>18</v>
      </c>
      <c r="N93">
        <v>8</v>
      </c>
      <c r="O93">
        <v>14</v>
      </c>
    </row>
    <row r="94" spans="1:15" x14ac:dyDescent="0.3">
      <c r="A94">
        <v>24</v>
      </c>
      <c r="B94" t="b">
        <v>1</v>
      </c>
      <c r="C94">
        <v>20</v>
      </c>
      <c r="D94" t="s">
        <v>785</v>
      </c>
      <c r="E94">
        <v>36</v>
      </c>
      <c r="F94">
        <v>6</v>
      </c>
      <c r="G94">
        <v>12</v>
      </c>
      <c r="H94">
        <v>2</v>
      </c>
      <c r="I94">
        <v>5</v>
      </c>
      <c r="J94">
        <v>0.75</v>
      </c>
      <c r="K94">
        <v>100</v>
      </c>
      <c r="L94">
        <v>98.58</v>
      </c>
      <c r="M94">
        <v>40</v>
      </c>
      <c r="N94">
        <v>6.5</v>
      </c>
      <c r="O94">
        <v>17</v>
      </c>
    </row>
    <row r="95" spans="1:15" x14ac:dyDescent="0.3">
      <c r="A95">
        <v>14</v>
      </c>
      <c r="B95" t="b">
        <v>1</v>
      </c>
      <c r="C95">
        <v>0</v>
      </c>
      <c r="D95" t="s">
        <v>785</v>
      </c>
      <c r="E95">
        <v>6</v>
      </c>
      <c r="F95">
        <v>48</v>
      </c>
      <c r="G95">
        <v>14</v>
      </c>
      <c r="H95">
        <v>0</v>
      </c>
      <c r="I95">
        <v>10</v>
      </c>
      <c r="J95">
        <v>1</v>
      </c>
      <c r="K95">
        <v>100</v>
      </c>
      <c r="L95">
        <v>28.82</v>
      </c>
      <c r="M95">
        <v>6</v>
      </c>
      <c r="N95">
        <v>8</v>
      </c>
      <c r="O95">
        <v>14</v>
      </c>
    </row>
    <row r="96" spans="1:15" x14ac:dyDescent="0.3">
      <c r="A96">
        <v>18</v>
      </c>
      <c r="B96" t="b">
        <v>0</v>
      </c>
      <c r="C96">
        <v>5</v>
      </c>
      <c r="D96" t="s">
        <v>115</v>
      </c>
      <c r="E96">
        <v>36</v>
      </c>
      <c r="G96">
        <v>16</v>
      </c>
      <c r="H96">
        <v>2</v>
      </c>
      <c r="I96">
        <v>10</v>
      </c>
      <c r="J96">
        <v>1.5</v>
      </c>
      <c r="K96">
        <v>100</v>
      </c>
      <c r="L96">
        <v>64.099999999999994</v>
      </c>
      <c r="M96">
        <v>40</v>
      </c>
      <c r="N96">
        <v>6</v>
      </c>
      <c r="O96">
        <v>18</v>
      </c>
    </row>
    <row r="97" spans="1:15" x14ac:dyDescent="0.3">
      <c r="A97">
        <v>24</v>
      </c>
      <c r="B97" t="b">
        <v>0</v>
      </c>
      <c r="C97">
        <v>10</v>
      </c>
      <c r="D97" t="s">
        <v>115</v>
      </c>
      <c r="E97">
        <v>48</v>
      </c>
      <c r="G97">
        <v>29</v>
      </c>
      <c r="H97">
        <v>0</v>
      </c>
      <c r="I97">
        <v>5</v>
      </c>
      <c r="J97">
        <v>0</v>
      </c>
      <c r="K97">
        <v>100</v>
      </c>
      <c r="L97">
        <v>30.83</v>
      </c>
      <c r="M97">
        <v>48</v>
      </c>
      <c r="N97">
        <v>4</v>
      </c>
      <c r="O97">
        <v>26</v>
      </c>
    </row>
    <row r="98" spans="1:15" x14ac:dyDescent="0.3">
      <c r="A98">
        <v>12</v>
      </c>
      <c r="B98" t="b">
        <v>0</v>
      </c>
      <c r="C98">
        <v>20</v>
      </c>
      <c r="D98" t="s">
        <v>785</v>
      </c>
      <c r="E98">
        <v>48</v>
      </c>
      <c r="F98">
        <v>24</v>
      </c>
      <c r="G98">
        <v>21</v>
      </c>
      <c r="H98">
        <v>0</v>
      </c>
      <c r="I98">
        <v>4</v>
      </c>
      <c r="J98">
        <v>1.5</v>
      </c>
      <c r="K98">
        <v>100</v>
      </c>
      <c r="L98">
        <v>97.92</v>
      </c>
      <c r="M98">
        <v>48</v>
      </c>
      <c r="N98">
        <v>6</v>
      </c>
      <c r="O98">
        <v>18</v>
      </c>
    </row>
    <row r="99" spans="1:15" x14ac:dyDescent="0.3">
      <c r="A99">
        <v>13</v>
      </c>
      <c r="B99" t="b">
        <v>0</v>
      </c>
      <c r="C99">
        <v>60</v>
      </c>
      <c r="D99" t="s">
        <v>115</v>
      </c>
      <c r="E99">
        <v>6</v>
      </c>
      <c r="G99">
        <v>21</v>
      </c>
      <c r="H99">
        <v>1</v>
      </c>
      <c r="I99">
        <v>5</v>
      </c>
      <c r="J99">
        <v>1</v>
      </c>
      <c r="K99">
        <v>100</v>
      </c>
      <c r="L99">
        <v>25.25</v>
      </c>
      <c r="M99">
        <v>8</v>
      </c>
      <c r="N99">
        <v>8</v>
      </c>
      <c r="O99">
        <v>14</v>
      </c>
    </row>
    <row r="100" spans="1:15" x14ac:dyDescent="0.3">
      <c r="A100">
        <v>12</v>
      </c>
      <c r="B100" t="b">
        <v>0</v>
      </c>
      <c r="C100">
        <v>0</v>
      </c>
      <c r="D100" t="s">
        <v>785</v>
      </c>
      <c r="E100">
        <v>6</v>
      </c>
      <c r="F100">
        <v>24</v>
      </c>
      <c r="G100">
        <v>27</v>
      </c>
      <c r="H100">
        <v>1.5</v>
      </c>
      <c r="I100">
        <v>10</v>
      </c>
      <c r="J100">
        <v>1.5</v>
      </c>
      <c r="K100">
        <v>100</v>
      </c>
      <c r="L100">
        <v>5.16</v>
      </c>
      <c r="M100">
        <v>10</v>
      </c>
      <c r="N100">
        <v>8</v>
      </c>
      <c r="O100">
        <v>14</v>
      </c>
    </row>
    <row r="101" spans="1:15" x14ac:dyDescent="0.3">
      <c r="A101">
        <v>22</v>
      </c>
      <c r="B101" t="b">
        <v>1</v>
      </c>
      <c r="C101">
        <v>20</v>
      </c>
      <c r="D101" t="s">
        <v>785</v>
      </c>
      <c r="E101">
        <v>36</v>
      </c>
      <c r="F101">
        <v>6</v>
      </c>
      <c r="G101">
        <v>28</v>
      </c>
      <c r="H101">
        <v>2</v>
      </c>
      <c r="I101">
        <v>4</v>
      </c>
      <c r="J101">
        <v>0</v>
      </c>
      <c r="K101">
        <v>100</v>
      </c>
      <c r="L101">
        <v>72.010000000000005</v>
      </c>
      <c r="M101">
        <v>40</v>
      </c>
      <c r="N101">
        <v>8</v>
      </c>
      <c r="O101">
        <v>14</v>
      </c>
    </row>
    <row r="103" spans="1:15" x14ac:dyDescent="0.3">
      <c r="A103">
        <v>14</v>
      </c>
      <c r="B103" t="b">
        <v>0</v>
      </c>
      <c r="C103">
        <v>10</v>
      </c>
      <c r="D103" t="s">
        <v>115</v>
      </c>
      <c r="E103">
        <v>6</v>
      </c>
      <c r="G103">
        <v>21</v>
      </c>
      <c r="H103">
        <v>2.5</v>
      </c>
      <c r="I103">
        <v>5</v>
      </c>
      <c r="J103">
        <v>1</v>
      </c>
      <c r="K103">
        <v>100</v>
      </c>
      <c r="L103">
        <v>9.27</v>
      </c>
      <c r="M103">
        <v>12</v>
      </c>
      <c r="N103">
        <v>8</v>
      </c>
      <c r="O103">
        <v>14</v>
      </c>
    </row>
    <row r="104" spans="1:15" x14ac:dyDescent="0.3">
      <c r="A104">
        <v>22</v>
      </c>
      <c r="B104" t="b">
        <v>1</v>
      </c>
      <c r="C104">
        <v>20</v>
      </c>
      <c r="D104" t="s">
        <v>785</v>
      </c>
      <c r="E104">
        <v>6</v>
      </c>
      <c r="F104">
        <v>24</v>
      </c>
      <c r="G104">
        <v>14</v>
      </c>
      <c r="H104">
        <v>2.5</v>
      </c>
      <c r="I104">
        <v>4</v>
      </c>
      <c r="J104">
        <v>1.5</v>
      </c>
      <c r="K104">
        <v>100</v>
      </c>
      <c r="L104">
        <v>36.17</v>
      </c>
      <c r="M104">
        <v>12</v>
      </c>
      <c r="N104">
        <v>8</v>
      </c>
      <c r="O104">
        <v>14</v>
      </c>
    </row>
    <row r="105" spans="1:15" x14ac:dyDescent="0.3">
      <c r="A105">
        <v>14</v>
      </c>
      <c r="B105" t="b">
        <v>0</v>
      </c>
      <c r="C105">
        <v>0</v>
      </c>
      <c r="D105" t="s">
        <v>115</v>
      </c>
      <c r="E105">
        <v>12</v>
      </c>
      <c r="G105">
        <v>24</v>
      </c>
      <c r="H105">
        <v>1.5</v>
      </c>
      <c r="I105">
        <v>5</v>
      </c>
      <c r="J105">
        <v>0.75</v>
      </c>
      <c r="K105">
        <v>100</v>
      </c>
      <c r="L105">
        <v>5.84</v>
      </c>
      <c r="M105">
        <v>16</v>
      </c>
      <c r="N105">
        <v>8</v>
      </c>
      <c r="O105">
        <v>14</v>
      </c>
    </row>
    <row r="106" spans="1:15" x14ac:dyDescent="0.3">
      <c r="A106">
        <v>14</v>
      </c>
      <c r="B106" t="b">
        <v>0</v>
      </c>
      <c r="C106">
        <v>40</v>
      </c>
      <c r="D106" t="s">
        <v>785</v>
      </c>
      <c r="E106">
        <v>24</v>
      </c>
      <c r="F106">
        <v>6</v>
      </c>
      <c r="G106">
        <v>16</v>
      </c>
      <c r="H106">
        <v>2.5</v>
      </c>
      <c r="I106">
        <v>10</v>
      </c>
      <c r="J106">
        <v>1.5</v>
      </c>
      <c r="K106">
        <v>100</v>
      </c>
      <c r="L106">
        <v>111.44</v>
      </c>
      <c r="M106">
        <v>30</v>
      </c>
      <c r="N106">
        <v>8</v>
      </c>
      <c r="O106">
        <v>14</v>
      </c>
    </row>
    <row r="107" spans="1:15" x14ac:dyDescent="0.3">
      <c r="A107">
        <v>20</v>
      </c>
      <c r="B107" t="b">
        <v>1</v>
      </c>
      <c r="C107">
        <v>0</v>
      </c>
      <c r="D107" t="s">
        <v>785</v>
      </c>
      <c r="E107">
        <v>12</v>
      </c>
      <c r="F107">
        <v>36</v>
      </c>
      <c r="G107">
        <v>11</v>
      </c>
      <c r="H107">
        <v>1</v>
      </c>
      <c r="I107">
        <v>4</v>
      </c>
      <c r="J107">
        <v>0</v>
      </c>
      <c r="K107">
        <v>100</v>
      </c>
      <c r="L107">
        <v>40.24</v>
      </c>
      <c r="M107">
        <v>14</v>
      </c>
      <c r="N107">
        <v>8</v>
      </c>
      <c r="O107">
        <v>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A403-F33D-477E-82FC-809EA2F8FF81}">
  <sheetPr codeName="Sheet14"/>
  <dimension ref="A1:O101"/>
  <sheetViews>
    <sheetView workbookViewId="0">
      <pane ySplit="1" topLeftCell="A2" activePane="bottomLeft" state="frozen"/>
      <selection pane="bottomLeft" activeCell="L69" sqref="L69"/>
    </sheetView>
  </sheetViews>
  <sheetFormatPr defaultRowHeight="14.4" x14ac:dyDescent="0.3"/>
  <cols>
    <col min="2" max="2" width="18.6640625" bestFit="1" customWidth="1"/>
    <col min="3" max="3" width="10" bestFit="1" customWidth="1"/>
    <col min="4" max="4" width="9.6640625" bestFit="1" customWidth="1"/>
    <col min="5" max="5" width="6.109375" bestFit="1" customWidth="1"/>
    <col min="6" max="6" width="6.6640625" bestFit="1" customWidth="1"/>
    <col min="7" max="7" width="6.33203125" bestFit="1" customWidth="1"/>
    <col min="8" max="8" width="18.88671875" bestFit="1" customWidth="1"/>
    <col min="9" max="9" width="6.6640625" bestFit="1" customWidth="1"/>
    <col min="10" max="10" width="17" bestFit="1" customWidth="1"/>
    <col min="11" max="12" width="13.88671875" bestFit="1" customWidth="1"/>
    <col min="13" max="13" width="19.33203125" bestFit="1" customWidth="1"/>
    <col min="14" max="14" width="13.6640625" bestFit="1" customWidth="1"/>
    <col min="15" max="15" width="11.6640625" bestFit="1" customWidth="1"/>
  </cols>
  <sheetData>
    <row r="1" spans="1:15" x14ac:dyDescent="0.3">
      <c r="A1" t="s">
        <v>770</v>
      </c>
      <c r="B1" t="s">
        <v>771</v>
      </c>
      <c r="C1" t="s">
        <v>772</v>
      </c>
      <c r="D1" t="s">
        <v>773</v>
      </c>
      <c r="E1" t="s">
        <v>774</v>
      </c>
      <c r="F1" t="s">
        <v>775</v>
      </c>
      <c r="G1" t="s">
        <v>776</v>
      </c>
      <c r="H1" t="s">
        <v>777</v>
      </c>
      <c r="I1" t="s">
        <v>778</v>
      </c>
      <c r="J1" t="s">
        <v>779</v>
      </c>
      <c r="K1" t="s">
        <v>783</v>
      </c>
      <c r="L1" t="s">
        <v>780</v>
      </c>
      <c r="M1" t="s">
        <v>781</v>
      </c>
      <c r="N1" t="s">
        <v>782</v>
      </c>
      <c r="O1" t="s">
        <v>784</v>
      </c>
    </row>
    <row r="2" spans="1:15" x14ac:dyDescent="0.3">
      <c r="A2">
        <v>23</v>
      </c>
      <c r="B2" t="b">
        <v>0</v>
      </c>
      <c r="C2">
        <v>20</v>
      </c>
      <c r="D2" t="s">
        <v>785</v>
      </c>
      <c r="E2">
        <v>12</v>
      </c>
      <c r="F2">
        <v>12</v>
      </c>
      <c r="G2">
        <v>32</v>
      </c>
      <c r="H2">
        <v>2.5</v>
      </c>
      <c r="I2">
        <v>10</v>
      </c>
      <c r="J2">
        <v>0</v>
      </c>
      <c r="K2">
        <v>100</v>
      </c>
      <c r="L2">
        <v>30.52</v>
      </c>
      <c r="M2">
        <v>18</v>
      </c>
      <c r="N2">
        <v>8</v>
      </c>
      <c r="O2">
        <v>14</v>
      </c>
    </row>
    <row r="3" spans="1:15" x14ac:dyDescent="0.3">
      <c r="A3">
        <v>18</v>
      </c>
      <c r="B3" t="b">
        <v>1</v>
      </c>
      <c r="C3">
        <v>60</v>
      </c>
      <c r="D3" t="s">
        <v>785</v>
      </c>
      <c r="E3">
        <v>48</v>
      </c>
      <c r="F3">
        <v>6</v>
      </c>
      <c r="G3">
        <v>16</v>
      </c>
      <c r="H3">
        <v>2</v>
      </c>
      <c r="I3">
        <v>5</v>
      </c>
      <c r="J3">
        <v>0</v>
      </c>
      <c r="K3">
        <v>100</v>
      </c>
      <c r="L3">
        <v>283.31</v>
      </c>
      <c r="M3">
        <v>52</v>
      </c>
      <c r="N3">
        <v>0</v>
      </c>
      <c r="O3">
        <v>0</v>
      </c>
    </row>
    <row r="4" spans="1:15" x14ac:dyDescent="0.3">
      <c r="A4">
        <v>14</v>
      </c>
      <c r="B4" t="b">
        <v>0</v>
      </c>
      <c r="C4">
        <v>10</v>
      </c>
      <c r="D4" t="s">
        <v>115</v>
      </c>
      <c r="E4">
        <v>6</v>
      </c>
      <c r="G4">
        <v>12</v>
      </c>
      <c r="H4">
        <v>2.5</v>
      </c>
      <c r="I4">
        <v>10</v>
      </c>
      <c r="J4">
        <v>1</v>
      </c>
      <c r="K4">
        <v>100</v>
      </c>
      <c r="L4">
        <v>12.12</v>
      </c>
      <c r="M4">
        <v>12</v>
      </c>
      <c r="N4">
        <v>8</v>
      </c>
      <c r="O4">
        <v>14</v>
      </c>
    </row>
    <row r="5" spans="1:15" x14ac:dyDescent="0.3">
      <c r="A5">
        <v>14</v>
      </c>
      <c r="B5" t="b">
        <v>1</v>
      </c>
      <c r="C5">
        <v>40</v>
      </c>
      <c r="D5" t="s">
        <v>115</v>
      </c>
      <c r="E5">
        <v>24</v>
      </c>
      <c r="G5">
        <v>20</v>
      </c>
      <c r="H5">
        <v>2.5</v>
      </c>
      <c r="I5">
        <v>4</v>
      </c>
      <c r="J5">
        <v>0</v>
      </c>
      <c r="K5">
        <v>100</v>
      </c>
      <c r="L5">
        <v>63.31</v>
      </c>
      <c r="M5">
        <v>30</v>
      </c>
      <c r="N5">
        <v>8</v>
      </c>
      <c r="O5">
        <v>14</v>
      </c>
    </row>
    <row r="6" spans="1:15" x14ac:dyDescent="0.3">
      <c r="A6">
        <v>15</v>
      </c>
      <c r="B6" t="b">
        <v>1</v>
      </c>
      <c r="C6">
        <v>60</v>
      </c>
      <c r="D6" t="s">
        <v>115</v>
      </c>
      <c r="E6">
        <v>24</v>
      </c>
      <c r="G6">
        <v>23</v>
      </c>
      <c r="H6">
        <v>3</v>
      </c>
      <c r="I6">
        <v>4</v>
      </c>
      <c r="J6">
        <v>0</v>
      </c>
      <c r="K6">
        <v>100</v>
      </c>
      <c r="L6">
        <v>90.34</v>
      </c>
      <c r="M6">
        <v>30</v>
      </c>
      <c r="N6">
        <v>8</v>
      </c>
      <c r="O6">
        <v>14</v>
      </c>
    </row>
    <row r="7" spans="1:15" x14ac:dyDescent="0.3">
      <c r="A7">
        <v>18</v>
      </c>
      <c r="B7" t="b">
        <v>1</v>
      </c>
      <c r="C7">
        <v>20</v>
      </c>
      <c r="D7" t="s">
        <v>785</v>
      </c>
      <c r="E7">
        <v>48</v>
      </c>
      <c r="F7">
        <v>48</v>
      </c>
      <c r="G7">
        <v>19</v>
      </c>
      <c r="H7">
        <v>1</v>
      </c>
      <c r="I7">
        <v>5</v>
      </c>
      <c r="J7">
        <v>1.5</v>
      </c>
      <c r="K7">
        <v>100</v>
      </c>
      <c r="L7">
        <v>115.14</v>
      </c>
      <c r="M7">
        <v>50</v>
      </c>
      <c r="N7">
        <v>4</v>
      </c>
      <c r="O7">
        <v>26</v>
      </c>
    </row>
    <row r="8" spans="1:15" x14ac:dyDescent="0.3">
      <c r="A8">
        <v>18</v>
      </c>
      <c r="B8" t="b">
        <v>0</v>
      </c>
      <c r="C8">
        <v>60</v>
      </c>
      <c r="D8" t="s">
        <v>785</v>
      </c>
      <c r="E8">
        <v>48</v>
      </c>
      <c r="F8">
        <v>48</v>
      </c>
      <c r="G8">
        <v>18</v>
      </c>
      <c r="H8">
        <v>3</v>
      </c>
      <c r="I8">
        <v>4</v>
      </c>
      <c r="J8">
        <v>0</v>
      </c>
      <c r="K8">
        <v>100</v>
      </c>
      <c r="L8">
        <v>303.68</v>
      </c>
      <c r="M8">
        <v>54</v>
      </c>
      <c r="N8">
        <v>0</v>
      </c>
      <c r="O8">
        <v>0</v>
      </c>
    </row>
    <row r="9" spans="1:15" x14ac:dyDescent="0.3">
      <c r="A9">
        <v>18</v>
      </c>
      <c r="B9" t="b">
        <v>1</v>
      </c>
      <c r="C9">
        <v>5</v>
      </c>
      <c r="D9" t="s">
        <v>115</v>
      </c>
      <c r="E9">
        <v>6</v>
      </c>
      <c r="G9">
        <v>14</v>
      </c>
      <c r="H9">
        <v>3</v>
      </c>
      <c r="I9">
        <v>10</v>
      </c>
      <c r="J9">
        <v>0.75</v>
      </c>
      <c r="K9">
        <v>100</v>
      </c>
      <c r="L9">
        <v>7.93</v>
      </c>
      <c r="M9">
        <v>12</v>
      </c>
      <c r="N9">
        <v>8</v>
      </c>
      <c r="O9">
        <v>14</v>
      </c>
    </row>
    <row r="10" spans="1:15" x14ac:dyDescent="0.3">
      <c r="A10">
        <v>21</v>
      </c>
      <c r="B10" t="b">
        <v>0</v>
      </c>
      <c r="C10">
        <v>5</v>
      </c>
      <c r="D10" t="s">
        <v>115</v>
      </c>
      <c r="E10">
        <v>12</v>
      </c>
      <c r="G10">
        <v>16</v>
      </c>
      <c r="H10">
        <v>2.5</v>
      </c>
      <c r="I10">
        <v>4</v>
      </c>
      <c r="J10">
        <v>1</v>
      </c>
      <c r="K10">
        <v>100</v>
      </c>
      <c r="L10">
        <v>12.17</v>
      </c>
      <c r="M10">
        <v>18</v>
      </c>
      <c r="N10">
        <v>8</v>
      </c>
      <c r="O10">
        <v>14</v>
      </c>
    </row>
    <row r="11" spans="1:15" x14ac:dyDescent="0.3">
      <c r="A11">
        <v>23</v>
      </c>
      <c r="B11" t="b">
        <v>0</v>
      </c>
      <c r="C11">
        <v>10</v>
      </c>
      <c r="D11" t="s">
        <v>115</v>
      </c>
      <c r="E11">
        <v>36</v>
      </c>
      <c r="G11">
        <v>12</v>
      </c>
      <c r="H11">
        <v>1</v>
      </c>
      <c r="I11">
        <v>5</v>
      </c>
      <c r="J11">
        <v>0.75</v>
      </c>
      <c r="K11">
        <v>100</v>
      </c>
      <c r="L11">
        <v>59.11</v>
      </c>
      <c r="M11">
        <v>38</v>
      </c>
      <c r="N11">
        <v>6</v>
      </c>
      <c r="O11">
        <v>18</v>
      </c>
    </row>
    <row r="12" spans="1:15" x14ac:dyDescent="0.3">
      <c r="A12">
        <v>19</v>
      </c>
      <c r="B12" t="b">
        <v>1</v>
      </c>
      <c r="C12">
        <v>60</v>
      </c>
      <c r="D12" t="s">
        <v>785</v>
      </c>
      <c r="E12">
        <v>6</v>
      </c>
      <c r="F12">
        <v>24</v>
      </c>
      <c r="G12">
        <v>12</v>
      </c>
      <c r="H12">
        <v>2.5</v>
      </c>
      <c r="I12">
        <v>5</v>
      </c>
      <c r="J12">
        <v>0</v>
      </c>
      <c r="K12">
        <v>100</v>
      </c>
      <c r="L12">
        <v>77.11</v>
      </c>
      <c r="M12">
        <v>12</v>
      </c>
      <c r="N12">
        <v>8</v>
      </c>
      <c r="O12">
        <v>14</v>
      </c>
    </row>
    <row r="13" spans="1:15" x14ac:dyDescent="0.3">
      <c r="A13">
        <v>16</v>
      </c>
      <c r="B13" t="b">
        <v>0</v>
      </c>
      <c r="C13">
        <v>10</v>
      </c>
      <c r="D13" t="s">
        <v>115</v>
      </c>
      <c r="E13">
        <v>48</v>
      </c>
      <c r="G13">
        <v>17</v>
      </c>
      <c r="H13">
        <v>3</v>
      </c>
      <c r="I13">
        <v>4</v>
      </c>
      <c r="J13">
        <v>0.75</v>
      </c>
      <c r="K13">
        <v>100</v>
      </c>
      <c r="L13">
        <v>54.38</v>
      </c>
      <c r="M13">
        <v>54</v>
      </c>
      <c r="N13">
        <v>4</v>
      </c>
      <c r="O13">
        <v>26</v>
      </c>
    </row>
    <row r="14" spans="1:15" x14ac:dyDescent="0.3">
      <c r="A14">
        <v>20</v>
      </c>
      <c r="B14" t="b">
        <v>0</v>
      </c>
      <c r="C14">
        <v>10</v>
      </c>
      <c r="D14" t="s">
        <v>785</v>
      </c>
      <c r="E14">
        <v>6</v>
      </c>
      <c r="F14">
        <v>24</v>
      </c>
      <c r="G14">
        <v>25</v>
      </c>
      <c r="H14">
        <v>1</v>
      </c>
      <c r="I14">
        <v>10</v>
      </c>
      <c r="J14">
        <v>0</v>
      </c>
      <c r="K14">
        <v>100</v>
      </c>
      <c r="L14">
        <v>11.71</v>
      </c>
      <c r="M14">
        <v>8</v>
      </c>
      <c r="N14">
        <v>8</v>
      </c>
      <c r="O14">
        <v>14</v>
      </c>
    </row>
    <row r="15" spans="1:15" x14ac:dyDescent="0.3">
      <c r="A15">
        <v>22</v>
      </c>
      <c r="B15" t="b">
        <v>0</v>
      </c>
      <c r="C15">
        <v>60</v>
      </c>
      <c r="D15" t="s">
        <v>115</v>
      </c>
      <c r="E15">
        <v>12</v>
      </c>
      <c r="G15">
        <v>30</v>
      </c>
      <c r="H15">
        <v>3</v>
      </c>
      <c r="I15">
        <v>5</v>
      </c>
      <c r="J15">
        <v>0</v>
      </c>
      <c r="K15">
        <v>100</v>
      </c>
      <c r="L15">
        <v>51.51</v>
      </c>
      <c r="M15">
        <v>18</v>
      </c>
      <c r="N15">
        <v>8</v>
      </c>
      <c r="O15">
        <v>14</v>
      </c>
    </row>
    <row r="16" spans="1:15" x14ac:dyDescent="0.3">
      <c r="A16">
        <v>16</v>
      </c>
      <c r="B16" t="b">
        <v>0</v>
      </c>
      <c r="C16">
        <v>5</v>
      </c>
      <c r="D16" t="s">
        <v>785</v>
      </c>
      <c r="E16">
        <v>48</v>
      </c>
      <c r="F16">
        <v>36</v>
      </c>
      <c r="G16">
        <v>17</v>
      </c>
      <c r="H16">
        <v>2</v>
      </c>
      <c r="I16">
        <v>4</v>
      </c>
      <c r="J16">
        <v>0.75</v>
      </c>
      <c r="K16">
        <v>100</v>
      </c>
      <c r="L16">
        <v>56.34</v>
      </c>
      <c r="M16">
        <v>52</v>
      </c>
      <c r="N16">
        <v>4</v>
      </c>
      <c r="O16">
        <v>26</v>
      </c>
    </row>
    <row r="17" spans="1:15" x14ac:dyDescent="0.3">
      <c r="A17">
        <v>22</v>
      </c>
      <c r="B17" t="b">
        <v>1</v>
      </c>
      <c r="C17">
        <v>5</v>
      </c>
      <c r="D17" t="s">
        <v>785</v>
      </c>
      <c r="E17">
        <v>6</v>
      </c>
      <c r="F17">
        <v>36</v>
      </c>
      <c r="G17">
        <v>17</v>
      </c>
      <c r="H17">
        <v>1.5</v>
      </c>
      <c r="I17">
        <v>10</v>
      </c>
      <c r="J17">
        <v>1</v>
      </c>
      <c r="K17">
        <v>100</v>
      </c>
      <c r="L17">
        <v>21.11</v>
      </c>
      <c r="M17">
        <v>10</v>
      </c>
      <c r="N17">
        <v>8</v>
      </c>
      <c r="O17">
        <v>14</v>
      </c>
    </row>
    <row r="18" spans="1:15" x14ac:dyDescent="0.3">
      <c r="A18">
        <v>18</v>
      </c>
      <c r="B18" t="b">
        <v>1</v>
      </c>
      <c r="C18">
        <v>10</v>
      </c>
      <c r="D18" t="s">
        <v>785</v>
      </c>
      <c r="E18">
        <v>6</v>
      </c>
      <c r="F18">
        <v>6</v>
      </c>
      <c r="G18">
        <v>27</v>
      </c>
      <c r="H18">
        <v>3</v>
      </c>
      <c r="I18">
        <v>10</v>
      </c>
      <c r="J18">
        <v>0</v>
      </c>
      <c r="K18">
        <v>100</v>
      </c>
      <c r="L18">
        <v>11.65</v>
      </c>
      <c r="M18">
        <v>12</v>
      </c>
      <c r="N18">
        <v>8</v>
      </c>
      <c r="O18">
        <v>14</v>
      </c>
    </row>
    <row r="19" spans="1:15" x14ac:dyDescent="0.3">
      <c r="A19">
        <v>19</v>
      </c>
      <c r="B19" t="b">
        <v>1</v>
      </c>
      <c r="C19">
        <v>40</v>
      </c>
      <c r="D19" t="s">
        <v>785</v>
      </c>
      <c r="E19">
        <v>24</v>
      </c>
      <c r="F19">
        <v>24</v>
      </c>
      <c r="G19">
        <v>29</v>
      </c>
      <c r="H19">
        <v>3</v>
      </c>
      <c r="I19">
        <v>10</v>
      </c>
      <c r="J19">
        <v>1</v>
      </c>
      <c r="K19">
        <v>100</v>
      </c>
      <c r="L19">
        <v>107.87</v>
      </c>
      <c r="M19">
        <v>30</v>
      </c>
      <c r="N19">
        <v>8</v>
      </c>
      <c r="O19">
        <v>14</v>
      </c>
    </row>
    <row r="20" spans="1:15" x14ac:dyDescent="0.3">
      <c r="A20">
        <v>23</v>
      </c>
      <c r="B20" t="b">
        <v>0</v>
      </c>
      <c r="C20">
        <v>0</v>
      </c>
      <c r="D20" t="s">
        <v>785</v>
      </c>
      <c r="E20">
        <v>6</v>
      </c>
      <c r="F20">
        <v>12</v>
      </c>
      <c r="G20">
        <v>30</v>
      </c>
      <c r="H20">
        <v>1</v>
      </c>
      <c r="I20">
        <v>5</v>
      </c>
      <c r="J20">
        <v>1.5</v>
      </c>
      <c r="K20">
        <v>100</v>
      </c>
      <c r="L20">
        <v>2.34</v>
      </c>
      <c r="M20">
        <v>8</v>
      </c>
      <c r="N20">
        <v>8</v>
      </c>
      <c r="O20">
        <v>14</v>
      </c>
    </row>
    <row r="21" spans="1:15" x14ac:dyDescent="0.3">
      <c r="A21">
        <v>17</v>
      </c>
      <c r="B21" t="b">
        <v>0</v>
      </c>
      <c r="C21">
        <v>20</v>
      </c>
      <c r="D21" t="s">
        <v>115</v>
      </c>
      <c r="E21">
        <v>6</v>
      </c>
      <c r="G21">
        <v>12</v>
      </c>
      <c r="H21">
        <v>1</v>
      </c>
      <c r="I21">
        <v>10</v>
      </c>
      <c r="J21">
        <v>1</v>
      </c>
      <c r="K21">
        <v>100</v>
      </c>
      <c r="L21">
        <v>14.3</v>
      </c>
      <c r="M21">
        <v>8</v>
      </c>
      <c r="N21">
        <v>8</v>
      </c>
      <c r="O21">
        <v>14</v>
      </c>
    </row>
    <row r="22" spans="1:15" x14ac:dyDescent="0.3">
      <c r="A22">
        <v>15</v>
      </c>
      <c r="B22" t="b">
        <v>1</v>
      </c>
      <c r="C22">
        <v>60</v>
      </c>
      <c r="D22" t="s">
        <v>785</v>
      </c>
      <c r="E22">
        <v>6</v>
      </c>
      <c r="F22">
        <v>36</v>
      </c>
      <c r="G22">
        <v>13</v>
      </c>
      <c r="H22">
        <v>3</v>
      </c>
      <c r="I22">
        <v>10</v>
      </c>
      <c r="J22">
        <v>1.5</v>
      </c>
      <c r="K22">
        <v>100</v>
      </c>
      <c r="L22">
        <v>89.67</v>
      </c>
      <c r="M22">
        <v>12</v>
      </c>
      <c r="N22">
        <v>8</v>
      </c>
      <c r="O22">
        <v>14</v>
      </c>
    </row>
    <row r="23" spans="1:15" x14ac:dyDescent="0.3">
      <c r="A23">
        <v>23</v>
      </c>
      <c r="B23" t="b">
        <v>1</v>
      </c>
      <c r="C23">
        <v>60</v>
      </c>
      <c r="D23" t="s">
        <v>115</v>
      </c>
      <c r="E23">
        <v>48</v>
      </c>
      <c r="G23">
        <v>19</v>
      </c>
      <c r="H23">
        <v>1.5</v>
      </c>
      <c r="I23">
        <v>10</v>
      </c>
      <c r="J23">
        <v>1.5</v>
      </c>
      <c r="K23">
        <v>100</v>
      </c>
      <c r="L23">
        <v>163.69999999999999</v>
      </c>
      <c r="M23">
        <v>52</v>
      </c>
      <c r="N23">
        <v>3</v>
      </c>
      <c r="O23">
        <v>34</v>
      </c>
    </row>
    <row r="24" spans="1:15" x14ac:dyDescent="0.3">
      <c r="A24">
        <v>19</v>
      </c>
      <c r="B24" t="b">
        <v>0</v>
      </c>
      <c r="C24">
        <v>40</v>
      </c>
      <c r="D24" t="s">
        <v>115</v>
      </c>
      <c r="E24">
        <v>12</v>
      </c>
      <c r="G24">
        <v>19</v>
      </c>
      <c r="H24">
        <v>1</v>
      </c>
      <c r="I24">
        <v>5</v>
      </c>
      <c r="J24">
        <v>0.75</v>
      </c>
      <c r="K24">
        <v>100</v>
      </c>
      <c r="L24">
        <v>31.53</v>
      </c>
      <c r="M24">
        <v>14</v>
      </c>
      <c r="N24">
        <v>8</v>
      </c>
      <c r="O24">
        <v>14</v>
      </c>
    </row>
    <row r="25" spans="1:15" x14ac:dyDescent="0.3">
      <c r="A25">
        <v>12</v>
      </c>
      <c r="B25" t="b">
        <v>0</v>
      </c>
      <c r="C25">
        <v>60</v>
      </c>
      <c r="D25" t="s">
        <v>115</v>
      </c>
      <c r="E25">
        <v>12</v>
      </c>
      <c r="G25">
        <v>22</v>
      </c>
      <c r="H25">
        <v>3</v>
      </c>
      <c r="I25">
        <v>5</v>
      </c>
      <c r="J25">
        <v>0</v>
      </c>
      <c r="K25">
        <v>100</v>
      </c>
      <c r="L25">
        <v>53.81</v>
      </c>
      <c r="M25">
        <v>18</v>
      </c>
      <c r="N25">
        <v>8</v>
      </c>
      <c r="O25">
        <v>14</v>
      </c>
    </row>
    <row r="26" spans="1:15" x14ac:dyDescent="0.3">
      <c r="A26">
        <v>16</v>
      </c>
      <c r="B26" t="b">
        <v>0</v>
      </c>
      <c r="C26">
        <v>10</v>
      </c>
      <c r="D26" t="s">
        <v>785</v>
      </c>
      <c r="E26">
        <v>6</v>
      </c>
      <c r="F26">
        <v>24</v>
      </c>
      <c r="G26">
        <v>20</v>
      </c>
      <c r="H26">
        <v>1.5</v>
      </c>
      <c r="I26">
        <v>10</v>
      </c>
      <c r="J26">
        <v>0.75</v>
      </c>
      <c r="K26">
        <v>100</v>
      </c>
      <c r="L26">
        <v>16.09</v>
      </c>
      <c r="M26">
        <v>10</v>
      </c>
      <c r="N26">
        <v>8</v>
      </c>
      <c r="O26">
        <v>14</v>
      </c>
    </row>
    <row r="27" spans="1:15" x14ac:dyDescent="0.3">
      <c r="A27">
        <v>24</v>
      </c>
      <c r="B27" t="b">
        <v>0</v>
      </c>
      <c r="C27">
        <v>5</v>
      </c>
      <c r="D27" t="s">
        <v>785</v>
      </c>
      <c r="E27">
        <v>12</v>
      </c>
      <c r="F27">
        <v>6</v>
      </c>
      <c r="G27">
        <v>10</v>
      </c>
      <c r="H27">
        <v>2</v>
      </c>
      <c r="I27">
        <v>4</v>
      </c>
      <c r="J27">
        <v>0</v>
      </c>
      <c r="K27">
        <v>100</v>
      </c>
      <c r="L27">
        <v>23.58</v>
      </c>
      <c r="M27">
        <v>16</v>
      </c>
      <c r="N27">
        <v>8</v>
      </c>
      <c r="O27">
        <v>14</v>
      </c>
    </row>
    <row r="28" spans="1:15" x14ac:dyDescent="0.3">
      <c r="A28">
        <v>15</v>
      </c>
      <c r="B28" t="b">
        <v>0</v>
      </c>
      <c r="C28">
        <v>5</v>
      </c>
      <c r="D28" t="s">
        <v>785</v>
      </c>
      <c r="E28">
        <v>36</v>
      </c>
      <c r="F28">
        <v>6</v>
      </c>
      <c r="G28">
        <v>8</v>
      </c>
      <c r="H28">
        <v>1.5</v>
      </c>
      <c r="I28">
        <v>4</v>
      </c>
      <c r="J28">
        <v>1.5</v>
      </c>
      <c r="K28">
        <v>100</v>
      </c>
      <c r="L28">
        <v>65.66</v>
      </c>
      <c r="M28">
        <v>40</v>
      </c>
      <c r="N28">
        <v>6</v>
      </c>
      <c r="O28">
        <v>18</v>
      </c>
    </row>
    <row r="29" spans="1:15" x14ac:dyDescent="0.3">
      <c r="A29">
        <v>22</v>
      </c>
      <c r="B29" t="b">
        <v>0</v>
      </c>
      <c r="C29">
        <v>10</v>
      </c>
      <c r="D29" t="s">
        <v>785</v>
      </c>
      <c r="E29">
        <v>36</v>
      </c>
      <c r="F29">
        <v>12</v>
      </c>
      <c r="G29">
        <v>26</v>
      </c>
      <c r="H29">
        <v>0</v>
      </c>
      <c r="I29">
        <v>10</v>
      </c>
      <c r="J29">
        <v>1</v>
      </c>
      <c r="K29">
        <v>100</v>
      </c>
      <c r="L29">
        <v>37.08</v>
      </c>
      <c r="M29">
        <v>36</v>
      </c>
      <c r="N29">
        <v>6</v>
      </c>
      <c r="O29">
        <v>18</v>
      </c>
    </row>
    <row r="30" spans="1:15" x14ac:dyDescent="0.3">
      <c r="A30">
        <v>13</v>
      </c>
      <c r="B30" t="b">
        <v>0</v>
      </c>
      <c r="C30">
        <v>40</v>
      </c>
      <c r="D30" t="s">
        <v>785</v>
      </c>
      <c r="E30">
        <v>36</v>
      </c>
      <c r="F30">
        <v>12</v>
      </c>
      <c r="G30">
        <v>29</v>
      </c>
      <c r="H30">
        <v>1</v>
      </c>
      <c r="I30">
        <v>10</v>
      </c>
      <c r="J30">
        <v>1</v>
      </c>
      <c r="K30">
        <v>100</v>
      </c>
      <c r="L30">
        <v>132.97999999999999</v>
      </c>
      <c r="M30">
        <v>38</v>
      </c>
      <c r="N30">
        <v>4.5</v>
      </c>
      <c r="O30">
        <v>23</v>
      </c>
    </row>
    <row r="31" spans="1:15" x14ac:dyDescent="0.3">
      <c r="A31">
        <v>24</v>
      </c>
      <c r="B31" t="b">
        <v>0</v>
      </c>
      <c r="C31">
        <v>5</v>
      </c>
      <c r="D31" t="s">
        <v>785</v>
      </c>
      <c r="E31">
        <v>36</v>
      </c>
      <c r="F31">
        <v>24</v>
      </c>
      <c r="G31">
        <v>19</v>
      </c>
      <c r="H31">
        <v>3</v>
      </c>
      <c r="I31">
        <v>10</v>
      </c>
      <c r="J31">
        <v>0</v>
      </c>
      <c r="K31">
        <v>100</v>
      </c>
      <c r="L31">
        <v>36.1</v>
      </c>
      <c r="M31">
        <v>42</v>
      </c>
      <c r="N31">
        <v>6</v>
      </c>
      <c r="O31">
        <v>18</v>
      </c>
    </row>
    <row r="32" spans="1:15" x14ac:dyDescent="0.3">
      <c r="A32">
        <v>17</v>
      </c>
      <c r="B32" t="b">
        <v>0</v>
      </c>
      <c r="C32">
        <v>5</v>
      </c>
      <c r="D32" t="s">
        <v>785</v>
      </c>
      <c r="E32">
        <v>24</v>
      </c>
      <c r="F32">
        <v>12</v>
      </c>
      <c r="G32">
        <v>24</v>
      </c>
      <c r="H32">
        <v>3</v>
      </c>
      <c r="I32">
        <v>4</v>
      </c>
      <c r="J32">
        <v>1</v>
      </c>
      <c r="K32">
        <v>100</v>
      </c>
      <c r="L32">
        <v>21.01</v>
      </c>
      <c r="M32">
        <v>30</v>
      </c>
      <c r="N32">
        <v>8</v>
      </c>
      <c r="O32">
        <v>14</v>
      </c>
    </row>
    <row r="33" spans="1:15" x14ac:dyDescent="0.3">
      <c r="A33">
        <v>17</v>
      </c>
      <c r="B33" t="b">
        <v>0</v>
      </c>
      <c r="C33">
        <v>5</v>
      </c>
      <c r="D33" t="s">
        <v>785</v>
      </c>
      <c r="E33">
        <v>48</v>
      </c>
      <c r="F33">
        <v>36</v>
      </c>
      <c r="G33">
        <v>19</v>
      </c>
      <c r="H33">
        <v>2.5</v>
      </c>
      <c r="I33">
        <v>4</v>
      </c>
      <c r="J33">
        <v>1</v>
      </c>
      <c r="K33">
        <v>100</v>
      </c>
      <c r="L33">
        <v>51.21</v>
      </c>
      <c r="M33">
        <v>54</v>
      </c>
      <c r="N33">
        <v>4</v>
      </c>
      <c r="O33">
        <v>26</v>
      </c>
    </row>
    <row r="34" spans="1:15" x14ac:dyDescent="0.3">
      <c r="A34">
        <v>20</v>
      </c>
      <c r="B34" t="b">
        <v>1</v>
      </c>
      <c r="C34">
        <v>5</v>
      </c>
      <c r="D34" t="s">
        <v>785</v>
      </c>
      <c r="E34">
        <v>6</v>
      </c>
      <c r="F34">
        <v>24</v>
      </c>
      <c r="G34">
        <v>29</v>
      </c>
      <c r="H34">
        <v>1</v>
      </c>
      <c r="I34">
        <v>4</v>
      </c>
      <c r="J34">
        <v>0</v>
      </c>
      <c r="K34">
        <v>100</v>
      </c>
      <c r="L34">
        <v>6.84</v>
      </c>
      <c r="M34">
        <v>8</v>
      </c>
      <c r="N34">
        <v>8</v>
      </c>
      <c r="O34">
        <v>14</v>
      </c>
    </row>
    <row r="35" spans="1:15" x14ac:dyDescent="0.3">
      <c r="A35">
        <v>20</v>
      </c>
      <c r="B35" t="b">
        <v>0</v>
      </c>
      <c r="C35">
        <v>60</v>
      </c>
      <c r="D35" t="s">
        <v>115</v>
      </c>
      <c r="E35">
        <v>12</v>
      </c>
      <c r="G35">
        <v>21</v>
      </c>
      <c r="H35">
        <v>2.5</v>
      </c>
      <c r="I35">
        <v>4</v>
      </c>
      <c r="J35">
        <v>1.5</v>
      </c>
      <c r="K35">
        <v>100</v>
      </c>
      <c r="L35">
        <v>51.64</v>
      </c>
      <c r="M35">
        <v>18</v>
      </c>
      <c r="N35">
        <v>8</v>
      </c>
      <c r="O35">
        <v>14</v>
      </c>
    </row>
    <row r="36" spans="1:15" x14ac:dyDescent="0.3">
      <c r="A36">
        <v>21</v>
      </c>
      <c r="B36" t="b">
        <v>0</v>
      </c>
      <c r="C36">
        <v>20</v>
      </c>
      <c r="D36" t="s">
        <v>115</v>
      </c>
      <c r="E36">
        <v>12</v>
      </c>
      <c r="G36">
        <v>14</v>
      </c>
      <c r="H36">
        <v>0</v>
      </c>
      <c r="I36">
        <v>5</v>
      </c>
      <c r="J36">
        <v>0.75</v>
      </c>
      <c r="K36">
        <v>100</v>
      </c>
      <c r="L36">
        <v>21.06</v>
      </c>
      <c r="M36">
        <v>12</v>
      </c>
      <c r="N36">
        <v>8</v>
      </c>
      <c r="O36">
        <v>14</v>
      </c>
    </row>
    <row r="37" spans="1:15" x14ac:dyDescent="0.3">
      <c r="A37">
        <v>19</v>
      </c>
      <c r="B37" t="b">
        <v>0</v>
      </c>
      <c r="C37">
        <v>20</v>
      </c>
      <c r="D37" t="s">
        <v>115</v>
      </c>
      <c r="E37">
        <v>12</v>
      </c>
      <c r="G37">
        <v>27</v>
      </c>
      <c r="H37">
        <v>0</v>
      </c>
      <c r="I37">
        <v>10</v>
      </c>
      <c r="J37">
        <v>1</v>
      </c>
      <c r="K37">
        <v>100</v>
      </c>
      <c r="L37">
        <v>13.59</v>
      </c>
      <c r="M37">
        <v>12</v>
      </c>
      <c r="N37">
        <v>8</v>
      </c>
      <c r="O37">
        <v>14</v>
      </c>
    </row>
    <row r="38" spans="1:15" x14ac:dyDescent="0.3">
      <c r="A38">
        <v>23</v>
      </c>
      <c r="B38" t="b">
        <v>1</v>
      </c>
      <c r="C38">
        <v>20</v>
      </c>
      <c r="D38" t="s">
        <v>785</v>
      </c>
      <c r="E38">
        <v>36</v>
      </c>
      <c r="F38">
        <v>24</v>
      </c>
      <c r="G38">
        <v>16</v>
      </c>
      <c r="H38">
        <v>2</v>
      </c>
      <c r="I38">
        <v>4</v>
      </c>
      <c r="J38">
        <v>0</v>
      </c>
      <c r="K38">
        <v>100</v>
      </c>
      <c r="L38">
        <v>92.57</v>
      </c>
      <c r="M38">
        <v>40</v>
      </c>
      <c r="N38">
        <v>6</v>
      </c>
      <c r="O38">
        <v>18</v>
      </c>
    </row>
    <row r="39" spans="1:15" x14ac:dyDescent="0.3">
      <c r="A39">
        <v>15</v>
      </c>
      <c r="B39" t="b">
        <v>0</v>
      </c>
      <c r="C39">
        <v>10</v>
      </c>
      <c r="D39" t="s">
        <v>785</v>
      </c>
      <c r="E39">
        <v>36</v>
      </c>
      <c r="F39">
        <v>6</v>
      </c>
      <c r="G39">
        <v>24</v>
      </c>
      <c r="H39">
        <v>3</v>
      </c>
      <c r="I39">
        <v>5</v>
      </c>
      <c r="J39">
        <v>1.5</v>
      </c>
      <c r="K39">
        <v>100</v>
      </c>
      <c r="L39">
        <v>45.88</v>
      </c>
      <c r="M39">
        <v>42</v>
      </c>
      <c r="N39">
        <v>6</v>
      </c>
      <c r="O39">
        <v>18</v>
      </c>
    </row>
    <row r="40" spans="1:15" x14ac:dyDescent="0.3">
      <c r="A40">
        <v>16</v>
      </c>
      <c r="B40" t="b">
        <v>0</v>
      </c>
      <c r="C40">
        <v>40</v>
      </c>
      <c r="D40" t="s">
        <v>785</v>
      </c>
      <c r="E40">
        <v>12</v>
      </c>
      <c r="F40">
        <v>36</v>
      </c>
      <c r="G40">
        <v>14</v>
      </c>
      <c r="H40">
        <v>1.5</v>
      </c>
      <c r="I40">
        <v>5</v>
      </c>
      <c r="J40">
        <v>0.75</v>
      </c>
      <c r="K40">
        <v>100</v>
      </c>
      <c r="L40">
        <v>76.41</v>
      </c>
      <c r="M40">
        <v>16</v>
      </c>
      <c r="N40">
        <v>8</v>
      </c>
      <c r="O40">
        <v>14</v>
      </c>
    </row>
    <row r="41" spans="1:15" x14ac:dyDescent="0.3">
      <c r="A41">
        <v>13</v>
      </c>
      <c r="B41" t="b">
        <v>0</v>
      </c>
      <c r="C41">
        <v>20</v>
      </c>
      <c r="D41" t="s">
        <v>785</v>
      </c>
      <c r="E41">
        <v>36</v>
      </c>
      <c r="F41">
        <v>24</v>
      </c>
      <c r="G41">
        <v>17</v>
      </c>
      <c r="H41">
        <v>3</v>
      </c>
      <c r="I41">
        <v>4</v>
      </c>
      <c r="J41">
        <v>0</v>
      </c>
      <c r="K41">
        <v>100</v>
      </c>
      <c r="L41">
        <v>93.46</v>
      </c>
      <c r="M41">
        <v>42</v>
      </c>
      <c r="N41">
        <v>6</v>
      </c>
      <c r="O41">
        <v>18</v>
      </c>
    </row>
    <row r="42" spans="1:15" x14ac:dyDescent="0.3">
      <c r="A42">
        <v>17</v>
      </c>
      <c r="B42" t="b">
        <v>0</v>
      </c>
      <c r="C42">
        <v>5</v>
      </c>
      <c r="D42" t="s">
        <v>115</v>
      </c>
      <c r="E42">
        <v>12</v>
      </c>
      <c r="G42">
        <v>10</v>
      </c>
      <c r="H42">
        <v>1.5</v>
      </c>
      <c r="I42">
        <v>5</v>
      </c>
      <c r="J42">
        <v>1</v>
      </c>
      <c r="K42">
        <v>100</v>
      </c>
      <c r="L42">
        <v>21.2</v>
      </c>
      <c r="M42">
        <v>16</v>
      </c>
      <c r="N42">
        <v>8</v>
      </c>
      <c r="O42">
        <v>14</v>
      </c>
    </row>
    <row r="43" spans="1:15" x14ac:dyDescent="0.3">
      <c r="A43">
        <v>17</v>
      </c>
      <c r="B43" t="b">
        <v>1</v>
      </c>
      <c r="C43">
        <v>60</v>
      </c>
      <c r="D43" t="s">
        <v>115</v>
      </c>
      <c r="E43">
        <v>36</v>
      </c>
      <c r="G43">
        <v>8</v>
      </c>
      <c r="H43">
        <v>2.5</v>
      </c>
      <c r="I43">
        <v>10</v>
      </c>
      <c r="J43">
        <v>1.5</v>
      </c>
      <c r="K43">
        <v>100</v>
      </c>
      <c r="L43">
        <v>177.59</v>
      </c>
      <c r="M43">
        <v>42</v>
      </c>
      <c r="N43">
        <v>3.5</v>
      </c>
      <c r="O43">
        <v>30</v>
      </c>
    </row>
    <row r="44" spans="1:15" x14ac:dyDescent="0.3">
      <c r="A44">
        <v>22</v>
      </c>
      <c r="B44" t="b">
        <v>0</v>
      </c>
      <c r="C44">
        <v>10</v>
      </c>
      <c r="D44" t="s">
        <v>115</v>
      </c>
      <c r="E44">
        <v>12</v>
      </c>
      <c r="G44">
        <v>8</v>
      </c>
      <c r="H44">
        <v>2.5</v>
      </c>
      <c r="I44">
        <v>5</v>
      </c>
      <c r="J44">
        <v>0</v>
      </c>
      <c r="K44">
        <v>100</v>
      </c>
      <c r="L44">
        <v>29.34</v>
      </c>
      <c r="M44">
        <v>18</v>
      </c>
      <c r="N44">
        <v>8</v>
      </c>
      <c r="O44">
        <v>14</v>
      </c>
    </row>
    <row r="45" spans="1:15" x14ac:dyDescent="0.3">
      <c r="A45">
        <v>24</v>
      </c>
      <c r="B45" t="b">
        <v>1</v>
      </c>
      <c r="C45">
        <v>20</v>
      </c>
      <c r="D45" t="s">
        <v>115</v>
      </c>
      <c r="E45">
        <v>36</v>
      </c>
      <c r="G45">
        <v>20</v>
      </c>
      <c r="H45">
        <v>0</v>
      </c>
      <c r="I45">
        <v>4</v>
      </c>
      <c r="J45">
        <v>0</v>
      </c>
      <c r="K45">
        <v>100</v>
      </c>
      <c r="L45">
        <v>48.22</v>
      </c>
      <c r="M45">
        <v>36</v>
      </c>
      <c r="N45">
        <v>6</v>
      </c>
      <c r="O45">
        <v>18</v>
      </c>
    </row>
    <row r="46" spans="1:15" x14ac:dyDescent="0.3">
      <c r="A46">
        <v>19</v>
      </c>
      <c r="B46" t="b">
        <v>0</v>
      </c>
      <c r="C46">
        <v>10</v>
      </c>
      <c r="D46" t="s">
        <v>785</v>
      </c>
      <c r="E46">
        <v>48</v>
      </c>
      <c r="F46">
        <v>6</v>
      </c>
      <c r="G46">
        <v>25</v>
      </c>
      <c r="H46">
        <v>3</v>
      </c>
      <c r="I46">
        <v>10</v>
      </c>
      <c r="J46">
        <v>1.5</v>
      </c>
      <c r="K46">
        <v>100</v>
      </c>
      <c r="L46">
        <v>57.82</v>
      </c>
      <c r="M46">
        <v>54</v>
      </c>
      <c r="N46">
        <v>4</v>
      </c>
      <c r="O46">
        <v>26</v>
      </c>
    </row>
    <row r="47" spans="1:15" x14ac:dyDescent="0.3">
      <c r="A47">
        <v>14</v>
      </c>
      <c r="B47" t="b">
        <v>0</v>
      </c>
      <c r="C47">
        <v>20</v>
      </c>
      <c r="D47" t="s">
        <v>115</v>
      </c>
      <c r="E47">
        <v>12</v>
      </c>
      <c r="G47">
        <v>30</v>
      </c>
      <c r="H47">
        <v>0</v>
      </c>
      <c r="I47">
        <v>5</v>
      </c>
      <c r="J47">
        <v>1.5</v>
      </c>
      <c r="K47">
        <v>100</v>
      </c>
      <c r="L47">
        <v>13.01</v>
      </c>
      <c r="M47">
        <v>12</v>
      </c>
      <c r="N47">
        <v>8</v>
      </c>
      <c r="O47">
        <v>14</v>
      </c>
    </row>
    <row r="48" spans="1:15" x14ac:dyDescent="0.3">
      <c r="A48">
        <v>22</v>
      </c>
      <c r="B48" t="b">
        <v>1</v>
      </c>
      <c r="C48">
        <v>40</v>
      </c>
      <c r="D48" t="s">
        <v>785</v>
      </c>
      <c r="E48">
        <v>48</v>
      </c>
      <c r="F48">
        <v>6</v>
      </c>
      <c r="G48">
        <v>12</v>
      </c>
      <c r="H48">
        <v>2</v>
      </c>
      <c r="I48">
        <v>10</v>
      </c>
      <c r="J48">
        <v>0</v>
      </c>
      <c r="K48">
        <v>100</v>
      </c>
      <c r="L48">
        <v>213.13</v>
      </c>
      <c r="M48">
        <v>52</v>
      </c>
      <c r="N48">
        <v>2</v>
      </c>
      <c r="O48">
        <v>51</v>
      </c>
    </row>
    <row r="49" spans="1:15" x14ac:dyDescent="0.3">
      <c r="A49">
        <v>24</v>
      </c>
      <c r="B49" t="b">
        <v>1</v>
      </c>
      <c r="C49">
        <v>0</v>
      </c>
      <c r="D49" t="s">
        <v>785</v>
      </c>
      <c r="E49">
        <v>12</v>
      </c>
      <c r="F49">
        <v>12</v>
      </c>
      <c r="G49">
        <v>14</v>
      </c>
      <c r="H49">
        <v>2</v>
      </c>
      <c r="I49">
        <v>5</v>
      </c>
      <c r="J49">
        <v>0</v>
      </c>
      <c r="K49">
        <v>100</v>
      </c>
      <c r="L49">
        <v>12.81</v>
      </c>
      <c r="M49">
        <v>16</v>
      </c>
      <c r="N49">
        <v>8</v>
      </c>
      <c r="O49">
        <v>14</v>
      </c>
    </row>
    <row r="50" spans="1:15" x14ac:dyDescent="0.3">
      <c r="A50">
        <v>22</v>
      </c>
      <c r="B50" t="b">
        <v>1</v>
      </c>
      <c r="C50">
        <v>60</v>
      </c>
      <c r="D50" t="s">
        <v>785</v>
      </c>
      <c r="E50">
        <v>24</v>
      </c>
      <c r="F50">
        <v>24</v>
      </c>
      <c r="G50">
        <v>24</v>
      </c>
      <c r="H50">
        <v>1</v>
      </c>
      <c r="I50">
        <v>10</v>
      </c>
      <c r="J50">
        <v>1.5</v>
      </c>
      <c r="K50">
        <v>100</v>
      </c>
      <c r="L50">
        <v>140.05000000000001</v>
      </c>
      <c r="M50">
        <v>26</v>
      </c>
      <c r="N50">
        <v>6</v>
      </c>
      <c r="O50">
        <v>18</v>
      </c>
    </row>
    <row r="51" spans="1:15" x14ac:dyDescent="0.3">
      <c r="A51">
        <v>20</v>
      </c>
      <c r="B51" t="b">
        <v>0</v>
      </c>
      <c r="C51">
        <v>10</v>
      </c>
      <c r="D51" t="s">
        <v>115</v>
      </c>
      <c r="E51">
        <v>6</v>
      </c>
      <c r="G51">
        <v>18</v>
      </c>
      <c r="H51">
        <v>2</v>
      </c>
      <c r="I51">
        <v>10</v>
      </c>
      <c r="J51">
        <v>0</v>
      </c>
      <c r="K51">
        <v>100</v>
      </c>
      <c r="L51">
        <v>7.89</v>
      </c>
      <c r="M51">
        <v>10</v>
      </c>
      <c r="N51">
        <v>8</v>
      </c>
      <c r="O51">
        <v>14</v>
      </c>
    </row>
    <row r="52" spans="1:15" x14ac:dyDescent="0.3">
      <c r="A52">
        <v>16</v>
      </c>
      <c r="B52" t="b">
        <v>1</v>
      </c>
      <c r="C52">
        <v>5</v>
      </c>
      <c r="D52" t="s">
        <v>785</v>
      </c>
      <c r="E52">
        <v>48</v>
      </c>
      <c r="F52">
        <v>36</v>
      </c>
      <c r="G52">
        <v>18</v>
      </c>
      <c r="H52">
        <v>1.5</v>
      </c>
      <c r="I52">
        <v>10</v>
      </c>
      <c r="J52">
        <v>0.75</v>
      </c>
      <c r="K52">
        <v>100</v>
      </c>
      <c r="L52">
        <v>52.08</v>
      </c>
      <c r="M52">
        <v>52</v>
      </c>
      <c r="N52">
        <v>4</v>
      </c>
      <c r="O52">
        <v>26</v>
      </c>
    </row>
    <row r="53" spans="1:15" x14ac:dyDescent="0.3">
      <c r="A53">
        <v>19</v>
      </c>
      <c r="B53" t="b">
        <v>0</v>
      </c>
      <c r="C53">
        <v>5</v>
      </c>
      <c r="D53" t="s">
        <v>115</v>
      </c>
      <c r="E53">
        <v>12</v>
      </c>
      <c r="G53">
        <v>12</v>
      </c>
      <c r="H53">
        <v>1.5</v>
      </c>
      <c r="I53">
        <v>4</v>
      </c>
      <c r="J53">
        <v>1.5</v>
      </c>
      <c r="K53">
        <v>100</v>
      </c>
      <c r="L53">
        <v>17.399999999999999</v>
      </c>
      <c r="M53">
        <v>16</v>
      </c>
      <c r="N53">
        <v>8</v>
      </c>
      <c r="O53">
        <v>14</v>
      </c>
    </row>
    <row r="54" spans="1:15" x14ac:dyDescent="0.3">
      <c r="A54">
        <v>23</v>
      </c>
      <c r="B54" t="b">
        <v>0</v>
      </c>
      <c r="C54">
        <v>40</v>
      </c>
      <c r="D54" t="s">
        <v>115</v>
      </c>
      <c r="E54">
        <v>24</v>
      </c>
      <c r="G54">
        <v>31</v>
      </c>
      <c r="H54">
        <v>1.5</v>
      </c>
      <c r="I54">
        <v>10</v>
      </c>
      <c r="J54">
        <v>1</v>
      </c>
      <c r="K54">
        <v>100</v>
      </c>
      <c r="L54">
        <v>53.19</v>
      </c>
      <c r="M54">
        <v>28</v>
      </c>
      <c r="N54">
        <v>8</v>
      </c>
      <c r="O54">
        <v>14</v>
      </c>
    </row>
    <row r="55" spans="1:15" x14ac:dyDescent="0.3">
      <c r="A55">
        <v>12</v>
      </c>
      <c r="B55" t="b">
        <v>0</v>
      </c>
      <c r="C55">
        <v>0</v>
      </c>
      <c r="D55" t="s">
        <v>115</v>
      </c>
      <c r="E55">
        <v>36</v>
      </c>
      <c r="G55">
        <v>30</v>
      </c>
      <c r="H55">
        <v>3</v>
      </c>
      <c r="I55">
        <v>5</v>
      </c>
      <c r="J55">
        <v>0.75</v>
      </c>
      <c r="K55">
        <v>100</v>
      </c>
      <c r="L55">
        <v>6.18</v>
      </c>
      <c r="M55">
        <v>42</v>
      </c>
      <c r="N55">
        <v>6</v>
      </c>
      <c r="O55">
        <v>18</v>
      </c>
    </row>
    <row r="56" spans="1:15" x14ac:dyDescent="0.3">
      <c r="A56">
        <v>20</v>
      </c>
      <c r="B56" t="b">
        <v>1</v>
      </c>
      <c r="C56">
        <v>20</v>
      </c>
      <c r="D56" t="s">
        <v>115</v>
      </c>
      <c r="E56">
        <v>36</v>
      </c>
      <c r="G56">
        <v>13</v>
      </c>
      <c r="H56">
        <v>2</v>
      </c>
      <c r="I56">
        <v>4</v>
      </c>
      <c r="J56">
        <v>0</v>
      </c>
      <c r="K56">
        <v>100</v>
      </c>
      <c r="L56">
        <v>72.58</v>
      </c>
      <c r="M56">
        <v>40</v>
      </c>
      <c r="N56">
        <v>6</v>
      </c>
      <c r="O56">
        <v>18</v>
      </c>
    </row>
    <row r="57" spans="1:15" x14ac:dyDescent="0.3">
      <c r="A57">
        <v>16</v>
      </c>
      <c r="B57" t="b">
        <v>0</v>
      </c>
      <c r="C57">
        <v>40</v>
      </c>
      <c r="D57" t="s">
        <v>115</v>
      </c>
      <c r="E57">
        <v>24</v>
      </c>
      <c r="G57">
        <v>27</v>
      </c>
      <c r="H57">
        <v>1.5</v>
      </c>
      <c r="I57">
        <v>4</v>
      </c>
      <c r="J57">
        <v>0</v>
      </c>
      <c r="K57">
        <v>100</v>
      </c>
      <c r="L57">
        <v>54.68</v>
      </c>
      <c r="M57">
        <v>28</v>
      </c>
      <c r="N57">
        <v>8</v>
      </c>
      <c r="O57">
        <v>14</v>
      </c>
    </row>
    <row r="58" spans="1:15" x14ac:dyDescent="0.3">
      <c r="A58">
        <v>15</v>
      </c>
      <c r="B58" t="b">
        <v>0</v>
      </c>
      <c r="C58">
        <v>5</v>
      </c>
      <c r="D58" t="s">
        <v>785</v>
      </c>
      <c r="E58">
        <v>48</v>
      </c>
      <c r="F58">
        <v>48</v>
      </c>
      <c r="G58">
        <v>14</v>
      </c>
      <c r="H58">
        <v>2.5</v>
      </c>
      <c r="I58">
        <v>5</v>
      </c>
      <c r="J58">
        <v>0.75</v>
      </c>
      <c r="K58">
        <v>100</v>
      </c>
      <c r="L58">
        <v>75.95</v>
      </c>
      <c r="M58">
        <v>54</v>
      </c>
      <c r="N58">
        <v>4</v>
      </c>
      <c r="O58">
        <v>26</v>
      </c>
    </row>
    <row r="59" spans="1:15" x14ac:dyDescent="0.3">
      <c r="A59">
        <v>19</v>
      </c>
      <c r="B59" t="b">
        <v>0</v>
      </c>
      <c r="C59">
        <v>60</v>
      </c>
      <c r="D59" t="s">
        <v>115</v>
      </c>
      <c r="E59">
        <v>36</v>
      </c>
      <c r="G59">
        <v>24</v>
      </c>
      <c r="H59">
        <v>2.5</v>
      </c>
      <c r="I59">
        <v>4</v>
      </c>
      <c r="J59">
        <v>0.75</v>
      </c>
      <c r="K59">
        <v>100</v>
      </c>
      <c r="L59">
        <v>123.46</v>
      </c>
      <c r="M59">
        <v>42</v>
      </c>
      <c r="N59">
        <v>5</v>
      </c>
      <c r="O59">
        <v>21</v>
      </c>
    </row>
    <row r="60" spans="1:15" x14ac:dyDescent="0.3">
      <c r="A60">
        <v>19</v>
      </c>
      <c r="B60" t="b">
        <v>1</v>
      </c>
      <c r="C60">
        <v>20</v>
      </c>
      <c r="D60" t="s">
        <v>115</v>
      </c>
      <c r="E60">
        <v>36</v>
      </c>
      <c r="G60">
        <v>23</v>
      </c>
      <c r="H60">
        <v>1.5</v>
      </c>
      <c r="I60">
        <v>10</v>
      </c>
      <c r="J60">
        <v>0</v>
      </c>
      <c r="K60">
        <v>100</v>
      </c>
      <c r="L60">
        <v>47.51</v>
      </c>
      <c r="M60">
        <v>40</v>
      </c>
      <c r="N60">
        <v>6</v>
      </c>
      <c r="O60">
        <v>18</v>
      </c>
    </row>
    <row r="61" spans="1:15" x14ac:dyDescent="0.3">
      <c r="A61">
        <v>14</v>
      </c>
      <c r="B61" t="b">
        <v>1</v>
      </c>
      <c r="C61">
        <v>0</v>
      </c>
      <c r="D61" t="s">
        <v>115</v>
      </c>
      <c r="E61">
        <v>48</v>
      </c>
      <c r="G61">
        <v>27</v>
      </c>
      <c r="H61">
        <v>2.5</v>
      </c>
      <c r="I61">
        <v>10</v>
      </c>
      <c r="J61">
        <v>0</v>
      </c>
      <c r="K61">
        <v>100</v>
      </c>
      <c r="L61">
        <v>10.35</v>
      </c>
      <c r="M61">
        <v>54</v>
      </c>
      <c r="N61">
        <v>4</v>
      </c>
      <c r="O61">
        <v>26</v>
      </c>
    </row>
    <row r="62" spans="1:15" x14ac:dyDescent="0.3">
      <c r="A62">
        <v>20</v>
      </c>
      <c r="B62" t="b">
        <v>1</v>
      </c>
      <c r="C62">
        <v>5</v>
      </c>
      <c r="D62" t="s">
        <v>115</v>
      </c>
      <c r="E62">
        <v>6</v>
      </c>
      <c r="G62">
        <v>18</v>
      </c>
      <c r="H62">
        <v>0</v>
      </c>
      <c r="I62">
        <v>4</v>
      </c>
      <c r="J62">
        <v>1.5</v>
      </c>
      <c r="K62">
        <v>100</v>
      </c>
      <c r="L62">
        <v>4.68</v>
      </c>
      <c r="M62">
        <v>6</v>
      </c>
      <c r="N62">
        <v>8</v>
      </c>
      <c r="O62">
        <v>14</v>
      </c>
    </row>
    <row r="63" spans="1:15" x14ac:dyDescent="0.3">
      <c r="A63">
        <v>24</v>
      </c>
      <c r="B63" t="b">
        <v>0</v>
      </c>
      <c r="C63">
        <v>40</v>
      </c>
      <c r="D63" t="s">
        <v>115</v>
      </c>
      <c r="E63">
        <v>24</v>
      </c>
      <c r="G63">
        <v>19</v>
      </c>
      <c r="H63">
        <v>1</v>
      </c>
      <c r="I63">
        <v>4</v>
      </c>
      <c r="J63">
        <v>0</v>
      </c>
      <c r="K63">
        <v>100</v>
      </c>
      <c r="L63">
        <v>59.35</v>
      </c>
      <c r="M63">
        <v>26</v>
      </c>
      <c r="N63">
        <v>8</v>
      </c>
      <c r="O63">
        <v>14</v>
      </c>
    </row>
    <row r="64" spans="1:15" x14ac:dyDescent="0.3">
      <c r="A64">
        <v>16</v>
      </c>
      <c r="B64" t="b">
        <v>1</v>
      </c>
      <c r="C64">
        <v>20</v>
      </c>
      <c r="D64" t="s">
        <v>785</v>
      </c>
      <c r="E64">
        <v>6</v>
      </c>
      <c r="F64">
        <v>6</v>
      </c>
      <c r="G64">
        <v>26</v>
      </c>
      <c r="H64">
        <v>1</v>
      </c>
      <c r="I64">
        <v>4</v>
      </c>
      <c r="J64">
        <v>0</v>
      </c>
      <c r="K64">
        <v>100</v>
      </c>
      <c r="L64">
        <v>15.1</v>
      </c>
      <c r="M64">
        <v>8</v>
      </c>
      <c r="N64">
        <v>8</v>
      </c>
      <c r="O64">
        <v>14</v>
      </c>
    </row>
    <row r="65" spans="1:15" x14ac:dyDescent="0.3">
      <c r="A65">
        <v>19</v>
      </c>
      <c r="B65" t="b">
        <v>0</v>
      </c>
      <c r="C65">
        <v>40</v>
      </c>
      <c r="D65" t="s">
        <v>115</v>
      </c>
      <c r="E65">
        <v>12</v>
      </c>
      <c r="G65">
        <v>8</v>
      </c>
      <c r="H65">
        <v>2</v>
      </c>
      <c r="I65">
        <v>5</v>
      </c>
      <c r="J65">
        <v>0</v>
      </c>
      <c r="K65">
        <v>100</v>
      </c>
      <c r="L65">
        <v>50.88</v>
      </c>
      <c r="M65">
        <v>16</v>
      </c>
      <c r="N65">
        <v>8</v>
      </c>
      <c r="O65">
        <v>14</v>
      </c>
    </row>
    <row r="66" spans="1:15" x14ac:dyDescent="0.3">
      <c r="A66">
        <v>20</v>
      </c>
      <c r="B66" t="b">
        <v>0</v>
      </c>
      <c r="C66">
        <v>40</v>
      </c>
      <c r="D66" t="s">
        <v>115</v>
      </c>
      <c r="E66">
        <v>36</v>
      </c>
      <c r="G66">
        <v>25</v>
      </c>
      <c r="H66">
        <v>2</v>
      </c>
      <c r="I66">
        <v>5</v>
      </c>
      <c r="J66">
        <v>0</v>
      </c>
      <c r="K66">
        <v>100</v>
      </c>
      <c r="L66">
        <v>82.83</v>
      </c>
      <c r="M66">
        <v>40</v>
      </c>
      <c r="N66">
        <v>6</v>
      </c>
      <c r="O66">
        <v>18</v>
      </c>
    </row>
    <row r="67" spans="1:15" x14ac:dyDescent="0.3">
      <c r="A67">
        <v>17</v>
      </c>
      <c r="B67" t="b">
        <v>1</v>
      </c>
      <c r="C67">
        <v>40</v>
      </c>
      <c r="D67" t="s">
        <v>785</v>
      </c>
      <c r="E67">
        <v>48</v>
      </c>
      <c r="F67">
        <v>24</v>
      </c>
      <c r="G67">
        <v>28</v>
      </c>
      <c r="H67">
        <v>0</v>
      </c>
      <c r="I67">
        <v>4</v>
      </c>
      <c r="J67">
        <v>0.75</v>
      </c>
      <c r="K67">
        <v>100</v>
      </c>
      <c r="L67">
        <v>169.16</v>
      </c>
      <c r="M67">
        <v>48</v>
      </c>
      <c r="N67">
        <v>3.5</v>
      </c>
      <c r="O67">
        <v>30</v>
      </c>
    </row>
    <row r="68" spans="1:15" x14ac:dyDescent="0.3">
      <c r="A68">
        <v>23</v>
      </c>
      <c r="B68" t="b">
        <v>0</v>
      </c>
      <c r="C68">
        <v>10</v>
      </c>
      <c r="D68" t="s">
        <v>785</v>
      </c>
      <c r="E68">
        <v>24</v>
      </c>
      <c r="F68">
        <v>48</v>
      </c>
      <c r="G68">
        <v>18</v>
      </c>
      <c r="H68">
        <v>1.5</v>
      </c>
      <c r="I68">
        <v>10</v>
      </c>
      <c r="J68">
        <v>1.5</v>
      </c>
      <c r="K68">
        <v>100</v>
      </c>
      <c r="L68">
        <v>50.1</v>
      </c>
      <c r="M68">
        <v>28</v>
      </c>
      <c r="N68">
        <v>8</v>
      </c>
      <c r="O68">
        <v>14</v>
      </c>
    </row>
    <row r="69" spans="1:15" x14ac:dyDescent="0.3">
      <c r="A69">
        <v>22</v>
      </c>
      <c r="B69" t="b">
        <v>0</v>
      </c>
      <c r="C69">
        <v>20</v>
      </c>
      <c r="D69" t="s">
        <v>785</v>
      </c>
      <c r="E69">
        <v>6</v>
      </c>
      <c r="F69">
        <v>36</v>
      </c>
      <c r="G69">
        <v>28</v>
      </c>
      <c r="H69">
        <v>1</v>
      </c>
      <c r="I69">
        <v>5</v>
      </c>
      <c r="J69">
        <v>0</v>
      </c>
      <c r="K69">
        <v>100</v>
      </c>
      <c r="L69">
        <v>18.670000000000002</v>
      </c>
      <c r="M69">
        <v>8</v>
      </c>
      <c r="N69">
        <v>8</v>
      </c>
      <c r="O69">
        <v>14</v>
      </c>
    </row>
    <row r="70" spans="1:15" x14ac:dyDescent="0.3">
      <c r="A70">
        <v>14</v>
      </c>
      <c r="B70" t="b">
        <v>1</v>
      </c>
      <c r="C70">
        <v>5</v>
      </c>
      <c r="D70" t="s">
        <v>785</v>
      </c>
      <c r="E70">
        <v>12</v>
      </c>
      <c r="F70">
        <v>24</v>
      </c>
      <c r="G70">
        <v>29</v>
      </c>
      <c r="H70">
        <v>1</v>
      </c>
      <c r="I70">
        <v>10</v>
      </c>
      <c r="J70">
        <v>1.5</v>
      </c>
      <c r="K70">
        <v>100</v>
      </c>
      <c r="L70">
        <v>10.84</v>
      </c>
      <c r="M70">
        <v>14</v>
      </c>
      <c r="N70">
        <v>8</v>
      </c>
      <c r="O70">
        <v>14</v>
      </c>
    </row>
    <row r="71" spans="1:15" x14ac:dyDescent="0.3">
      <c r="A71">
        <v>14</v>
      </c>
      <c r="B71" t="b">
        <v>1</v>
      </c>
      <c r="C71">
        <v>40</v>
      </c>
      <c r="D71" t="s">
        <v>785</v>
      </c>
      <c r="E71">
        <v>6</v>
      </c>
      <c r="F71">
        <v>36</v>
      </c>
      <c r="G71">
        <v>31</v>
      </c>
      <c r="H71">
        <v>1</v>
      </c>
      <c r="I71">
        <v>10</v>
      </c>
      <c r="J71">
        <v>0.75</v>
      </c>
      <c r="K71">
        <v>100</v>
      </c>
      <c r="L71">
        <v>31.18</v>
      </c>
      <c r="M71">
        <v>8</v>
      </c>
      <c r="N71">
        <v>8</v>
      </c>
      <c r="O71">
        <v>14</v>
      </c>
    </row>
    <row r="72" spans="1:15" x14ac:dyDescent="0.3">
      <c r="A72">
        <v>22</v>
      </c>
      <c r="B72" t="b">
        <v>1</v>
      </c>
      <c r="C72">
        <v>40</v>
      </c>
      <c r="D72" t="s">
        <v>115</v>
      </c>
      <c r="E72">
        <v>24</v>
      </c>
      <c r="G72">
        <v>25</v>
      </c>
      <c r="H72">
        <v>1</v>
      </c>
      <c r="I72">
        <v>5</v>
      </c>
      <c r="J72">
        <v>0</v>
      </c>
      <c r="K72">
        <v>100</v>
      </c>
      <c r="L72">
        <v>54</v>
      </c>
      <c r="M72">
        <v>26</v>
      </c>
      <c r="N72">
        <v>8</v>
      </c>
      <c r="O72">
        <v>14</v>
      </c>
    </row>
    <row r="73" spans="1:15" x14ac:dyDescent="0.3">
      <c r="A73">
        <v>24</v>
      </c>
      <c r="B73" t="b">
        <v>0</v>
      </c>
      <c r="C73">
        <v>40</v>
      </c>
      <c r="D73" t="s">
        <v>785</v>
      </c>
      <c r="E73">
        <v>36</v>
      </c>
      <c r="F73">
        <v>6</v>
      </c>
      <c r="G73">
        <v>17</v>
      </c>
      <c r="H73">
        <v>0</v>
      </c>
      <c r="I73">
        <v>4</v>
      </c>
      <c r="J73">
        <v>1</v>
      </c>
      <c r="K73">
        <v>100</v>
      </c>
      <c r="L73">
        <v>136.41999999999999</v>
      </c>
      <c r="M73">
        <v>36</v>
      </c>
      <c r="N73">
        <v>6</v>
      </c>
      <c r="O73">
        <v>18</v>
      </c>
    </row>
    <row r="74" spans="1:15" x14ac:dyDescent="0.3">
      <c r="A74">
        <v>21</v>
      </c>
      <c r="B74" t="b">
        <v>0</v>
      </c>
      <c r="C74">
        <v>40</v>
      </c>
      <c r="D74" t="s">
        <v>785</v>
      </c>
      <c r="E74">
        <v>12</v>
      </c>
      <c r="F74">
        <v>48</v>
      </c>
      <c r="G74">
        <v>23</v>
      </c>
      <c r="H74">
        <v>1</v>
      </c>
      <c r="I74">
        <v>5</v>
      </c>
      <c r="J74">
        <v>1.5</v>
      </c>
      <c r="K74">
        <v>100</v>
      </c>
      <c r="L74">
        <v>60.44</v>
      </c>
      <c r="M74">
        <v>14</v>
      </c>
      <c r="N74">
        <v>8</v>
      </c>
      <c r="O74">
        <v>14</v>
      </c>
    </row>
    <row r="75" spans="1:15" x14ac:dyDescent="0.3">
      <c r="A75">
        <v>19</v>
      </c>
      <c r="B75" t="b">
        <v>0</v>
      </c>
      <c r="C75">
        <v>40</v>
      </c>
      <c r="D75" t="s">
        <v>785</v>
      </c>
      <c r="E75">
        <v>24</v>
      </c>
      <c r="F75">
        <v>12</v>
      </c>
      <c r="G75">
        <v>31</v>
      </c>
      <c r="H75">
        <v>2</v>
      </c>
      <c r="I75">
        <v>10</v>
      </c>
      <c r="J75">
        <v>0</v>
      </c>
      <c r="K75">
        <v>100</v>
      </c>
      <c r="L75">
        <v>96.81</v>
      </c>
      <c r="M75">
        <v>28</v>
      </c>
      <c r="N75">
        <v>8</v>
      </c>
      <c r="O75">
        <v>14</v>
      </c>
    </row>
    <row r="76" spans="1:15" x14ac:dyDescent="0.3">
      <c r="A76">
        <v>21</v>
      </c>
      <c r="B76" t="b">
        <v>1</v>
      </c>
      <c r="C76">
        <v>60</v>
      </c>
      <c r="D76" t="s">
        <v>115</v>
      </c>
      <c r="E76">
        <v>48</v>
      </c>
      <c r="G76">
        <v>32</v>
      </c>
      <c r="H76">
        <v>2</v>
      </c>
      <c r="I76">
        <v>10</v>
      </c>
      <c r="J76">
        <v>0</v>
      </c>
      <c r="K76">
        <v>100</v>
      </c>
      <c r="L76">
        <v>149.87</v>
      </c>
      <c r="M76">
        <v>52</v>
      </c>
      <c r="N76">
        <v>3</v>
      </c>
      <c r="O76">
        <v>34</v>
      </c>
    </row>
    <row r="77" spans="1:15" x14ac:dyDescent="0.3">
      <c r="A77">
        <v>18</v>
      </c>
      <c r="B77" t="b">
        <v>1</v>
      </c>
      <c r="C77">
        <v>10</v>
      </c>
      <c r="D77" t="s">
        <v>115</v>
      </c>
      <c r="E77">
        <v>6</v>
      </c>
      <c r="G77">
        <v>12</v>
      </c>
      <c r="H77">
        <v>0</v>
      </c>
      <c r="I77">
        <v>4</v>
      </c>
      <c r="J77">
        <v>0.75</v>
      </c>
      <c r="K77">
        <v>100</v>
      </c>
      <c r="L77">
        <v>9.6999999999999993</v>
      </c>
      <c r="M77">
        <v>6</v>
      </c>
      <c r="N77">
        <v>8</v>
      </c>
      <c r="O77">
        <v>14</v>
      </c>
    </row>
    <row r="78" spans="1:15" x14ac:dyDescent="0.3">
      <c r="A78">
        <v>19</v>
      </c>
      <c r="B78" t="b">
        <v>1</v>
      </c>
      <c r="C78">
        <v>5</v>
      </c>
      <c r="D78" t="s">
        <v>785</v>
      </c>
      <c r="E78">
        <v>6</v>
      </c>
      <c r="F78">
        <v>12</v>
      </c>
      <c r="G78">
        <v>29</v>
      </c>
      <c r="H78">
        <v>2</v>
      </c>
      <c r="I78">
        <v>10</v>
      </c>
      <c r="J78">
        <v>0</v>
      </c>
      <c r="K78">
        <v>100</v>
      </c>
      <c r="L78">
        <v>6.27</v>
      </c>
      <c r="M78">
        <v>10</v>
      </c>
      <c r="N78">
        <v>8</v>
      </c>
      <c r="O78">
        <v>14</v>
      </c>
    </row>
    <row r="79" spans="1:15" x14ac:dyDescent="0.3">
      <c r="A79">
        <v>19</v>
      </c>
      <c r="B79" t="b">
        <v>1</v>
      </c>
      <c r="C79">
        <v>60</v>
      </c>
      <c r="D79" t="s">
        <v>115</v>
      </c>
      <c r="E79">
        <v>12</v>
      </c>
      <c r="G79">
        <v>13</v>
      </c>
      <c r="H79">
        <v>1</v>
      </c>
      <c r="I79">
        <v>4</v>
      </c>
      <c r="J79">
        <v>0.75</v>
      </c>
      <c r="K79">
        <v>100</v>
      </c>
      <c r="L79">
        <v>50.49</v>
      </c>
      <c r="M79">
        <v>14</v>
      </c>
      <c r="N79">
        <v>8</v>
      </c>
      <c r="O79">
        <v>14</v>
      </c>
    </row>
    <row r="80" spans="1:15" x14ac:dyDescent="0.3">
      <c r="A80">
        <v>13</v>
      </c>
      <c r="B80" t="b">
        <v>1</v>
      </c>
      <c r="C80">
        <v>60</v>
      </c>
      <c r="D80" t="s">
        <v>115</v>
      </c>
      <c r="E80">
        <v>24</v>
      </c>
      <c r="G80">
        <v>11</v>
      </c>
      <c r="H80">
        <v>2.5</v>
      </c>
      <c r="I80">
        <v>5</v>
      </c>
      <c r="J80">
        <v>0</v>
      </c>
      <c r="K80">
        <v>100</v>
      </c>
      <c r="L80">
        <v>111.35</v>
      </c>
      <c r="M80">
        <v>30</v>
      </c>
      <c r="N80">
        <v>7.5</v>
      </c>
      <c r="O80">
        <v>14</v>
      </c>
    </row>
    <row r="81" spans="1:15" x14ac:dyDescent="0.3">
      <c r="A81">
        <v>22</v>
      </c>
      <c r="B81" t="b">
        <v>0</v>
      </c>
      <c r="C81">
        <v>60</v>
      </c>
      <c r="D81" t="s">
        <v>785</v>
      </c>
      <c r="E81">
        <v>12</v>
      </c>
      <c r="F81">
        <v>6</v>
      </c>
      <c r="G81">
        <v>31</v>
      </c>
      <c r="H81">
        <v>3</v>
      </c>
      <c r="I81">
        <v>4</v>
      </c>
      <c r="J81">
        <v>1.5</v>
      </c>
      <c r="K81">
        <v>100</v>
      </c>
      <c r="L81">
        <v>93.24</v>
      </c>
      <c r="M81">
        <v>18</v>
      </c>
      <c r="N81">
        <v>8</v>
      </c>
      <c r="O81">
        <v>14</v>
      </c>
    </row>
    <row r="82" spans="1:15" x14ac:dyDescent="0.3">
      <c r="A82">
        <v>14</v>
      </c>
      <c r="B82" t="b">
        <v>0</v>
      </c>
      <c r="C82">
        <v>5</v>
      </c>
      <c r="D82" t="s">
        <v>785</v>
      </c>
      <c r="E82">
        <v>6</v>
      </c>
      <c r="F82">
        <v>6</v>
      </c>
      <c r="G82">
        <v>32</v>
      </c>
      <c r="H82">
        <v>0</v>
      </c>
      <c r="I82">
        <v>4</v>
      </c>
      <c r="J82">
        <v>1</v>
      </c>
      <c r="K82">
        <v>100</v>
      </c>
      <c r="L82">
        <v>3.59</v>
      </c>
      <c r="M82">
        <v>6</v>
      </c>
      <c r="N82">
        <v>8</v>
      </c>
      <c r="O82">
        <v>14</v>
      </c>
    </row>
    <row r="83" spans="1:15" x14ac:dyDescent="0.3">
      <c r="A83">
        <v>23</v>
      </c>
      <c r="B83" t="b">
        <v>0</v>
      </c>
      <c r="C83">
        <v>60</v>
      </c>
      <c r="D83" t="s">
        <v>785</v>
      </c>
      <c r="E83">
        <v>36</v>
      </c>
      <c r="F83">
        <v>36</v>
      </c>
      <c r="G83">
        <v>23</v>
      </c>
      <c r="H83">
        <v>2</v>
      </c>
      <c r="I83">
        <v>5</v>
      </c>
      <c r="J83">
        <v>1</v>
      </c>
      <c r="K83">
        <v>100</v>
      </c>
      <c r="L83">
        <v>217.09</v>
      </c>
      <c r="M83">
        <v>40</v>
      </c>
      <c r="N83">
        <v>2.5</v>
      </c>
      <c r="O83">
        <v>41</v>
      </c>
    </row>
    <row r="84" spans="1:15" x14ac:dyDescent="0.3">
      <c r="A84">
        <v>13</v>
      </c>
      <c r="B84" t="b">
        <v>0</v>
      </c>
      <c r="C84">
        <v>0</v>
      </c>
      <c r="D84" t="s">
        <v>785</v>
      </c>
      <c r="E84">
        <v>6</v>
      </c>
      <c r="F84">
        <v>48</v>
      </c>
      <c r="G84">
        <v>26</v>
      </c>
      <c r="H84">
        <v>2</v>
      </c>
      <c r="I84">
        <v>5</v>
      </c>
      <c r="J84">
        <v>1.5</v>
      </c>
      <c r="K84">
        <v>100</v>
      </c>
      <c r="L84">
        <v>10.38</v>
      </c>
      <c r="M84">
        <v>10</v>
      </c>
      <c r="N84">
        <v>8</v>
      </c>
      <c r="O84">
        <v>14</v>
      </c>
    </row>
    <row r="85" spans="1:15" x14ac:dyDescent="0.3">
      <c r="A85">
        <v>14</v>
      </c>
      <c r="B85" t="b">
        <v>1</v>
      </c>
      <c r="C85">
        <v>0</v>
      </c>
      <c r="D85" t="s">
        <v>115</v>
      </c>
      <c r="E85">
        <v>48</v>
      </c>
      <c r="G85">
        <v>24</v>
      </c>
      <c r="H85">
        <v>0</v>
      </c>
      <c r="I85">
        <v>5</v>
      </c>
      <c r="J85">
        <v>0.75</v>
      </c>
      <c r="K85">
        <v>100</v>
      </c>
      <c r="L85">
        <v>14.15</v>
      </c>
      <c r="M85">
        <v>48</v>
      </c>
      <c r="N85">
        <v>4</v>
      </c>
      <c r="O85">
        <v>26</v>
      </c>
    </row>
    <row r="86" spans="1:15" x14ac:dyDescent="0.3">
      <c r="A86">
        <v>17</v>
      </c>
      <c r="B86" t="b">
        <v>1</v>
      </c>
      <c r="C86">
        <v>20</v>
      </c>
      <c r="D86" t="s">
        <v>115</v>
      </c>
      <c r="E86">
        <v>36</v>
      </c>
      <c r="G86">
        <v>32</v>
      </c>
      <c r="H86">
        <v>2.5</v>
      </c>
      <c r="I86">
        <v>5</v>
      </c>
      <c r="J86">
        <v>0</v>
      </c>
      <c r="K86">
        <v>100</v>
      </c>
      <c r="L86">
        <v>42.74</v>
      </c>
      <c r="M86">
        <v>42</v>
      </c>
      <c r="N86">
        <v>6</v>
      </c>
      <c r="O86">
        <v>18</v>
      </c>
    </row>
    <row r="87" spans="1:15" x14ac:dyDescent="0.3">
      <c r="A87">
        <v>19</v>
      </c>
      <c r="B87" t="b">
        <v>0</v>
      </c>
      <c r="C87">
        <v>10</v>
      </c>
      <c r="D87" t="s">
        <v>785</v>
      </c>
      <c r="E87">
        <v>36</v>
      </c>
      <c r="F87">
        <v>48</v>
      </c>
      <c r="G87">
        <v>8</v>
      </c>
      <c r="H87">
        <v>1</v>
      </c>
      <c r="I87">
        <v>4</v>
      </c>
      <c r="J87">
        <v>0</v>
      </c>
      <c r="K87">
        <v>100</v>
      </c>
      <c r="L87">
        <v>127.68</v>
      </c>
      <c r="M87">
        <v>38</v>
      </c>
      <c r="N87">
        <v>5</v>
      </c>
      <c r="O87">
        <v>21</v>
      </c>
    </row>
    <row r="88" spans="1:15" x14ac:dyDescent="0.3">
      <c r="A88">
        <v>16</v>
      </c>
      <c r="B88" t="b">
        <v>1</v>
      </c>
      <c r="C88">
        <v>10</v>
      </c>
      <c r="D88" t="s">
        <v>785</v>
      </c>
      <c r="E88">
        <v>6</v>
      </c>
      <c r="F88">
        <v>6</v>
      </c>
      <c r="G88">
        <v>28</v>
      </c>
      <c r="H88">
        <v>1</v>
      </c>
      <c r="I88">
        <v>10</v>
      </c>
      <c r="J88">
        <v>0.75</v>
      </c>
      <c r="K88">
        <v>100</v>
      </c>
      <c r="L88">
        <v>8.34</v>
      </c>
      <c r="M88">
        <v>8</v>
      </c>
      <c r="N88">
        <v>8</v>
      </c>
      <c r="O88">
        <v>14</v>
      </c>
    </row>
    <row r="89" spans="1:15" x14ac:dyDescent="0.3">
      <c r="A89">
        <v>21</v>
      </c>
      <c r="B89" t="b">
        <v>1</v>
      </c>
      <c r="C89">
        <v>0</v>
      </c>
      <c r="D89" t="s">
        <v>115</v>
      </c>
      <c r="E89">
        <v>6</v>
      </c>
      <c r="G89">
        <v>19</v>
      </c>
      <c r="H89">
        <v>1.5</v>
      </c>
      <c r="I89">
        <v>4</v>
      </c>
      <c r="J89">
        <v>0.75</v>
      </c>
      <c r="K89">
        <v>100</v>
      </c>
      <c r="L89">
        <v>2.96</v>
      </c>
      <c r="M89">
        <v>10</v>
      </c>
      <c r="N89">
        <v>8</v>
      </c>
      <c r="O89">
        <v>14</v>
      </c>
    </row>
    <row r="90" spans="1:15" x14ac:dyDescent="0.3">
      <c r="A90">
        <v>23</v>
      </c>
      <c r="B90" t="b">
        <v>0</v>
      </c>
      <c r="C90">
        <v>40</v>
      </c>
      <c r="D90" t="s">
        <v>115</v>
      </c>
      <c r="E90">
        <v>24</v>
      </c>
      <c r="G90">
        <v>8</v>
      </c>
      <c r="H90">
        <v>1</v>
      </c>
      <c r="I90">
        <v>5</v>
      </c>
      <c r="J90">
        <v>0.75</v>
      </c>
      <c r="K90">
        <v>100</v>
      </c>
      <c r="L90">
        <v>90.77</v>
      </c>
      <c r="M90">
        <v>26</v>
      </c>
      <c r="N90">
        <v>8</v>
      </c>
      <c r="O90">
        <v>14</v>
      </c>
    </row>
    <row r="91" spans="1:15" x14ac:dyDescent="0.3">
      <c r="A91">
        <v>16</v>
      </c>
      <c r="B91" t="b">
        <v>0</v>
      </c>
      <c r="C91">
        <v>5</v>
      </c>
      <c r="D91" t="s">
        <v>785</v>
      </c>
      <c r="E91">
        <v>24</v>
      </c>
      <c r="F91">
        <v>12</v>
      </c>
      <c r="G91">
        <v>29</v>
      </c>
      <c r="H91">
        <v>1</v>
      </c>
      <c r="I91">
        <v>4</v>
      </c>
      <c r="J91">
        <v>0.75</v>
      </c>
      <c r="K91">
        <v>100</v>
      </c>
      <c r="L91">
        <v>15.44</v>
      </c>
      <c r="M91">
        <v>26</v>
      </c>
      <c r="N91">
        <v>8</v>
      </c>
      <c r="O91">
        <v>14</v>
      </c>
    </row>
    <row r="92" spans="1:15" x14ac:dyDescent="0.3">
      <c r="A92">
        <v>13</v>
      </c>
      <c r="B92" t="b">
        <v>0</v>
      </c>
      <c r="C92">
        <v>10</v>
      </c>
      <c r="D92" t="s">
        <v>115</v>
      </c>
      <c r="E92">
        <v>48</v>
      </c>
      <c r="G92">
        <v>16</v>
      </c>
      <c r="H92">
        <v>2.5</v>
      </c>
      <c r="I92">
        <v>10</v>
      </c>
      <c r="J92">
        <v>1.5</v>
      </c>
      <c r="K92">
        <v>100</v>
      </c>
      <c r="L92">
        <v>57.04</v>
      </c>
      <c r="M92">
        <v>54</v>
      </c>
      <c r="N92">
        <v>4</v>
      </c>
      <c r="O92">
        <v>26</v>
      </c>
    </row>
    <row r="93" spans="1:15" x14ac:dyDescent="0.3">
      <c r="A93">
        <v>14</v>
      </c>
      <c r="B93" t="b">
        <v>1</v>
      </c>
      <c r="C93">
        <v>20</v>
      </c>
      <c r="D93" t="s">
        <v>785</v>
      </c>
      <c r="E93">
        <v>12</v>
      </c>
      <c r="F93">
        <v>36</v>
      </c>
      <c r="G93">
        <v>32</v>
      </c>
      <c r="H93">
        <v>2.5</v>
      </c>
      <c r="I93">
        <v>5</v>
      </c>
      <c r="J93">
        <v>1.5</v>
      </c>
      <c r="K93">
        <v>100</v>
      </c>
      <c r="L93">
        <v>35.47</v>
      </c>
      <c r="M93">
        <v>18</v>
      </c>
      <c r="N93">
        <v>8</v>
      </c>
      <c r="O93">
        <v>14</v>
      </c>
    </row>
    <row r="94" spans="1:15" x14ac:dyDescent="0.3">
      <c r="A94">
        <v>24</v>
      </c>
      <c r="B94" t="b">
        <v>1</v>
      </c>
      <c r="C94">
        <v>20</v>
      </c>
      <c r="D94" t="s">
        <v>785</v>
      </c>
      <c r="E94">
        <v>36</v>
      </c>
      <c r="F94">
        <v>6</v>
      </c>
      <c r="G94">
        <v>12</v>
      </c>
      <c r="H94">
        <v>2</v>
      </c>
      <c r="I94">
        <v>5</v>
      </c>
      <c r="J94">
        <v>0.75</v>
      </c>
      <c r="K94">
        <v>100</v>
      </c>
      <c r="L94">
        <v>98.58</v>
      </c>
      <c r="M94">
        <v>40</v>
      </c>
      <c r="N94">
        <v>6</v>
      </c>
      <c r="O94">
        <v>18</v>
      </c>
    </row>
    <row r="95" spans="1:15" x14ac:dyDescent="0.3">
      <c r="A95">
        <v>14</v>
      </c>
      <c r="B95" t="b">
        <v>1</v>
      </c>
      <c r="C95">
        <v>0</v>
      </c>
      <c r="D95" t="s">
        <v>785</v>
      </c>
      <c r="E95">
        <v>6</v>
      </c>
      <c r="F95">
        <v>48</v>
      </c>
      <c r="G95">
        <v>14</v>
      </c>
      <c r="H95">
        <v>0</v>
      </c>
      <c r="I95">
        <v>10</v>
      </c>
      <c r="J95">
        <v>1</v>
      </c>
      <c r="K95">
        <v>100</v>
      </c>
      <c r="L95">
        <v>28.82</v>
      </c>
      <c r="M95">
        <v>6</v>
      </c>
      <c r="N95">
        <v>8</v>
      </c>
      <c r="O95">
        <v>14</v>
      </c>
    </row>
    <row r="96" spans="1:15" x14ac:dyDescent="0.3">
      <c r="A96">
        <v>18</v>
      </c>
      <c r="B96" t="b">
        <v>0</v>
      </c>
      <c r="C96">
        <v>5</v>
      </c>
      <c r="D96" t="s">
        <v>115</v>
      </c>
      <c r="E96">
        <v>36</v>
      </c>
      <c r="G96">
        <v>16</v>
      </c>
      <c r="H96">
        <v>2</v>
      </c>
      <c r="I96">
        <v>10</v>
      </c>
      <c r="J96">
        <v>1.5</v>
      </c>
      <c r="K96">
        <v>100</v>
      </c>
      <c r="L96">
        <v>33.71</v>
      </c>
      <c r="M96">
        <v>40</v>
      </c>
      <c r="N96">
        <v>6</v>
      </c>
      <c r="O96">
        <v>18</v>
      </c>
    </row>
    <row r="97" spans="1:15" x14ac:dyDescent="0.3">
      <c r="A97">
        <v>24</v>
      </c>
      <c r="B97" t="b">
        <v>0</v>
      </c>
      <c r="C97">
        <v>10</v>
      </c>
      <c r="D97" t="s">
        <v>115</v>
      </c>
      <c r="E97">
        <v>48</v>
      </c>
      <c r="G97">
        <v>29</v>
      </c>
      <c r="H97">
        <v>0</v>
      </c>
      <c r="I97">
        <v>5</v>
      </c>
      <c r="J97">
        <v>0</v>
      </c>
      <c r="K97">
        <v>100</v>
      </c>
      <c r="L97">
        <v>30.82</v>
      </c>
      <c r="M97">
        <v>48</v>
      </c>
      <c r="N97">
        <v>4</v>
      </c>
      <c r="O97">
        <v>26</v>
      </c>
    </row>
    <row r="98" spans="1:15" x14ac:dyDescent="0.3">
      <c r="A98">
        <v>12</v>
      </c>
      <c r="B98" t="b">
        <v>0</v>
      </c>
      <c r="C98">
        <v>20</v>
      </c>
      <c r="D98" t="s">
        <v>785</v>
      </c>
      <c r="E98">
        <v>48</v>
      </c>
      <c r="F98">
        <v>24</v>
      </c>
      <c r="G98">
        <v>21</v>
      </c>
      <c r="H98">
        <v>0</v>
      </c>
      <c r="I98">
        <v>4</v>
      </c>
      <c r="J98">
        <v>1.5</v>
      </c>
      <c r="K98">
        <v>100</v>
      </c>
      <c r="L98">
        <v>97.92</v>
      </c>
      <c r="M98">
        <v>48</v>
      </c>
      <c r="N98">
        <v>4</v>
      </c>
      <c r="O98">
        <v>26</v>
      </c>
    </row>
    <row r="99" spans="1:15" x14ac:dyDescent="0.3">
      <c r="A99">
        <v>13</v>
      </c>
      <c r="B99" t="b">
        <v>0</v>
      </c>
      <c r="C99">
        <v>60</v>
      </c>
      <c r="D99" t="s">
        <v>115</v>
      </c>
      <c r="E99">
        <v>6</v>
      </c>
      <c r="G99">
        <v>21</v>
      </c>
      <c r="H99">
        <v>1</v>
      </c>
      <c r="I99">
        <v>5</v>
      </c>
      <c r="J99">
        <v>1</v>
      </c>
      <c r="K99">
        <v>100</v>
      </c>
      <c r="L99">
        <v>24.37</v>
      </c>
      <c r="M99">
        <v>8</v>
      </c>
      <c r="N99">
        <v>8</v>
      </c>
      <c r="O99">
        <v>14</v>
      </c>
    </row>
    <row r="100" spans="1:15" x14ac:dyDescent="0.3">
      <c r="A100">
        <v>12</v>
      </c>
      <c r="B100" t="b">
        <v>0</v>
      </c>
      <c r="C100">
        <v>0</v>
      </c>
      <c r="D100" t="s">
        <v>785</v>
      </c>
      <c r="E100">
        <v>6</v>
      </c>
      <c r="F100">
        <v>24</v>
      </c>
      <c r="G100">
        <v>27</v>
      </c>
      <c r="H100">
        <v>1.5</v>
      </c>
      <c r="I100">
        <v>10</v>
      </c>
      <c r="J100">
        <v>1.5</v>
      </c>
      <c r="K100">
        <v>100</v>
      </c>
      <c r="L100">
        <v>5.15</v>
      </c>
      <c r="M100">
        <v>10</v>
      </c>
      <c r="N100">
        <v>8</v>
      </c>
      <c r="O100">
        <v>14</v>
      </c>
    </row>
    <row r="101" spans="1:15" x14ac:dyDescent="0.3">
      <c r="A101">
        <v>22</v>
      </c>
      <c r="B101" t="b">
        <v>1</v>
      </c>
      <c r="C101">
        <v>20</v>
      </c>
      <c r="D101" t="s">
        <v>785</v>
      </c>
      <c r="E101">
        <v>36</v>
      </c>
      <c r="F101">
        <v>6</v>
      </c>
      <c r="G101">
        <v>28</v>
      </c>
      <c r="H101">
        <v>2</v>
      </c>
      <c r="I101">
        <v>4</v>
      </c>
      <c r="J101">
        <v>0</v>
      </c>
      <c r="K101">
        <v>100</v>
      </c>
      <c r="L101">
        <v>72.010000000000005</v>
      </c>
      <c r="M101">
        <v>40</v>
      </c>
      <c r="N101">
        <v>6</v>
      </c>
      <c r="O101">
        <v>18</v>
      </c>
    </row>
  </sheetData>
  <autoFilter ref="A1:O101" xr:uid="{CA42A403-F33D-477E-82FC-809EA2F8FF81}"/>
  <conditionalFormatting sqref="N1:O1048576">
    <cfRule type="expression" dxfId="43" priority="1">
      <formula>$N1 = 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5" id="{7651E6FD-28D2-4279-B23C-E6410B60B3F6}">
            <xm:f>NOT(M1='Website Tests'!M1)</xm:f>
            <x14:dxf>
              <fill>
                <patternFill>
                  <bgColor rgb="FFF97F7F"/>
                </patternFill>
              </fill>
            </x14:dxf>
          </x14:cfRule>
          <xm:sqref>M1:O1048576</xm:sqref>
        </x14:conditionalFormatting>
        <x14:conditionalFormatting xmlns:xm="http://schemas.microsoft.com/office/excel/2006/main">
          <x14:cfRule type="expression" priority="11" id="{7651E6FD-28D2-4279-B23C-E6410B60B3F6}">
            <xm:f>NOT(L102='Website Tests'!L103)</xm:f>
            <x14:dxf>
              <fill>
                <patternFill>
                  <bgColor rgb="FFF97F7F"/>
                </patternFill>
              </fill>
            </x14:dxf>
          </x14:cfRule>
          <xm:sqref>L102:O106</xm:sqref>
        </x14:conditionalFormatting>
        <x14:conditionalFormatting xmlns:xm="http://schemas.microsoft.com/office/excel/2006/main">
          <x14:cfRule type="expression" priority="12" id="{7651E6FD-28D2-4279-B23C-E6410B60B3F6}">
            <xm:f>NOT(L107='Website Tests'!#REF!)</xm:f>
            <x14:dxf>
              <fill>
                <patternFill>
                  <bgColor rgb="FFF97F7F"/>
                </patternFill>
              </fill>
            </x14:dxf>
          </x14:cfRule>
          <xm:sqref>L107:O107</xm:sqref>
        </x14:conditionalFormatting>
        <x14:conditionalFormatting xmlns:xm="http://schemas.microsoft.com/office/excel/2006/main">
          <x14:cfRule type="expression" priority="2" id="{AE416D79-C240-49A4-B714-961650D59589}">
            <xm:f>OR(L2 &lt; 'Website Tests'!L2-0.5, L2 &gt;'Website Tests'!L2+0.5)</xm:f>
            <x14:dxf>
              <fill>
                <patternFill>
                  <bgColor rgb="FFF48484"/>
                </patternFill>
              </fill>
            </x14:dxf>
          </x14:cfRule>
          <xm:sqref>L2:L1048576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2"/>
  <dimension ref="A1:C34"/>
  <sheetViews>
    <sheetView topLeftCell="A16" zoomScale="150" zoomScaleNormal="150" workbookViewId="0">
      <selection activeCell="B20" sqref="B20"/>
    </sheetView>
  </sheetViews>
  <sheetFormatPr defaultRowHeight="14.4" x14ac:dyDescent="0.3"/>
  <cols>
    <col min="1" max="1" width="54.5546875" bestFit="1" customWidth="1"/>
    <col min="2" max="2" width="18.44140625" customWidth="1"/>
    <col min="3" max="3" width="94.88671875" customWidth="1"/>
  </cols>
  <sheetData>
    <row r="1" spans="1:3" x14ac:dyDescent="0.3">
      <c r="A1" s="56" t="s">
        <v>765</v>
      </c>
      <c r="B1" t="s">
        <v>40</v>
      </c>
      <c r="C1" t="s">
        <v>41</v>
      </c>
    </row>
    <row r="2" spans="1:3" x14ac:dyDescent="0.3">
      <c r="A2" t="s">
        <v>9</v>
      </c>
      <c r="B2" t="str">
        <f>Inputs!C4</f>
        <v>Duct</v>
      </c>
      <c r="C2" t="s">
        <v>42</v>
      </c>
    </row>
    <row r="3" spans="1:3" x14ac:dyDescent="0.3">
      <c r="A3" t="s">
        <v>12</v>
      </c>
      <c r="B3">
        <f>Inputs!C5</f>
        <v>100</v>
      </c>
      <c r="C3" t="s">
        <v>42</v>
      </c>
    </row>
    <row r="4" spans="1:3" x14ac:dyDescent="0.3">
      <c r="A4" t="s">
        <v>13</v>
      </c>
      <c r="B4">
        <f>Inputs!C6</f>
        <v>0</v>
      </c>
      <c r="C4" t="s">
        <v>42</v>
      </c>
    </row>
    <row r="5" spans="1:3" x14ac:dyDescent="0.3">
      <c r="A5" t="s">
        <v>14</v>
      </c>
      <c r="B5">
        <f>Inputs!C7</f>
        <v>22</v>
      </c>
      <c r="C5" t="s">
        <v>42</v>
      </c>
    </row>
    <row r="6" spans="1:3" x14ac:dyDescent="0.3">
      <c r="A6" t="s">
        <v>16</v>
      </c>
      <c r="B6">
        <f>Inputs!C9</f>
        <v>20</v>
      </c>
      <c r="C6" t="s">
        <v>42</v>
      </c>
    </row>
    <row r="7" spans="1:3" x14ac:dyDescent="0.3">
      <c r="A7" t="s">
        <v>43</v>
      </c>
      <c r="B7">
        <f>Inputs!C8</f>
        <v>1</v>
      </c>
      <c r="C7" t="s">
        <v>42</v>
      </c>
    </row>
    <row r="8" spans="1:3" x14ac:dyDescent="0.3">
      <c r="A8" t="s">
        <v>44</v>
      </c>
      <c r="B8">
        <f>IF(OR(B2="pipe",B11="round"),0.55,1)*B6</f>
        <v>20</v>
      </c>
      <c r="C8" t="s">
        <v>45</v>
      </c>
    </row>
    <row r="9" spans="1:3" x14ac:dyDescent="0.3">
      <c r="A9" t="s">
        <v>23</v>
      </c>
      <c r="B9">
        <f>Inputs!C11</f>
        <v>6</v>
      </c>
      <c r="C9" t="s">
        <v>42</v>
      </c>
    </row>
    <row r="10" spans="1:3" x14ac:dyDescent="0.3">
      <c r="A10" t="s">
        <v>24</v>
      </c>
      <c r="B10">
        <f>Inputs!C12</f>
        <v>36</v>
      </c>
      <c r="C10" t="s">
        <v>42</v>
      </c>
    </row>
    <row r="11" spans="1:3" x14ac:dyDescent="0.3">
      <c r="A11" t="s">
        <v>25</v>
      </c>
      <c r="B11" t="str">
        <f>Inputs!C13</f>
        <v>Rectangle</v>
      </c>
      <c r="C11" t="s">
        <v>42</v>
      </c>
    </row>
    <row r="12" spans="1:3" x14ac:dyDescent="0.3">
      <c r="A12" t="s">
        <v>26</v>
      </c>
      <c r="B12">
        <f>Inputs!C14</f>
        <v>28</v>
      </c>
      <c r="C12" t="s">
        <v>42</v>
      </c>
    </row>
    <row r="13" spans="1:3" x14ac:dyDescent="0.3">
      <c r="A13" t="s">
        <v>46</v>
      </c>
      <c r="B13">
        <f>Inputs!C15</f>
        <v>0</v>
      </c>
      <c r="C13" t="s">
        <v>42</v>
      </c>
    </row>
    <row r="14" spans="1:3" x14ac:dyDescent="0.3">
      <c r="A14" t="s">
        <v>47</v>
      </c>
      <c r="B14">
        <f>Inputs!C16</f>
        <v>2</v>
      </c>
      <c r="C14" t="s">
        <v>42</v>
      </c>
    </row>
    <row r="15" spans="1:3" x14ac:dyDescent="0.3">
      <c r="A15" t="s">
        <v>48</v>
      </c>
      <c r="B15" t="str">
        <f>Inputs!C17</f>
        <v>Yes</v>
      </c>
      <c r="C15" t="s">
        <v>42</v>
      </c>
    </row>
    <row r="16" spans="1:3" x14ac:dyDescent="0.3">
      <c r="A16" t="s">
        <v>30</v>
      </c>
      <c r="B16">
        <f>Inputs!C18</f>
        <v>4</v>
      </c>
      <c r="C16" t="s">
        <v>42</v>
      </c>
    </row>
    <row r="17" spans="1:3" x14ac:dyDescent="0.3">
      <c r="A17" t="s">
        <v>31</v>
      </c>
      <c r="B17">
        <f>Inputs!C19</f>
        <v>0</v>
      </c>
      <c r="C17" t="s">
        <v>42</v>
      </c>
    </row>
    <row r="18" spans="1:3" x14ac:dyDescent="0.3">
      <c r="A18" t="s">
        <v>767</v>
      </c>
      <c r="B18">
        <f>IF(Inputs!C13="Rectangular",(Inputs!C11*Inputs!C12)/144,(PI()/4*Inputs!C12^2)/144)</f>
        <v>7.0685834705770345</v>
      </c>
    </row>
    <row r="19" spans="1:3" x14ac:dyDescent="0.3">
      <c r="A19" t="s">
        <v>49</v>
      </c>
      <c r="C19" t="s">
        <v>50</v>
      </c>
    </row>
    <row r="20" spans="1:3" x14ac:dyDescent="0.3">
      <c r="A20" t="s">
        <v>51</v>
      </c>
      <c r="B20">
        <f>IF(MOD(CEILING(B10+(2*B14),2),2)=0,CEILING(B10+(2*B14),2),CEILING(B10+(2*B14)-1,2))</f>
        <v>40</v>
      </c>
    </row>
    <row r="21" spans="1:3" x14ac:dyDescent="0.3">
      <c r="A21" t="s">
        <v>52</v>
      </c>
      <c r="B21" s="4">
        <f>IF(B2="Duct",
IF(B11="rectangular",
IF(B15="Yes",B5+B9+7,B5+8),
IF(B15="Yes",B5+B9+7,B5+(B9*0.5))),0)</f>
        <v>35</v>
      </c>
    </row>
    <row r="22" spans="1:3" x14ac:dyDescent="0.3">
      <c r="A22" t="s">
        <v>53</v>
      </c>
      <c r="B22">
        <f>(B10+(2*B14))*12/144</f>
        <v>3.3333333333333335</v>
      </c>
      <c r="C22" t="s">
        <v>54</v>
      </c>
    </row>
    <row r="23" spans="1:3" x14ac:dyDescent="0.3">
      <c r="A23" t="s">
        <v>55</v>
      </c>
      <c r="B23" s="7">
        <f>(IF(B11="Round",3.14159*B10,(B9*2)+(B10*2))*12)/144</f>
        <v>7</v>
      </c>
    </row>
    <row r="24" spans="1:3" x14ac:dyDescent="0.3">
      <c r="A24" t="s">
        <v>56</v>
      </c>
      <c r="B24" s="6">
        <f>_xlfn.XLOOKUP(B12,Duct_gauge_weights[Gauge],Duct_gauge_weights[Weight Per Area lb/ft²],"error",0,1)*B23</f>
        <v>5.3410000000000002</v>
      </c>
    </row>
    <row r="25" spans="1:3" x14ac:dyDescent="0.3">
      <c r="A25" t="s">
        <v>57</v>
      </c>
      <c r="B25" s="54">
        <f>IF(B11="Round",
(3.14159*((B9+(B14*2))/2)^2)-(3.14159*((B9/2)^2)),((B9+(2*B14))*(B10+(2*B14)))-(B9*B10))/144*B13</f>
        <v>0</v>
      </c>
    </row>
    <row r="26" spans="1:3" x14ac:dyDescent="0.3">
      <c r="A26" t="s">
        <v>58</v>
      </c>
      <c r="B26" s="7">
        <f>B8*B22</f>
        <v>66.666666666666671</v>
      </c>
    </row>
    <row r="27" spans="1:3" x14ac:dyDescent="0.3">
      <c r="A27" t="s">
        <v>59</v>
      </c>
      <c r="B27" s="6">
        <f>IF(OR(B17=0,B17=""),B26+B25+B24,B17)</f>
        <v>72.007666666666665</v>
      </c>
    </row>
    <row r="28" spans="1:3" x14ac:dyDescent="0.3">
      <c r="A28" t="s">
        <v>60</v>
      </c>
      <c r="B28">
        <f>B16*2</f>
        <v>8</v>
      </c>
      <c r="C28" t="s">
        <v>61</v>
      </c>
    </row>
    <row r="29" spans="1:3" x14ac:dyDescent="0.3">
      <c r="A29" t="s">
        <v>62</v>
      </c>
      <c r="B29" s="4">
        <f>B27*B28</f>
        <v>576.06133333333332</v>
      </c>
      <c r="C29" t="s">
        <v>63</v>
      </c>
    </row>
    <row r="30" spans="1:3" x14ac:dyDescent="0.3">
      <c r="A30" t="s">
        <v>64</v>
      </c>
      <c r="B30">
        <f>750*2</f>
        <v>1500</v>
      </c>
    </row>
    <row r="31" spans="1:3" x14ac:dyDescent="0.3">
      <c r="A31" t="s">
        <v>65</v>
      </c>
      <c r="B31" s="4">
        <f>ROUNDDOWN(B30/B27,0)</f>
        <v>20</v>
      </c>
    </row>
    <row r="32" spans="1:3" x14ac:dyDescent="0.3">
      <c r="A32" t="s">
        <v>764</v>
      </c>
      <c r="B32" s="4">
        <f>'Duct gauge weights'!I6</f>
        <v>6</v>
      </c>
    </row>
    <row r="33" spans="1:2" x14ac:dyDescent="0.3">
      <c r="A33" t="s">
        <v>66</v>
      </c>
      <c r="B33" s="4">
        <f>'Duct Calcs for Span'!B149</f>
        <v>6</v>
      </c>
    </row>
    <row r="34" spans="1:2" x14ac:dyDescent="0.3">
      <c r="A34" t="s">
        <v>21</v>
      </c>
      <c r="B34" s="4">
        <f>IFERROR((B3/B33)+1,0)</f>
        <v>17.666666666666668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280E2-8989-49A5-9563-5DAD21F13E99}">
  <sheetPr codeName="Sheet3"/>
  <dimension ref="A1:F150"/>
  <sheetViews>
    <sheetView topLeftCell="A131" zoomScale="150" zoomScaleNormal="150" workbookViewId="0">
      <selection activeCell="D149" sqref="D149"/>
    </sheetView>
  </sheetViews>
  <sheetFormatPr defaultRowHeight="14.4" x14ac:dyDescent="0.3"/>
  <cols>
    <col min="2" max="2" width="20" bestFit="1" customWidth="1"/>
    <col min="3" max="3" width="20" customWidth="1"/>
    <col min="4" max="4" width="17.44140625" bestFit="1" customWidth="1"/>
    <col min="5" max="5" width="17.44140625" customWidth="1"/>
    <col min="6" max="6" width="25.33203125" customWidth="1"/>
  </cols>
  <sheetData>
    <row r="1" spans="1:6" ht="28.8" x14ac:dyDescent="0.3">
      <c r="A1" s="9" t="s">
        <v>67</v>
      </c>
      <c r="B1" s="9" t="s">
        <v>68</v>
      </c>
      <c r="C1" s="9" t="s">
        <v>69</v>
      </c>
      <c r="D1" s="9" t="s">
        <v>70</v>
      </c>
      <c r="E1" s="9" t="s">
        <v>71</v>
      </c>
      <c r="F1" s="9" t="s">
        <v>72</v>
      </c>
    </row>
    <row r="2" spans="1:6" x14ac:dyDescent="0.3">
      <c r="A2" s="9">
        <v>1</v>
      </c>
      <c r="B2" s="55">
        <f>Calculations!B32</f>
        <v>6</v>
      </c>
      <c r="C2" s="55">
        <f>Calculations!$B$27</f>
        <v>72.007666666666665</v>
      </c>
      <c r="D2" s="9">
        <f>B2*C2</f>
        <v>432.04599999999999</v>
      </c>
      <c r="E2" s="9">
        <f>Calculations!$B$30</f>
        <v>1500</v>
      </c>
      <c r="F2" s="9" t="b">
        <f>IF(D2 &lt;  (0.9* E2),TRUE,FALSE)</f>
        <v>1</v>
      </c>
    </row>
    <row r="3" spans="1:6" x14ac:dyDescent="0.3">
      <c r="A3" s="9">
        <f>A2+1</f>
        <v>2</v>
      </c>
      <c r="B3" s="9">
        <f>IF(($B2-0.5)&gt;=2,($B2-0.5),2)</f>
        <v>5.5</v>
      </c>
      <c r="C3" s="55">
        <f>Calculations!$B$27</f>
        <v>72.007666666666665</v>
      </c>
      <c r="D3" s="9">
        <f t="shared" ref="D3:D42" si="0">B3*C3</f>
        <v>396.04216666666667</v>
      </c>
      <c r="E3" s="9">
        <f>Calculations!$B$30</f>
        <v>1500</v>
      </c>
      <c r="F3" s="9" t="b">
        <f t="shared" ref="F3:F42" si="1">IF(D3 &lt;  (0.9* E3),TRUE,FALSE)</f>
        <v>1</v>
      </c>
    </row>
    <row r="4" spans="1:6" x14ac:dyDescent="0.3">
      <c r="A4" s="9">
        <f t="shared" ref="A4:A42" si="2">A3+1</f>
        <v>3</v>
      </c>
      <c r="B4" s="9">
        <f t="shared" ref="B4:B42" si="3">IF(($B3-0.5)&gt;=2,($B3-0.5),2)</f>
        <v>5</v>
      </c>
      <c r="C4" s="55">
        <f>Calculations!$B$27</f>
        <v>72.007666666666665</v>
      </c>
      <c r="D4" s="9">
        <f t="shared" si="0"/>
        <v>360.0383333333333</v>
      </c>
      <c r="E4" s="9">
        <f>Calculations!$B$30</f>
        <v>1500</v>
      </c>
      <c r="F4" s="9" t="b">
        <f t="shared" si="1"/>
        <v>1</v>
      </c>
    </row>
    <row r="5" spans="1:6" x14ac:dyDescent="0.3">
      <c r="A5" s="9">
        <f t="shared" si="2"/>
        <v>4</v>
      </c>
      <c r="B5" s="9">
        <f t="shared" si="3"/>
        <v>4.5</v>
      </c>
      <c r="C5" s="55">
        <f>Calculations!$B$27</f>
        <v>72.007666666666665</v>
      </c>
      <c r="D5" s="9">
        <f t="shared" si="0"/>
        <v>324.03449999999998</v>
      </c>
      <c r="E5" s="9">
        <f>Calculations!$B$30</f>
        <v>1500</v>
      </c>
      <c r="F5" s="9" t="b">
        <f t="shared" si="1"/>
        <v>1</v>
      </c>
    </row>
    <row r="6" spans="1:6" x14ac:dyDescent="0.3">
      <c r="A6" s="9">
        <f t="shared" si="2"/>
        <v>5</v>
      </c>
      <c r="B6" s="9">
        <f t="shared" si="3"/>
        <v>4</v>
      </c>
      <c r="C6" s="55">
        <f>Calculations!$B$27</f>
        <v>72.007666666666665</v>
      </c>
      <c r="D6" s="9">
        <f t="shared" si="0"/>
        <v>288.03066666666666</v>
      </c>
      <c r="E6" s="9">
        <f>Calculations!$B$30</f>
        <v>1500</v>
      </c>
      <c r="F6" s="9" t="b">
        <f t="shared" si="1"/>
        <v>1</v>
      </c>
    </row>
    <row r="7" spans="1:6" x14ac:dyDescent="0.3">
      <c r="A7" s="9">
        <f t="shared" si="2"/>
        <v>6</v>
      </c>
      <c r="B7" s="9">
        <f t="shared" si="3"/>
        <v>3.5</v>
      </c>
      <c r="C7" s="55">
        <f>Calculations!$B$27</f>
        <v>72.007666666666665</v>
      </c>
      <c r="D7" s="9">
        <f t="shared" si="0"/>
        <v>252.02683333333334</v>
      </c>
      <c r="E7" s="9">
        <f>Calculations!$B$30</f>
        <v>1500</v>
      </c>
      <c r="F7" s="9" t="b">
        <f t="shared" si="1"/>
        <v>1</v>
      </c>
    </row>
    <row r="8" spans="1:6" x14ac:dyDescent="0.3">
      <c r="A8" s="9">
        <f t="shared" si="2"/>
        <v>7</v>
      </c>
      <c r="B8" s="9">
        <f t="shared" si="3"/>
        <v>3</v>
      </c>
      <c r="C8" s="55">
        <f>Calculations!$B$27</f>
        <v>72.007666666666665</v>
      </c>
      <c r="D8" s="9">
        <f t="shared" si="0"/>
        <v>216.023</v>
      </c>
      <c r="E8" s="9">
        <f>Calculations!$B$30</f>
        <v>1500</v>
      </c>
      <c r="F8" s="9" t="b">
        <f t="shared" si="1"/>
        <v>1</v>
      </c>
    </row>
    <row r="9" spans="1:6" x14ac:dyDescent="0.3">
      <c r="A9" s="9">
        <f t="shared" si="2"/>
        <v>8</v>
      </c>
      <c r="B9" s="9">
        <f t="shared" si="3"/>
        <v>2.5</v>
      </c>
      <c r="C9" s="55">
        <f>Calculations!$B$27</f>
        <v>72.007666666666665</v>
      </c>
      <c r="D9" s="9">
        <f t="shared" si="0"/>
        <v>180.01916666666665</v>
      </c>
      <c r="E9" s="9">
        <f>Calculations!$B$30</f>
        <v>1500</v>
      </c>
      <c r="F9" s="9" t="b">
        <f t="shared" si="1"/>
        <v>1</v>
      </c>
    </row>
    <row r="10" spans="1:6" x14ac:dyDescent="0.3">
      <c r="A10" s="9">
        <f t="shared" si="2"/>
        <v>9</v>
      </c>
      <c r="B10" s="9">
        <f t="shared" si="3"/>
        <v>2</v>
      </c>
      <c r="C10" s="55">
        <f>Calculations!$B$27</f>
        <v>72.007666666666665</v>
      </c>
      <c r="D10" s="9">
        <f t="shared" si="0"/>
        <v>144.01533333333333</v>
      </c>
      <c r="E10" s="9">
        <f>Calculations!$B$30</f>
        <v>1500</v>
      </c>
      <c r="F10" s="9" t="b">
        <f t="shared" si="1"/>
        <v>1</v>
      </c>
    </row>
    <row r="11" spans="1:6" x14ac:dyDescent="0.3">
      <c r="A11" s="9">
        <f t="shared" si="2"/>
        <v>10</v>
      </c>
      <c r="B11" s="9">
        <f t="shared" si="3"/>
        <v>2</v>
      </c>
      <c r="C11" s="55">
        <f>Calculations!$B$27</f>
        <v>72.007666666666665</v>
      </c>
      <c r="D11" s="9">
        <f t="shared" si="0"/>
        <v>144.01533333333333</v>
      </c>
      <c r="E11" s="9">
        <f>Calculations!$B$30</f>
        <v>1500</v>
      </c>
      <c r="F11" s="9" t="b">
        <f t="shared" si="1"/>
        <v>1</v>
      </c>
    </row>
    <row r="12" spans="1:6" x14ac:dyDescent="0.3">
      <c r="A12" s="9">
        <f t="shared" si="2"/>
        <v>11</v>
      </c>
      <c r="B12" s="9">
        <f t="shared" si="3"/>
        <v>2</v>
      </c>
      <c r="C12" s="55">
        <f>Calculations!$B$27</f>
        <v>72.007666666666665</v>
      </c>
      <c r="D12" s="9">
        <f t="shared" si="0"/>
        <v>144.01533333333333</v>
      </c>
      <c r="E12" s="9">
        <f>Calculations!$B$30</f>
        <v>1500</v>
      </c>
      <c r="F12" s="9" t="b">
        <f t="shared" si="1"/>
        <v>1</v>
      </c>
    </row>
    <row r="13" spans="1:6" x14ac:dyDescent="0.3">
      <c r="A13" s="9">
        <f t="shared" si="2"/>
        <v>12</v>
      </c>
      <c r="B13" s="9">
        <f t="shared" si="3"/>
        <v>2</v>
      </c>
      <c r="C13" s="55">
        <f>Calculations!$B$27</f>
        <v>72.007666666666665</v>
      </c>
      <c r="D13" s="9">
        <f t="shared" si="0"/>
        <v>144.01533333333333</v>
      </c>
      <c r="E13" s="9">
        <f>Calculations!$B$30</f>
        <v>1500</v>
      </c>
      <c r="F13" s="9" t="b">
        <f t="shared" si="1"/>
        <v>1</v>
      </c>
    </row>
    <row r="14" spans="1:6" x14ac:dyDescent="0.3">
      <c r="A14" s="9">
        <f t="shared" si="2"/>
        <v>13</v>
      </c>
      <c r="B14" s="9">
        <f t="shared" si="3"/>
        <v>2</v>
      </c>
      <c r="C14" s="55">
        <f>Calculations!$B$27</f>
        <v>72.007666666666665</v>
      </c>
      <c r="D14" s="9">
        <f t="shared" si="0"/>
        <v>144.01533333333333</v>
      </c>
      <c r="E14" s="9">
        <f>Calculations!$B$30</f>
        <v>1500</v>
      </c>
      <c r="F14" s="9" t="b">
        <f t="shared" si="1"/>
        <v>1</v>
      </c>
    </row>
    <row r="15" spans="1:6" x14ac:dyDescent="0.3">
      <c r="A15" s="9">
        <f t="shared" si="2"/>
        <v>14</v>
      </c>
      <c r="B15" s="9">
        <f t="shared" si="3"/>
        <v>2</v>
      </c>
      <c r="C15" s="55">
        <f>Calculations!$B$27</f>
        <v>72.007666666666665</v>
      </c>
      <c r="D15" s="9">
        <f t="shared" si="0"/>
        <v>144.01533333333333</v>
      </c>
      <c r="E15" s="9">
        <f>Calculations!$B$30</f>
        <v>1500</v>
      </c>
      <c r="F15" s="9" t="b">
        <f t="shared" si="1"/>
        <v>1</v>
      </c>
    </row>
    <row r="16" spans="1:6" x14ac:dyDescent="0.3">
      <c r="A16" s="9">
        <f t="shared" si="2"/>
        <v>15</v>
      </c>
      <c r="B16" s="9">
        <f t="shared" si="3"/>
        <v>2</v>
      </c>
      <c r="C16" s="55">
        <f>Calculations!$B$27</f>
        <v>72.007666666666665</v>
      </c>
      <c r="D16" s="9">
        <f t="shared" si="0"/>
        <v>144.01533333333333</v>
      </c>
      <c r="E16" s="9">
        <f>Calculations!$B$30</f>
        <v>1500</v>
      </c>
      <c r="F16" s="9" t="b">
        <f t="shared" si="1"/>
        <v>1</v>
      </c>
    </row>
    <row r="17" spans="1:6" x14ac:dyDescent="0.3">
      <c r="A17" s="9">
        <f t="shared" si="2"/>
        <v>16</v>
      </c>
      <c r="B17" s="9">
        <f t="shared" si="3"/>
        <v>2</v>
      </c>
      <c r="C17" s="55">
        <f>Calculations!$B$27</f>
        <v>72.007666666666665</v>
      </c>
      <c r="D17" s="9">
        <f t="shared" si="0"/>
        <v>144.01533333333333</v>
      </c>
      <c r="E17" s="9">
        <f>Calculations!$B$30</f>
        <v>1500</v>
      </c>
      <c r="F17" s="9" t="b">
        <f t="shared" si="1"/>
        <v>1</v>
      </c>
    </row>
    <row r="18" spans="1:6" x14ac:dyDescent="0.3">
      <c r="A18" s="9">
        <f t="shared" si="2"/>
        <v>17</v>
      </c>
      <c r="B18" s="9">
        <f t="shared" si="3"/>
        <v>2</v>
      </c>
      <c r="C18" s="55">
        <f>Calculations!$B$27</f>
        <v>72.007666666666665</v>
      </c>
      <c r="D18" s="9">
        <f t="shared" si="0"/>
        <v>144.01533333333333</v>
      </c>
      <c r="E18" s="9">
        <f>Calculations!$B$30</f>
        <v>1500</v>
      </c>
      <c r="F18" s="9" t="b">
        <f t="shared" si="1"/>
        <v>1</v>
      </c>
    </row>
    <row r="19" spans="1:6" x14ac:dyDescent="0.3">
      <c r="A19" s="9">
        <f t="shared" si="2"/>
        <v>18</v>
      </c>
      <c r="B19" s="9">
        <f t="shared" si="3"/>
        <v>2</v>
      </c>
      <c r="C19" s="55">
        <f>Calculations!$B$27</f>
        <v>72.007666666666665</v>
      </c>
      <c r="D19" s="9">
        <f t="shared" si="0"/>
        <v>144.01533333333333</v>
      </c>
      <c r="E19" s="9">
        <f>Calculations!$B$30</f>
        <v>1500</v>
      </c>
      <c r="F19" s="9" t="b">
        <f t="shared" si="1"/>
        <v>1</v>
      </c>
    </row>
    <row r="20" spans="1:6" x14ac:dyDescent="0.3">
      <c r="A20" s="9">
        <f t="shared" si="2"/>
        <v>19</v>
      </c>
      <c r="B20" s="9">
        <f t="shared" si="3"/>
        <v>2</v>
      </c>
      <c r="C20" s="55">
        <f>Calculations!$B$27</f>
        <v>72.007666666666665</v>
      </c>
      <c r="D20" s="9">
        <f t="shared" si="0"/>
        <v>144.01533333333333</v>
      </c>
      <c r="E20" s="9">
        <f>Calculations!$B$30</f>
        <v>1500</v>
      </c>
      <c r="F20" s="9" t="b">
        <f t="shared" si="1"/>
        <v>1</v>
      </c>
    </row>
    <row r="21" spans="1:6" x14ac:dyDescent="0.3">
      <c r="A21" s="9">
        <f t="shared" si="2"/>
        <v>20</v>
      </c>
      <c r="B21" s="9">
        <f t="shared" si="3"/>
        <v>2</v>
      </c>
      <c r="C21" s="55">
        <f>Calculations!$B$27</f>
        <v>72.007666666666665</v>
      </c>
      <c r="D21" s="9">
        <f t="shared" si="0"/>
        <v>144.01533333333333</v>
      </c>
      <c r="E21" s="9">
        <f>Calculations!$B$30</f>
        <v>1500</v>
      </c>
      <c r="F21" s="9" t="b">
        <f t="shared" si="1"/>
        <v>1</v>
      </c>
    </row>
    <row r="22" spans="1:6" x14ac:dyDescent="0.3">
      <c r="A22" s="9">
        <f t="shared" si="2"/>
        <v>21</v>
      </c>
      <c r="B22" s="9">
        <f t="shared" si="3"/>
        <v>2</v>
      </c>
      <c r="C22" s="55">
        <f>Calculations!$B$27</f>
        <v>72.007666666666665</v>
      </c>
      <c r="D22" s="9">
        <f t="shared" si="0"/>
        <v>144.01533333333333</v>
      </c>
      <c r="E22" s="9">
        <f>Calculations!$B$30</f>
        <v>1500</v>
      </c>
      <c r="F22" s="9" t="b">
        <f t="shared" si="1"/>
        <v>1</v>
      </c>
    </row>
    <row r="23" spans="1:6" x14ac:dyDescent="0.3">
      <c r="A23" s="9">
        <f t="shared" si="2"/>
        <v>22</v>
      </c>
      <c r="B23" s="9">
        <f t="shared" si="3"/>
        <v>2</v>
      </c>
      <c r="C23" s="55">
        <f>Calculations!$B$27</f>
        <v>72.007666666666665</v>
      </c>
      <c r="D23" s="9">
        <f t="shared" si="0"/>
        <v>144.01533333333333</v>
      </c>
      <c r="E23" s="9">
        <f>Calculations!$B$30</f>
        <v>1500</v>
      </c>
      <c r="F23" s="9" t="b">
        <f t="shared" si="1"/>
        <v>1</v>
      </c>
    </row>
    <row r="24" spans="1:6" x14ac:dyDescent="0.3">
      <c r="A24" s="9">
        <f t="shared" si="2"/>
        <v>23</v>
      </c>
      <c r="B24" s="9">
        <f t="shared" si="3"/>
        <v>2</v>
      </c>
      <c r="C24" s="55">
        <f>Calculations!$B$27</f>
        <v>72.007666666666665</v>
      </c>
      <c r="D24" s="9">
        <f t="shared" si="0"/>
        <v>144.01533333333333</v>
      </c>
      <c r="E24" s="9">
        <f>Calculations!$B$30</f>
        <v>1500</v>
      </c>
      <c r="F24" s="9" t="b">
        <f t="shared" si="1"/>
        <v>1</v>
      </c>
    </row>
    <row r="25" spans="1:6" x14ac:dyDescent="0.3">
      <c r="A25" s="9">
        <f t="shared" si="2"/>
        <v>24</v>
      </c>
      <c r="B25" s="9">
        <f t="shared" si="3"/>
        <v>2</v>
      </c>
      <c r="C25" s="55">
        <f>Calculations!$B$27</f>
        <v>72.007666666666665</v>
      </c>
      <c r="D25" s="9">
        <f t="shared" si="0"/>
        <v>144.01533333333333</v>
      </c>
      <c r="E25" s="9">
        <f>Calculations!$B$30</f>
        <v>1500</v>
      </c>
      <c r="F25" s="9" t="b">
        <f t="shared" si="1"/>
        <v>1</v>
      </c>
    </row>
    <row r="26" spans="1:6" x14ac:dyDescent="0.3">
      <c r="A26" s="9">
        <f t="shared" si="2"/>
        <v>25</v>
      </c>
      <c r="B26" s="9">
        <f t="shared" si="3"/>
        <v>2</v>
      </c>
      <c r="C26" s="55">
        <f>Calculations!$B$27</f>
        <v>72.007666666666665</v>
      </c>
      <c r="D26" s="9">
        <f t="shared" si="0"/>
        <v>144.01533333333333</v>
      </c>
      <c r="E26" s="9">
        <f>Calculations!$B$30</f>
        <v>1500</v>
      </c>
      <c r="F26" s="9" t="b">
        <f t="shared" si="1"/>
        <v>1</v>
      </c>
    </row>
    <row r="27" spans="1:6" x14ac:dyDescent="0.3">
      <c r="A27" s="9">
        <f t="shared" si="2"/>
        <v>26</v>
      </c>
      <c r="B27" s="9">
        <f t="shared" si="3"/>
        <v>2</v>
      </c>
      <c r="C27" s="55">
        <f>Calculations!$B$27</f>
        <v>72.007666666666665</v>
      </c>
      <c r="D27" s="9">
        <f t="shared" si="0"/>
        <v>144.01533333333333</v>
      </c>
      <c r="E27" s="9">
        <f>Calculations!$B$30</f>
        <v>1500</v>
      </c>
      <c r="F27" s="9" t="b">
        <f t="shared" si="1"/>
        <v>1</v>
      </c>
    </row>
    <row r="28" spans="1:6" x14ac:dyDescent="0.3">
      <c r="A28" s="9">
        <f t="shared" si="2"/>
        <v>27</v>
      </c>
      <c r="B28" s="9">
        <f t="shared" si="3"/>
        <v>2</v>
      </c>
      <c r="C28" s="55">
        <f>Calculations!$B$27</f>
        <v>72.007666666666665</v>
      </c>
      <c r="D28" s="9">
        <f t="shared" si="0"/>
        <v>144.01533333333333</v>
      </c>
      <c r="E28" s="9">
        <f>Calculations!$B$30</f>
        <v>1500</v>
      </c>
      <c r="F28" s="9" t="b">
        <f t="shared" si="1"/>
        <v>1</v>
      </c>
    </row>
    <row r="29" spans="1:6" x14ac:dyDescent="0.3">
      <c r="A29" s="9">
        <f t="shared" si="2"/>
        <v>28</v>
      </c>
      <c r="B29" s="9">
        <f t="shared" si="3"/>
        <v>2</v>
      </c>
      <c r="C29" s="55">
        <f>Calculations!$B$27</f>
        <v>72.007666666666665</v>
      </c>
      <c r="D29" s="9">
        <f t="shared" si="0"/>
        <v>144.01533333333333</v>
      </c>
      <c r="E29" s="9">
        <f>Calculations!$B$30</f>
        <v>1500</v>
      </c>
      <c r="F29" s="9" t="b">
        <f t="shared" si="1"/>
        <v>1</v>
      </c>
    </row>
    <row r="30" spans="1:6" x14ac:dyDescent="0.3">
      <c r="A30" s="9">
        <f t="shared" si="2"/>
        <v>29</v>
      </c>
      <c r="B30" s="9">
        <f t="shared" si="3"/>
        <v>2</v>
      </c>
      <c r="C30" s="55">
        <f>Calculations!$B$27</f>
        <v>72.007666666666665</v>
      </c>
      <c r="D30" s="9">
        <f t="shared" si="0"/>
        <v>144.01533333333333</v>
      </c>
      <c r="E30" s="9">
        <f>Calculations!$B$30</f>
        <v>1500</v>
      </c>
      <c r="F30" s="9" t="b">
        <f t="shared" si="1"/>
        <v>1</v>
      </c>
    </row>
    <row r="31" spans="1:6" x14ac:dyDescent="0.3">
      <c r="A31" s="9">
        <f t="shared" si="2"/>
        <v>30</v>
      </c>
      <c r="B31" s="9">
        <f t="shared" si="3"/>
        <v>2</v>
      </c>
      <c r="C31" s="55">
        <f>Calculations!$B$27</f>
        <v>72.007666666666665</v>
      </c>
      <c r="D31" s="9">
        <f t="shared" si="0"/>
        <v>144.01533333333333</v>
      </c>
      <c r="E31" s="9">
        <f>Calculations!$B$30</f>
        <v>1500</v>
      </c>
      <c r="F31" s="9" t="b">
        <f t="shared" si="1"/>
        <v>1</v>
      </c>
    </row>
    <row r="32" spans="1:6" x14ac:dyDescent="0.3">
      <c r="A32" s="9">
        <f t="shared" si="2"/>
        <v>31</v>
      </c>
      <c r="B32" s="9">
        <f t="shared" si="3"/>
        <v>2</v>
      </c>
      <c r="C32" s="55">
        <f>Calculations!$B$27</f>
        <v>72.007666666666665</v>
      </c>
      <c r="D32" s="9">
        <f t="shared" si="0"/>
        <v>144.01533333333333</v>
      </c>
      <c r="E32" s="9">
        <f>Calculations!$B$30</f>
        <v>1500</v>
      </c>
      <c r="F32" s="9" t="b">
        <f t="shared" si="1"/>
        <v>1</v>
      </c>
    </row>
    <row r="33" spans="1:6" x14ac:dyDescent="0.3">
      <c r="A33" s="9">
        <f t="shared" si="2"/>
        <v>32</v>
      </c>
      <c r="B33" s="9">
        <f t="shared" si="3"/>
        <v>2</v>
      </c>
      <c r="C33" s="55">
        <f>Calculations!$B$27</f>
        <v>72.007666666666665</v>
      </c>
      <c r="D33" s="9">
        <f t="shared" si="0"/>
        <v>144.01533333333333</v>
      </c>
      <c r="E33" s="9">
        <f>Calculations!$B$30</f>
        <v>1500</v>
      </c>
      <c r="F33" s="9" t="b">
        <f t="shared" si="1"/>
        <v>1</v>
      </c>
    </row>
    <row r="34" spans="1:6" x14ac:dyDescent="0.3">
      <c r="A34" s="9">
        <f t="shared" si="2"/>
        <v>33</v>
      </c>
      <c r="B34" s="9">
        <f t="shared" si="3"/>
        <v>2</v>
      </c>
      <c r="C34" s="55">
        <f>Calculations!$B$27</f>
        <v>72.007666666666665</v>
      </c>
      <c r="D34" s="9">
        <f t="shared" si="0"/>
        <v>144.01533333333333</v>
      </c>
      <c r="E34" s="9">
        <f>Calculations!$B$30</f>
        <v>1500</v>
      </c>
      <c r="F34" s="9" t="b">
        <f t="shared" si="1"/>
        <v>1</v>
      </c>
    </row>
    <row r="35" spans="1:6" x14ac:dyDescent="0.3">
      <c r="A35" s="9">
        <f t="shared" si="2"/>
        <v>34</v>
      </c>
      <c r="B35" s="9">
        <f t="shared" si="3"/>
        <v>2</v>
      </c>
      <c r="C35" s="55">
        <f>Calculations!$B$27</f>
        <v>72.007666666666665</v>
      </c>
      <c r="D35" s="9">
        <f t="shared" si="0"/>
        <v>144.01533333333333</v>
      </c>
      <c r="E35" s="9">
        <f>Calculations!$B$30</f>
        <v>1500</v>
      </c>
      <c r="F35" s="9" t="b">
        <f t="shared" si="1"/>
        <v>1</v>
      </c>
    </row>
    <row r="36" spans="1:6" x14ac:dyDescent="0.3">
      <c r="A36" s="9">
        <f t="shared" si="2"/>
        <v>35</v>
      </c>
      <c r="B36" s="9">
        <f t="shared" si="3"/>
        <v>2</v>
      </c>
      <c r="C36" s="55">
        <f>Calculations!$B$27</f>
        <v>72.007666666666665</v>
      </c>
      <c r="D36" s="9">
        <f t="shared" si="0"/>
        <v>144.01533333333333</v>
      </c>
      <c r="E36" s="9">
        <f>Calculations!$B$30</f>
        <v>1500</v>
      </c>
      <c r="F36" s="9" t="b">
        <f t="shared" si="1"/>
        <v>1</v>
      </c>
    </row>
    <row r="37" spans="1:6" x14ac:dyDescent="0.3">
      <c r="A37" s="9">
        <f t="shared" si="2"/>
        <v>36</v>
      </c>
      <c r="B37" s="9">
        <f t="shared" si="3"/>
        <v>2</v>
      </c>
      <c r="C37" s="55">
        <f>Calculations!$B$27</f>
        <v>72.007666666666665</v>
      </c>
      <c r="D37" s="9">
        <f t="shared" si="0"/>
        <v>144.01533333333333</v>
      </c>
      <c r="E37" s="9">
        <f>Calculations!$B$30</f>
        <v>1500</v>
      </c>
      <c r="F37" s="9" t="b">
        <f t="shared" si="1"/>
        <v>1</v>
      </c>
    </row>
    <row r="38" spans="1:6" x14ac:dyDescent="0.3">
      <c r="A38" s="9">
        <f t="shared" si="2"/>
        <v>37</v>
      </c>
      <c r="B38" s="9">
        <f t="shared" si="3"/>
        <v>2</v>
      </c>
      <c r="C38" s="55">
        <f>Calculations!$B$27</f>
        <v>72.007666666666665</v>
      </c>
      <c r="D38" s="9">
        <f t="shared" si="0"/>
        <v>144.01533333333333</v>
      </c>
      <c r="E38" s="9">
        <f>Calculations!$B$30</f>
        <v>1500</v>
      </c>
      <c r="F38" s="9" t="b">
        <f t="shared" si="1"/>
        <v>1</v>
      </c>
    </row>
    <row r="39" spans="1:6" x14ac:dyDescent="0.3">
      <c r="A39" s="9">
        <f t="shared" si="2"/>
        <v>38</v>
      </c>
      <c r="B39" s="9">
        <f>IF(($B38-0.5)&gt;=2,($B38-0.5),2)</f>
        <v>2</v>
      </c>
      <c r="C39" s="55">
        <f>Calculations!$B$27</f>
        <v>72.007666666666665</v>
      </c>
      <c r="D39" s="9">
        <f t="shared" si="0"/>
        <v>144.01533333333333</v>
      </c>
      <c r="E39" s="9">
        <f>Calculations!$B$30</f>
        <v>1500</v>
      </c>
      <c r="F39" s="9" t="b">
        <f t="shared" si="1"/>
        <v>1</v>
      </c>
    </row>
    <row r="40" spans="1:6" x14ac:dyDescent="0.3">
      <c r="A40" s="9">
        <f t="shared" si="2"/>
        <v>39</v>
      </c>
      <c r="B40" s="9">
        <f t="shared" si="3"/>
        <v>2</v>
      </c>
      <c r="C40" s="55">
        <f>Calculations!$B$27</f>
        <v>72.007666666666665</v>
      </c>
      <c r="D40" s="9">
        <f t="shared" si="0"/>
        <v>144.01533333333333</v>
      </c>
      <c r="E40" s="9">
        <f>Calculations!$B$30</f>
        <v>1500</v>
      </c>
      <c r="F40" s="9" t="b">
        <f t="shared" si="1"/>
        <v>1</v>
      </c>
    </row>
    <row r="41" spans="1:6" x14ac:dyDescent="0.3">
      <c r="A41" s="9">
        <f t="shared" si="2"/>
        <v>40</v>
      </c>
      <c r="B41" s="9">
        <f t="shared" si="3"/>
        <v>2</v>
      </c>
      <c r="C41" s="55">
        <f>Calculations!$B$27</f>
        <v>72.007666666666665</v>
      </c>
      <c r="D41" s="9">
        <f t="shared" si="0"/>
        <v>144.01533333333333</v>
      </c>
      <c r="E41" s="9">
        <f>Calculations!$B$30</f>
        <v>1500</v>
      </c>
      <c r="F41" s="9" t="b">
        <f t="shared" si="1"/>
        <v>1</v>
      </c>
    </row>
    <row r="42" spans="1:6" x14ac:dyDescent="0.3">
      <c r="A42" s="9">
        <f t="shared" si="2"/>
        <v>41</v>
      </c>
      <c r="B42" s="9">
        <f t="shared" si="3"/>
        <v>2</v>
      </c>
      <c r="C42" s="55">
        <f>Calculations!$B$27</f>
        <v>72.007666666666665</v>
      </c>
      <c r="D42" s="9">
        <f t="shared" si="0"/>
        <v>144.01533333333333</v>
      </c>
      <c r="E42" s="9">
        <f>Calculations!$B$30</f>
        <v>1500</v>
      </c>
      <c r="F42" s="9" t="b">
        <f t="shared" si="1"/>
        <v>1</v>
      </c>
    </row>
    <row r="43" spans="1:6" x14ac:dyDescent="0.3">
      <c r="B43" s="48">
        <f>_xlfn.XLOOKUP(TRUE,F2:F42,B2:B42,"No")</f>
        <v>6</v>
      </c>
      <c r="D43" s="48">
        <f>_xlfn.XLOOKUP(TRUE,F2:F42,D2:D42,"No")</f>
        <v>432.04599999999999</v>
      </c>
      <c r="F43" t="s">
        <v>73</v>
      </c>
    </row>
    <row r="45" spans="1:6" ht="28.8" x14ac:dyDescent="0.3">
      <c r="A45" s="9" t="s">
        <v>67</v>
      </c>
      <c r="B45" s="9" t="s">
        <v>68</v>
      </c>
      <c r="C45" s="9" t="s">
        <v>69</v>
      </c>
      <c r="D45" s="9" t="s">
        <v>70</v>
      </c>
      <c r="E45" s="9" t="s">
        <v>74</v>
      </c>
      <c r="F45" s="9" t="s">
        <v>72</v>
      </c>
    </row>
    <row r="46" spans="1:6" x14ac:dyDescent="0.3">
      <c r="A46" s="9">
        <v>1</v>
      </c>
      <c r="B46" s="55">
        <f>Calculations!B32</f>
        <v>6</v>
      </c>
      <c r="C46" s="55">
        <f>Calculations!$B$27</f>
        <v>72.007666666666665</v>
      </c>
      <c r="D46" s="9">
        <f>B46*C46</f>
        <v>432.04599999999999</v>
      </c>
      <c r="E46" s="9">
        <f>'Strut loads'!I29</f>
        <v>3550</v>
      </c>
      <c r="F46" s="9" t="b">
        <f>IF(D46 &lt;  (0.9* E46),TRUE,FALSE)</f>
        <v>1</v>
      </c>
    </row>
    <row r="47" spans="1:6" x14ac:dyDescent="0.3">
      <c r="A47" s="9">
        <f>1+A46</f>
        <v>2</v>
      </c>
      <c r="B47" s="9">
        <f>IF(($B46-0.5)&gt;=2,($B46-0.5),2)</f>
        <v>5.5</v>
      </c>
      <c r="C47" s="55">
        <f>Calculations!$B$27</f>
        <v>72.007666666666665</v>
      </c>
      <c r="D47" s="9">
        <f t="shared" ref="D47:D91" si="4">B47*C47</f>
        <v>396.04216666666667</v>
      </c>
      <c r="E47" s="9">
        <f>'Strut loads'!$I$29</f>
        <v>3550</v>
      </c>
      <c r="F47" s="9" t="b">
        <f t="shared" ref="F47:F91" si="5">IF(D47 &lt;  (0.9* E47),TRUE,FALSE)</f>
        <v>1</v>
      </c>
    </row>
    <row r="48" spans="1:6" x14ac:dyDescent="0.3">
      <c r="A48" s="9">
        <f t="shared" ref="A48:A55" si="6">1+A47</f>
        <v>3</v>
      </c>
      <c r="B48" s="9">
        <f t="shared" ref="B48:B91" si="7">IF(($B47-0.5)&gt;=2,($B47-0.5),2)</f>
        <v>5</v>
      </c>
      <c r="C48" s="55">
        <f>Calculations!$B$27</f>
        <v>72.007666666666665</v>
      </c>
      <c r="D48" s="9">
        <f t="shared" si="4"/>
        <v>360.0383333333333</v>
      </c>
      <c r="E48" s="9">
        <f>'Strut loads'!$I$29</f>
        <v>3550</v>
      </c>
      <c r="F48" s="9" t="b">
        <f t="shared" si="5"/>
        <v>1</v>
      </c>
    </row>
    <row r="49" spans="1:6" x14ac:dyDescent="0.3">
      <c r="A49" s="9">
        <f t="shared" si="6"/>
        <v>4</v>
      </c>
      <c r="B49" s="9">
        <f t="shared" si="7"/>
        <v>4.5</v>
      </c>
      <c r="C49" s="55">
        <f>Calculations!$B$27</f>
        <v>72.007666666666665</v>
      </c>
      <c r="D49" s="9">
        <f t="shared" si="4"/>
        <v>324.03449999999998</v>
      </c>
      <c r="E49" s="9">
        <f>'Strut loads'!$I$29</f>
        <v>3550</v>
      </c>
      <c r="F49" s="9" t="b">
        <f t="shared" si="5"/>
        <v>1</v>
      </c>
    </row>
    <row r="50" spans="1:6" x14ac:dyDescent="0.3">
      <c r="A50" s="9">
        <f t="shared" si="6"/>
        <v>5</v>
      </c>
      <c r="B50" s="9">
        <f t="shared" si="7"/>
        <v>4</v>
      </c>
      <c r="C50" s="55">
        <f>Calculations!$B$27</f>
        <v>72.007666666666665</v>
      </c>
      <c r="D50" s="9">
        <f t="shared" si="4"/>
        <v>288.03066666666666</v>
      </c>
      <c r="E50" s="9">
        <f>'Strut loads'!$I$29</f>
        <v>3550</v>
      </c>
      <c r="F50" s="9" t="b">
        <f t="shared" si="5"/>
        <v>1</v>
      </c>
    </row>
    <row r="51" spans="1:6" x14ac:dyDescent="0.3">
      <c r="A51" s="9">
        <f t="shared" si="6"/>
        <v>6</v>
      </c>
      <c r="B51" s="9">
        <f t="shared" si="7"/>
        <v>3.5</v>
      </c>
      <c r="C51" s="55">
        <f>Calculations!$B$27</f>
        <v>72.007666666666665</v>
      </c>
      <c r="D51" s="9">
        <f t="shared" si="4"/>
        <v>252.02683333333334</v>
      </c>
      <c r="E51" s="9">
        <f>'Strut loads'!$I$29</f>
        <v>3550</v>
      </c>
      <c r="F51" s="9" t="b">
        <f t="shared" si="5"/>
        <v>1</v>
      </c>
    </row>
    <row r="52" spans="1:6" x14ac:dyDescent="0.3">
      <c r="A52" s="9">
        <f t="shared" si="6"/>
        <v>7</v>
      </c>
      <c r="B52" s="9">
        <f t="shared" si="7"/>
        <v>3</v>
      </c>
      <c r="C52" s="55">
        <f>Calculations!$B$27</f>
        <v>72.007666666666665</v>
      </c>
      <c r="D52" s="9">
        <f t="shared" si="4"/>
        <v>216.023</v>
      </c>
      <c r="E52" s="9">
        <f>'Strut loads'!$I$29</f>
        <v>3550</v>
      </c>
      <c r="F52" s="9" t="b">
        <f t="shared" si="5"/>
        <v>1</v>
      </c>
    </row>
    <row r="53" spans="1:6" x14ac:dyDescent="0.3">
      <c r="A53" s="9">
        <f t="shared" si="6"/>
        <v>8</v>
      </c>
      <c r="B53" s="9">
        <f t="shared" si="7"/>
        <v>2.5</v>
      </c>
      <c r="C53" s="55">
        <f>Calculations!$B$27</f>
        <v>72.007666666666665</v>
      </c>
      <c r="D53" s="9">
        <f t="shared" si="4"/>
        <v>180.01916666666665</v>
      </c>
      <c r="E53" s="9">
        <f>'Strut loads'!$I$29</f>
        <v>3550</v>
      </c>
      <c r="F53" s="9" t="b">
        <f t="shared" si="5"/>
        <v>1</v>
      </c>
    </row>
    <row r="54" spans="1:6" x14ac:dyDescent="0.3">
      <c r="A54" s="9">
        <f t="shared" si="6"/>
        <v>9</v>
      </c>
      <c r="B54" s="9">
        <f t="shared" si="7"/>
        <v>2</v>
      </c>
      <c r="C54" s="55">
        <f>Calculations!$B$27</f>
        <v>72.007666666666665</v>
      </c>
      <c r="D54" s="9">
        <f t="shared" si="4"/>
        <v>144.01533333333333</v>
      </c>
      <c r="E54" s="9">
        <f>'Strut loads'!$I$29</f>
        <v>3550</v>
      </c>
      <c r="F54" s="9" t="b">
        <f t="shared" si="5"/>
        <v>1</v>
      </c>
    </row>
    <row r="55" spans="1:6" x14ac:dyDescent="0.3">
      <c r="A55" s="9">
        <f t="shared" si="6"/>
        <v>10</v>
      </c>
      <c r="B55" s="9">
        <f t="shared" si="7"/>
        <v>2</v>
      </c>
      <c r="C55" s="55">
        <f>Calculations!$B$27</f>
        <v>72.007666666666665</v>
      </c>
      <c r="D55" s="9">
        <f t="shared" si="4"/>
        <v>144.01533333333333</v>
      </c>
      <c r="E55" s="9">
        <f>'Strut loads'!$I$29</f>
        <v>3550</v>
      </c>
      <c r="F55" s="9" t="b">
        <f t="shared" si="5"/>
        <v>1</v>
      </c>
    </row>
    <row r="56" spans="1:6" x14ac:dyDescent="0.3">
      <c r="A56" s="9">
        <f>1+A55</f>
        <v>11</v>
      </c>
      <c r="B56" s="9">
        <f t="shared" si="7"/>
        <v>2</v>
      </c>
      <c r="C56" s="55">
        <f>Calculations!$B$27</f>
        <v>72.007666666666665</v>
      </c>
      <c r="D56" s="9">
        <f t="shared" si="4"/>
        <v>144.01533333333333</v>
      </c>
      <c r="E56" s="9">
        <f>'Strut loads'!$I$29</f>
        <v>3550</v>
      </c>
      <c r="F56" s="9" t="b">
        <f t="shared" si="5"/>
        <v>1</v>
      </c>
    </row>
    <row r="57" spans="1:6" x14ac:dyDescent="0.3">
      <c r="A57" s="9">
        <f t="shared" ref="A57:A64" si="8">1+A56</f>
        <v>12</v>
      </c>
      <c r="B57" s="9">
        <f t="shared" si="7"/>
        <v>2</v>
      </c>
      <c r="C57" s="55">
        <f>Calculations!$B$27</f>
        <v>72.007666666666665</v>
      </c>
      <c r="D57" s="9">
        <f t="shared" si="4"/>
        <v>144.01533333333333</v>
      </c>
      <c r="E57" s="9">
        <f>'Strut loads'!$I$29</f>
        <v>3550</v>
      </c>
      <c r="F57" s="9" t="b">
        <f t="shared" si="5"/>
        <v>1</v>
      </c>
    </row>
    <row r="58" spans="1:6" x14ac:dyDescent="0.3">
      <c r="A58" s="9">
        <f t="shared" si="8"/>
        <v>13</v>
      </c>
      <c r="B58" s="9">
        <f t="shared" si="7"/>
        <v>2</v>
      </c>
      <c r="C58" s="55">
        <f>Calculations!$B$27</f>
        <v>72.007666666666665</v>
      </c>
      <c r="D58" s="9">
        <f t="shared" si="4"/>
        <v>144.01533333333333</v>
      </c>
      <c r="E58" s="9">
        <f>'Strut loads'!$I$29</f>
        <v>3550</v>
      </c>
      <c r="F58" s="9" t="b">
        <f t="shared" si="5"/>
        <v>1</v>
      </c>
    </row>
    <row r="59" spans="1:6" x14ac:dyDescent="0.3">
      <c r="A59" s="9">
        <f t="shared" si="8"/>
        <v>14</v>
      </c>
      <c r="B59" s="9">
        <f t="shared" si="7"/>
        <v>2</v>
      </c>
      <c r="C59" s="55">
        <f>Calculations!$B$27</f>
        <v>72.007666666666665</v>
      </c>
      <c r="D59" s="9">
        <f t="shared" si="4"/>
        <v>144.01533333333333</v>
      </c>
      <c r="E59" s="9">
        <f>'Strut loads'!$I$29</f>
        <v>3550</v>
      </c>
      <c r="F59" s="9" t="b">
        <f t="shared" si="5"/>
        <v>1</v>
      </c>
    </row>
    <row r="60" spans="1:6" x14ac:dyDescent="0.3">
      <c r="A60" s="9">
        <f t="shared" si="8"/>
        <v>15</v>
      </c>
      <c r="B60" s="9">
        <f t="shared" si="7"/>
        <v>2</v>
      </c>
      <c r="C60" s="55">
        <f>Calculations!$B$27</f>
        <v>72.007666666666665</v>
      </c>
      <c r="D60" s="9">
        <f t="shared" si="4"/>
        <v>144.01533333333333</v>
      </c>
      <c r="E60" s="9">
        <f>'Strut loads'!$I$29</f>
        <v>3550</v>
      </c>
      <c r="F60" s="9" t="b">
        <f t="shared" si="5"/>
        <v>1</v>
      </c>
    </row>
    <row r="61" spans="1:6" x14ac:dyDescent="0.3">
      <c r="A61" s="9">
        <f t="shared" si="8"/>
        <v>16</v>
      </c>
      <c r="B61" s="9">
        <f t="shared" si="7"/>
        <v>2</v>
      </c>
      <c r="C61" s="55">
        <f>Calculations!$B$27</f>
        <v>72.007666666666665</v>
      </c>
      <c r="D61" s="9">
        <f t="shared" si="4"/>
        <v>144.01533333333333</v>
      </c>
      <c r="E61" s="9">
        <f>'Strut loads'!$I$29</f>
        <v>3550</v>
      </c>
      <c r="F61" s="9" t="b">
        <f t="shared" si="5"/>
        <v>1</v>
      </c>
    </row>
    <row r="62" spans="1:6" x14ac:dyDescent="0.3">
      <c r="A62" s="9">
        <f t="shared" si="8"/>
        <v>17</v>
      </c>
      <c r="B62" s="9">
        <f t="shared" si="7"/>
        <v>2</v>
      </c>
      <c r="C62" s="55">
        <f>Calculations!$B$27</f>
        <v>72.007666666666665</v>
      </c>
      <c r="D62" s="9">
        <f t="shared" si="4"/>
        <v>144.01533333333333</v>
      </c>
      <c r="E62" s="9">
        <f>'Strut loads'!$I$29</f>
        <v>3550</v>
      </c>
      <c r="F62" s="9" t="b">
        <f t="shared" si="5"/>
        <v>1</v>
      </c>
    </row>
    <row r="63" spans="1:6" x14ac:dyDescent="0.3">
      <c r="A63" s="9">
        <f t="shared" si="8"/>
        <v>18</v>
      </c>
      <c r="B63" s="9">
        <f t="shared" si="7"/>
        <v>2</v>
      </c>
      <c r="C63" s="55">
        <f>Calculations!$B$27</f>
        <v>72.007666666666665</v>
      </c>
      <c r="D63" s="9">
        <f t="shared" si="4"/>
        <v>144.01533333333333</v>
      </c>
      <c r="E63" s="9">
        <f>'Strut loads'!$I$29</f>
        <v>3550</v>
      </c>
      <c r="F63" s="9" t="b">
        <f t="shared" si="5"/>
        <v>1</v>
      </c>
    </row>
    <row r="64" spans="1:6" x14ac:dyDescent="0.3">
      <c r="A64" s="9">
        <f t="shared" si="8"/>
        <v>19</v>
      </c>
      <c r="B64" s="9">
        <f t="shared" si="7"/>
        <v>2</v>
      </c>
      <c r="C64" s="55">
        <f>Calculations!$B$27</f>
        <v>72.007666666666665</v>
      </c>
      <c r="D64" s="9">
        <f t="shared" si="4"/>
        <v>144.01533333333333</v>
      </c>
      <c r="E64" s="9">
        <f>'Strut loads'!$I$29</f>
        <v>3550</v>
      </c>
      <c r="F64" s="9" t="b">
        <f t="shared" si="5"/>
        <v>1</v>
      </c>
    </row>
    <row r="65" spans="1:6" x14ac:dyDescent="0.3">
      <c r="A65" s="9">
        <f>1+A64</f>
        <v>20</v>
      </c>
      <c r="B65" s="9">
        <f t="shared" si="7"/>
        <v>2</v>
      </c>
      <c r="C65" s="55">
        <f>Calculations!$B$27</f>
        <v>72.007666666666665</v>
      </c>
      <c r="D65" s="9">
        <f t="shared" si="4"/>
        <v>144.01533333333333</v>
      </c>
      <c r="E65" s="9">
        <f>'Strut loads'!$I$29</f>
        <v>3550</v>
      </c>
      <c r="F65" s="9" t="b">
        <f t="shared" si="5"/>
        <v>1</v>
      </c>
    </row>
    <row r="66" spans="1:6" x14ac:dyDescent="0.3">
      <c r="A66" s="9">
        <f t="shared" ref="A66:A73" si="9">1+A65</f>
        <v>21</v>
      </c>
      <c r="B66" s="9">
        <f t="shared" si="7"/>
        <v>2</v>
      </c>
      <c r="C66" s="55">
        <f>Calculations!$B$27</f>
        <v>72.007666666666665</v>
      </c>
      <c r="D66" s="9">
        <f t="shared" si="4"/>
        <v>144.01533333333333</v>
      </c>
      <c r="E66" s="9">
        <f>'Strut loads'!$I$29</f>
        <v>3550</v>
      </c>
      <c r="F66" s="9" t="b">
        <f t="shared" si="5"/>
        <v>1</v>
      </c>
    </row>
    <row r="67" spans="1:6" x14ac:dyDescent="0.3">
      <c r="A67" s="9">
        <f t="shared" si="9"/>
        <v>22</v>
      </c>
      <c r="B67" s="9">
        <f t="shared" si="7"/>
        <v>2</v>
      </c>
      <c r="C67" s="55">
        <f>Calculations!$B$27</f>
        <v>72.007666666666665</v>
      </c>
      <c r="D67" s="9">
        <f t="shared" si="4"/>
        <v>144.01533333333333</v>
      </c>
      <c r="E67" s="9">
        <f>'Strut loads'!$I$29</f>
        <v>3550</v>
      </c>
      <c r="F67" s="9" t="b">
        <f t="shared" si="5"/>
        <v>1</v>
      </c>
    </row>
    <row r="68" spans="1:6" x14ac:dyDescent="0.3">
      <c r="A68" s="9">
        <f t="shared" si="9"/>
        <v>23</v>
      </c>
      <c r="B68" s="9">
        <f t="shared" si="7"/>
        <v>2</v>
      </c>
      <c r="C68" s="55">
        <f>Calculations!$B$27</f>
        <v>72.007666666666665</v>
      </c>
      <c r="D68" s="9">
        <f t="shared" si="4"/>
        <v>144.01533333333333</v>
      </c>
      <c r="E68" s="9">
        <f>'Strut loads'!$I$29</f>
        <v>3550</v>
      </c>
      <c r="F68" s="9" t="b">
        <f t="shared" si="5"/>
        <v>1</v>
      </c>
    </row>
    <row r="69" spans="1:6" x14ac:dyDescent="0.3">
      <c r="A69" s="9">
        <f t="shared" si="9"/>
        <v>24</v>
      </c>
      <c r="B69" s="9">
        <f t="shared" si="7"/>
        <v>2</v>
      </c>
      <c r="C69" s="55">
        <f>Calculations!$B$27</f>
        <v>72.007666666666665</v>
      </c>
      <c r="D69" s="9">
        <f t="shared" si="4"/>
        <v>144.01533333333333</v>
      </c>
      <c r="E69" s="9">
        <f>'Strut loads'!$I$29</f>
        <v>3550</v>
      </c>
      <c r="F69" s="9" t="b">
        <f t="shared" si="5"/>
        <v>1</v>
      </c>
    </row>
    <row r="70" spans="1:6" x14ac:dyDescent="0.3">
      <c r="A70" s="9">
        <f t="shared" si="9"/>
        <v>25</v>
      </c>
      <c r="B70" s="9">
        <f t="shared" si="7"/>
        <v>2</v>
      </c>
      <c r="C70" s="55">
        <f>Calculations!$B$27</f>
        <v>72.007666666666665</v>
      </c>
      <c r="D70" s="9">
        <f t="shared" si="4"/>
        <v>144.01533333333333</v>
      </c>
      <c r="E70" s="9">
        <f>'Strut loads'!$I$29</f>
        <v>3550</v>
      </c>
      <c r="F70" s="9" t="b">
        <f t="shared" si="5"/>
        <v>1</v>
      </c>
    </row>
    <row r="71" spans="1:6" x14ac:dyDescent="0.3">
      <c r="A71" s="9">
        <f t="shared" si="9"/>
        <v>26</v>
      </c>
      <c r="B71" s="9">
        <f t="shared" si="7"/>
        <v>2</v>
      </c>
      <c r="C71" s="55">
        <f>Calculations!$B$27</f>
        <v>72.007666666666665</v>
      </c>
      <c r="D71" s="9">
        <f t="shared" si="4"/>
        <v>144.01533333333333</v>
      </c>
      <c r="E71" s="9">
        <f>'Strut loads'!$I$29</f>
        <v>3550</v>
      </c>
      <c r="F71" s="9" t="b">
        <f t="shared" si="5"/>
        <v>1</v>
      </c>
    </row>
    <row r="72" spans="1:6" x14ac:dyDescent="0.3">
      <c r="A72" s="9">
        <f t="shared" si="9"/>
        <v>27</v>
      </c>
      <c r="B72" s="9">
        <f t="shared" si="7"/>
        <v>2</v>
      </c>
      <c r="C72" s="55">
        <f>Calculations!$B$27</f>
        <v>72.007666666666665</v>
      </c>
      <c r="D72" s="9">
        <f t="shared" si="4"/>
        <v>144.01533333333333</v>
      </c>
      <c r="E72" s="9">
        <f>'Strut loads'!$I$29</f>
        <v>3550</v>
      </c>
      <c r="F72" s="9" t="b">
        <f t="shared" si="5"/>
        <v>1</v>
      </c>
    </row>
    <row r="73" spans="1:6" x14ac:dyDescent="0.3">
      <c r="A73" s="9">
        <f t="shared" si="9"/>
        <v>28</v>
      </c>
      <c r="B73" s="9">
        <f t="shared" si="7"/>
        <v>2</v>
      </c>
      <c r="C73" s="55">
        <f>Calculations!$B$27</f>
        <v>72.007666666666665</v>
      </c>
      <c r="D73" s="9">
        <f t="shared" si="4"/>
        <v>144.01533333333333</v>
      </c>
      <c r="E73" s="9">
        <f>'Strut loads'!$I$29</f>
        <v>3550</v>
      </c>
      <c r="F73" s="9" t="b">
        <f t="shared" si="5"/>
        <v>1</v>
      </c>
    </row>
    <row r="74" spans="1:6" x14ac:dyDescent="0.3">
      <c r="A74" s="9">
        <f>1+A73</f>
        <v>29</v>
      </c>
      <c r="B74" s="9">
        <f t="shared" si="7"/>
        <v>2</v>
      </c>
      <c r="C74" s="55">
        <f>Calculations!$B$27</f>
        <v>72.007666666666665</v>
      </c>
      <c r="D74" s="9">
        <f t="shared" si="4"/>
        <v>144.01533333333333</v>
      </c>
      <c r="E74" s="9">
        <f>'Strut loads'!$I$29</f>
        <v>3550</v>
      </c>
      <c r="F74" s="9" t="b">
        <f t="shared" si="5"/>
        <v>1</v>
      </c>
    </row>
    <row r="75" spans="1:6" x14ac:dyDescent="0.3">
      <c r="A75" s="9">
        <f t="shared" ref="A75:A82" si="10">1+A74</f>
        <v>30</v>
      </c>
      <c r="B75" s="9">
        <f t="shared" si="7"/>
        <v>2</v>
      </c>
      <c r="C75" s="55">
        <f>Calculations!$B$27</f>
        <v>72.007666666666665</v>
      </c>
      <c r="D75" s="9">
        <f t="shared" si="4"/>
        <v>144.01533333333333</v>
      </c>
      <c r="E75" s="9">
        <f>'Strut loads'!$I$29</f>
        <v>3550</v>
      </c>
      <c r="F75" s="9" t="b">
        <f t="shared" si="5"/>
        <v>1</v>
      </c>
    </row>
    <row r="76" spans="1:6" x14ac:dyDescent="0.3">
      <c r="A76" s="9">
        <f t="shared" si="10"/>
        <v>31</v>
      </c>
      <c r="B76" s="9">
        <f t="shared" si="7"/>
        <v>2</v>
      </c>
      <c r="C76" s="55">
        <f>Calculations!$B$27</f>
        <v>72.007666666666665</v>
      </c>
      <c r="D76" s="9">
        <f t="shared" si="4"/>
        <v>144.01533333333333</v>
      </c>
      <c r="E76" s="9">
        <f>'Strut loads'!$I$29</f>
        <v>3550</v>
      </c>
      <c r="F76" s="9" t="b">
        <f t="shared" si="5"/>
        <v>1</v>
      </c>
    </row>
    <row r="77" spans="1:6" x14ac:dyDescent="0.3">
      <c r="A77" s="9">
        <f t="shared" si="10"/>
        <v>32</v>
      </c>
      <c r="B77" s="9">
        <f t="shared" si="7"/>
        <v>2</v>
      </c>
      <c r="C77" s="55">
        <f>Calculations!$B$27</f>
        <v>72.007666666666665</v>
      </c>
      <c r="D77" s="9">
        <f t="shared" si="4"/>
        <v>144.01533333333333</v>
      </c>
      <c r="E77" s="9">
        <f>'Strut loads'!$I$29</f>
        <v>3550</v>
      </c>
      <c r="F77" s="9" t="b">
        <f t="shared" si="5"/>
        <v>1</v>
      </c>
    </row>
    <row r="78" spans="1:6" x14ac:dyDescent="0.3">
      <c r="A78" s="9">
        <f t="shared" si="10"/>
        <v>33</v>
      </c>
      <c r="B78" s="9">
        <f t="shared" si="7"/>
        <v>2</v>
      </c>
      <c r="C78" s="55">
        <f>Calculations!$B$27</f>
        <v>72.007666666666665</v>
      </c>
      <c r="D78" s="9">
        <f t="shared" si="4"/>
        <v>144.01533333333333</v>
      </c>
      <c r="E78" s="9">
        <f>'Strut loads'!$I$29</f>
        <v>3550</v>
      </c>
      <c r="F78" s="9" t="b">
        <f t="shared" si="5"/>
        <v>1</v>
      </c>
    </row>
    <row r="79" spans="1:6" x14ac:dyDescent="0.3">
      <c r="A79" s="9">
        <f t="shared" si="10"/>
        <v>34</v>
      </c>
      <c r="B79" s="9">
        <f t="shared" si="7"/>
        <v>2</v>
      </c>
      <c r="C79" s="55">
        <f>Calculations!$B$27</f>
        <v>72.007666666666665</v>
      </c>
      <c r="D79" s="9">
        <f t="shared" si="4"/>
        <v>144.01533333333333</v>
      </c>
      <c r="E79" s="9">
        <f>'Strut loads'!$I$29</f>
        <v>3550</v>
      </c>
      <c r="F79" s="9" t="b">
        <f t="shared" si="5"/>
        <v>1</v>
      </c>
    </row>
    <row r="80" spans="1:6" x14ac:dyDescent="0.3">
      <c r="A80" s="9">
        <f t="shared" si="10"/>
        <v>35</v>
      </c>
      <c r="B80" s="9">
        <f t="shared" si="7"/>
        <v>2</v>
      </c>
      <c r="C80" s="55">
        <f>Calculations!$B$27</f>
        <v>72.007666666666665</v>
      </c>
      <c r="D80" s="9">
        <f t="shared" si="4"/>
        <v>144.01533333333333</v>
      </c>
      <c r="E80" s="9">
        <f>'Strut loads'!$I$29</f>
        <v>3550</v>
      </c>
      <c r="F80" s="9" t="b">
        <f t="shared" si="5"/>
        <v>1</v>
      </c>
    </row>
    <row r="81" spans="1:6" x14ac:dyDescent="0.3">
      <c r="A81" s="9">
        <f t="shared" si="10"/>
        <v>36</v>
      </c>
      <c r="B81" s="9">
        <f t="shared" si="7"/>
        <v>2</v>
      </c>
      <c r="C81" s="55">
        <f>Calculations!$B$27</f>
        <v>72.007666666666665</v>
      </c>
      <c r="D81" s="9">
        <f t="shared" si="4"/>
        <v>144.01533333333333</v>
      </c>
      <c r="E81" s="9">
        <f>'Strut loads'!$I$29</f>
        <v>3550</v>
      </c>
      <c r="F81" s="9" t="b">
        <f t="shared" si="5"/>
        <v>1</v>
      </c>
    </row>
    <row r="82" spans="1:6" x14ac:dyDescent="0.3">
      <c r="A82" s="9">
        <f t="shared" si="10"/>
        <v>37</v>
      </c>
      <c r="B82" s="9">
        <f t="shared" si="7"/>
        <v>2</v>
      </c>
      <c r="C82" s="55">
        <f>Calculations!$B$27</f>
        <v>72.007666666666665</v>
      </c>
      <c r="D82" s="9">
        <f t="shared" si="4"/>
        <v>144.01533333333333</v>
      </c>
      <c r="E82" s="9">
        <f>'Strut loads'!$I$29</f>
        <v>3550</v>
      </c>
      <c r="F82" s="9" t="b">
        <f t="shared" si="5"/>
        <v>1</v>
      </c>
    </row>
    <row r="83" spans="1:6" x14ac:dyDescent="0.3">
      <c r="A83" s="9">
        <f>1+A82</f>
        <v>38</v>
      </c>
      <c r="B83" s="9">
        <f t="shared" si="7"/>
        <v>2</v>
      </c>
      <c r="C83" s="55">
        <f>Calculations!$B$27</f>
        <v>72.007666666666665</v>
      </c>
      <c r="D83" s="9">
        <f t="shared" si="4"/>
        <v>144.01533333333333</v>
      </c>
      <c r="E83" s="9">
        <f>'Strut loads'!$I$29</f>
        <v>3550</v>
      </c>
      <c r="F83" s="9" t="b">
        <f t="shared" si="5"/>
        <v>1</v>
      </c>
    </row>
    <row r="84" spans="1:6" x14ac:dyDescent="0.3">
      <c r="A84" s="9">
        <f t="shared" ref="A84:A91" si="11">1+A83</f>
        <v>39</v>
      </c>
      <c r="B84" s="9">
        <f t="shared" si="7"/>
        <v>2</v>
      </c>
      <c r="C84" s="55">
        <f>Calculations!$B$27</f>
        <v>72.007666666666665</v>
      </c>
      <c r="D84" s="9">
        <f t="shared" si="4"/>
        <v>144.01533333333333</v>
      </c>
      <c r="E84" s="9">
        <f>'Strut loads'!$I$29</f>
        <v>3550</v>
      </c>
      <c r="F84" s="9" t="b">
        <f t="shared" si="5"/>
        <v>1</v>
      </c>
    </row>
    <row r="85" spans="1:6" x14ac:dyDescent="0.3">
      <c r="A85" s="9">
        <f t="shared" si="11"/>
        <v>40</v>
      </c>
      <c r="B85" s="9">
        <f t="shared" si="7"/>
        <v>2</v>
      </c>
      <c r="C85" s="55">
        <f>Calculations!$B$27</f>
        <v>72.007666666666665</v>
      </c>
      <c r="D85" s="9">
        <f t="shared" si="4"/>
        <v>144.01533333333333</v>
      </c>
      <c r="E85" s="9">
        <f>'Strut loads'!$I$29</f>
        <v>3550</v>
      </c>
      <c r="F85" s="9" t="b">
        <f t="shared" si="5"/>
        <v>1</v>
      </c>
    </row>
    <row r="86" spans="1:6" x14ac:dyDescent="0.3">
      <c r="A86" s="9">
        <f t="shared" si="11"/>
        <v>41</v>
      </c>
      <c r="B86" s="9">
        <f t="shared" si="7"/>
        <v>2</v>
      </c>
      <c r="C86" s="55">
        <f>Calculations!$B$27</f>
        <v>72.007666666666665</v>
      </c>
      <c r="D86" s="9">
        <f t="shared" si="4"/>
        <v>144.01533333333333</v>
      </c>
      <c r="E86" s="9">
        <f>'Strut loads'!$I$29</f>
        <v>3550</v>
      </c>
      <c r="F86" s="9" t="b">
        <f t="shared" si="5"/>
        <v>1</v>
      </c>
    </row>
    <row r="87" spans="1:6" x14ac:dyDescent="0.3">
      <c r="A87" s="9">
        <f t="shared" si="11"/>
        <v>42</v>
      </c>
      <c r="B87" s="9">
        <f t="shared" si="7"/>
        <v>2</v>
      </c>
      <c r="C87" s="55">
        <f>Calculations!$B$27</f>
        <v>72.007666666666665</v>
      </c>
      <c r="D87" s="9">
        <f t="shared" si="4"/>
        <v>144.01533333333333</v>
      </c>
      <c r="E87" s="9">
        <f>'Strut loads'!$I$29</f>
        <v>3550</v>
      </c>
      <c r="F87" s="9" t="b">
        <f t="shared" si="5"/>
        <v>1</v>
      </c>
    </row>
    <row r="88" spans="1:6" x14ac:dyDescent="0.3">
      <c r="A88" s="9">
        <f t="shared" si="11"/>
        <v>43</v>
      </c>
      <c r="B88" s="9">
        <f t="shared" si="7"/>
        <v>2</v>
      </c>
      <c r="C88" s="55">
        <f>Calculations!$B$27</f>
        <v>72.007666666666665</v>
      </c>
      <c r="D88" s="9">
        <f t="shared" si="4"/>
        <v>144.01533333333333</v>
      </c>
      <c r="E88" s="9">
        <f>'Strut loads'!$I$29</f>
        <v>3550</v>
      </c>
      <c r="F88" s="9" t="b">
        <f t="shared" si="5"/>
        <v>1</v>
      </c>
    </row>
    <row r="89" spans="1:6" x14ac:dyDescent="0.3">
      <c r="A89" s="9">
        <f t="shared" si="11"/>
        <v>44</v>
      </c>
      <c r="B89" s="9">
        <f t="shared" si="7"/>
        <v>2</v>
      </c>
      <c r="C89" s="55">
        <f>Calculations!$B$27</f>
        <v>72.007666666666665</v>
      </c>
      <c r="D89" s="9">
        <f t="shared" si="4"/>
        <v>144.01533333333333</v>
      </c>
      <c r="E89" s="9">
        <f>'Strut loads'!$I$29</f>
        <v>3550</v>
      </c>
      <c r="F89" s="9" t="b">
        <f t="shared" si="5"/>
        <v>1</v>
      </c>
    </row>
    <row r="90" spans="1:6" x14ac:dyDescent="0.3">
      <c r="A90" s="9">
        <f t="shared" si="11"/>
        <v>45</v>
      </c>
      <c r="B90" s="9">
        <f t="shared" si="7"/>
        <v>2</v>
      </c>
      <c r="C90" s="55">
        <f>Calculations!$B$27</f>
        <v>72.007666666666665</v>
      </c>
      <c r="D90" s="9">
        <f t="shared" si="4"/>
        <v>144.01533333333333</v>
      </c>
      <c r="E90" s="9">
        <f>'Strut loads'!$I$29</f>
        <v>3550</v>
      </c>
      <c r="F90" s="9" t="b">
        <f t="shared" si="5"/>
        <v>1</v>
      </c>
    </row>
    <row r="91" spans="1:6" x14ac:dyDescent="0.3">
      <c r="A91" s="9">
        <f t="shared" si="11"/>
        <v>46</v>
      </c>
      <c r="B91" s="9">
        <f t="shared" si="7"/>
        <v>2</v>
      </c>
      <c r="C91" s="55">
        <f>Calculations!$B$27</f>
        <v>72.007666666666665</v>
      </c>
      <c r="D91" s="9">
        <f t="shared" si="4"/>
        <v>144.01533333333333</v>
      </c>
      <c r="E91" s="9">
        <f>'Strut loads'!$I$29</f>
        <v>3550</v>
      </c>
      <c r="F91" s="9" t="b">
        <f t="shared" si="5"/>
        <v>1</v>
      </c>
    </row>
    <row r="92" spans="1:6" x14ac:dyDescent="0.3">
      <c r="B92" s="48">
        <f>_xlfn.XLOOKUP(TRUE,F46:F91,B46:B91,"No")</f>
        <v>6</v>
      </c>
      <c r="D92" s="48">
        <f>_xlfn.XLOOKUP(TRUE,F46:F91,D46:D91,"No")</f>
        <v>432.04599999999999</v>
      </c>
      <c r="F92" t="s">
        <v>75</v>
      </c>
    </row>
    <row r="94" spans="1:6" x14ac:dyDescent="0.3">
      <c r="A94" s="9" t="s">
        <v>67</v>
      </c>
      <c r="B94" s="9" t="s">
        <v>68</v>
      </c>
      <c r="C94" s="9" t="s">
        <v>69</v>
      </c>
      <c r="D94" s="9" t="s">
        <v>70</v>
      </c>
      <c r="E94" s="9" t="s">
        <v>76</v>
      </c>
      <c r="F94" s="9" t="s">
        <v>72</v>
      </c>
    </row>
    <row r="95" spans="1:6" x14ac:dyDescent="0.3">
      <c r="A95" s="9">
        <v>1</v>
      </c>
      <c r="B95" s="55">
        <f>Calculations!B32</f>
        <v>6</v>
      </c>
      <c r="C95" s="55">
        <f>Calculations!$B$27</f>
        <v>72.007666666666665</v>
      </c>
      <c r="D95" s="9">
        <f>B95*C95</f>
        <v>432.04599999999999</v>
      </c>
      <c r="E95" s="9">
        <f>'Strut loads'!$D$41</f>
        <v>722.5</v>
      </c>
      <c r="F95" s="9" t="b">
        <f>IF(D95 &lt;  (0.9* E95),TRUE,FALSE)</f>
        <v>1</v>
      </c>
    </row>
    <row r="96" spans="1:6" x14ac:dyDescent="0.3">
      <c r="A96" s="9">
        <f>1+A95</f>
        <v>2</v>
      </c>
      <c r="B96" s="9">
        <f>IF(($B95-0.5)&gt;=2,($B95-0.5),2)</f>
        <v>5.5</v>
      </c>
      <c r="C96" s="55">
        <f>Calculations!$B$27</f>
        <v>72.007666666666665</v>
      </c>
      <c r="D96" s="9">
        <f t="shared" ref="D96:D142" si="12">B96*C96</f>
        <v>396.04216666666667</v>
      </c>
      <c r="E96" s="9">
        <f>'Strut loads'!$D$41</f>
        <v>722.5</v>
      </c>
      <c r="F96" s="9" t="b">
        <f t="shared" ref="F96:F142" si="13">IF(D96 &lt;  (0.9* E96),TRUE,FALSE)</f>
        <v>1</v>
      </c>
    </row>
    <row r="97" spans="1:6" x14ac:dyDescent="0.3">
      <c r="A97" s="9">
        <f t="shared" ref="A97:A109" si="14">1+A96</f>
        <v>3</v>
      </c>
      <c r="B97" s="9">
        <f t="shared" ref="B97:B142" si="15">IF(($B96-0.5)&gt;=2,($B96-0.5),2)</f>
        <v>5</v>
      </c>
      <c r="C97" s="55">
        <f>Calculations!$B$27</f>
        <v>72.007666666666665</v>
      </c>
      <c r="D97" s="9">
        <f t="shared" si="12"/>
        <v>360.0383333333333</v>
      </c>
      <c r="E97" s="9">
        <f>'Strut loads'!$D$41</f>
        <v>722.5</v>
      </c>
      <c r="F97" s="9" t="b">
        <f t="shared" si="13"/>
        <v>1</v>
      </c>
    </row>
    <row r="98" spans="1:6" x14ac:dyDescent="0.3">
      <c r="A98" s="9">
        <f t="shared" si="14"/>
        <v>4</v>
      </c>
      <c r="B98" s="9">
        <f t="shared" si="15"/>
        <v>4.5</v>
      </c>
      <c r="C98" s="55">
        <f>Calculations!$B$27</f>
        <v>72.007666666666665</v>
      </c>
      <c r="D98" s="9">
        <f t="shared" si="12"/>
        <v>324.03449999999998</v>
      </c>
      <c r="E98" s="9">
        <f>'Strut loads'!$D$41</f>
        <v>722.5</v>
      </c>
      <c r="F98" s="9" t="b">
        <f t="shared" si="13"/>
        <v>1</v>
      </c>
    </row>
    <row r="99" spans="1:6" x14ac:dyDescent="0.3">
      <c r="A99" s="9">
        <f t="shared" si="14"/>
        <v>5</v>
      </c>
      <c r="B99" s="9">
        <f t="shared" si="15"/>
        <v>4</v>
      </c>
      <c r="C99" s="55">
        <f>Calculations!$B$27</f>
        <v>72.007666666666665</v>
      </c>
      <c r="D99" s="9">
        <f t="shared" si="12"/>
        <v>288.03066666666666</v>
      </c>
      <c r="E99" s="9">
        <f>'Strut loads'!$D$41</f>
        <v>722.5</v>
      </c>
      <c r="F99" s="9" t="b">
        <f t="shared" si="13"/>
        <v>1</v>
      </c>
    </row>
    <row r="100" spans="1:6" x14ac:dyDescent="0.3">
      <c r="A100" s="9">
        <f t="shared" si="14"/>
        <v>6</v>
      </c>
      <c r="B100" s="9">
        <f t="shared" si="15"/>
        <v>3.5</v>
      </c>
      <c r="C100" s="55">
        <f>Calculations!$B$27</f>
        <v>72.007666666666665</v>
      </c>
      <c r="D100" s="9">
        <f t="shared" si="12"/>
        <v>252.02683333333334</v>
      </c>
      <c r="E100" s="9">
        <f>'Strut loads'!$D$41</f>
        <v>722.5</v>
      </c>
      <c r="F100" s="9" t="b">
        <f t="shared" si="13"/>
        <v>1</v>
      </c>
    </row>
    <row r="101" spans="1:6" x14ac:dyDescent="0.3">
      <c r="A101" s="9">
        <f t="shared" si="14"/>
        <v>7</v>
      </c>
      <c r="B101" s="9">
        <f t="shared" si="15"/>
        <v>3</v>
      </c>
      <c r="C101" s="55">
        <f>Calculations!$B$27</f>
        <v>72.007666666666665</v>
      </c>
      <c r="D101" s="9">
        <f t="shared" si="12"/>
        <v>216.023</v>
      </c>
      <c r="E101" s="9">
        <f>'Strut loads'!$D$41</f>
        <v>722.5</v>
      </c>
      <c r="F101" s="9" t="b">
        <f t="shared" si="13"/>
        <v>1</v>
      </c>
    </row>
    <row r="102" spans="1:6" x14ac:dyDescent="0.3">
      <c r="A102" s="9">
        <f t="shared" si="14"/>
        <v>8</v>
      </c>
      <c r="B102" s="9">
        <f t="shared" si="15"/>
        <v>2.5</v>
      </c>
      <c r="C102" s="55">
        <f>Calculations!$B$27</f>
        <v>72.007666666666665</v>
      </c>
      <c r="D102" s="9">
        <f t="shared" si="12"/>
        <v>180.01916666666665</v>
      </c>
      <c r="E102" s="9">
        <f>'Strut loads'!$D$41</f>
        <v>722.5</v>
      </c>
      <c r="F102" s="9" t="b">
        <f t="shared" si="13"/>
        <v>1</v>
      </c>
    </row>
    <row r="103" spans="1:6" x14ac:dyDescent="0.3">
      <c r="A103" s="9">
        <f t="shared" si="14"/>
        <v>9</v>
      </c>
      <c r="B103" s="9">
        <f t="shared" si="15"/>
        <v>2</v>
      </c>
      <c r="C103" s="55">
        <f>Calculations!$B$27</f>
        <v>72.007666666666665</v>
      </c>
      <c r="D103" s="9">
        <f t="shared" si="12"/>
        <v>144.01533333333333</v>
      </c>
      <c r="E103" s="9">
        <f>'Strut loads'!$D$41</f>
        <v>722.5</v>
      </c>
      <c r="F103" s="9" t="b">
        <f t="shared" si="13"/>
        <v>1</v>
      </c>
    </row>
    <row r="104" spans="1:6" x14ac:dyDescent="0.3">
      <c r="A104" s="9">
        <f t="shared" si="14"/>
        <v>10</v>
      </c>
      <c r="B104" s="9">
        <f t="shared" si="15"/>
        <v>2</v>
      </c>
      <c r="C104" s="55">
        <f>Calculations!$B$27</f>
        <v>72.007666666666665</v>
      </c>
      <c r="D104" s="9">
        <f t="shared" si="12"/>
        <v>144.01533333333333</v>
      </c>
      <c r="E104" s="9">
        <f>'Strut loads'!$D$41</f>
        <v>722.5</v>
      </c>
      <c r="F104" s="9" t="b">
        <f t="shared" si="13"/>
        <v>1</v>
      </c>
    </row>
    <row r="105" spans="1:6" x14ac:dyDescent="0.3">
      <c r="A105" s="9">
        <f t="shared" si="14"/>
        <v>11</v>
      </c>
      <c r="B105" s="9">
        <f t="shared" si="15"/>
        <v>2</v>
      </c>
      <c r="C105" s="55">
        <f>Calculations!$B$27</f>
        <v>72.007666666666665</v>
      </c>
      <c r="D105" s="9">
        <f t="shared" si="12"/>
        <v>144.01533333333333</v>
      </c>
      <c r="E105" s="9">
        <f>'Strut loads'!$D$41</f>
        <v>722.5</v>
      </c>
      <c r="F105" s="9" t="b">
        <f t="shared" si="13"/>
        <v>1</v>
      </c>
    </row>
    <row r="106" spans="1:6" x14ac:dyDescent="0.3">
      <c r="A106" s="9">
        <f t="shared" si="14"/>
        <v>12</v>
      </c>
      <c r="B106" s="9">
        <f t="shared" si="15"/>
        <v>2</v>
      </c>
      <c r="C106" s="55">
        <f>Calculations!$B$27</f>
        <v>72.007666666666665</v>
      </c>
      <c r="D106" s="9">
        <f t="shared" si="12"/>
        <v>144.01533333333333</v>
      </c>
      <c r="E106" s="9">
        <f>'Strut loads'!$D$41</f>
        <v>722.5</v>
      </c>
      <c r="F106" s="9" t="b">
        <f t="shared" si="13"/>
        <v>1</v>
      </c>
    </row>
    <row r="107" spans="1:6" x14ac:dyDescent="0.3">
      <c r="A107" s="9">
        <f t="shared" si="14"/>
        <v>13</v>
      </c>
      <c r="B107" s="9">
        <f t="shared" si="15"/>
        <v>2</v>
      </c>
      <c r="C107" s="55">
        <f>Calculations!$B$27</f>
        <v>72.007666666666665</v>
      </c>
      <c r="D107" s="9">
        <f t="shared" si="12"/>
        <v>144.01533333333333</v>
      </c>
      <c r="E107" s="9">
        <f>'Strut loads'!$D$41</f>
        <v>722.5</v>
      </c>
      <c r="F107" s="9" t="b">
        <f t="shared" si="13"/>
        <v>1</v>
      </c>
    </row>
    <row r="108" spans="1:6" x14ac:dyDescent="0.3">
      <c r="A108" s="9">
        <f t="shared" si="14"/>
        <v>14</v>
      </c>
      <c r="B108" s="9">
        <f t="shared" si="15"/>
        <v>2</v>
      </c>
      <c r="C108" s="55">
        <f>Calculations!$B$27</f>
        <v>72.007666666666665</v>
      </c>
      <c r="D108" s="9">
        <f t="shared" si="12"/>
        <v>144.01533333333333</v>
      </c>
      <c r="E108" s="9">
        <f>'Strut loads'!$D$41</f>
        <v>722.5</v>
      </c>
      <c r="F108" s="9" t="b">
        <f t="shared" si="13"/>
        <v>1</v>
      </c>
    </row>
    <row r="109" spans="1:6" x14ac:dyDescent="0.3">
      <c r="A109" s="9">
        <f t="shared" si="14"/>
        <v>15</v>
      </c>
      <c r="B109" s="9">
        <f t="shared" si="15"/>
        <v>2</v>
      </c>
      <c r="C109" s="55">
        <f>Calculations!$B$27</f>
        <v>72.007666666666665</v>
      </c>
      <c r="D109" s="9">
        <f t="shared" si="12"/>
        <v>144.01533333333333</v>
      </c>
      <c r="E109" s="9">
        <f>'Strut loads'!$D$41</f>
        <v>722.5</v>
      </c>
      <c r="F109" s="9" t="b">
        <f t="shared" si="13"/>
        <v>1</v>
      </c>
    </row>
    <row r="110" spans="1:6" x14ac:dyDescent="0.3">
      <c r="A110" s="9">
        <f>1+A109</f>
        <v>16</v>
      </c>
      <c r="B110" s="9">
        <f t="shared" si="15"/>
        <v>2</v>
      </c>
      <c r="C110" s="55">
        <f>Calculations!$B$27</f>
        <v>72.007666666666665</v>
      </c>
      <c r="D110" s="9">
        <f t="shared" si="12"/>
        <v>144.01533333333333</v>
      </c>
      <c r="E110" s="9">
        <f>'Strut loads'!$D$41</f>
        <v>722.5</v>
      </c>
      <c r="F110" s="9" t="b">
        <f t="shared" si="13"/>
        <v>1</v>
      </c>
    </row>
    <row r="111" spans="1:6" x14ac:dyDescent="0.3">
      <c r="A111" s="9">
        <f t="shared" ref="A111:A123" si="16">1+A110</f>
        <v>17</v>
      </c>
      <c r="B111" s="9">
        <f t="shared" si="15"/>
        <v>2</v>
      </c>
      <c r="C111" s="55">
        <f>Calculations!$B$27</f>
        <v>72.007666666666665</v>
      </c>
      <c r="D111" s="9">
        <f t="shared" si="12"/>
        <v>144.01533333333333</v>
      </c>
      <c r="E111" s="9">
        <f>'Strut loads'!$D$41</f>
        <v>722.5</v>
      </c>
      <c r="F111" s="9" t="b">
        <f t="shared" si="13"/>
        <v>1</v>
      </c>
    </row>
    <row r="112" spans="1:6" x14ac:dyDescent="0.3">
      <c r="A112" s="9">
        <f t="shared" si="16"/>
        <v>18</v>
      </c>
      <c r="B112" s="9">
        <f t="shared" si="15"/>
        <v>2</v>
      </c>
      <c r="C112" s="55">
        <f>Calculations!$B$27</f>
        <v>72.007666666666665</v>
      </c>
      <c r="D112" s="9">
        <f t="shared" si="12"/>
        <v>144.01533333333333</v>
      </c>
      <c r="E112" s="9">
        <f>'Strut loads'!$D$41</f>
        <v>722.5</v>
      </c>
      <c r="F112" s="9" t="b">
        <f t="shared" si="13"/>
        <v>1</v>
      </c>
    </row>
    <row r="113" spans="1:6" x14ac:dyDescent="0.3">
      <c r="A113" s="9">
        <f t="shared" si="16"/>
        <v>19</v>
      </c>
      <c r="B113" s="9">
        <f t="shared" si="15"/>
        <v>2</v>
      </c>
      <c r="C113" s="55">
        <f>Calculations!$B$27</f>
        <v>72.007666666666665</v>
      </c>
      <c r="D113" s="9">
        <f t="shared" si="12"/>
        <v>144.01533333333333</v>
      </c>
      <c r="E113" s="9">
        <f>'Strut loads'!$D$41</f>
        <v>722.5</v>
      </c>
      <c r="F113" s="9" t="b">
        <f t="shared" si="13"/>
        <v>1</v>
      </c>
    </row>
    <row r="114" spans="1:6" x14ac:dyDescent="0.3">
      <c r="A114" s="9">
        <f t="shared" si="16"/>
        <v>20</v>
      </c>
      <c r="B114" s="9">
        <f t="shared" si="15"/>
        <v>2</v>
      </c>
      <c r="C114" s="55">
        <f>Calculations!$B$27</f>
        <v>72.007666666666665</v>
      </c>
      <c r="D114" s="9">
        <f t="shared" si="12"/>
        <v>144.01533333333333</v>
      </c>
      <c r="E114" s="9">
        <f>'Strut loads'!$D$41</f>
        <v>722.5</v>
      </c>
      <c r="F114" s="9" t="b">
        <f t="shared" si="13"/>
        <v>1</v>
      </c>
    </row>
    <row r="115" spans="1:6" x14ac:dyDescent="0.3">
      <c r="A115" s="9">
        <f t="shared" si="16"/>
        <v>21</v>
      </c>
      <c r="B115" s="9">
        <f t="shared" si="15"/>
        <v>2</v>
      </c>
      <c r="C115" s="55">
        <f>Calculations!$B$27</f>
        <v>72.007666666666665</v>
      </c>
      <c r="D115" s="9">
        <f t="shared" si="12"/>
        <v>144.01533333333333</v>
      </c>
      <c r="E115" s="9">
        <f>'Strut loads'!$D$41</f>
        <v>722.5</v>
      </c>
      <c r="F115" s="9" t="b">
        <f t="shared" si="13"/>
        <v>1</v>
      </c>
    </row>
    <row r="116" spans="1:6" x14ac:dyDescent="0.3">
      <c r="A116" s="9">
        <f t="shared" si="16"/>
        <v>22</v>
      </c>
      <c r="B116" s="9">
        <f t="shared" si="15"/>
        <v>2</v>
      </c>
      <c r="C116" s="55">
        <f>Calculations!$B$27</f>
        <v>72.007666666666665</v>
      </c>
      <c r="D116" s="9">
        <f t="shared" si="12"/>
        <v>144.01533333333333</v>
      </c>
      <c r="E116" s="9">
        <f>'Strut loads'!$D$41</f>
        <v>722.5</v>
      </c>
      <c r="F116" s="9" t="b">
        <f t="shared" si="13"/>
        <v>1</v>
      </c>
    </row>
    <row r="117" spans="1:6" x14ac:dyDescent="0.3">
      <c r="A117" s="9">
        <f t="shared" si="16"/>
        <v>23</v>
      </c>
      <c r="B117" s="9">
        <f t="shared" si="15"/>
        <v>2</v>
      </c>
      <c r="C117" s="55">
        <f>Calculations!$B$27</f>
        <v>72.007666666666665</v>
      </c>
      <c r="D117" s="9">
        <f t="shared" si="12"/>
        <v>144.01533333333333</v>
      </c>
      <c r="E117" s="9">
        <f>'Strut loads'!$D$41</f>
        <v>722.5</v>
      </c>
      <c r="F117" s="9" t="b">
        <f t="shared" si="13"/>
        <v>1</v>
      </c>
    </row>
    <row r="118" spans="1:6" x14ac:dyDescent="0.3">
      <c r="A118" s="9">
        <f t="shared" si="16"/>
        <v>24</v>
      </c>
      <c r="B118" s="9">
        <f t="shared" si="15"/>
        <v>2</v>
      </c>
      <c r="C118" s="55">
        <f>Calculations!$B$27</f>
        <v>72.007666666666665</v>
      </c>
      <c r="D118" s="9">
        <f t="shared" si="12"/>
        <v>144.01533333333333</v>
      </c>
      <c r="E118" s="9">
        <f>'Strut loads'!$D$41</f>
        <v>722.5</v>
      </c>
      <c r="F118" s="9" t="b">
        <f t="shared" si="13"/>
        <v>1</v>
      </c>
    </row>
    <row r="119" spans="1:6" x14ac:dyDescent="0.3">
      <c r="A119" s="9">
        <f t="shared" si="16"/>
        <v>25</v>
      </c>
      <c r="B119" s="9">
        <f t="shared" si="15"/>
        <v>2</v>
      </c>
      <c r="C119" s="55">
        <f>Calculations!$B$27</f>
        <v>72.007666666666665</v>
      </c>
      <c r="D119" s="9">
        <f t="shared" si="12"/>
        <v>144.01533333333333</v>
      </c>
      <c r="E119" s="9">
        <f>'Strut loads'!$D$41</f>
        <v>722.5</v>
      </c>
      <c r="F119" s="9" t="b">
        <f t="shared" si="13"/>
        <v>1</v>
      </c>
    </row>
    <row r="120" spans="1:6" x14ac:dyDescent="0.3">
      <c r="A120" s="9">
        <f t="shared" si="16"/>
        <v>26</v>
      </c>
      <c r="B120" s="9">
        <f t="shared" si="15"/>
        <v>2</v>
      </c>
      <c r="C120" s="55">
        <f>Calculations!$B$27</f>
        <v>72.007666666666665</v>
      </c>
      <c r="D120" s="9">
        <f t="shared" si="12"/>
        <v>144.01533333333333</v>
      </c>
      <c r="E120" s="9">
        <f>'Strut loads'!$D$41</f>
        <v>722.5</v>
      </c>
      <c r="F120" s="9" t="b">
        <f t="shared" si="13"/>
        <v>1</v>
      </c>
    </row>
    <row r="121" spans="1:6" x14ac:dyDescent="0.3">
      <c r="A121" s="9">
        <f t="shared" si="16"/>
        <v>27</v>
      </c>
      <c r="B121" s="9">
        <f t="shared" si="15"/>
        <v>2</v>
      </c>
      <c r="C121" s="55">
        <f>Calculations!$B$27</f>
        <v>72.007666666666665</v>
      </c>
      <c r="D121" s="9">
        <f t="shared" si="12"/>
        <v>144.01533333333333</v>
      </c>
      <c r="E121" s="9">
        <f>'Strut loads'!$D$41</f>
        <v>722.5</v>
      </c>
      <c r="F121" s="9" t="b">
        <f t="shared" si="13"/>
        <v>1</v>
      </c>
    </row>
    <row r="122" spans="1:6" x14ac:dyDescent="0.3">
      <c r="A122" s="9">
        <f t="shared" si="16"/>
        <v>28</v>
      </c>
      <c r="B122" s="9">
        <f t="shared" si="15"/>
        <v>2</v>
      </c>
      <c r="C122" s="55">
        <f>Calculations!$B$27</f>
        <v>72.007666666666665</v>
      </c>
      <c r="D122" s="9">
        <f t="shared" si="12"/>
        <v>144.01533333333333</v>
      </c>
      <c r="E122" s="9">
        <f>'Strut loads'!$D$41</f>
        <v>722.5</v>
      </c>
      <c r="F122" s="9" t="b">
        <f t="shared" si="13"/>
        <v>1</v>
      </c>
    </row>
    <row r="123" spans="1:6" x14ac:dyDescent="0.3">
      <c r="A123" s="9">
        <f t="shared" si="16"/>
        <v>29</v>
      </c>
      <c r="B123" s="9">
        <f t="shared" si="15"/>
        <v>2</v>
      </c>
      <c r="C123" s="55">
        <f>Calculations!$B$27</f>
        <v>72.007666666666665</v>
      </c>
      <c r="D123" s="9">
        <f t="shared" si="12"/>
        <v>144.01533333333333</v>
      </c>
      <c r="E123" s="9">
        <f>'Strut loads'!$D$41</f>
        <v>722.5</v>
      </c>
      <c r="F123" s="9" t="b">
        <f t="shared" si="13"/>
        <v>1</v>
      </c>
    </row>
    <row r="124" spans="1:6" x14ac:dyDescent="0.3">
      <c r="A124" s="9">
        <f>1+A123</f>
        <v>30</v>
      </c>
      <c r="B124" s="9">
        <f t="shared" si="15"/>
        <v>2</v>
      </c>
      <c r="C124" s="55">
        <f>Calculations!$B$27</f>
        <v>72.007666666666665</v>
      </c>
      <c r="D124" s="9">
        <f t="shared" si="12"/>
        <v>144.01533333333333</v>
      </c>
      <c r="E124" s="9">
        <f>'Strut loads'!$D$41</f>
        <v>722.5</v>
      </c>
      <c r="F124" s="9" t="b">
        <f t="shared" si="13"/>
        <v>1</v>
      </c>
    </row>
    <row r="125" spans="1:6" x14ac:dyDescent="0.3">
      <c r="A125" s="9">
        <f t="shared" ref="A125:A137" si="17">1+A124</f>
        <v>31</v>
      </c>
      <c r="B125" s="9">
        <f t="shared" si="15"/>
        <v>2</v>
      </c>
      <c r="C125" s="55">
        <f>Calculations!$B$27</f>
        <v>72.007666666666665</v>
      </c>
      <c r="D125" s="9">
        <f t="shared" si="12"/>
        <v>144.01533333333333</v>
      </c>
      <c r="E125" s="9">
        <f>'Strut loads'!$D$41</f>
        <v>722.5</v>
      </c>
      <c r="F125" s="9" t="b">
        <f t="shared" si="13"/>
        <v>1</v>
      </c>
    </row>
    <row r="126" spans="1:6" x14ac:dyDescent="0.3">
      <c r="A126" s="9">
        <f t="shared" si="17"/>
        <v>32</v>
      </c>
      <c r="B126" s="9">
        <f t="shared" si="15"/>
        <v>2</v>
      </c>
      <c r="C126" s="55">
        <f>Calculations!$B$27</f>
        <v>72.007666666666665</v>
      </c>
      <c r="D126" s="9">
        <f t="shared" si="12"/>
        <v>144.01533333333333</v>
      </c>
      <c r="E126" s="9">
        <f>'Strut loads'!$D$41</f>
        <v>722.5</v>
      </c>
      <c r="F126" s="9" t="b">
        <f t="shared" si="13"/>
        <v>1</v>
      </c>
    </row>
    <row r="127" spans="1:6" x14ac:dyDescent="0.3">
      <c r="A127" s="9">
        <f t="shared" si="17"/>
        <v>33</v>
      </c>
      <c r="B127" s="9">
        <f t="shared" si="15"/>
        <v>2</v>
      </c>
      <c r="C127" s="55">
        <f>Calculations!$B$27</f>
        <v>72.007666666666665</v>
      </c>
      <c r="D127" s="9">
        <f t="shared" si="12"/>
        <v>144.01533333333333</v>
      </c>
      <c r="E127" s="9">
        <f>'Strut loads'!$D$41</f>
        <v>722.5</v>
      </c>
      <c r="F127" s="9" t="b">
        <f t="shared" si="13"/>
        <v>1</v>
      </c>
    </row>
    <row r="128" spans="1:6" x14ac:dyDescent="0.3">
      <c r="A128" s="9">
        <f t="shared" si="17"/>
        <v>34</v>
      </c>
      <c r="B128" s="9">
        <f t="shared" si="15"/>
        <v>2</v>
      </c>
      <c r="C128" s="55">
        <f>Calculations!$B$27</f>
        <v>72.007666666666665</v>
      </c>
      <c r="D128" s="9">
        <f t="shared" si="12"/>
        <v>144.01533333333333</v>
      </c>
      <c r="E128" s="9">
        <f>'Strut loads'!$D$41</f>
        <v>722.5</v>
      </c>
      <c r="F128" s="9" t="b">
        <f t="shared" si="13"/>
        <v>1</v>
      </c>
    </row>
    <row r="129" spans="1:6" x14ac:dyDescent="0.3">
      <c r="A129" s="9">
        <f t="shared" si="17"/>
        <v>35</v>
      </c>
      <c r="B129" s="9">
        <f t="shared" si="15"/>
        <v>2</v>
      </c>
      <c r="C129" s="55">
        <f>Calculations!$B$27</f>
        <v>72.007666666666665</v>
      </c>
      <c r="D129" s="9">
        <f t="shared" si="12"/>
        <v>144.01533333333333</v>
      </c>
      <c r="E129" s="9">
        <f>'Strut loads'!$D$41</f>
        <v>722.5</v>
      </c>
      <c r="F129" s="9" t="b">
        <f t="shared" si="13"/>
        <v>1</v>
      </c>
    </row>
    <row r="130" spans="1:6" x14ac:dyDescent="0.3">
      <c r="A130" s="9">
        <f t="shared" si="17"/>
        <v>36</v>
      </c>
      <c r="B130" s="9">
        <f t="shared" si="15"/>
        <v>2</v>
      </c>
      <c r="C130" s="55">
        <f>Calculations!$B$27</f>
        <v>72.007666666666665</v>
      </c>
      <c r="D130" s="9">
        <f t="shared" si="12"/>
        <v>144.01533333333333</v>
      </c>
      <c r="E130" s="9">
        <f>'Strut loads'!$D$41</f>
        <v>722.5</v>
      </c>
      <c r="F130" s="9" t="b">
        <f t="shared" si="13"/>
        <v>1</v>
      </c>
    </row>
    <row r="131" spans="1:6" x14ac:dyDescent="0.3">
      <c r="A131" s="9">
        <f t="shared" si="17"/>
        <v>37</v>
      </c>
      <c r="B131" s="9">
        <f t="shared" si="15"/>
        <v>2</v>
      </c>
      <c r="C131" s="55">
        <f>Calculations!$B$27</f>
        <v>72.007666666666665</v>
      </c>
      <c r="D131" s="9">
        <f t="shared" si="12"/>
        <v>144.01533333333333</v>
      </c>
      <c r="E131" s="9">
        <f>'Strut loads'!$D$41</f>
        <v>722.5</v>
      </c>
      <c r="F131" s="9" t="b">
        <f t="shared" si="13"/>
        <v>1</v>
      </c>
    </row>
    <row r="132" spans="1:6" x14ac:dyDescent="0.3">
      <c r="A132" s="9">
        <f t="shared" si="17"/>
        <v>38</v>
      </c>
      <c r="B132" s="9">
        <f t="shared" si="15"/>
        <v>2</v>
      </c>
      <c r="C132" s="55">
        <f>Calculations!$B$27</f>
        <v>72.007666666666665</v>
      </c>
      <c r="D132" s="9">
        <f t="shared" si="12"/>
        <v>144.01533333333333</v>
      </c>
      <c r="E132" s="9">
        <f>'Strut loads'!$D$41</f>
        <v>722.5</v>
      </c>
      <c r="F132" s="9" t="b">
        <f t="shared" si="13"/>
        <v>1</v>
      </c>
    </row>
    <row r="133" spans="1:6" x14ac:dyDescent="0.3">
      <c r="A133" s="9">
        <f t="shared" si="17"/>
        <v>39</v>
      </c>
      <c r="B133" s="9">
        <f t="shared" si="15"/>
        <v>2</v>
      </c>
      <c r="C133" s="55">
        <f>Calculations!$B$27</f>
        <v>72.007666666666665</v>
      </c>
      <c r="D133" s="9">
        <f t="shared" si="12"/>
        <v>144.01533333333333</v>
      </c>
      <c r="E133" s="9">
        <f>'Strut loads'!$D$41</f>
        <v>722.5</v>
      </c>
      <c r="F133" s="9" t="b">
        <f t="shared" si="13"/>
        <v>1</v>
      </c>
    </row>
    <row r="134" spans="1:6" x14ac:dyDescent="0.3">
      <c r="A134" s="9">
        <f t="shared" si="17"/>
        <v>40</v>
      </c>
      <c r="B134" s="9">
        <f t="shared" si="15"/>
        <v>2</v>
      </c>
      <c r="C134" s="55">
        <f>Calculations!$B$27</f>
        <v>72.007666666666665</v>
      </c>
      <c r="D134" s="9">
        <f t="shared" si="12"/>
        <v>144.01533333333333</v>
      </c>
      <c r="E134" s="9">
        <f>'Strut loads'!$D$41</f>
        <v>722.5</v>
      </c>
      <c r="F134" s="9" t="b">
        <f t="shared" si="13"/>
        <v>1</v>
      </c>
    </row>
    <row r="135" spans="1:6" x14ac:dyDescent="0.3">
      <c r="A135" s="9">
        <f t="shared" si="17"/>
        <v>41</v>
      </c>
      <c r="B135" s="9">
        <f t="shared" si="15"/>
        <v>2</v>
      </c>
      <c r="C135" s="55">
        <f>Calculations!$B$27</f>
        <v>72.007666666666665</v>
      </c>
      <c r="D135" s="9">
        <f t="shared" si="12"/>
        <v>144.01533333333333</v>
      </c>
      <c r="E135" s="9">
        <f>'Strut loads'!$D$41</f>
        <v>722.5</v>
      </c>
      <c r="F135" s="9" t="b">
        <f t="shared" si="13"/>
        <v>1</v>
      </c>
    </row>
    <row r="136" spans="1:6" x14ac:dyDescent="0.3">
      <c r="A136" s="9">
        <f t="shared" si="17"/>
        <v>42</v>
      </c>
      <c r="B136" s="9">
        <f t="shared" si="15"/>
        <v>2</v>
      </c>
      <c r="C136" s="55">
        <f>Calculations!$B$27</f>
        <v>72.007666666666665</v>
      </c>
      <c r="D136" s="9">
        <f t="shared" si="12"/>
        <v>144.01533333333333</v>
      </c>
      <c r="E136" s="9">
        <f>'Strut loads'!$D$41</f>
        <v>722.5</v>
      </c>
      <c r="F136" s="9" t="b">
        <f t="shared" si="13"/>
        <v>1</v>
      </c>
    </row>
    <row r="137" spans="1:6" x14ac:dyDescent="0.3">
      <c r="A137" s="9">
        <f t="shared" si="17"/>
        <v>43</v>
      </c>
      <c r="B137" s="9">
        <f t="shared" si="15"/>
        <v>2</v>
      </c>
      <c r="C137" s="55">
        <f>Calculations!$B$27</f>
        <v>72.007666666666665</v>
      </c>
      <c r="D137" s="9">
        <f t="shared" si="12"/>
        <v>144.01533333333333</v>
      </c>
      <c r="E137" s="9">
        <f>'Strut loads'!$D$41</f>
        <v>722.5</v>
      </c>
      <c r="F137" s="9" t="b">
        <f t="shared" si="13"/>
        <v>1</v>
      </c>
    </row>
    <row r="138" spans="1:6" x14ac:dyDescent="0.3">
      <c r="A138" s="9">
        <f>1+A137</f>
        <v>44</v>
      </c>
      <c r="B138" s="9">
        <f t="shared" si="15"/>
        <v>2</v>
      </c>
      <c r="C138" s="55">
        <f>Calculations!$B$27</f>
        <v>72.007666666666665</v>
      </c>
      <c r="D138" s="9">
        <f t="shared" si="12"/>
        <v>144.01533333333333</v>
      </c>
      <c r="E138" s="9">
        <f>'Strut loads'!$D$41</f>
        <v>722.5</v>
      </c>
      <c r="F138" s="9" t="b">
        <f t="shared" si="13"/>
        <v>1</v>
      </c>
    </row>
    <row r="139" spans="1:6" x14ac:dyDescent="0.3">
      <c r="A139" s="9">
        <f t="shared" ref="A139:A142" si="18">1+A138</f>
        <v>45</v>
      </c>
      <c r="B139" s="9">
        <f t="shared" si="15"/>
        <v>2</v>
      </c>
      <c r="C139" s="55">
        <f>Calculations!$B$27</f>
        <v>72.007666666666665</v>
      </c>
      <c r="D139" s="9">
        <f t="shared" si="12"/>
        <v>144.01533333333333</v>
      </c>
      <c r="E139" s="9">
        <f>'Strut loads'!$D$41</f>
        <v>722.5</v>
      </c>
      <c r="F139" s="9" t="b">
        <f t="shared" si="13"/>
        <v>1</v>
      </c>
    </row>
    <row r="140" spans="1:6" x14ac:dyDescent="0.3">
      <c r="A140" s="9">
        <f t="shared" si="18"/>
        <v>46</v>
      </c>
      <c r="B140" s="9">
        <f t="shared" si="15"/>
        <v>2</v>
      </c>
      <c r="C140" s="55">
        <f>Calculations!$B$27</f>
        <v>72.007666666666665</v>
      </c>
      <c r="D140" s="9">
        <f t="shared" si="12"/>
        <v>144.01533333333333</v>
      </c>
      <c r="E140" s="9">
        <f>'Strut loads'!$D$41</f>
        <v>722.5</v>
      </c>
      <c r="F140" s="9" t="b">
        <f t="shared" si="13"/>
        <v>1</v>
      </c>
    </row>
    <row r="141" spans="1:6" x14ac:dyDescent="0.3">
      <c r="A141" s="9">
        <f t="shared" si="18"/>
        <v>47</v>
      </c>
      <c r="B141" s="9">
        <f t="shared" si="15"/>
        <v>2</v>
      </c>
      <c r="C141" s="55">
        <f>Calculations!$B$27</f>
        <v>72.007666666666665</v>
      </c>
      <c r="D141" s="9">
        <f t="shared" si="12"/>
        <v>144.01533333333333</v>
      </c>
      <c r="E141" s="9">
        <f>'Strut loads'!$D$41</f>
        <v>722.5</v>
      </c>
      <c r="F141" s="9" t="b">
        <f t="shared" si="13"/>
        <v>1</v>
      </c>
    </row>
    <row r="142" spans="1:6" x14ac:dyDescent="0.3">
      <c r="A142" s="9">
        <f t="shared" si="18"/>
        <v>48</v>
      </c>
      <c r="B142" s="9">
        <f t="shared" si="15"/>
        <v>2</v>
      </c>
      <c r="C142" s="55">
        <f>Calculations!$B$27</f>
        <v>72.007666666666665</v>
      </c>
      <c r="D142" s="9">
        <f t="shared" si="12"/>
        <v>144.01533333333333</v>
      </c>
      <c r="E142" s="9">
        <f>'Strut loads'!$D$41</f>
        <v>722.5</v>
      </c>
      <c r="F142" s="9" t="b">
        <f t="shared" si="13"/>
        <v>1</v>
      </c>
    </row>
    <row r="143" spans="1:6" x14ac:dyDescent="0.3">
      <c r="B143" s="9">
        <f>_xlfn.XLOOKUP(TRUE,F94:F142,B94:B142,0)</f>
        <v>6</v>
      </c>
      <c r="D143" s="9">
        <f>_xlfn.XLOOKUP(TRUE,F94:F142,D94:D142,0)</f>
        <v>432.04599999999999</v>
      </c>
      <c r="F143" t="s">
        <v>77</v>
      </c>
    </row>
    <row r="144" spans="1:6" x14ac:dyDescent="0.3">
      <c r="B144" s="9" t="s">
        <v>78</v>
      </c>
    </row>
    <row r="145" spans="2:6" x14ac:dyDescent="0.3">
      <c r="B145" t="s">
        <v>78</v>
      </c>
    </row>
    <row r="146" spans="2:6" x14ac:dyDescent="0.3">
      <c r="B146">
        <f>Calculations!B28</f>
        <v>8</v>
      </c>
    </row>
    <row r="147" spans="2:6" x14ac:dyDescent="0.3">
      <c r="B147" s="49"/>
      <c r="C147" s="48" t="s">
        <v>78</v>
      </c>
      <c r="D147" s="48" t="s">
        <v>78</v>
      </c>
      <c r="F147" t="s">
        <v>78</v>
      </c>
    </row>
    <row r="149" spans="2:6" x14ac:dyDescent="0.3">
      <c r="B149" s="50">
        <f>MIN(B146,B143,B92,B43)</f>
        <v>6</v>
      </c>
      <c r="C149" s="55">
        <f>Calculations!$B$27</f>
        <v>72.007666666666665</v>
      </c>
      <c r="D149" s="50">
        <f>C149*B149</f>
        <v>432.04599999999999</v>
      </c>
      <c r="F149" t="s">
        <v>79</v>
      </c>
    </row>
    <row r="150" spans="2:6" x14ac:dyDescent="0.3">
      <c r="F150" s="47" t="s">
        <v>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4"/>
  <dimension ref="A1:AT55"/>
  <sheetViews>
    <sheetView zoomScale="83" zoomScaleNormal="83" workbookViewId="0">
      <selection activeCell="B41" sqref="B41"/>
    </sheetView>
  </sheetViews>
  <sheetFormatPr defaultRowHeight="14.4" x14ac:dyDescent="0.3"/>
  <cols>
    <col min="1" max="1" width="11.88671875" customWidth="1"/>
    <col min="2" max="2" width="18" customWidth="1"/>
    <col min="3" max="3" width="16.6640625" customWidth="1"/>
    <col min="4" max="4" width="44.109375" customWidth="1"/>
    <col min="5" max="6" width="23.88671875" customWidth="1"/>
    <col min="7" max="7" width="18.33203125" customWidth="1"/>
    <col min="8" max="8" width="16.44140625" customWidth="1"/>
    <col min="11" max="11" width="13.5546875" customWidth="1"/>
    <col min="20" max="20" width="5.109375" customWidth="1"/>
  </cols>
  <sheetData>
    <row r="1" spans="1:16" x14ac:dyDescent="0.3">
      <c r="A1" t="s">
        <v>731</v>
      </c>
      <c r="B1" t="s">
        <v>732</v>
      </c>
      <c r="C1" t="s">
        <v>733</v>
      </c>
      <c r="D1" t="s">
        <v>734</v>
      </c>
      <c r="E1" t="s">
        <v>735</v>
      </c>
      <c r="G1" t="s">
        <v>731</v>
      </c>
      <c r="H1" t="s">
        <v>736</v>
      </c>
      <c r="I1" t="s">
        <v>737</v>
      </c>
      <c r="J1" t="s">
        <v>738</v>
      </c>
    </row>
    <row r="2" spans="1:16" x14ac:dyDescent="0.3">
      <c r="A2" t="s">
        <v>157</v>
      </c>
      <c r="B2">
        <v>18</v>
      </c>
      <c r="C2">
        <v>1690</v>
      </c>
      <c r="D2">
        <f>Beam_loads[[#This Row],[Max Beam Load]]*0.85</f>
        <v>1436.5</v>
      </c>
      <c r="E2">
        <v>2256</v>
      </c>
      <c r="G2" t="s">
        <v>157</v>
      </c>
      <c r="H2">
        <v>18</v>
      </c>
      <c r="I2">
        <v>3550</v>
      </c>
      <c r="J2" s="53">
        <v>9481</v>
      </c>
      <c r="P2" t="s">
        <v>157</v>
      </c>
    </row>
    <row r="3" spans="1:16" x14ac:dyDescent="0.3">
      <c r="A3" t="s">
        <v>162</v>
      </c>
      <c r="B3">
        <v>18</v>
      </c>
      <c r="C3">
        <v>3500</v>
      </c>
      <c r="D3">
        <f>Beam_loads[[#This Row],[Max Beam Load]]*0.85</f>
        <v>2975</v>
      </c>
      <c r="E3">
        <v>6289</v>
      </c>
      <c r="G3" t="s">
        <v>157</v>
      </c>
      <c r="H3">
        <v>24</v>
      </c>
      <c r="I3">
        <v>3550</v>
      </c>
      <c r="J3" s="52">
        <v>8582</v>
      </c>
      <c r="L3" t="s">
        <v>78</v>
      </c>
    </row>
    <row r="4" spans="1:16" x14ac:dyDescent="0.3">
      <c r="A4" t="s">
        <v>739</v>
      </c>
      <c r="B4">
        <v>18</v>
      </c>
      <c r="C4">
        <v>3500</v>
      </c>
      <c r="D4">
        <f>Beam_loads[[#This Row],[Max Beam Load]]*0.85</f>
        <v>2975</v>
      </c>
      <c r="E4">
        <v>7111</v>
      </c>
      <c r="G4" t="s">
        <v>157</v>
      </c>
      <c r="H4">
        <v>30</v>
      </c>
      <c r="I4">
        <v>3190</v>
      </c>
      <c r="J4" s="53">
        <v>7601</v>
      </c>
    </row>
    <row r="5" spans="1:16" x14ac:dyDescent="0.3">
      <c r="A5" t="s">
        <v>157</v>
      </c>
      <c r="B5">
        <v>24</v>
      </c>
      <c r="C5">
        <v>1690</v>
      </c>
      <c r="D5">
        <f>Beam_loads[[#This Row],[Max Beam Load]]*0.85</f>
        <v>1436.5</v>
      </c>
      <c r="E5">
        <v>1692</v>
      </c>
      <c r="G5" t="s">
        <v>157</v>
      </c>
      <c r="H5">
        <v>36</v>
      </c>
      <c r="I5">
        <v>3190</v>
      </c>
      <c r="J5" s="52">
        <v>6595</v>
      </c>
    </row>
    <row r="6" spans="1:16" x14ac:dyDescent="0.3">
      <c r="A6" t="s">
        <v>162</v>
      </c>
      <c r="B6">
        <v>24</v>
      </c>
      <c r="C6">
        <v>3500</v>
      </c>
      <c r="D6">
        <f>Beam_loads[[#This Row],[Max Beam Load]]*0.85</f>
        <v>2975</v>
      </c>
      <c r="E6">
        <v>4717</v>
      </c>
      <c r="G6" t="s">
        <v>157</v>
      </c>
      <c r="H6">
        <v>42</v>
      </c>
      <c r="I6">
        <v>2770</v>
      </c>
      <c r="J6" s="53">
        <v>5595</v>
      </c>
    </row>
    <row r="7" spans="1:16" x14ac:dyDescent="0.3">
      <c r="A7" t="s">
        <v>739</v>
      </c>
      <c r="B7">
        <v>24</v>
      </c>
      <c r="C7">
        <v>3500</v>
      </c>
      <c r="D7">
        <f>Beam_loads[[#This Row],[Max Beam Load]]*0.85</f>
        <v>2975</v>
      </c>
      <c r="E7">
        <v>5333</v>
      </c>
      <c r="G7" t="s">
        <v>157</v>
      </c>
      <c r="H7">
        <v>48</v>
      </c>
      <c r="I7">
        <v>2770</v>
      </c>
      <c r="J7" s="52">
        <v>4718</v>
      </c>
    </row>
    <row r="8" spans="1:16" x14ac:dyDescent="0.3">
      <c r="A8" t="s">
        <v>157</v>
      </c>
      <c r="B8">
        <v>30</v>
      </c>
      <c r="C8">
        <v>1130</v>
      </c>
      <c r="D8">
        <f>Beam_loads[[#This Row],[Max Beam Load]]*0.85</f>
        <v>960.5</v>
      </c>
      <c r="E8">
        <v>1353</v>
      </c>
      <c r="G8" t="s">
        <v>157</v>
      </c>
      <c r="H8">
        <v>54</v>
      </c>
      <c r="I8">
        <v>2380</v>
      </c>
      <c r="J8" s="53">
        <v>4090</v>
      </c>
    </row>
    <row r="9" spans="1:16" x14ac:dyDescent="0.3">
      <c r="A9" t="s">
        <v>162</v>
      </c>
      <c r="B9">
        <v>30</v>
      </c>
      <c r="C9">
        <v>3190</v>
      </c>
      <c r="D9">
        <f>Beam_loads[[#This Row],[Max Beam Load]]*0.85</f>
        <v>2711.5</v>
      </c>
      <c r="E9">
        <v>3773</v>
      </c>
      <c r="G9" t="s">
        <v>157</v>
      </c>
      <c r="H9">
        <v>60</v>
      </c>
      <c r="I9">
        <v>2380</v>
      </c>
      <c r="J9" s="52">
        <v>3616</v>
      </c>
    </row>
    <row r="10" spans="1:16" x14ac:dyDescent="0.3">
      <c r="A10" t="s">
        <v>739</v>
      </c>
      <c r="B10">
        <v>30</v>
      </c>
      <c r="C10">
        <v>3190</v>
      </c>
      <c r="D10">
        <f>Beam_loads[[#This Row],[Max Beam Load]]*0.85</f>
        <v>2711.5</v>
      </c>
      <c r="E10">
        <v>4267</v>
      </c>
      <c r="G10" t="s">
        <v>157</v>
      </c>
      <c r="H10">
        <v>72</v>
      </c>
      <c r="I10">
        <v>2080</v>
      </c>
      <c r="J10" s="53">
        <v>2936</v>
      </c>
    </row>
    <row r="11" spans="1:16" x14ac:dyDescent="0.3">
      <c r="A11" t="s">
        <v>157</v>
      </c>
      <c r="B11">
        <v>36</v>
      </c>
      <c r="C11">
        <v>1130</v>
      </c>
      <c r="D11">
        <f>Beam_loads[[#This Row],[Max Beam Load]]*0.85</f>
        <v>960.5</v>
      </c>
      <c r="E11">
        <v>1128</v>
      </c>
      <c r="G11" t="s">
        <v>157</v>
      </c>
      <c r="H11">
        <v>84</v>
      </c>
      <c r="I11">
        <v>1860</v>
      </c>
      <c r="J11" s="52">
        <v>2461</v>
      </c>
      <c r="L11" cm="1">
        <f t="array" ref="L11">INDEX(Column_load[Column Height (inches)],L14)</f>
        <v>24</v>
      </c>
    </row>
    <row r="12" spans="1:16" x14ac:dyDescent="0.3">
      <c r="A12" t="s">
        <v>162</v>
      </c>
      <c r="B12">
        <v>36</v>
      </c>
      <c r="C12">
        <v>3190</v>
      </c>
      <c r="D12">
        <f>Beam_loads[[#This Row],[Max Beam Load]]*0.85</f>
        <v>2711.5</v>
      </c>
      <c r="E12">
        <v>3144</v>
      </c>
      <c r="G12" t="s">
        <v>157</v>
      </c>
      <c r="H12">
        <v>96</v>
      </c>
      <c r="I12">
        <v>1670</v>
      </c>
      <c r="J12" s="53">
        <v>2101</v>
      </c>
    </row>
    <row r="13" spans="1:16" x14ac:dyDescent="0.3">
      <c r="A13" t="s">
        <v>739</v>
      </c>
      <c r="B13">
        <v>36</v>
      </c>
      <c r="C13">
        <v>3190</v>
      </c>
      <c r="D13">
        <f>Beam_loads[[#This Row],[Max Beam Load]]*0.85</f>
        <v>2711.5</v>
      </c>
      <c r="E13">
        <v>3556</v>
      </c>
      <c r="G13" t="s">
        <v>157</v>
      </c>
      <c r="H13">
        <v>108</v>
      </c>
      <c r="I13">
        <v>1510</v>
      </c>
      <c r="J13" s="52">
        <v>1816</v>
      </c>
    </row>
    <row r="14" spans="1:16" x14ac:dyDescent="0.3">
      <c r="A14" t="s">
        <v>157</v>
      </c>
      <c r="B14">
        <v>42</v>
      </c>
      <c r="C14">
        <v>850</v>
      </c>
      <c r="D14">
        <f>Beam_loads[[#This Row],[Max Beam Load]]*0.85</f>
        <v>722.5</v>
      </c>
      <c r="E14">
        <v>967</v>
      </c>
      <c r="G14" t="s">
        <v>157</v>
      </c>
      <c r="H14">
        <v>120</v>
      </c>
      <c r="I14">
        <v>1380</v>
      </c>
      <c r="J14" s="53">
        <v>1583</v>
      </c>
      <c r="L14">
        <f>MATCH(H29,Column_load[Column Height (inches)],1)</f>
        <v>2</v>
      </c>
    </row>
    <row r="15" spans="1:16" x14ac:dyDescent="0.3">
      <c r="A15" t="s">
        <v>162</v>
      </c>
      <c r="B15">
        <v>42</v>
      </c>
      <c r="C15">
        <v>2390</v>
      </c>
      <c r="D15">
        <f>Beam_loads[[#This Row],[Max Beam Load]]*0.85</f>
        <v>2031.5</v>
      </c>
      <c r="E15">
        <v>2695</v>
      </c>
      <c r="G15" t="s">
        <v>162</v>
      </c>
      <c r="H15">
        <v>18</v>
      </c>
      <c r="I15">
        <v>6430</v>
      </c>
    </row>
    <row r="16" spans="1:16" x14ac:dyDescent="0.3">
      <c r="A16" t="s">
        <v>739</v>
      </c>
      <c r="B16">
        <v>42</v>
      </c>
      <c r="C16">
        <v>2390</v>
      </c>
      <c r="D16">
        <f>Beam_loads[[#This Row],[Max Beam Load]]*0.85</f>
        <v>2031.5</v>
      </c>
      <c r="E16">
        <v>3048</v>
      </c>
      <c r="G16" t="s">
        <v>162</v>
      </c>
      <c r="H16">
        <v>24</v>
      </c>
      <c r="I16">
        <v>6430</v>
      </c>
    </row>
    <row r="17" spans="1:16" x14ac:dyDescent="0.3">
      <c r="A17" t="s">
        <v>157</v>
      </c>
      <c r="B17">
        <v>48</v>
      </c>
      <c r="C17">
        <v>850</v>
      </c>
      <c r="D17">
        <f>Beam_loads[[#This Row],[Max Beam Load]]*0.85</f>
        <v>722.5</v>
      </c>
      <c r="E17">
        <v>757</v>
      </c>
      <c r="G17" t="s">
        <v>162</v>
      </c>
      <c r="H17">
        <v>30</v>
      </c>
      <c r="I17">
        <v>6290</v>
      </c>
    </row>
    <row r="18" spans="1:16" x14ac:dyDescent="0.3">
      <c r="A18" t="s">
        <v>162</v>
      </c>
      <c r="B18">
        <v>48</v>
      </c>
      <c r="C18">
        <v>2390</v>
      </c>
      <c r="D18">
        <f>Beam_loads[[#This Row],[Max Beam Load]]*0.85</f>
        <v>2031.5</v>
      </c>
      <c r="E18">
        <v>2358</v>
      </c>
      <c r="G18" t="s">
        <v>162</v>
      </c>
      <c r="H18">
        <v>36</v>
      </c>
      <c r="I18">
        <v>6290</v>
      </c>
    </row>
    <row r="19" spans="1:16" x14ac:dyDescent="0.3">
      <c r="A19" t="s">
        <v>739</v>
      </c>
      <c r="B19">
        <v>48</v>
      </c>
      <c r="C19">
        <v>2390</v>
      </c>
      <c r="D19">
        <f>Beam_loads[[#This Row],[Max Beam Load]]*0.85</f>
        <v>2031.5</v>
      </c>
      <c r="E19">
        <v>2667</v>
      </c>
      <c r="G19" t="s">
        <v>162</v>
      </c>
      <c r="H19">
        <v>42</v>
      </c>
      <c r="I19">
        <v>6160</v>
      </c>
    </row>
    <row r="20" spans="1:16" x14ac:dyDescent="0.3">
      <c r="A20" t="s">
        <v>157</v>
      </c>
      <c r="B20">
        <v>54</v>
      </c>
      <c r="C20">
        <v>680</v>
      </c>
      <c r="D20">
        <f>Beam_loads[[#This Row],[Max Beam Load]]*0.85</f>
        <v>578</v>
      </c>
      <c r="E20">
        <v>598</v>
      </c>
      <c r="G20" t="s">
        <v>162</v>
      </c>
      <c r="H20">
        <v>48</v>
      </c>
      <c r="I20">
        <v>6160</v>
      </c>
    </row>
    <row r="21" spans="1:16" x14ac:dyDescent="0.3">
      <c r="A21" t="s">
        <v>162</v>
      </c>
      <c r="B21">
        <v>54</v>
      </c>
      <c r="C21">
        <v>1910</v>
      </c>
      <c r="D21">
        <f>Beam_loads[[#This Row],[Max Beam Load]]*0.85</f>
        <v>1623.5</v>
      </c>
      <c r="E21">
        <v>2096</v>
      </c>
      <c r="G21" t="s">
        <v>162</v>
      </c>
      <c r="H21">
        <v>54</v>
      </c>
      <c r="I21">
        <v>6000</v>
      </c>
      <c r="P21" t="s">
        <v>162</v>
      </c>
    </row>
    <row r="22" spans="1:16" x14ac:dyDescent="0.3">
      <c r="A22" t="s">
        <v>739</v>
      </c>
      <c r="B22">
        <v>54</v>
      </c>
      <c r="C22">
        <v>1910</v>
      </c>
      <c r="D22">
        <f>Beam_loads[[#This Row],[Max Beam Load]]*0.85</f>
        <v>1623.5</v>
      </c>
      <c r="E22">
        <v>2370</v>
      </c>
      <c r="G22" t="s">
        <v>162</v>
      </c>
      <c r="H22">
        <v>60</v>
      </c>
      <c r="I22">
        <v>6000</v>
      </c>
    </row>
    <row r="23" spans="1:16" x14ac:dyDescent="0.3">
      <c r="A23" t="s">
        <v>157</v>
      </c>
      <c r="B23">
        <v>60</v>
      </c>
      <c r="C23">
        <v>680</v>
      </c>
      <c r="D23">
        <f>Beam_loads[[#This Row],[Max Beam Load]]*0.85</f>
        <v>578</v>
      </c>
      <c r="E23">
        <v>485</v>
      </c>
      <c r="G23" t="s">
        <v>162</v>
      </c>
      <c r="H23">
        <v>72</v>
      </c>
      <c r="I23">
        <v>5620</v>
      </c>
    </row>
    <row r="24" spans="1:16" x14ac:dyDescent="0.3">
      <c r="A24" t="s">
        <v>162</v>
      </c>
      <c r="B24">
        <v>60</v>
      </c>
      <c r="C24">
        <v>1910</v>
      </c>
      <c r="D24">
        <f>Beam_loads[[#This Row],[Max Beam Load]]*0.85</f>
        <v>1623.5</v>
      </c>
      <c r="E24">
        <v>1887</v>
      </c>
      <c r="G24" t="s">
        <v>162</v>
      </c>
      <c r="H24">
        <v>84</v>
      </c>
      <c r="I24">
        <v>5170</v>
      </c>
    </row>
    <row r="25" spans="1:16" x14ac:dyDescent="0.3">
      <c r="A25" t="s">
        <v>739</v>
      </c>
      <c r="B25">
        <v>60</v>
      </c>
      <c r="C25">
        <v>1910</v>
      </c>
      <c r="D25">
        <f>Beam_loads[[#This Row],[Max Beam Load]]*0.85</f>
        <v>1623.5</v>
      </c>
      <c r="E25">
        <v>2133</v>
      </c>
      <c r="G25" t="s">
        <v>162</v>
      </c>
      <c r="H25">
        <v>96</v>
      </c>
      <c r="I25">
        <v>4690</v>
      </c>
    </row>
    <row r="26" spans="1:16" x14ac:dyDescent="0.3">
      <c r="A26" t="s">
        <v>157</v>
      </c>
      <c r="B26">
        <v>72</v>
      </c>
      <c r="C26">
        <v>560</v>
      </c>
      <c r="D26">
        <f>Beam_loads[[#This Row],[Max Beam Load]]*0.85</f>
        <v>476</v>
      </c>
      <c r="E26">
        <v>337</v>
      </c>
      <c r="G26" t="s">
        <v>162</v>
      </c>
      <c r="H26">
        <v>108</v>
      </c>
      <c r="I26">
        <v>4170</v>
      </c>
    </row>
    <row r="27" spans="1:16" x14ac:dyDescent="0.3">
      <c r="A27" t="s">
        <v>162</v>
      </c>
      <c r="B27">
        <v>72</v>
      </c>
      <c r="C27">
        <v>1600</v>
      </c>
      <c r="D27">
        <f>Beam_loads[[#This Row],[Max Beam Load]]*0.85</f>
        <v>1360</v>
      </c>
      <c r="E27">
        <v>1572</v>
      </c>
      <c r="G27" t="s">
        <v>162</v>
      </c>
      <c r="H27">
        <v>120</v>
      </c>
      <c r="I27">
        <v>3690</v>
      </c>
    </row>
    <row r="28" spans="1:16" x14ac:dyDescent="0.3">
      <c r="A28" t="s">
        <v>739</v>
      </c>
      <c r="B28">
        <v>72</v>
      </c>
      <c r="C28">
        <v>1600</v>
      </c>
      <c r="D28">
        <f>Beam_loads[[#This Row],[Max Beam Load]]*0.85</f>
        <v>1360</v>
      </c>
      <c r="E28">
        <v>1778</v>
      </c>
    </row>
    <row r="29" spans="1:16" x14ac:dyDescent="0.3">
      <c r="A29" t="s">
        <v>157</v>
      </c>
      <c r="B29">
        <v>84</v>
      </c>
      <c r="C29">
        <v>480</v>
      </c>
      <c r="D29">
        <f>Beam_loads[[#This Row],[Max Beam Load]]*0.85</f>
        <v>408</v>
      </c>
      <c r="E29">
        <v>247</v>
      </c>
      <c r="G29">
        <f>Calculations!B5</f>
        <v>22</v>
      </c>
      <c r="H29" s="50">
        <f>IF($G$29&lt;=18,18,IF(AND($G$29&gt;18,$G$29&lt;=24),24,IF(AND($G$29&gt;24,$G$29&lt;=30),30,IF(AND($G$29&gt;30,$G$29&lt;=36),36,IF(AND($G$29&gt;36,$G$29&lt;=42),42,IF(AND($G$29&gt;42,$G$29&lt;=48),48,IF(AND($G$29&gt;48,$G$29&lt;54),54,IF(AND($G$29&gt;54,$G$29&lt;=60),60,IF(AND($G$29&gt;60,$G$29&lt;=72),72,IF(AND($G$29&gt;72,$G$29&lt;=84),84,IF(AND($G$29&gt;84,$G$29&lt;=96),96,IF(AND($G$29&gt;96,$G$29&lt;=108),108,IF(AND($G$29&gt;108,$G$29&lt;=120),120,1)))))))))))))</f>
        <v>24</v>
      </c>
      <c r="I29" s="50">
        <f>VLOOKUP(H29,Column_load[[Column Height (inches)]:[Max column load]],2,FALSE)</f>
        <v>3550</v>
      </c>
    </row>
    <row r="30" spans="1:16" x14ac:dyDescent="0.3">
      <c r="A30" t="s">
        <v>162</v>
      </c>
      <c r="B30">
        <v>84</v>
      </c>
      <c r="C30">
        <v>1370</v>
      </c>
      <c r="D30">
        <f>Beam_loads[[#This Row],[Max Beam Load]]*0.85</f>
        <v>1164.5</v>
      </c>
      <c r="E30">
        <v>1210</v>
      </c>
    </row>
    <row r="31" spans="1:16" x14ac:dyDescent="0.3">
      <c r="A31" t="s">
        <v>739</v>
      </c>
      <c r="B31">
        <v>84</v>
      </c>
      <c r="C31">
        <v>1370</v>
      </c>
      <c r="D31">
        <f>Beam_loads[[#This Row],[Max Beam Load]]*0.85</f>
        <v>1164.5</v>
      </c>
      <c r="E31">
        <v>1461</v>
      </c>
    </row>
    <row r="32" spans="1:16" x14ac:dyDescent="0.3">
      <c r="A32" t="s">
        <v>157</v>
      </c>
      <c r="B32">
        <v>96</v>
      </c>
      <c r="C32">
        <v>420</v>
      </c>
      <c r="D32">
        <f>Beam_loads[[#This Row],[Max Beam Load]]*0.85</f>
        <v>357</v>
      </c>
      <c r="E32">
        <v>189</v>
      </c>
    </row>
    <row r="33" spans="1:46" x14ac:dyDescent="0.3">
      <c r="A33" t="s">
        <v>162</v>
      </c>
      <c r="B33">
        <v>96</v>
      </c>
      <c r="C33">
        <v>1200</v>
      </c>
      <c r="D33">
        <f>Beam_loads[[#This Row],[Max Beam Load]]*0.85</f>
        <v>1020</v>
      </c>
      <c r="E33">
        <v>926</v>
      </c>
    </row>
    <row r="34" spans="1:46" x14ac:dyDescent="0.3">
      <c r="A34" t="s">
        <v>739</v>
      </c>
      <c r="B34">
        <v>96</v>
      </c>
      <c r="C34">
        <v>1200</v>
      </c>
      <c r="D34">
        <f>Beam_loads[[#This Row],[Max Beam Load]]*0.85</f>
        <v>1020</v>
      </c>
      <c r="E34">
        <v>1119</v>
      </c>
    </row>
    <row r="35" spans="1:46" x14ac:dyDescent="0.3">
      <c r="A35" t="s">
        <v>157</v>
      </c>
      <c r="B35">
        <v>108</v>
      </c>
      <c r="C35">
        <v>380</v>
      </c>
      <c r="D35">
        <f>Beam_loads[[#This Row],[Max Beam Load]]*0.85</f>
        <v>323</v>
      </c>
      <c r="E35">
        <v>150</v>
      </c>
    </row>
    <row r="36" spans="1:46" x14ac:dyDescent="0.3">
      <c r="A36" t="s">
        <v>162</v>
      </c>
      <c r="B36">
        <v>108</v>
      </c>
      <c r="C36">
        <v>1060</v>
      </c>
      <c r="D36">
        <f>Beam_loads[[#This Row],[Max Beam Load]]*0.85</f>
        <v>901</v>
      </c>
      <c r="E36">
        <v>732</v>
      </c>
      <c r="AT36" t="s">
        <v>745</v>
      </c>
    </row>
    <row r="37" spans="1:46" x14ac:dyDescent="0.3">
      <c r="A37" t="s">
        <v>739</v>
      </c>
      <c r="B37">
        <v>108</v>
      </c>
      <c r="C37">
        <v>1060</v>
      </c>
      <c r="D37">
        <f>Beam_loads[[#This Row],[Max Beam Load]]*0.85</f>
        <v>901</v>
      </c>
      <c r="E37">
        <v>884</v>
      </c>
    </row>
    <row r="38" spans="1:46" x14ac:dyDescent="0.3">
      <c r="A38" t="s">
        <v>157</v>
      </c>
      <c r="B38">
        <v>120</v>
      </c>
      <c r="C38">
        <v>340</v>
      </c>
      <c r="D38">
        <f>Beam_loads[[#This Row],[Max Beam Load]]*0.85</f>
        <v>289</v>
      </c>
      <c r="E38">
        <v>121</v>
      </c>
    </row>
    <row r="39" spans="1:46" x14ac:dyDescent="0.3">
      <c r="A39" t="s">
        <v>162</v>
      </c>
      <c r="B39">
        <v>120</v>
      </c>
      <c r="C39">
        <v>960</v>
      </c>
      <c r="D39">
        <f>Beam_loads[[#This Row],[Max Beam Load]]*0.85</f>
        <v>816</v>
      </c>
      <c r="E39">
        <v>593</v>
      </c>
    </row>
    <row r="40" spans="1:46" x14ac:dyDescent="0.3">
      <c r="A40" t="s">
        <v>739</v>
      </c>
      <c r="B40">
        <v>120</v>
      </c>
      <c r="C40">
        <v>960</v>
      </c>
      <c r="D40">
        <f>Beam_loads[[#This Row],[Max Beam Load]]*0.85</f>
        <v>816</v>
      </c>
      <c r="E40">
        <v>716</v>
      </c>
    </row>
    <row r="41" spans="1:46" x14ac:dyDescent="0.3">
      <c r="A41">
        <f>Calculations!B20</f>
        <v>40</v>
      </c>
      <c r="B41" s="50">
        <f>IF($A$41&lt;=18,18,IF(AND($A$41&gt;18,$A$41&lt;=24),24,IF(AND($A$41&gt;24,$A$41&lt;=30),30,IF(AND($A$41&gt;30,$A$41&lt;=36),36,IF(AND($A$41&gt;36,$A$41&lt;=42),42,IF(AND($A$41&gt;42,$A$41&lt;=48),48,IF(AND($A$41&gt;48,$A$41&lt;=54),54,IF(AND($A$41&gt;54,$A$41&lt;=60),60,IF(AND($A$41&gt;60,$A$41&lt;=72),72,IF(AND($A$41&gt;72,$A$41&lt;=84),84,IF(AND($A$41&gt;84,$A$41&lt;=96),96,IF(AND($A$41&gt;96,$A$41&lt;=108),108,IF(AND($A$41&gt;108,$A$41&lt;=120),120,1)))))))))))))</f>
        <v>42</v>
      </c>
      <c r="D41" s="50">
        <f>VLOOKUP(B41,B2:D40,3,FALSE)</f>
        <v>722.5</v>
      </c>
    </row>
    <row r="42" spans="1:46" x14ac:dyDescent="0.3">
      <c r="A42" s="51"/>
      <c r="B42" s="51"/>
      <c r="C42" s="51"/>
      <c r="D42" s="51"/>
      <c r="L42" s="51"/>
      <c r="M42" s="51"/>
      <c r="N42" s="51"/>
      <c r="O42" s="51"/>
      <c r="P42" s="51"/>
      <c r="Q42" s="51"/>
      <c r="R42" s="51"/>
      <c r="S42" s="51"/>
      <c r="T42" s="51"/>
      <c r="U42" s="51"/>
      <c r="V42" s="51"/>
      <c r="W42" s="51"/>
      <c r="X42" s="12"/>
      <c r="Y42" s="63"/>
      <c r="Z42" s="63"/>
      <c r="AA42" s="63"/>
      <c r="AB42" s="63"/>
      <c r="AC42" s="63"/>
      <c r="AD42" s="63"/>
      <c r="AE42" s="63"/>
      <c r="AF42" s="63"/>
      <c r="AG42" s="63"/>
      <c r="AH42" s="63"/>
      <c r="AI42" s="63"/>
      <c r="AJ42" s="63"/>
      <c r="AK42" s="63"/>
      <c r="AL42" s="63"/>
      <c r="AM42" s="63"/>
      <c r="AN42" s="63"/>
      <c r="AO42" s="63"/>
      <c r="AP42" s="63"/>
      <c r="AQ42" s="63"/>
    </row>
    <row r="55" spans="5:5" x14ac:dyDescent="0.3">
      <c r="E55" s="51"/>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2EE4E-36A1-45FA-A31C-0BE367EF9B51}">
  <sheetPr codeName="Sheet5"/>
  <dimension ref="A1:I26"/>
  <sheetViews>
    <sheetView zoomScale="120" zoomScaleNormal="120" workbookViewId="0">
      <selection activeCell="H6" sqref="H6"/>
    </sheetView>
  </sheetViews>
  <sheetFormatPr defaultRowHeight="14.4" x14ac:dyDescent="0.3"/>
  <cols>
    <col min="2" max="2" width="13.88671875" customWidth="1"/>
    <col min="3" max="3" width="15.5546875" customWidth="1"/>
    <col min="4" max="4" width="22.88671875" customWidth="1"/>
    <col min="5" max="5" width="23.44140625" customWidth="1"/>
    <col min="8" max="8" width="15.5546875" customWidth="1"/>
    <col min="9" max="9" width="13.6640625" customWidth="1"/>
  </cols>
  <sheetData>
    <row r="1" spans="1:9" x14ac:dyDescent="0.3">
      <c r="A1" t="s">
        <v>752</v>
      </c>
      <c r="B1" t="s">
        <v>753</v>
      </c>
      <c r="C1" t="s">
        <v>754</v>
      </c>
      <c r="D1" t="s">
        <v>755</v>
      </c>
      <c r="E1" t="s">
        <v>756</v>
      </c>
      <c r="H1" t="s">
        <v>762</v>
      </c>
      <c r="I1" t="s">
        <v>763</v>
      </c>
    </row>
    <row r="2" spans="1:9" x14ac:dyDescent="0.3">
      <c r="A2">
        <v>8</v>
      </c>
      <c r="B2">
        <v>0.1681</v>
      </c>
      <c r="C2">
        <v>4.2699999999999996</v>
      </c>
      <c r="D2">
        <v>6.8579999999999997</v>
      </c>
      <c r="E2">
        <v>33.481999999999999</v>
      </c>
      <c r="H2">
        <v>3.9</v>
      </c>
      <c r="I2">
        <v>8</v>
      </c>
    </row>
    <row r="3" spans="1:9" x14ac:dyDescent="0.3">
      <c r="A3">
        <v>9</v>
      </c>
      <c r="B3">
        <v>0.1532</v>
      </c>
      <c r="C3">
        <v>3.891</v>
      </c>
      <c r="D3">
        <v>6.25</v>
      </c>
      <c r="E3">
        <v>30.513999999999999</v>
      </c>
      <c r="H3">
        <v>10</v>
      </c>
      <c r="I3">
        <v>6</v>
      </c>
    </row>
    <row r="4" spans="1:9" x14ac:dyDescent="0.3">
      <c r="A4">
        <v>10</v>
      </c>
      <c r="B4">
        <v>0.13819999999999999</v>
      </c>
      <c r="C4">
        <v>3.51</v>
      </c>
      <c r="D4">
        <v>5.6379999999999999</v>
      </c>
      <c r="E4">
        <v>27.527000000000001</v>
      </c>
      <c r="H4">
        <v>45</v>
      </c>
      <c r="I4">
        <v>4</v>
      </c>
    </row>
    <row r="5" spans="1:9" x14ac:dyDescent="0.3">
      <c r="A5">
        <v>11</v>
      </c>
      <c r="B5">
        <v>0.12330000000000001</v>
      </c>
      <c r="C5">
        <v>3.1320000000000001</v>
      </c>
      <c r="D5">
        <v>5.03</v>
      </c>
      <c r="E5">
        <v>24.559000000000001</v>
      </c>
    </row>
    <row r="6" spans="1:9" x14ac:dyDescent="0.3">
      <c r="A6">
        <v>12</v>
      </c>
      <c r="B6">
        <v>0.1084</v>
      </c>
      <c r="C6">
        <v>2.7530000000000001</v>
      </c>
      <c r="D6">
        <v>4.4219999999999997</v>
      </c>
      <c r="E6">
        <v>21.591000000000001</v>
      </c>
      <c r="H6" s="7">
        <f>Calculations!B18</f>
        <v>7.0685834705770345</v>
      </c>
      <c r="I6">
        <f>IF(H2&gt;=H6,I2,IF(H3&gt;=H6,I3,I4))</f>
        <v>6</v>
      </c>
    </row>
    <row r="7" spans="1:9" x14ac:dyDescent="0.3">
      <c r="A7">
        <v>13</v>
      </c>
      <c r="B7">
        <v>9.3399999999999997E-2</v>
      </c>
      <c r="C7">
        <v>2.3719999999999999</v>
      </c>
      <c r="D7">
        <v>3.81</v>
      </c>
      <c r="E7">
        <v>18.603000000000002</v>
      </c>
    </row>
    <row r="8" spans="1:9" x14ac:dyDescent="0.3">
      <c r="A8">
        <v>14</v>
      </c>
      <c r="B8">
        <v>7.85E-2</v>
      </c>
      <c r="C8">
        <v>1.994</v>
      </c>
      <c r="D8">
        <v>3.202</v>
      </c>
      <c r="E8">
        <v>15.635999999999999</v>
      </c>
    </row>
    <row r="9" spans="1:9" x14ac:dyDescent="0.3">
      <c r="A9">
        <v>15</v>
      </c>
      <c r="B9">
        <v>7.0999999999999994E-2</v>
      </c>
      <c r="C9">
        <v>1.8029999999999999</v>
      </c>
      <c r="D9">
        <v>2.8959999999999999</v>
      </c>
      <c r="E9">
        <v>14.141999999999999</v>
      </c>
    </row>
    <row r="10" spans="1:9" x14ac:dyDescent="0.3">
      <c r="A10">
        <v>16</v>
      </c>
      <c r="B10">
        <v>6.3500000000000001E-2</v>
      </c>
      <c r="C10">
        <v>1.613</v>
      </c>
      <c r="D10">
        <v>2.59</v>
      </c>
      <c r="E10">
        <v>12.648</v>
      </c>
    </row>
    <row r="11" spans="1:9" x14ac:dyDescent="0.3">
      <c r="A11">
        <v>17</v>
      </c>
      <c r="B11">
        <v>5.7500000000000002E-2</v>
      </c>
      <c r="C11">
        <v>1.4610000000000001</v>
      </c>
      <c r="D11">
        <v>2.3460000000000001</v>
      </c>
      <c r="E11">
        <v>11.452999999999999</v>
      </c>
    </row>
    <row r="12" spans="1:9" x14ac:dyDescent="0.3">
      <c r="A12">
        <v>18</v>
      </c>
      <c r="B12">
        <v>5.16E-2</v>
      </c>
      <c r="C12">
        <v>1.3109999999999999</v>
      </c>
      <c r="D12">
        <v>2.105</v>
      </c>
      <c r="E12">
        <v>10.278</v>
      </c>
    </row>
    <row r="13" spans="1:9" x14ac:dyDescent="0.3">
      <c r="A13">
        <v>19</v>
      </c>
      <c r="B13">
        <v>4.5600000000000002E-2</v>
      </c>
      <c r="C13">
        <v>1.1579999999999999</v>
      </c>
      <c r="D13">
        <v>1.86</v>
      </c>
      <c r="E13">
        <v>9.0830000000000002</v>
      </c>
    </row>
    <row r="14" spans="1:9" x14ac:dyDescent="0.3">
      <c r="A14">
        <v>20</v>
      </c>
      <c r="B14">
        <v>3.9600000000000003E-2</v>
      </c>
      <c r="C14">
        <v>1.006</v>
      </c>
      <c r="D14">
        <v>1.615</v>
      </c>
      <c r="E14">
        <v>7.8879999999999999</v>
      </c>
    </row>
    <row r="15" spans="1:9" x14ac:dyDescent="0.3">
      <c r="A15">
        <v>21</v>
      </c>
      <c r="B15">
        <v>3.6600000000000001E-2</v>
      </c>
      <c r="C15">
        <v>0.93</v>
      </c>
      <c r="D15">
        <v>1.4930000000000001</v>
      </c>
      <c r="E15">
        <v>7.29</v>
      </c>
    </row>
    <row r="16" spans="1:9" x14ac:dyDescent="0.3">
      <c r="A16">
        <v>22</v>
      </c>
      <c r="B16">
        <v>3.3599999999999998E-2</v>
      </c>
      <c r="C16">
        <v>0.85299999999999998</v>
      </c>
      <c r="D16">
        <v>1.371</v>
      </c>
      <c r="E16">
        <v>6.6920000000000002</v>
      </c>
    </row>
    <row r="17" spans="1:5" x14ac:dyDescent="0.3">
      <c r="A17">
        <v>23</v>
      </c>
      <c r="B17">
        <v>3.0599999999999999E-2</v>
      </c>
      <c r="C17">
        <v>0.77700000000000002</v>
      </c>
      <c r="D17">
        <v>1.248</v>
      </c>
      <c r="E17">
        <v>6.0949999999999998</v>
      </c>
    </row>
    <row r="18" spans="1:5" x14ac:dyDescent="0.3">
      <c r="A18">
        <v>24</v>
      </c>
      <c r="B18">
        <v>2.76E-2</v>
      </c>
      <c r="C18">
        <v>0.70099999999999996</v>
      </c>
      <c r="D18">
        <v>1.1259999999999999</v>
      </c>
      <c r="E18">
        <v>5.4969999999999999</v>
      </c>
    </row>
    <row r="19" spans="1:5" x14ac:dyDescent="0.3">
      <c r="A19">
        <v>25</v>
      </c>
      <c r="B19">
        <v>2.47E-2</v>
      </c>
      <c r="C19">
        <v>0.627</v>
      </c>
      <c r="D19">
        <v>1.008</v>
      </c>
      <c r="E19">
        <v>4.92</v>
      </c>
    </row>
    <row r="20" spans="1:5" x14ac:dyDescent="0.3">
      <c r="A20">
        <v>26</v>
      </c>
      <c r="B20">
        <v>2.1700000000000001E-2</v>
      </c>
      <c r="C20">
        <v>0.55100000000000005</v>
      </c>
      <c r="D20">
        <v>0.88500000000000001</v>
      </c>
      <c r="E20">
        <v>4.3220000000000001</v>
      </c>
    </row>
    <row r="21" spans="1:5" x14ac:dyDescent="0.3">
      <c r="A21">
        <v>27</v>
      </c>
      <c r="B21">
        <v>2.0199999999999999E-2</v>
      </c>
      <c r="C21">
        <v>0.51300000000000001</v>
      </c>
      <c r="D21">
        <v>0.82399999999999995</v>
      </c>
      <c r="E21">
        <v>4.0229999999999997</v>
      </c>
    </row>
    <row r="22" spans="1:5" x14ac:dyDescent="0.3">
      <c r="A22">
        <v>28</v>
      </c>
      <c r="B22">
        <v>1.8700000000000001E-2</v>
      </c>
      <c r="C22">
        <v>0.47499999999999998</v>
      </c>
      <c r="D22">
        <v>0.76300000000000001</v>
      </c>
      <c r="E22">
        <v>3.7250000000000001</v>
      </c>
    </row>
    <row r="23" spans="1:5" x14ac:dyDescent="0.3">
      <c r="A23">
        <v>29</v>
      </c>
      <c r="B23">
        <v>1.72E-2</v>
      </c>
      <c r="C23">
        <v>0.437</v>
      </c>
      <c r="D23">
        <v>0.70199999999999996</v>
      </c>
      <c r="E23">
        <v>3.4260000000000002</v>
      </c>
    </row>
    <row r="24" spans="1:5" x14ac:dyDescent="0.3">
      <c r="A24">
        <v>30</v>
      </c>
      <c r="B24">
        <v>1.5699999999999999E-2</v>
      </c>
      <c r="C24">
        <v>0.39900000000000002</v>
      </c>
      <c r="D24">
        <v>0.64</v>
      </c>
      <c r="E24">
        <v>3.1269999999999998</v>
      </c>
    </row>
    <row r="25" spans="1:5" x14ac:dyDescent="0.3">
      <c r="A25">
        <v>31</v>
      </c>
      <c r="B25">
        <v>1.4200000000000001E-2</v>
      </c>
      <c r="C25">
        <v>0.36099999999999999</v>
      </c>
      <c r="D25">
        <v>0.57899999999999996</v>
      </c>
      <c r="E25">
        <v>2.8279999999999998</v>
      </c>
    </row>
    <row r="26" spans="1:5" x14ac:dyDescent="0.3">
      <c r="A26">
        <v>32</v>
      </c>
      <c r="B26">
        <v>1.34E-2</v>
      </c>
      <c r="C26">
        <v>0.34</v>
      </c>
      <c r="D26">
        <v>0.54700000000000004</v>
      </c>
      <c r="E26">
        <v>2.669</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6"/>
  <dimension ref="A2:G6"/>
  <sheetViews>
    <sheetView zoomScale="70" zoomScaleNormal="70" workbookViewId="0">
      <selection activeCell="B11" sqref="B11"/>
    </sheetView>
  </sheetViews>
  <sheetFormatPr defaultRowHeight="14.4" x14ac:dyDescent="0.3"/>
  <cols>
    <col min="1" max="1" width="15.88671875" customWidth="1"/>
    <col min="2" max="2" width="58.5546875" customWidth="1"/>
    <col min="5" max="5" width="63" customWidth="1"/>
    <col min="7" max="7" width="106.44140625" customWidth="1"/>
  </cols>
  <sheetData>
    <row r="2" spans="1:7" ht="282" customHeight="1" x14ac:dyDescent="0.3">
      <c r="A2" t="s">
        <v>110</v>
      </c>
      <c r="E2" t="e">
        <f>IF(Inputs!#REF!="strut clamp","Pipe_to_strut",Inputs!C4)</f>
        <v>#REF!</v>
      </c>
      <c r="F2" t="s">
        <v>110</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3">
      <c r="A3" t="s">
        <v>10</v>
      </c>
      <c r="F3" t="s">
        <v>10</v>
      </c>
      <c r="G3" t="e">
        <f>IF(Inputs!#REF!="Yes","We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and Pipe type 2 will be secured by "&amp;Calculations!#REF!&amp;".","We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f>
        <v>#REF!</v>
      </c>
    </row>
    <row r="4" spans="1:7" ht="259.5" customHeight="1" x14ac:dyDescent="0.3"/>
    <row r="5" spans="1:7" ht="259.5" customHeight="1" x14ac:dyDescent="0.3">
      <c r="A5" t="s">
        <v>117</v>
      </c>
      <c r="F5" t="s">
        <v>117</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3">
      <c r="A6" t="s">
        <v>757</v>
      </c>
      <c r="F6" t="s">
        <v>757</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 and Pipe type 2 will be secured by "&amp;Calculations!#REF!&amp;"."</f>
        <v>#REF!</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7"/>
  <dimension ref="A1:AP44"/>
  <sheetViews>
    <sheetView zoomScale="83" zoomScaleNormal="83" workbookViewId="0">
      <selection activeCell="B11" sqref="B11"/>
    </sheetView>
  </sheetViews>
  <sheetFormatPr defaultRowHeight="14.4" x14ac:dyDescent="0.3"/>
  <cols>
    <col min="1" max="1" width="11.88671875" customWidth="1"/>
    <col min="2" max="2" width="18" customWidth="1"/>
    <col min="3" max="4" width="16.6640625" customWidth="1"/>
    <col min="6" max="6" width="12" bestFit="1" customWidth="1"/>
    <col min="7" max="7" width="23.88671875" customWidth="1"/>
    <col min="8" max="8" width="18.33203125" customWidth="1"/>
    <col min="21" max="21" width="5.109375" customWidth="1"/>
  </cols>
  <sheetData>
    <row r="1" spans="1:8" x14ac:dyDescent="0.3">
      <c r="A1" t="s">
        <v>731</v>
      </c>
      <c r="B1" t="s">
        <v>732</v>
      </c>
      <c r="C1" t="s">
        <v>758</v>
      </c>
      <c r="D1" t="s">
        <v>759</v>
      </c>
      <c r="F1" t="s">
        <v>731</v>
      </c>
      <c r="G1" t="s">
        <v>736</v>
      </c>
      <c r="H1" t="s">
        <v>737</v>
      </c>
    </row>
    <row r="2" spans="1:8" x14ac:dyDescent="0.3">
      <c r="A2" t="s">
        <v>157</v>
      </c>
      <c r="B2">
        <v>18</v>
      </c>
      <c r="C2">
        <v>2256</v>
      </c>
      <c r="D2">
        <v>0</v>
      </c>
      <c r="F2" t="s">
        <v>157</v>
      </c>
      <c r="G2">
        <v>18</v>
      </c>
      <c r="H2">
        <v>9481</v>
      </c>
    </row>
    <row r="3" spans="1:8" x14ac:dyDescent="0.3">
      <c r="A3" t="s">
        <v>162</v>
      </c>
      <c r="B3">
        <v>18</v>
      </c>
      <c r="C3">
        <v>6289</v>
      </c>
      <c r="D3">
        <v>0</v>
      </c>
      <c r="F3" t="s">
        <v>157</v>
      </c>
      <c r="G3">
        <v>24</v>
      </c>
      <c r="H3">
        <v>8582</v>
      </c>
    </row>
    <row r="4" spans="1:8" x14ac:dyDescent="0.3">
      <c r="A4" t="s">
        <v>739</v>
      </c>
      <c r="B4">
        <v>18</v>
      </c>
      <c r="C4">
        <v>7111</v>
      </c>
      <c r="D4">
        <v>0</v>
      </c>
      <c r="F4" t="s">
        <v>157</v>
      </c>
      <c r="G4">
        <v>30</v>
      </c>
      <c r="H4">
        <v>7601</v>
      </c>
    </row>
    <row r="5" spans="1:8" x14ac:dyDescent="0.3">
      <c r="A5" t="s">
        <v>157</v>
      </c>
      <c r="B5">
        <v>24</v>
      </c>
      <c r="C5">
        <v>1692</v>
      </c>
      <c r="D5">
        <v>0</v>
      </c>
      <c r="F5" t="s">
        <v>157</v>
      </c>
      <c r="G5">
        <v>36</v>
      </c>
      <c r="H5">
        <v>6595</v>
      </c>
    </row>
    <row r="6" spans="1:8" x14ac:dyDescent="0.3">
      <c r="A6" t="s">
        <v>162</v>
      </c>
      <c r="B6">
        <v>24</v>
      </c>
      <c r="C6">
        <v>4717</v>
      </c>
      <c r="D6">
        <v>0</v>
      </c>
      <c r="F6" t="s">
        <v>157</v>
      </c>
      <c r="G6">
        <v>42</v>
      </c>
      <c r="H6">
        <v>5595</v>
      </c>
    </row>
    <row r="7" spans="1:8" x14ac:dyDescent="0.3">
      <c r="A7" t="s">
        <v>739</v>
      </c>
      <c r="B7">
        <v>24</v>
      </c>
      <c r="C7">
        <v>5333</v>
      </c>
      <c r="D7">
        <v>0</v>
      </c>
      <c r="F7" t="s">
        <v>157</v>
      </c>
      <c r="G7">
        <v>48</v>
      </c>
      <c r="H7">
        <v>4718</v>
      </c>
    </row>
    <row r="8" spans="1:8" x14ac:dyDescent="0.3">
      <c r="A8" t="s">
        <v>157</v>
      </c>
      <c r="B8">
        <v>30</v>
      </c>
      <c r="C8">
        <v>1353</v>
      </c>
      <c r="D8">
        <v>0</v>
      </c>
      <c r="F8" t="s">
        <v>157</v>
      </c>
      <c r="G8">
        <v>54</v>
      </c>
      <c r="H8">
        <v>4090</v>
      </c>
    </row>
    <row r="9" spans="1:8" x14ac:dyDescent="0.3">
      <c r="A9" t="s">
        <v>162</v>
      </c>
      <c r="B9">
        <v>30</v>
      </c>
      <c r="C9">
        <v>3773</v>
      </c>
      <c r="D9">
        <v>0</v>
      </c>
      <c r="F9" t="s">
        <v>157</v>
      </c>
      <c r="G9">
        <v>60</v>
      </c>
      <c r="H9">
        <v>3616</v>
      </c>
    </row>
    <row r="10" spans="1:8" x14ac:dyDescent="0.3">
      <c r="A10" t="s">
        <v>739</v>
      </c>
      <c r="B10">
        <v>30</v>
      </c>
      <c r="C10">
        <v>4267</v>
      </c>
      <c r="D10">
        <v>0</v>
      </c>
      <c r="F10" t="s">
        <v>157</v>
      </c>
      <c r="G10">
        <v>72</v>
      </c>
      <c r="H10">
        <v>2936</v>
      </c>
    </row>
    <row r="11" spans="1:8" x14ac:dyDescent="0.3">
      <c r="A11" t="s">
        <v>157</v>
      </c>
      <c r="B11">
        <v>36</v>
      </c>
      <c r="C11">
        <v>1128</v>
      </c>
      <c r="D11">
        <v>0</v>
      </c>
      <c r="F11" t="s">
        <v>157</v>
      </c>
      <c r="G11">
        <v>84</v>
      </c>
      <c r="H11">
        <v>2461</v>
      </c>
    </row>
    <row r="12" spans="1:8" x14ac:dyDescent="0.3">
      <c r="A12" t="s">
        <v>162</v>
      </c>
      <c r="B12">
        <v>36</v>
      </c>
      <c r="C12">
        <v>3144</v>
      </c>
      <c r="D12">
        <v>0</v>
      </c>
      <c r="F12" t="s">
        <v>157</v>
      </c>
      <c r="G12">
        <v>96</v>
      </c>
      <c r="H12">
        <v>2101</v>
      </c>
    </row>
    <row r="13" spans="1:8" x14ac:dyDescent="0.3">
      <c r="A13" t="s">
        <v>739</v>
      </c>
      <c r="B13">
        <v>36</v>
      </c>
      <c r="C13">
        <v>3556</v>
      </c>
      <c r="D13">
        <v>0</v>
      </c>
      <c r="F13" t="s">
        <v>157</v>
      </c>
      <c r="G13">
        <v>108</v>
      </c>
      <c r="H13">
        <v>1816</v>
      </c>
    </row>
    <row r="14" spans="1:8" x14ac:dyDescent="0.3">
      <c r="A14" t="s">
        <v>157</v>
      </c>
      <c r="B14">
        <v>42</v>
      </c>
      <c r="C14">
        <v>967</v>
      </c>
      <c r="D14">
        <v>0</v>
      </c>
      <c r="F14" t="s">
        <v>157</v>
      </c>
      <c r="G14">
        <v>120</v>
      </c>
      <c r="H14">
        <v>1583</v>
      </c>
    </row>
    <row r="15" spans="1:8" x14ac:dyDescent="0.3">
      <c r="A15" t="s">
        <v>162</v>
      </c>
      <c r="B15">
        <v>42</v>
      </c>
      <c r="C15">
        <v>2695</v>
      </c>
      <c r="D15">
        <v>0</v>
      </c>
    </row>
    <row r="16" spans="1:8" x14ac:dyDescent="0.3">
      <c r="A16" t="s">
        <v>739</v>
      </c>
      <c r="B16">
        <v>42</v>
      </c>
      <c r="C16">
        <v>3048</v>
      </c>
      <c r="D16">
        <v>0</v>
      </c>
    </row>
    <row r="17" spans="1:10" x14ac:dyDescent="0.3">
      <c r="A17" t="s">
        <v>157</v>
      </c>
      <c r="B17">
        <v>48</v>
      </c>
      <c r="C17">
        <v>757</v>
      </c>
      <c r="D17">
        <v>0</v>
      </c>
    </row>
    <row r="18" spans="1:10" x14ac:dyDescent="0.3">
      <c r="A18" t="s">
        <v>162</v>
      </c>
      <c r="B18">
        <v>48</v>
      </c>
      <c r="C18">
        <v>2358</v>
      </c>
      <c r="D18">
        <v>0</v>
      </c>
    </row>
    <row r="19" spans="1:10" x14ac:dyDescent="0.3">
      <c r="A19" t="s">
        <v>739</v>
      </c>
      <c r="B19">
        <v>48</v>
      </c>
      <c r="C19">
        <v>2667</v>
      </c>
      <c r="D19">
        <v>0</v>
      </c>
    </row>
    <row r="20" spans="1:10" x14ac:dyDescent="0.3">
      <c r="A20" t="s">
        <v>157</v>
      </c>
      <c r="B20">
        <v>54</v>
      </c>
      <c r="C20">
        <v>598</v>
      </c>
      <c r="D20">
        <v>0</v>
      </c>
    </row>
    <row r="21" spans="1:10" x14ac:dyDescent="0.3">
      <c r="A21" t="s">
        <v>162</v>
      </c>
      <c r="B21">
        <v>54</v>
      </c>
      <c r="C21">
        <v>2096</v>
      </c>
      <c r="D21">
        <v>0</v>
      </c>
    </row>
    <row r="22" spans="1:10" x14ac:dyDescent="0.3">
      <c r="A22" t="s">
        <v>739</v>
      </c>
      <c r="B22">
        <v>54</v>
      </c>
      <c r="C22">
        <v>2370</v>
      </c>
      <c r="D22">
        <v>0</v>
      </c>
    </row>
    <row r="23" spans="1:10" x14ac:dyDescent="0.3">
      <c r="A23" t="s">
        <v>157</v>
      </c>
      <c r="B23">
        <v>60</v>
      </c>
      <c r="C23">
        <v>485</v>
      </c>
      <c r="D23">
        <v>0</v>
      </c>
    </row>
    <row r="24" spans="1:10" x14ac:dyDescent="0.3">
      <c r="A24" t="s">
        <v>162</v>
      </c>
      <c r="B24">
        <v>60</v>
      </c>
      <c r="C24">
        <v>1887</v>
      </c>
      <c r="D24">
        <v>0</v>
      </c>
    </row>
    <row r="25" spans="1:10" x14ac:dyDescent="0.3">
      <c r="A25" t="s">
        <v>739</v>
      </c>
      <c r="B25">
        <v>60</v>
      </c>
      <c r="C25">
        <v>2133</v>
      </c>
      <c r="D25">
        <v>0</v>
      </c>
    </row>
    <row r="26" spans="1:10" x14ac:dyDescent="0.3">
      <c r="A26" t="s">
        <v>157</v>
      </c>
      <c r="B26">
        <v>72</v>
      </c>
      <c r="C26">
        <v>337</v>
      </c>
      <c r="D26">
        <v>0</v>
      </c>
    </row>
    <row r="27" spans="1:10" x14ac:dyDescent="0.3">
      <c r="A27" t="s">
        <v>162</v>
      </c>
      <c r="B27">
        <v>72</v>
      </c>
      <c r="C27">
        <v>1572</v>
      </c>
      <c r="D27">
        <v>0</v>
      </c>
      <c r="F27" t="s">
        <v>740</v>
      </c>
    </row>
    <row r="28" spans="1:10" x14ac:dyDescent="0.3">
      <c r="A28" t="s">
        <v>739</v>
      </c>
      <c r="B28">
        <v>72</v>
      </c>
      <c r="C28">
        <v>1778</v>
      </c>
      <c r="D28">
        <v>0</v>
      </c>
      <c r="F28" t="s">
        <v>741</v>
      </c>
      <c r="G28" t="s">
        <v>732</v>
      </c>
      <c r="H28" t="s">
        <v>742</v>
      </c>
      <c r="J28" t="s">
        <v>743</v>
      </c>
    </row>
    <row r="29" spans="1:10" x14ac:dyDescent="0.3">
      <c r="A29" t="s">
        <v>157</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ROUNDDOWN(Calculations!#REF!/'Strut loadsAltered'!G29,0)</f>
        <v>#REF!</v>
      </c>
    </row>
    <row r="30" spans="1:10" x14ac:dyDescent="0.3">
      <c r="A30" t="s">
        <v>162</v>
      </c>
      <c r="B30">
        <v>84</v>
      </c>
      <c r="C30">
        <v>1210</v>
      </c>
      <c r="D30">
        <v>0</v>
      </c>
    </row>
    <row r="31" spans="1:10" x14ac:dyDescent="0.3">
      <c r="A31" t="s">
        <v>739</v>
      </c>
      <c r="B31">
        <v>84</v>
      </c>
      <c r="C31">
        <v>1461</v>
      </c>
      <c r="D31">
        <v>0</v>
      </c>
      <c r="F31" t="s">
        <v>744</v>
      </c>
      <c r="J31" t="s">
        <v>743</v>
      </c>
    </row>
    <row r="32" spans="1:10" x14ac:dyDescent="0.3">
      <c r="A32" t="s">
        <v>157</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ROUNDDOWN(Calculations!#REF!/'Strut loadsAltered'!G32,0)</f>
        <v>#REF!</v>
      </c>
    </row>
    <row r="33" spans="1:42" x14ac:dyDescent="0.3">
      <c r="A33" t="s">
        <v>162</v>
      </c>
      <c r="B33">
        <v>96</v>
      </c>
      <c r="C33">
        <v>926</v>
      </c>
      <c r="D33">
        <v>0</v>
      </c>
    </row>
    <row r="34" spans="1:42" x14ac:dyDescent="0.3">
      <c r="A34" t="s">
        <v>739</v>
      </c>
      <c r="B34">
        <v>96</v>
      </c>
      <c r="C34">
        <v>1119</v>
      </c>
      <c r="D34">
        <v>0</v>
      </c>
    </row>
    <row r="35" spans="1:42" x14ac:dyDescent="0.3">
      <c r="A35" t="s">
        <v>157</v>
      </c>
      <c r="B35">
        <v>108</v>
      </c>
      <c r="C35">
        <v>150</v>
      </c>
      <c r="D35">
        <v>0</v>
      </c>
    </row>
    <row r="36" spans="1:42" x14ac:dyDescent="0.3">
      <c r="A36" t="s">
        <v>162</v>
      </c>
      <c r="B36">
        <v>108</v>
      </c>
      <c r="C36">
        <v>732</v>
      </c>
      <c r="D36">
        <v>0</v>
      </c>
    </row>
    <row r="37" spans="1:42" x14ac:dyDescent="0.3">
      <c r="A37" t="s">
        <v>739</v>
      </c>
      <c r="B37">
        <v>108</v>
      </c>
      <c r="C37">
        <v>884</v>
      </c>
      <c r="D37">
        <v>0</v>
      </c>
    </row>
    <row r="38" spans="1:42" x14ac:dyDescent="0.3">
      <c r="A38" t="s">
        <v>157</v>
      </c>
      <c r="B38">
        <v>120</v>
      </c>
      <c r="C38">
        <v>121</v>
      </c>
      <c r="D38">
        <v>0</v>
      </c>
    </row>
    <row r="39" spans="1:42" x14ac:dyDescent="0.3">
      <c r="A39" t="s">
        <v>162</v>
      </c>
      <c r="B39">
        <v>120</v>
      </c>
      <c r="C39">
        <v>593</v>
      </c>
      <c r="D39">
        <v>0</v>
      </c>
    </row>
    <row r="40" spans="1:42" x14ac:dyDescent="0.3">
      <c r="A40" t="s">
        <v>739</v>
      </c>
      <c r="B40">
        <v>120</v>
      </c>
      <c r="C40">
        <v>716</v>
      </c>
      <c r="D40">
        <v>0</v>
      </c>
    </row>
    <row r="42" spans="1:42" x14ac:dyDescent="0.3">
      <c r="A42" s="63" t="s">
        <v>746</v>
      </c>
      <c r="B42" s="63"/>
      <c r="C42" s="63"/>
      <c r="D42" s="63"/>
      <c r="E42" s="63"/>
      <c r="F42" s="63"/>
      <c r="G42" s="63"/>
      <c r="H42" s="63"/>
      <c r="I42" s="63"/>
      <c r="J42" s="63"/>
      <c r="K42" s="63"/>
      <c r="L42" s="63"/>
      <c r="M42" s="63"/>
      <c r="N42" s="63"/>
      <c r="O42" s="63"/>
      <c r="P42" s="63"/>
      <c r="Q42" s="63"/>
      <c r="R42" s="63"/>
      <c r="S42" s="63"/>
      <c r="T42" s="63"/>
      <c r="U42" s="12"/>
      <c r="V42" s="63" t="s">
        <v>66</v>
      </c>
      <c r="W42" s="63"/>
      <c r="X42" s="63"/>
      <c r="Y42" s="63"/>
      <c r="Z42" s="63"/>
      <c r="AA42" s="63"/>
      <c r="AB42" s="63"/>
      <c r="AC42" s="63"/>
      <c r="AD42" s="63"/>
      <c r="AE42" s="63"/>
      <c r="AF42" s="63"/>
      <c r="AG42" s="63"/>
      <c r="AH42" s="63"/>
      <c r="AI42" s="63"/>
      <c r="AJ42" s="63"/>
      <c r="AK42" s="63"/>
      <c r="AL42" s="63"/>
      <c r="AM42" s="63"/>
      <c r="AN42" s="63"/>
    </row>
    <row r="43" spans="1:42" x14ac:dyDescent="0.3">
      <c r="E43" t="s">
        <v>747</v>
      </c>
      <c r="J43" t="s">
        <v>751</v>
      </c>
      <c r="N43" t="s">
        <v>748</v>
      </c>
      <c r="R43" t="s">
        <v>749</v>
      </c>
      <c r="V43" t="s">
        <v>750</v>
      </c>
      <c r="Z43" t="s">
        <v>747</v>
      </c>
      <c r="AD43" t="s">
        <v>751</v>
      </c>
      <c r="AH43" t="s">
        <v>748</v>
      </c>
      <c r="AL43" t="s">
        <v>749</v>
      </c>
      <c r="AP43" t="s">
        <v>750</v>
      </c>
    </row>
    <row r="44" spans="1:42" x14ac:dyDescent="0.3">
      <c r="E44" t="e" cm="1">
        <f t="array" ref="E44">_xlfn._xlws.FILTER(Beam_loads10[],(Beam_loads10[Beam span]&gt;Calculations!#REF!)*(Beam_loads10[Max beam load]&gt;Calculations!#REF!),"no results")</f>
        <v>#REF!</v>
      </c>
      <c r="J44" t="e" cm="1">
        <f t="array" ref="J44">_xlfn._xlws.FILTER(Beam_loads10[],(Beam_loads10[Beam span]&gt;(Calculations!#REF!/2))*(Beam_loads10[Max beam load]&gt;Calculations!#REF!),"no results")</f>
        <v>#REF!</v>
      </c>
      <c r="N44" t="e" cm="1">
        <f t="array" ref="N44">_xlfn._xlws.FILTER(Beam_loads10[],(Beam_loads10[Beam span]&gt;(Calculations!#REF!/3))*(Beam_loads10[Max beam load]&gt;Calculations!#REF!),"no results")</f>
        <v>#REF!</v>
      </c>
      <c r="R44" t="e" cm="1">
        <f t="array" ref="R44">_xlfn._xlws.FILTER(Beam_loads10[],(Beam_loads10[Beam span]&gt;(Calculations!#REF!/4))*(Beam_loads10[Max beam load]&gt;Calculations!#REF!),"no results")</f>
        <v>#REF!</v>
      </c>
      <c r="V44" t="e" cm="1">
        <f t="array" ref="V44">_xlfn._xlws.FILTER(Beam_loads10[],(Beam_loads10[Beam span]&gt;(Calculations!#REF!/5))*(Beam_loads10[Max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8"/>
  <dimension ref="A1:R44"/>
  <sheetViews>
    <sheetView zoomScale="208" zoomScaleNormal="208" workbookViewId="0">
      <selection activeCell="B11" sqref="B11"/>
    </sheetView>
  </sheetViews>
  <sheetFormatPr defaultRowHeight="14.4" x14ac:dyDescent="0.3"/>
  <cols>
    <col min="1" max="1" width="14.6640625" customWidth="1"/>
    <col min="2" max="2" width="41.33203125" customWidth="1"/>
    <col min="3" max="3" width="15.33203125" customWidth="1"/>
    <col min="4" max="4" width="16.88671875" customWidth="1"/>
    <col min="5" max="5" width="29.5546875" customWidth="1"/>
    <col min="6" max="6" width="21.88671875" bestFit="1" customWidth="1"/>
    <col min="7" max="7" width="12.44140625" customWidth="1"/>
    <col min="8" max="8" width="12" customWidth="1"/>
    <col min="14" max="14" width="10.44140625" customWidth="1"/>
    <col min="15" max="15" width="11.88671875" customWidth="1"/>
    <col min="17" max="17" width="17.5546875" customWidth="1"/>
    <col min="18" max="18" width="11.88671875" customWidth="1"/>
  </cols>
  <sheetData>
    <row r="1" spans="1:18" x14ac:dyDescent="0.3">
      <c r="A1" t="s">
        <v>85</v>
      </c>
      <c r="B1" t="s">
        <v>86</v>
      </c>
      <c r="C1" t="s">
        <v>97</v>
      </c>
      <c r="D1" t="s">
        <v>678</v>
      </c>
      <c r="E1" t="s">
        <v>679</v>
      </c>
      <c r="F1" t="s">
        <v>680</v>
      </c>
      <c r="G1" t="s">
        <v>681</v>
      </c>
      <c r="H1" t="s">
        <v>682</v>
      </c>
      <c r="I1" t="s">
        <v>683</v>
      </c>
      <c r="J1" t="s">
        <v>684</v>
      </c>
      <c r="N1" t="s">
        <v>685</v>
      </c>
      <c r="O1" t="s">
        <v>686</v>
      </c>
      <c r="Q1" t="s">
        <v>687</v>
      </c>
      <c r="R1" t="s">
        <v>686</v>
      </c>
    </row>
    <row r="2" spans="1:18" x14ac:dyDescent="0.3">
      <c r="A2" s="1" t="s">
        <v>688</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4">
        <v>0.75</v>
      </c>
      <c r="N2">
        <v>500</v>
      </c>
      <c r="O2" s="5">
        <v>1.6</v>
      </c>
      <c r="Q2" s="20">
        <v>500</v>
      </c>
      <c r="R2" s="5">
        <v>0.52</v>
      </c>
    </row>
    <row r="3" spans="1:18" x14ac:dyDescent="0.3">
      <c r="A3" s="37" t="s">
        <v>689</v>
      </c>
      <c r="B3" s="37" t="str">
        <f t="shared" ref="B3:B31" si="0">D3&amp;" inch clevis hanger on 0."&amp;E3&amp;" rod"</f>
        <v>3 inch clevis hanger on 0.500 rod</v>
      </c>
      <c r="C3" s="38" t="s">
        <v>114</v>
      </c>
      <c r="D3" s="37">
        <v>3</v>
      </c>
      <c r="E3" s="37">
        <v>500</v>
      </c>
      <c r="F3">
        <f>(1.5*_xlfn.XLOOKUP(Hanger_list[[#This Row],[Rod diameter (3/8 =1, 1/2" =2)]],Rod_costs[Rod size],Rod_costs[Unit price],"no result"))+_xlfn.XLOOKUP(Hanger_list[[#This Row],[Rod diameter (3/8 =1, 1/2" =2)]],Table6[Nut/washer size],Table6[Unit price])</f>
        <v>2.9200000000000004</v>
      </c>
      <c r="G3" s="39">
        <v>4.8</v>
      </c>
      <c r="H3" s="40">
        <f t="shared" ref="H3:H41" si="1">H$2</f>
        <v>10.199999999999999</v>
      </c>
      <c r="I3" s="41">
        <f>SUM(F3:H3)/(1-Hanger_list[[#This Row],[margin]])</f>
        <v>71.680000000000007</v>
      </c>
      <c r="J3" s="42">
        <f>J2</f>
        <v>0.75</v>
      </c>
      <c r="N3">
        <v>625</v>
      </c>
      <c r="O3" s="5">
        <v>2.85</v>
      </c>
      <c r="Q3" s="19">
        <v>625</v>
      </c>
      <c r="R3" s="5">
        <v>1</v>
      </c>
    </row>
    <row r="4" spans="1:18" x14ac:dyDescent="0.3">
      <c r="A4" s="37" t="s">
        <v>690</v>
      </c>
      <c r="B4" s="37" t="str">
        <f t="shared" si="0"/>
        <v>4 inch clevis hanger on 0.625 rod</v>
      </c>
      <c r="C4" s="38" t="s">
        <v>114</v>
      </c>
      <c r="D4" s="37">
        <v>4</v>
      </c>
      <c r="E4" s="37">
        <v>625</v>
      </c>
      <c r="F4">
        <f>(1.5*_xlfn.XLOOKUP(Hanger_list[[#This Row],[Rod diameter (3/8 =1, 1/2" =2)]],Rod_costs[Rod size],Rod_costs[Unit price],"no result"))+_xlfn.XLOOKUP(Hanger_list[[#This Row],[Rod diameter (3/8 =1, 1/2" =2)]],Table6[Nut/washer size],Table6[Unit price])</f>
        <v>5.2750000000000004</v>
      </c>
      <c r="G4" s="39">
        <v>6.23</v>
      </c>
      <c r="H4" s="40">
        <f t="shared" si="1"/>
        <v>10.199999999999999</v>
      </c>
      <c r="I4" s="41">
        <f>SUM(F4:H4)/(1-Hanger_list[[#This Row],[margin]])</f>
        <v>86.82</v>
      </c>
      <c r="J4" s="42">
        <f t="shared" ref="J4:J41" si="2">J3</f>
        <v>0.75</v>
      </c>
      <c r="N4">
        <v>750</v>
      </c>
      <c r="O4" s="5">
        <v>4.17</v>
      </c>
      <c r="Q4" s="20">
        <v>750</v>
      </c>
      <c r="R4" s="5">
        <v>1.53</v>
      </c>
    </row>
    <row r="5" spans="1:18" x14ac:dyDescent="0.3">
      <c r="A5" s="37" t="s">
        <v>691</v>
      </c>
      <c r="B5" s="37" t="str">
        <f t="shared" si="0"/>
        <v>5 inch clevis hanger on 0.625 rod</v>
      </c>
      <c r="C5" s="38" t="s">
        <v>114</v>
      </c>
      <c r="D5" s="37">
        <v>5</v>
      </c>
      <c r="E5" s="37">
        <v>625</v>
      </c>
      <c r="F5">
        <f>(1.5*_xlfn.XLOOKUP(Hanger_list[[#This Row],[Rod diameter (3/8 =1, 1/2" =2)]],Rod_costs[Rod size],Rod_costs[Unit price],"no result"))+_xlfn.XLOOKUP(Hanger_list[[#This Row],[Rod diameter (3/8 =1, 1/2" =2)]],Table6[Nut/washer size],Table6[Unit price])</f>
        <v>5.2750000000000004</v>
      </c>
      <c r="G5" s="39">
        <v>9.74</v>
      </c>
      <c r="H5" s="40">
        <f t="shared" si="1"/>
        <v>10.199999999999999</v>
      </c>
      <c r="I5" s="41">
        <f>SUM(F5:H5)/(1-Hanger_list[[#This Row],[margin]])</f>
        <v>100.86</v>
      </c>
      <c r="J5" s="42">
        <f t="shared" si="2"/>
        <v>0.75</v>
      </c>
      <c r="N5">
        <v>875</v>
      </c>
      <c r="O5" s="5">
        <v>5.77</v>
      </c>
      <c r="Q5" s="19">
        <v>875</v>
      </c>
      <c r="R5" s="5">
        <v>2.77</v>
      </c>
    </row>
    <row r="6" spans="1:18" x14ac:dyDescent="0.3">
      <c r="A6" s="37" t="s">
        <v>692</v>
      </c>
      <c r="B6" s="37" t="str">
        <f t="shared" si="0"/>
        <v>6 inch clevis hanger on 0.750 rod</v>
      </c>
      <c r="C6" s="38" t="s">
        <v>114</v>
      </c>
      <c r="D6" s="37">
        <v>6</v>
      </c>
      <c r="E6" s="37">
        <v>750</v>
      </c>
      <c r="F6">
        <f>(1.5*_xlfn.XLOOKUP(Hanger_list[[#This Row],[Rod diameter (3/8 =1, 1/2" =2)]],Rod_costs[Rod size],Rod_costs[Unit price],"no result"))+_xlfn.XLOOKUP(Hanger_list[[#This Row],[Rod diameter (3/8 =1, 1/2" =2)]],Table6[Nut/washer size],Table6[Unit price])</f>
        <v>7.7850000000000001</v>
      </c>
      <c r="G6" s="39">
        <v>12.48</v>
      </c>
      <c r="H6" s="40">
        <f t="shared" si="1"/>
        <v>10.199999999999999</v>
      </c>
      <c r="I6" s="41">
        <f>SUM(F6:H6)/(1-Hanger_list[[#This Row],[margin]])</f>
        <v>121.86</v>
      </c>
      <c r="J6" s="42">
        <f t="shared" si="2"/>
        <v>0.75</v>
      </c>
    </row>
    <row r="7" spans="1:18" x14ac:dyDescent="0.3">
      <c r="A7" s="37" t="s">
        <v>693</v>
      </c>
      <c r="B7" s="37" t="str">
        <f t="shared" si="0"/>
        <v>8 inch clevis hanger on 0.875 rod</v>
      </c>
      <c r="C7" s="38" t="s">
        <v>114</v>
      </c>
      <c r="D7" s="37">
        <v>8</v>
      </c>
      <c r="E7" s="37">
        <v>875</v>
      </c>
      <c r="F7">
        <f>(1.5*_xlfn.XLOOKUP(Hanger_list[[#This Row],[Rod diameter (3/8 =1, 1/2" =2)]],Rod_costs[Rod size],Rod_costs[Unit price],"no result"))+_xlfn.XLOOKUP(Hanger_list[[#This Row],[Rod diameter (3/8 =1, 1/2" =2)]],Table6[Nut/washer size],Table6[Unit price])</f>
        <v>11.424999999999999</v>
      </c>
      <c r="G7" s="39">
        <v>19.98</v>
      </c>
      <c r="H7" s="40">
        <f t="shared" si="1"/>
        <v>10.199999999999999</v>
      </c>
      <c r="I7" s="41">
        <f>SUM(F7:H7)/(1-Hanger_list[[#This Row],[margin]])</f>
        <v>166.42000000000002</v>
      </c>
      <c r="J7" s="42">
        <f t="shared" si="2"/>
        <v>0.75</v>
      </c>
    </row>
    <row r="8" spans="1:18" x14ac:dyDescent="0.3">
      <c r="A8" s="37" t="s">
        <v>694</v>
      </c>
      <c r="B8" s="37" t="str">
        <f t="shared" si="0"/>
        <v>10 inch clevis hanger on 0.875 rod</v>
      </c>
      <c r="C8" s="38" t="s">
        <v>114</v>
      </c>
      <c r="D8" s="37">
        <v>10</v>
      </c>
      <c r="E8" s="37">
        <v>875</v>
      </c>
      <c r="F8">
        <f>(1.5*_xlfn.XLOOKUP(Hanger_list[[#This Row],[Rod diameter (3/8 =1, 1/2" =2)]],Rod_costs[Rod size],Rod_costs[Unit price],"no result"))+_xlfn.XLOOKUP(Hanger_list[[#This Row],[Rod diameter (3/8 =1, 1/2" =2)]],Table6[Nut/washer size],Table6[Unit price])</f>
        <v>11.424999999999999</v>
      </c>
      <c r="G8" s="39">
        <v>37.31</v>
      </c>
      <c r="H8" s="40">
        <f t="shared" si="1"/>
        <v>10.199999999999999</v>
      </c>
      <c r="I8" s="41">
        <f>SUM(F8:H8)/(1-Hanger_list[[#This Row],[margin]])</f>
        <v>235.74</v>
      </c>
      <c r="J8" s="42">
        <f t="shared" si="2"/>
        <v>0.75</v>
      </c>
    </row>
    <row r="9" spans="1:18" x14ac:dyDescent="0.3">
      <c r="A9" s="37" t="s">
        <v>695</v>
      </c>
      <c r="B9" s="37" t="str">
        <f t="shared" si="0"/>
        <v>12 inch clevis hanger on 0.875 rod</v>
      </c>
      <c r="C9" s="38" t="s">
        <v>114</v>
      </c>
      <c r="D9" s="37">
        <v>12</v>
      </c>
      <c r="E9" s="37">
        <v>875</v>
      </c>
      <c r="F9">
        <f>(1.5*_xlfn.XLOOKUP(Hanger_list[[#This Row],[Rod diameter (3/8 =1, 1/2" =2)]],Rod_costs[Rod size],Rod_costs[Unit price],"no result"))+_xlfn.XLOOKUP(Hanger_list[[#This Row],[Rod diameter (3/8 =1, 1/2" =2)]],Table6[Nut/washer size],Table6[Unit price])</f>
        <v>11.424999999999999</v>
      </c>
      <c r="G9" s="39">
        <v>49.69</v>
      </c>
      <c r="H9" s="40">
        <f t="shared" si="1"/>
        <v>10.199999999999999</v>
      </c>
      <c r="I9" s="41">
        <f>SUM(F9:H9)/(1-Hanger_list[[#This Row],[margin]])</f>
        <v>285.26</v>
      </c>
      <c r="J9" s="42">
        <f t="shared" si="2"/>
        <v>0.75</v>
      </c>
    </row>
    <row r="10" spans="1:18" x14ac:dyDescent="0.3">
      <c r="A10" s="1" t="s">
        <v>696</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4">
        <f t="shared" si="2"/>
        <v>0.75</v>
      </c>
      <c r="L10" s="37" t="s">
        <v>697</v>
      </c>
    </row>
    <row r="11" spans="1:18" x14ac:dyDescent="0.3">
      <c r="A11" s="1" t="s">
        <v>698</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4">
        <f t="shared" si="2"/>
        <v>0.75</v>
      </c>
    </row>
    <row r="12" spans="1:18" x14ac:dyDescent="0.3">
      <c r="A12" s="1" t="s">
        <v>699</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4">
        <f t="shared" si="2"/>
        <v>0.75</v>
      </c>
    </row>
    <row r="13" spans="1:18" x14ac:dyDescent="0.3">
      <c r="A13" s="37" t="s">
        <v>700</v>
      </c>
      <c r="B13" s="37" t="str">
        <f t="shared" ref="B13:B21" si="3">D13&amp;" inch roller hanger on 0."&amp;E13&amp;" rod"</f>
        <v>3 inch roller hanger on 0.500 rod</v>
      </c>
      <c r="C13" s="38" t="s">
        <v>22</v>
      </c>
      <c r="D13" s="37">
        <v>3</v>
      </c>
      <c r="E13" s="37">
        <v>500</v>
      </c>
      <c r="F13">
        <f>(1.5*_xlfn.XLOOKUP(Hanger_list[[#This Row],[Rod diameter (3/8 =1, 1/2" =2)]],Rod_costs[Rod size],Rod_costs[Unit price],"no result"))+_xlfn.XLOOKUP(Hanger_list[[#This Row],[Rod diameter (3/8 =1, 1/2" =2)]],Table6[Nut/washer size],Table6[Unit price])</f>
        <v>2.9200000000000004</v>
      </c>
      <c r="G13" s="39">
        <v>13.71</v>
      </c>
      <c r="H13" s="40">
        <f t="shared" si="1"/>
        <v>10.199999999999999</v>
      </c>
      <c r="I13" s="41">
        <f>SUM(F13:H13)/(1-Hanger_list[[#This Row],[margin]])</f>
        <v>107.32000000000001</v>
      </c>
      <c r="J13" s="42">
        <f>J12</f>
        <v>0.75</v>
      </c>
    </row>
    <row r="14" spans="1:18" x14ac:dyDescent="0.3">
      <c r="A14" s="37" t="s">
        <v>701</v>
      </c>
      <c r="B14" s="37" t="str">
        <f t="shared" si="3"/>
        <v>4 inch roller hanger on 0.625 rod</v>
      </c>
      <c r="C14" s="38" t="s">
        <v>22</v>
      </c>
      <c r="D14" s="37">
        <v>4</v>
      </c>
      <c r="E14" s="37">
        <v>625</v>
      </c>
      <c r="F14">
        <f>(1.5*_xlfn.XLOOKUP(Hanger_list[[#This Row],[Rod diameter (3/8 =1, 1/2" =2)]],Rod_costs[Rod size],Rod_costs[Unit price],"no result"))+_xlfn.XLOOKUP(Hanger_list[[#This Row],[Rod diameter (3/8 =1, 1/2" =2)]],Table6[Nut/washer size],Table6[Unit price])</f>
        <v>5.2750000000000004</v>
      </c>
      <c r="G14" s="39">
        <v>14.93</v>
      </c>
      <c r="H14" s="40">
        <f t="shared" si="1"/>
        <v>10.199999999999999</v>
      </c>
      <c r="I14" s="41">
        <f>SUM(F14:H14)/(1-Hanger_list[[#This Row],[margin]])</f>
        <v>121.61999999999999</v>
      </c>
      <c r="J14" s="42">
        <f t="shared" si="2"/>
        <v>0.75</v>
      </c>
    </row>
    <row r="15" spans="1:18" x14ac:dyDescent="0.3">
      <c r="A15" s="37" t="s">
        <v>702</v>
      </c>
      <c r="B15" s="37" t="str">
        <f t="shared" si="3"/>
        <v>5 inch roller hanger on 0.625 rod</v>
      </c>
      <c r="C15" s="38" t="s">
        <v>22</v>
      </c>
      <c r="D15" s="37">
        <v>5</v>
      </c>
      <c r="E15" s="37">
        <v>625</v>
      </c>
      <c r="F15">
        <f>(1.5*_xlfn.XLOOKUP(Hanger_list[[#This Row],[Rod diameter (3/8 =1, 1/2" =2)]],Rod_costs[Rod size],Rod_costs[Unit price],"no result"))+_xlfn.XLOOKUP(Hanger_list[[#This Row],[Rod diameter (3/8 =1, 1/2" =2)]],Table6[Nut/washer size],Table6[Unit price])</f>
        <v>5.2750000000000004</v>
      </c>
      <c r="G15" s="39">
        <v>20.43</v>
      </c>
      <c r="H15" s="40">
        <f t="shared" si="1"/>
        <v>10.199999999999999</v>
      </c>
      <c r="I15" s="41">
        <f>SUM(F15:H15)/(1-Hanger_list[[#This Row],[margin]])</f>
        <v>143.62</v>
      </c>
      <c r="J15" s="42">
        <f t="shared" si="2"/>
        <v>0.75</v>
      </c>
    </row>
    <row r="16" spans="1:18" x14ac:dyDescent="0.3">
      <c r="A16" s="37" t="s">
        <v>703</v>
      </c>
      <c r="B16" s="37" t="str">
        <f t="shared" si="3"/>
        <v>6 inch roller hanger on 0.750 rod</v>
      </c>
      <c r="C16" s="38" t="s">
        <v>22</v>
      </c>
      <c r="D16" s="37">
        <v>6</v>
      </c>
      <c r="E16" s="37">
        <v>750</v>
      </c>
      <c r="F16">
        <f>(1.5*_xlfn.XLOOKUP(Hanger_list[[#This Row],[Rod diameter (3/8 =1, 1/2" =2)]],Rod_costs[Rod size],Rod_costs[Unit price],"no result"))+_xlfn.XLOOKUP(Hanger_list[[#This Row],[Rod diameter (3/8 =1, 1/2" =2)]],Table6[Nut/washer size],Table6[Unit price])</f>
        <v>7.7850000000000001</v>
      </c>
      <c r="G16" s="39">
        <v>25</v>
      </c>
      <c r="H16" s="40">
        <f t="shared" si="1"/>
        <v>10.199999999999999</v>
      </c>
      <c r="I16" s="41">
        <f>SUM(F16:H16)/(1-Hanger_list[[#This Row],[margin]])</f>
        <v>171.94</v>
      </c>
      <c r="J16" s="42">
        <f t="shared" si="2"/>
        <v>0.75</v>
      </c>
    </row>
    <row r="17" spans="1:10" x14ac:dyDescent="0.3">
      <c r="A17" s="37" t="s">
        <v>704</v>
      </c>
      <c r="B17" s="37" t="str">
        <f t="shared" si="3"/>
        <v>8 inch roller hanger on 0.875 rod</v>
      </c>
      <c r="C17" s="38" t="s">
        <v>22</v>
      </c>
      <c r="D17" s="37">
        <v>8</v>
      </c>
      <c r="E17" s="37">
        <v>875</v>
      </c>
      <c r="F17">
        <f>(1.5*_xlfn.XLOOKUP(Hanger_list[[#This Row],[Rod diameter (3/8 =1, 1/2" =2)]],Rod_costs[Rod size],Rod_costs[Unit price],"no result"))+_xlfn.XLOOKUP(Hanger_list[[#This Row],[Rod diameter (3/8 =1, 1/2" =2)]],Table6[Nut/washer size],Table6[Unit price])</f>
        <v>11.424999999999999</v>
      </c>
      <c r="G17" s="39">
        <v>40.71</v>
      </c>
      <c r="H17" s="40">
        <f t="shared" si="1"/>
        <v>10.199999999999999</v>
      </c>
      <c r="I17" s="41">
        <f>SUM(F17:H17)/(1-Hanger_list[[#This Row],[margin]])</f>
        <v>249.33999999999997</v>
      </c>
      <c r="J17" s="42">
        <f t="shared" si="2"/>
        <v>0.75</v>
      </c>
    </row>
    <row r="18" spans="1:10" x14ac:dyDescent="0.3">
      <c r="A18" s="37" t="s">
        <v>705</v>
      </c>
      <c r="B18" s="37" t="str">
        <f t="shared" si="3"/>
        <v>10 inch roller hanger on 0.875 rod</v>
      </c>
      <c r="C18" s="38" t="s">
        <v>22</v>
      </c>
      <c r="D18" s="37">
        <v>10</v>
      </c>
      <c r="E18" s="37">
        <v>875</v>
      </c>
      <c r="F18">
        <f>(1.5*_xlfn.XLOOKUP(Hanger_list[[#This Row],[Rod diameter (3/8 =1, 1/2" =2)]],Rod_costs[Rod size],Rod_costs[Unit price],"no result"))+_xlfn.XLOOKUP(Hanger_list[[#This Row],[Rod diameter (3/8 =1, 1/2" =2)]],Table6[Nut/washer size],Table6[Unit price])</f>
        <v>11.424999999999999</v>
      </c>
      <c r="G18" s="39">
        <v>55.71</v>
      </c>
      <c r="H18" s="40">
        <f t="shared" si="1"/>
        <v>10.199999999999999</v>
      </c>
      <c r="I18" s="41">
        <f>SUM(F18:H18)/(1-Hanger_list[[#This Row],[margin]])</f>
        <v>309.34000000000003</v>
      </c>
      <c r="J18" s="42">
        <f t="shared" si="2"/>
        <v>0.75</v>
      </c>
    </row>
    <row r="19" spans="1:10" x14ac:dyDescent="0.3">
      <c r="A19" s="37" t="s">
        <v>706</v>
      </c>
      <c r="B19" s="37" t="str">
        <f t="shared" si="3"/>
        <v>12 inch roller hanger on 0.875 rod</v>
      </c>
      <c r="C19" s="38" t="s">
        <v>22</v>
      </c>
      <c r="D19" s="37">
        <v>12</v>
      </c>
      <c r="E19" s="37">
        <v>875</v>
      </c>
      <c r="F19">
        <f>(1.5*_xlfn.XLOOKUP(Hanger_list[[#This Row],[Rod diameter (3/8 =1, 1/2" =2)]],Rod_costs[Rod size],Rod_costs[Unit price],"no result"))+_xlfn.XLOOKUP(Hanger_list[[#This Row],[Rod diameter (3/8 =1, 1/2" =2)]],Table6[Nut/washer size],Table6[Unit price])</f>
        <v>11.424999999999999</v>
      </c>
      <c r="G19" s="39">
        <v>80</v>
      </c>
      <c r="H19" s="40">
        <f t="shared" si="1"/>
        <v>10.199999999999999</v>
      </c>
      <c r="I19" s="41">
        <f>SUM(F19:H19)/(1-Hanger_list[[#This Row],[margin]])</f>
        <v>406.5</v>
      </c>
      <c r="J19" s="42">
        <f t="shared" si="2"/>
        <v>0.75</v>
      </c>
    </row>
    <row r="20" spans="1:10" x14ac:dyDescent="0.3">
      <c r="A20" s="1" t="s">
        <v>707</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4">
        <f t="shared" si="2"/>
        <v>0.75</v>
      </c>
    </row>
    <row r="21" spans="1:10" x14ac:dyDescent="0.3">
      <c r="A21" s="1" t="s">
        <v>708</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4">
        <f t="shared" si="2"/>
        <v>0.75</v>
      </c>
    </row>
    <row r="22" spans="1:10" x14ac:dyDescent="0.3">
      <c r="A22" s="1" t="s">
        <v>709</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4">
        <f t="shared" si="2"/>
        <v>0.75</v>
      </c>
    </row>
    <row r="23" spans="1:10" x14ac:dyDescent="0.3">
      <c r="A23" s="1" t="s">
        <v>710</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4">
        <f t="shared" si="2"/>
        <v>0.75</v>
      </c>
    </row>
    <row r="24" spans="1:10" x14ac:dyDescent="0.3">
      <c r="A24" s="1" t="s">
        <v>711</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4">
        <f t="shared" si="2"/>
        <v>0.75</v>
      </c>
    </row>
    <row r="25" spans="1:10" x14ac:dyDescent="0.3">
      <c r="A25" s="1" t="s">
        <v>712</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4">
        <f t="shared" si="2"/>
        <v>0.75</v>
      </c>
    </row>
    <row r="26" spans="1:10" x14ac:dyDescent="0.3">
      <c r="A26" s="1" t="s">
        <v>713</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4">
        <f t="shared" si="2"/>
        <v>0.75</v>
      </c>
    </row>
    <row r="27" spans="1:10" x14ac:dyDescent="0.3">
      <c r="A27" s="1" t="s">
        <v>714</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4">
        <f t="shared" si="2"/>
        <v>0.75</v>
      </c>
    </row>
    <row r="28" spans="1:10" x14ac:dyDescent="0.3">
      <c r="A28" s="1" t="s">
        <v>715</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4">
        <f t="shared" si="2"/>
        <v>0.75</v>
      </c>
    </row>
    <row r="29" spans="1:10" x14ac:dyDescent="0.3">
      <c r="A29" s="1" t="s">
        <v>716</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4">
        <f t="shared" si="2"/>
        <v>0.75</v>
      </c>
    </row>
    <row r="30" spans="1:10" x14ac:dyDescent="0.3">
      <c r="A30" s="1" t="s">
        <v>717</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4">
        <f t="shared" si="2"/>
        <v>0.75</v>
      </c>
    </row>
    <row r="31" spans="1:10" x14ac:dyDescent="0.3">
      <c r="A31" s="1" t="s">
        <v>718</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4">
        <f t="shared" si="2"/>
        <v>0.75</v>
      </c>
    </row>
    <row r="32" spans="1:10" x14ac:dyDescent="0.3">
      <c r="A32" s="1" t="s">
        <v>719</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4">
        <f t="shared" si="2"/>
        <v>0.75</v>
      </c>
    </row>
    <row r="33" spans="1:12" x14ac:dyDescent="0.3">
      <c r="A33" s="1" t="s">
        <v>720</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4">
        <f t="shared" si="2"/>
        <v>0.75</v>
      </c>
    </row>
    <row r="34" spans="1:12" x14ac:dyDescent="0.3">
      <c r="A34" s="1" t="s">
        <v>721</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4">
        <f t="shared" si="2"/>
        <v>0.75</v>
      </c>
    </row>
    <row r="35" spans="1:12" x14ac:dyDescent="0.3">
      <c r="A35" s="1" t="s">
        <v>722</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4">
        <f t="shared" si="2"/>
        <v>0.75</v>
      </c>
    </row>
    <row r="36" spans="1:12" x14ac:dyDescent="0.3">
      <c r="A36" s="1" t="s">
        <v>723</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4">
        <f t="shared" si="2"/>
        <v>0.75</v>
      </c>
    </row>
    <row r="37" spans="1:12" x14ac:dyDescent="0.3">
      <c r="A37" s="1" t="s">
        <v>724</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4">
        <f t="shared" si="2"/>
        <v>0.75</v>
      </c>
    </row>
    <row r="38" spans="1:12" x14ac:dyDescent="0.3">
      <c r="A38" s="1" t="s">
        <v>725</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4">
        <f t="shared" si="2"/>
        <v>0.75</v>
      </c>
    </row>
    <row r="39" spans="1:12" x14ac:dyDescent="0.3">
      <c r="A39" s="1" t="s">
        <v>726</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4">
        <f t="shared" si="2"/>
        <v>0.75</v>
      </c>
    </row>
    <row r="40" spans="1:12" x14ac:dyDescent="0.3">
      <c r="A40" s="1" t="s">
        <v>727</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4">
        <f t="shared" si="2"/>
        <v>0.75</v>
      </c>
    </row>
    <row r="41" spans="1:12" x14ac:dyDescent="0.3">
      <c r="A41" s="1" t="s">
        <v>728</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4">
        <f t="shared" si="2"/>
        <v>0.75</v>
      </c>
    </row>
    <row r="43" spans="1:12" x14ac:dyDescent="0.3">
      <c r="A43" t="s">
        <v>729</v>
      </c>
      <c r="L43" t="s">
        <v>730</v>
      </c>
    </row>
    <row r="44" spans="1:12" x14ac:dyDescent="0.3">
      <c r="A44" t="e" cm="1">
        <f t="array" ref="A44">IF(Inputs!#REF!="","",_xlfn._xlws.FILTER(Hanger_list[],(Hanger_list[Hanger type]=Calculations!#REF!)*(Hanger_list[Hanger size (in)]=Calculations!#REF!),""))</f>
        <v>#REF!</v>
      </c>
      <c r="L44" t="e" cm="1">
        <f t="array" ref="L44">IF(Inputs!#REF!="","",_xlfn._xlws.FILTER(Hanger_list[],(Hanger_list[Hanger type]=Calculations!#REF!)*(Hanger_list[Hanger size (in)]=Calculations!#REF!),""))</f>
        <v>#REF!</v>
      </c>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9"/>
  <dimension ref="A1:L21"/>
  <sheetViews>
    <sheetView workbookViewId="0">
      <selection activeCell="B11" sqref="B11"/>
    </sheetView>
  </sheetViews>
  <sheetFormatPr defaultColWidth="9.109375" defaultRowHeight="15.6" x14ac:dyDescent="0.35"/>
  <cols>
    <col min="1" max="1" width="5.6640625" style="25" customWidth="1"/>
    <col min="2" max="2" width="12.5546875" style="25" bestFit="1" customWidth="1"/>
    <col min="3" max="3" width="56.5546875" style="25" bestFit="1" customWidth="1"/>
    <col min="4" max="4" width="9.5546875" style="25" bestFit="1" customWidth="1"/>
    <col min="5" max="5" width="11" style="25" customWidth="1"/>
    <col min="6" max="6" width="14.44140625" style="25" bestFit="1" customWidth="1"/>
    <col min="7" max="16384" width="9.109375" style="25"/>
  </cols>
  <sheetData>
    <row r="1" spans="1:12" x14ac:dyDescent="0.35">
      <c r="B1" s="26" t="s">
        <v>81</v>
      </c>
      <c r="C1" s="25" t="str">
        <f>Inputs!B2&amp;" "&amp;Inputs!C2</f>
        <v xml:space="preserve"> </v>
      </c>
    </row>
    <row r="2" spans="1:12" x14ac:dyDescent="0.35">
      <c r="B2" s="26" t="s">
        <v>82</v>
      </c>
    </row>
    <row r="3" spans="1:12" x14ac:dyDescent="0.35">
      <c r="B3" s="26" t="s">
        <v>83</v>
      </c>
      <c r="C3" s="29"/>
    </row>
    <row r="6" spans="1:12" x14ac:dyDescent="0.35">
      <c r="A6" s="25" t="s">
        <v>84</v>
      </c>
      <c r="B6" s="25" t="s">
        <v>85</v>
      </c>
      <c r="C6" s="25" t="s">
        <v>86</v>
      </c>
      <c r="D6" s="25" t="s">
        <v>87</v>
      </c>
      <c r="E6" s="25" t="s">
        <v>88</v>
      </c>
      <c r="F6" s="25" t="s">
        <v>89</v>
      </c>
    </row>
    <row r="7" spans="1:12" x14ac:dyDescent="0.35">
      <c r="A7" s="25">
        <v>1</v>
      </c>
      <c r="B7" s="25" t="e">
        <f>'H-frame item list'!A245</f>
        <v>#REF!</v>
      </c>
      <c r="C7" s="25" t="e">
        <f>IF(B7="","",'H-frame item list'!B245)</f>
        <v>#REF!</v>
      </c>
      <c r="D7" s="27" t="e">
        <f>IF(B7="","",Calculations!#REF!)</f>
        <v>#REF!</v>
      </c>
      <c r="E7" s="28" t="e">
        <f>IF(B7="","",'H-frame item list'!V245)</f>
        <v>#REF!</v>
      </c>
      <c r="F7" s="28" t="e">
        <f>IF(OR(D7=0,D7=""),"",E7*D7)</f>
        <v>#REF!</v>
      </c>
    </row>
    <row r="8" spans="1:12" x14ac:dyDescent="0.35">
      <c r="A8" s="25">
        <v>2</v>
      </c>
      <c r="B8" s="25" t="e">
        <f>IF(Hanger_list!A44="","",Hanger_list!A44)</f>
        <v>#REF!</v>
      </c>
      <c r="C8" s="25" t="e">
        <f>IF(Hanger_list!A44="","",Hanger_list!B44)</f>
        <v>#REF!</v>
      </c>
      <c r="D8" s="30" t="e">
        <f>IF(Calculations!#REF!=0,"",Calculations!#REF!*D$7)</f>
        <v>#REF!</v>
      </c>
      <c r="E8" s="28" t="str">
        <f>IF(Hanger_list!I44="","",Hanger_list!I44)</f>
        <v/>
      </c>
      <c r="F8" s="28" t="e">
        <f t="shared" ref="F8:F16" si="0">IF(OR(D8=0,D8=""),"",E8*D8)</f>
        <v>#REF!</v>
      </c>
    </row>
    <row r="9" spans="1:12" x14ac:dyDescent="0.35">
      <c r="A9" s="25">
        <v>3</v>
      </c>
      <c r="B9" s="25" t="e">
        <f>IF(Hanger_list!$L44="","",Hanger_list!L44)</f>
        <v>#REF!</v>
      </c>
      <c r="C9" s="25" t="e">
        <f>IF(Hanger_list!$L44="","",Hanger_list!M44)</f>
        <v>#REF!</v>
      </c>
      <c r="D9" s="30" t="e">
        <f>IF(B9="","",Calculations!#REF!*D$7)</f>
        <v>#REF!</v>
      </c>
      <c r="E9" s="28" t="str">
        <f>IF(Hanger_list!T44="","",Hanger_list!T44)</f>
        <v/>
      </c>
      <c r="F9" s="28" t="e">
        <f t="shared" si="0"/>
        <v>#REF!</v>
      </c>
    </row>
    <row r="10" spans="1:12" x14ac:dyDescent="0.35">
      <c r="A10" s="25">
        <v>4</v>
      </c>
      <c r="B10" s="31"/>
      <c r="C10" s="31"/>
      <c r="D10" s="32"/>
      <c r="E10" s="33"/>
      <c r="F10" s="33"/>
    </row>
    <row r="11" spans="1:12" x14ac:dyDescent="0.35">
      <c r="A11" s="25">
        <v>5</v>
      </c>
      <c r="B11" s="31"/>
      <c r="C11" s="31"/>
      <c r="D11" s="32"/>
      <c r="E11" s="33"/>
      <c r="F11" s="33"/>
    </row>
    <row r="12" spans="1:12" x14ac:dyDescent="0.35">
      <c r="A12" s="25">
        <v>6</v>
      </c>
      <c r="B12" s="31"/>
      <c r="C12" s="31"/>
      <c r="D12" s="32"/>
      <c r="E12" s="33"/>
      <c r="F12" s="33"/>
    </row>
    <row r="13" spans="1:12" x14ac:dyDescent="0.35">
      <c r="A13" s="25">
        <v>7</v>
      </c>
      <c r="B13" s="31"/>
      <c r="C13" s="31"/>
      <c r="D13" s="32"/>
      <c r="E13" s="33"/>
      <c r="F13" s="33" t="str">
        <f t="shared" si="0"/>
        <v/>
      </c>
      <c r="L13" s="25" t="s">
        <v>78</v>
      </c>
    </row>
    <row r="14" spans="1:12" x14ac:dyDescent="0.35">
      <c r="A14" s="25">
        <v>8</v>
      </c>
      <c r="B14" s="31"/>
      <c r="C14" s="31"/>
      <c r="D14" s="32"/>
      <c r="E14" s="33"/>
      <c r="F14" s="33" t="str">
        <f t="shared" si="0"/>
        <v/>
      </c>
    </row>
    <row r="15" spans="1:12" x14ac:dyDescent="0.35">
      <c r="A15" s="25">
        <v>9</v>
      </c>
      <c r="B15" s="31"/>
      <c r="C15" s="31"/>
      <c r="D15" s="32"/>
      <c r="E15" s="33"/>
      <c r="F15" s="33" t="str">
        <f t="shared" si="0"/>
        <v/>
      </c>
    </row>
    <row r="16" spans="1:12" x14ac:dyDescent="0.35">
      <c r="A16" s="25">
        <v>10</v>
      </c>
      <c r="B16" s="31"/>
      <c r="C16" s="31"/>
      <c r="D16" s="32"/>
      <c r="E16" s="33"/>
      <c r="F16" s="33" t="str">
        <f t="shared" si="0"/>
        <v/>
      </c>
    </row>
    <row r="17" spans="2:6" x14ac:dyDescent="0.35">
      <c r="E17" s="26" t="s">
        <v>90</v>
      </c>
      <c r="F17" s="28" t="e">
        <f>SUM(F7:F11)</f>
        <v>#REF!</v>
      </c>
    </row>
    <row r="19" spans="2:6" x14ac:dyDescent="0.35">
      <c r="B19" s="25" t="s">
        <v>91</v>
      </c>
      <c r="C19" s="25" t="s">
        <v>92</v>
      </c>
      <c r="D19" s="25">
        <f>SUMIF(B7:B16,"H"&amp;"*",D7:D16)</f>
        <v>0</v>
      </c>
    </row>
    <row r="20" spans="2:6" x14ac:dyDescent="0.35">
      <c r="C20" s="25" t="s">
        <v>93</v>
      </c>
    </row>
    <row r="21" spans="2:6" x14ac:dyDescent="0.35">
      <c r="C21" s="25" t="s">
        <v>94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0"/>
  <dimension ref="A2:AQ184"/>
  <sheetViews>
    <sheetView workbookViewId="0">
      <selection activeCell="B11" sqref="B11"/>
    </sheetView>
  </sheetViews>
  <sheetFormatPr defaultRowHeight="14.4" x14ac:dyDescent="0.3"/>
  <cols>
    <col min="12" max="12" width="21.109375" bestFit="1" customWidth="1"/>
    <col min="13" max="14" width="27.33203125" bestFit="1" customWidth="1"/>
    <col min="15" max="15" width="41.5546875" bestFit="1" customWidth="1"/>
    <col min="17" max="18" width="47.33203125" bestFit="1" customWidth="1"/>
    <col min="19" max="19" width="43.88671875" bestFit="1" customWidth="1"/>
    <col min="21" max="21" width="49.44140625" bestFit="1" customWidth="1"/>
    <col min="23" max="23" width="49.44140625" bestFit="1" customWidth="1"/>
    <col min="24" max="24" width="67.109375" bestFit="1" customWidth="1"/>
    <col min="25" max="25" width="7" bestFit="1" customWidth="1"/>
    <col min="26" max="26" width="21.109375" bestFit="1" customWidth="1"/>
    <col min="27" max="27" width="7" bestFit="1" customWidth="1"/>
    <col min="28" max="28" width="27.33203125" bestFit="1" customWidth="1"/>
    <col min="29" max="29" width="8" bestFit="1" customWidth="1"/>
    <col min="30" max="30" width="27.33203125" bestFit="1" customWidth="1"/>
    <col min="31" max="31" width="8" bestFit="1" customWidth="1"/>
    <col min="32" max="32" width="41.5546875" bestFit="1" customWidth="1"/>
    <col min="33" max="33" width="7" bestFit="1" customWidth="1"/>
    <col min="34" max="34" width="47.33203125" bestFit="1" customWidth="1"/>
    <col min="35" max="35" width="8" bestFit="1" customWidth="1"/>
    <col min="36" max="36" width="47.33203125" bestFit="1" customWidth="1"/>
    <col min="37" max="37" width="8" bestFit="1" customWidth="1"/>
    <col min="38" max="38" width="43.88671875" bestFit="1" customWidth="1"/>
    <col min="39" max="39" width="7" bestFit="1" customWidth="1"/>
    <col min="40" max="40" width="49.44140625" bestFit="1" customWidth="1"/>
    <col min="41" max="41" width="8" bestFit="1" customWidth="1"/>
    <col min="42" max="42" width="49.44140625" bestFit="1" customWidth="1"/>
    <col min="43" max="43" width="8" bestFit="1" customWidth="1"/>
  </cols>
  <sheetData>
    <row r="2" spans="1:43" x14ac:dyDescent="0.3">
      <c r="A2" t="s">
        <v>645</v>
      </c>
      <c r="I2" t="s">
        <v>646</v>
      </c>
    </row>
    <row r="3" spans="1:43" x14ac:dyDescent="0.3">
      <c r="B3" t="s">
        <v>647</v>
      </c>
      <c r="D3" t="s">
        <v>648</v>
      </c>
      <c r="F3" t="s">
        <v>649</v>
      </c>
      <c r="H3" t="s">
        <v>650</v>
      </c>
      <c r="J3" t="s">
        <v>651</v>
      </c>
      <c r="L3" t="s">
        <v>652</v>
      </c>
      <c r="M3" t="s">
        <v>653</v>
      </c>
      <c r="N3" t="s">
        <v>654</v>
      </c>
      <c r="O3" t="s">
        <v>655</v>
      </c>
      <c r="Q3" t="s">
        <v>656</v>
      </c>
      <c r="R3" t="s">
        <v>657</v>
      </c>
      <c r="S3" t="s">
        <v>658</v>
      </c>
      <c r="U3" t="s">
        <v>659</v>
      </c>
      <c r="W3" t="s">
        <v>660</v>
      </c>
      <c r="X3" t="s">
        <v>651</v>
      </c>
      <c r="Z3" t="s">
        <v>652</v>
      </c>
      <c r="AB3" t="s">
        <v>653</v>
      </c>
      <c r="AD3" t="s">
        <v>654</v>
      </c>
      <c r="AF3" t="s">
        <v>655</v>
      </c>
      <c r="AH3" t="s">
        <v>656</v>
      </c>
      <c r="AJ3" t="s">
        <v>657</v>
      </c>
      <c r="AL3" t="s">
        <v>658</v>
      </c>
      <c r="AN3" t="s">
        <v>659</v>
      </c>
      <c r="AP3" t="s">
        <v>660</v>
      </c>
    </row>
    <row r="4" spans="1:43" x14ac:dyDescent="0.3">
      <c r="X4" t="s">
        <v>661</v>
      </c>
      <c r="Y4" t="s">
        <v>662</v>
      </c>
      <c r="Z4" t="s">
        <v>661</v>
      </c>
      <c r="AA4" t="s">
        <v>662</v>
      </c>
      <c r="AB4" t="s">
        <v>661</v>
      </c>
      <c r="AC4" t="s">
        <v>662</v>
      </c>
      <c r="AD4" t="s">
        <v>661</v>
      </c>
      <c r="AE4" t="s">
        <v>662</v>
      </c>
      <c r="AF4" t="s">
        <v>661</v>
      </c>
      <c r="AG4" t="s">
        <v>662</v>
      </c>
      <c r="AH4" t="s">
        <v>661</v>
      </c>
      <c r="AI4" t="s">
        <v>662</v>
      </c>
      <c r="AJ4" t="s">
        <v>661</v>
      </c>
      <c r="AK4" t="s">
        <v>662</v>
      </c>
      <c r="AL4" t="s">
        <v>661</v>
      </c>
      <c r="AM4" t="s">
        <v>662</v>
      </c>
      <c r="AN4" t="s">
        <v>661</v>
      </c>
      <c r="AO4" t="s">
        <v>662</v>
      </c>
      <c r="AP4" t="s">
        <v>661</v>
      </c>
      <c r="AQ4" t="s">
        <v>662</v>
      </c>
    </row>
    <row r="5" spans="1:43" x14ac:dyDescent="0.3">
      <c r="A5">
        <v>2420</v>
      </c>
      <c r="B5" t="s">
        <v>663</v>
      </c>
      <c r="C5" t="s">
        <v>664</v>
      </c>
      <c r="D5" t="s">
        <v>665</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3">
      <c r="A6">
        <v>3620</v>
      </c>
      <c r="B6" t="s">
        <v>666</v>
      </c>
      <c r="C6" t="s">
        <v>664</v>
      </c>
      <c r="D6" t="s">
        <v>665</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3">
      <c r="A7">
        <v>4820</v>
      </c>
      <c r="B7" t="s">
        <v>667</v>
      </c>
      <c r="C7" t="s">
        <v>664</v>
      </c>
      <c r="D7" t="s">
        <v>665</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3">
      <c r="A8">
        <v>7220</v>
      </c>
      <c r="B8" t="s">
        <v>668</v>
      </c>
      <c r="C8" t="s">
        <v>664</v>
      </c>
      <c r="D8" t="s">
        <v>665</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3">
      <c r="A10">
        <v>2436</v>
      </c>
      <c r="B10" t="s">
        <v>663</v>
      </c>
      <c r="C10" t="s">
        <v>664</v>
      </c>
      <c r="D10" t="s">
        <v>666</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3">
      <c r="A11">
        <v>3636</v>
      </c>
      <c r="B11" t="s">
        <v>666</v>
      </c>
      <c r="C11" t="s">
        <v>664</v>
      </c>
      <c r="D11" t="s">
        <v>666</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3">
      <c r="A12">
        <v>4836</v>
      </c>
      <c r="B12" t="s">
        <v>667</v>
      </c>
      <c r="C12" t="s">
        <v>664</v>
      </c>
      <c r="D12" t="s">
        <v>666</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3">
      <c r="A13">
        <v>7236</v>
      </c>
      <c r="B13" t="s">
        <v>668</v>
      </c>
      <c r="C13" t="s">
        <v>664</v>
      </c>
      <c r="D13" t="s">
        <v>666</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3">
      <c r="A15">
        <v>2448</v>
      </c>
      <c r="B15" t="s">
        <v>663</v>
      </c>
      <c r="C15" t="s">
        <v>664</v>
      </c>
      <c r="D15" t="s">
        <v>667</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3">
      <c r="A16">
        <v>3648</v>
      </c>
      <c r="B16" t="s">
        <v>666</v>
      </c>
      <c r="C16" t="s">
        <v>664</v>
      </c>
      <c r="D16" t="s">
        <v>667</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3">
      <c r="A17">
        <v>4848</v>
      </c>
      <c r="B17" t="s">
        <v>667</v>
      </c>
      <c r="C17" t="s">
        <v>664</v>
      </c>
      <c r="D17" t="s">
        <v>667</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3">
      <c r="A18">
        <v>7248</v>
      </c>
      <c r="B18" t="s">
        <v>668</v>
      </c>
      <c r="C18" t="s">
        <v>664</v>
      </c>
      <c r="D18" t="s">
        <v>667</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3">
      <c r="A20">
        <v>2460</v>
      </c>
      <c r="B20" t="s">
        <v>663</v>
      </c>
      <c r="C20" t="s">
        <v>664</v>
      </c>
      <c r="D20" t="s">
        <v>669</v>
      </c>
      <c r="F20" t="s">
        <v>664</v>
      </c>
      <c r="H20">
        <v>7</v>
      </c>
      <c r="J20">
        <v>28.46</v>
      </c>
      <c r="L20">
        <v>38.159999999999997</v>
      </c>
      <c r="M20">
        <v>41.72</v>
      </c>
      <c r="N20">
        <v>54.98</v>
      </c>
      <c r="O20">
        <v>28.46</v>
      </c>
      <c r="Q20">
        <v>41.72</v>
      </c>
      <c r="R20">
        <v>54.98</v>
      </c>
      <c r="S20">
        <v>28.46</v>
      </c>
      <c r="U20">
        <v>41.72</v>
      </c>
      <c r="W20">
        <v>54.98</v>
      </c>
      <c r="X20" t="s">
        <v>664</v>
      </c>
      <c r="Y20">
        <v>309.22000000000003</v>
      </c>
      <c r="Z20" t="s">
        <v>664</v>
      </c>
      <c r="AA20">
        <v>377.12</v>
      </c>
      <c r="AB20" t="s">
        <v>664</v>
      </c>
      <c r="AC20">
        <v>402.03999999999996</v>
      </c>
      <c r="AD20" t="s">
        <v>664</v>
      </c>
      <c r="AE20">
        <v>494.85999999999996</v>
      </c>
      <c r="AF20" t="s">
        <v>664</v>
      </c>
      <c r="AG20">
        <v>309.22000000000003</v>
      </c>
      <c r="AH20" t="s">
        <v>664</v>
      </c>
      <c r="AI20">
        <v>402.03999999999996</v>
      </c>
      <c r="AJ20" t="s">
        <v>664</v>
      </c>
      <c r="AK20">
        <v>494.85999999999996</v>
      </c>
      <c r="AL20" t="s">
        <v>664</v>
      </c>
      <c r="AM20">
        <v>309.22000000000003</v>
      </c>
      <c r="AN20" t="s">
        <v>664</v>
      </c>
      <c r="AO20">
        <v>402.03999999999996</v>
      </c>
      <c r="AP20" t="s">
        <v>664</v>
      </c>
      <c r="AQ20">
        <v>494.85999999999996</v>
      </c>
    </row>
    <row r="21" spans="1:43" x14ac:dyDescent="0.3">
      <c r="A21">
        <v>3660</v>
      </c>
      <c r="B21" t="s">
        <v>666</v>
      </c>
      <c r="C21" t="s">
        <v>664</v>
      </c>
      <c r="D21" t="s">
        <v>669</v>
      </c>
      <c r="F21" t="s">
        <v>664</v>
      </c>
      <c r="H21">
        <v>7</v>
      </c>
      <c r="J21">
        <v>32.340000000000003</v>
      </c>
      <c r="L21">
        <v>42.04</v>
      </c>
      <c r="M21">
        <v>49.48</v>
      </c>
      <c r="N21">
        <v>66.62</v>
      </c>
      <c r="O21">
        <v>32.340000000000003</v>
      </c>
      <c r="Q21">
        <v>49.48</v>
      </c>
      <c r="R21">
        <v>66.62</v>
      </c>
      <c r="S21">
        <v>32.340000000000003</v>
      </c>
      <c r="U21">
        <v>49.48</v>
      </c>
      <c r="W21">
        <v>66.62</v>
      </c>
      <c r="X21" t="s">
        <v>664</v>
      </c>
      <c r="Y21">
        <v>336.38</v>
      </c>
      <c r="Z21" t="s">
        <v>664</v>
      </c>
      <c r="AA21">
        <v>404.28</v>
      </c>
      <c r="AB21" t="s">
        <v>664</v>
      </c>
      <c r="AC21">
        <v>456.35999999999996</v>
      </c>
      <c r="AD21" t="s">
        <v>664</v>
      </c>
      <c r="AE21">
        <v>576.34</v>
      </c>
      <c r="AF21" t="s">
        <v>664</v>
      </c>
      <c r="AG21">
        <v>336.38</v>
      </c>
      <c r="AH21" t="s">
        <v>664</v>
      </c>
      <c r="AI21">
        <v>456.35999999999996</v>
      </c>
      <c r="AJ21" t="s">
        <v>664</v>
      </c>
      <c r="AK21">
        <v>576.34</v>
      </c>
      <c r="AL21" t="s">
        <v>664</v>
      </c>
      <c r="AM21">
        <v>336.38</v>
      </c>
      <c r="AN21" t="s">
        <v>664</v>
      </c>
      <c r="AO21">
        <v>456.35999999999996</v>
      </c>
      <c r="AP21" t="s">
        <v>664</v>
      </c>
      <c r="AQ21">
        <v>576.34</v>
      </c>
    </row>
    <row r="22" spans="1:43" x14ac:dyDescent="0.3">
      <c r="A22">
        <v>4860</v>
      </c>
      <c r="B22" t="s">
        <v>667</v>
      </c>
      <c r="C22" t="s">
        <v>664</v>
      </c>
      <c r="D22" t="s">
        <v>669</v>
      </c>
      <c r="F22" t="s">
        <v>664</v>
      </c>
      <c r="H22">
        <v>7</v>
      </c>
      <c r="J22">
        <v>36.22</v>
      </c>
      <c r="L22">
        <v>45.92</v>
      </c>
      <c r="M22">
        <v>57.24</v>
      </c>
      <c r="N22">
        <v>78.260000000000005</v>
      </c>
      <c r="O22">
        <v>36.22</v>
      </c>
      <c r="Q22">
        <v>57.24</v>
      </c>
      <c r="R22">
        <v>78.260000000000005</v>
      </c>
      <c r="S22">
        <v>36.22</v>
      </c>
      <c r="U22">
        <v>57.24</v>
      </c>
      <c r="W22">
        <v>78.260000000000005</v>
      </c>
      <c r="X22" t="s">
        <v>664</v>
      </c>
      <c r="Y22">
        <v>363.53999999999996</v>
      </c>
      <c r="Z22" t="s">
        <v>664</v>
      </c>
      <c r="AA22">
        <v>431.44</v>
      </c>
      <c r="AB22" t="s">
        <v>664</v>
      </c>
      <c r="AC22">
        <v>510.68</v>
      </c>
      <c r="AD22" t="s">
        <v>664</v>
      </c>
      <c r="AE22">
        <v>657.82</v>
      </c>
      <c r="AF22" t="s">
        <v>664</v>
      </c>
      <c r="AG22">
        <v>363.53999999999996</v>
      </c>
      <c r="AH22" t="s">
        <v>664</v>
      </c>
      <c r="AI22">
        <v>510.68</v>
      </c>
      <c r="AJ22" t="s">
        <v>664</v>
      </c>
      <c r="AK22">
        <v>657.82</v>
      </c>
      <c r="AL22" t="s">
        <v>664</v>
      </c>
      <c r="AM22">
        <v>363.53999999999996</v>
      </c>
      <c r="AN22" t="s">
        <v>664</v>
      </c>
      <c r="AO22">
        <v>510.68</v>
      </c>
      <c r="AP22" t="s">
        <v>670</v>
      </c>
      <c r="AQ22">
        <v>657.82</v>
      </c>
    </row>
    <row r="23" spans="1:43" x14ac:dyDescent="0.3">
      <c r="A23">
        <v>7260</v>
      </c>
      <c r="B23" t="s">
        <v>668</v>
      </c>
      <c r="C23" t="s">
        <v>664</v>
      </c>
      <c r="D23" t="s">
        <v>669</v>
      </c>
      <c r="F23" t="s">
        <v>664</v>
      </c>
      <c r="H23">
        <v>7</v>
      </c>
      <c r="J23">
        <v>43.98</v>
      </c>
      <c r="L23">
        <v>53.68</v>
      </c>
      <c r="M23">
        <v>72.760000000000005</v>
      </c>
      <c r="N23">
        <v>101.54</v>
      </c>
      <c r="O23">
        <v>43.98</v>
      </c>
      <c r="Q23">
        <v>72.760000000000005</v>
      </c>
      <c r="R23">
        <v>101.54</v>
      </c>
      <c r="S23">
        <v>43.98</v>
      </c>
      <c r="U23">
        <v>72.760000000000005</v>
      </c>
      <c r="W23">
        <v>101.54</v>
      </c>
      <c r="X23" t="s">
        <v>664</v>
      </c>
      <c r="Y23">
        <v>417.85999999999996</v>
      </c>
      <c r="Z23" t="s">
        <v>664</v>
      </c>
      <c r="AA23">
        <v>485.76</v>
      </c>
      <c r="AB23" t="s">
        <v>664</v>
      </c>
      <c r="AC23">
        <v>619.32000000000005</v>
      </c>
      <c r="AD23" t="s">
        <v>664</v>
      </c>
      <c r="AE23">
        <v>820.78000000000009</v>
      </c>
      <c r="AF23" t="s">
        <v>664</v>
      </c>
      <c r="AG23">
        <v>417.85999999999996</v>
      </c>
      <c r="AH23" t="s">
        <v>664</v>
      </c>
      <c r="AI23">
        <v>619.32000000000005</v>
      </c>
      <c r="AJ23" t="s">
        <v>664</v>
      </c>
      <c r="AK23">
        <v>820.78000000000009</v>
      </c>
      <c r="AL23" t="s">
        <v>664</v>
      </c>
      <c r="AM23">
        <v>417.85999999999996</v>
      </c>
      <c r="AN23" t="s">
        <v>664</v>
      </c>
      <c r="AO23">
        <v>619.32000000000005</v>
      </c>
      <c r="AP23" t="s">
        <v>664</v>
      </c>
      <c r="AQ23">
        <v>820.78000000000009</v>
      </c>
    </row>
    <row r="25" spans="1:43" x14ac:dyDescent="0.3">
      <c r="A25">
        <v>2472</v>
      </c>
      <c r="B25" t="s">
        <v>663</v>
      </c>
      <c r="C25" t="s">
        <v>664</v>
      </c>
      <c r="D25" t="s">
        <v>668</v>
      </c>
      <c r="F25" t="s">
        <v>664</v>
      </c>
      <c r="H25">
        <v>7</v>
      </c>
      <c r="J25">
        <v>30.4</v>
      </c>
      <c r="L25">
        <v>42.04</v>
      </c>
      <c r="M25">
        <v>43.66</v>
      </c>
      <c r="N25">
        <v>56.92</v>
      </c>
      <c r="O25">
        <v>30.4</v>
      </c>
      <c r="Q25">
        <v>43.66</v>
      </c>
      <c r="R25">
        <v>56.92</v>
      </c>
      <c r="S25">
        <v>30.4</v>
      </c>
      <c r="U25">
        <v>43.66</v>
      </c>
      <c r="W25">
        <v>56.92</v>
      </c>
      <c r="X25" t="s">
        <v>664</v>
      </c>
      <c r="Y25">
        <v>322.79999999999995</v>
      </c>
      <c r="Z25" t="s">
        <v>664</v>
      </c>
      <c r="AA25">
        <v>404.28</v>
      </c>
      <c r="AB25" t="s">
        <v>664</v>
      </c>
      <c r="AC25">
        <v>415.62</v>
      </c>
      <c r="AD25" t="s">
        <v>664</v>
      </c>
      <c r="AE25">
        <v>508.44</v>
      </c>
      <c r="AF25" t="s">
        <v>664</v>
      </c>
      <c r="AG25">
        <v>322.79999999999995</v>
      </c>
      <c r="AH25" t="s">
        <v>664</v>
      </c>
      <c r="AI25">
        <v>415.62</v>
      </c>
      <c r="AJ25" t="s">
        <v>664</v>
      </c>
      <c r="AK25">
        <v>508.44</v>
      </c>
      <c r="AL25" t="s">
        <v>664</v>
      </c>
      <c r="AM25">
        <v>322.79999999999995</v>
      </c>
      <c r="AN25" t="s">
        <v>664</v>
      </c>
      <c r="AO25">
        <v>415.62</v>
      </c>
      <c r="AP25" t="s">
        <v>664</v>
      </c>
      <c r="AQ25">
        <v>508.44</v>
      </c>
    </row>
    <row r="26" spans="1:43" x14ac:dyDescent="0.3">
      <c r="A26">
        <v>3672</v>
      </c>
      <c r="B26" t="s">
        <v>666</v>
      </c>
      <c r="C26" t="s">
        <v>664</v>
      </c>
      <c r="D26" t="s">
        <v>668</v>
      </c>
      <c r="F26" t="s">
        <v>664</v>
      </c>
      <c r="H26">
        <v>7</v>
      </c>
      <c r="J26">
        <v>34.28</v>
      </c>
      <c r="L26">
        <v>45.92</v>
      </c>
      <c r="M26">
        <v>51.42</v>
      </c>
      <c r="N26">
        <v>68.56</v>
      </c>
      <c r="O26">
        <v>34.28</v>
      </c>
      <c r="Q26">
        <v>51.42</v>
      </c>
      <c r="R26">
        <v>68.56</v>
      </c>
      <c r="S26">
        <v>34.28</v>
      </c>
      <c r="U26">
        <v>51.42</v>
      </c>
      <c r="W26">
        <v>68.56</v>
      </c>
      <c r="X26" t="s">
        <v>664</v>
      </c>
      <c r="Y26">
        <v>349.96000000000004</v>
      </c>
      <c r="Z26" t="s">
        <v>664</v>
      </c>
      <c r="AA26">
        <v>431.44</v>
      </c>
      <c r="AB26" t="s">
        <v>664</v>
      </c>
      <c r="AC26">
        <v>469.94</v>
      </c>
      <c r="AD26" t="s">
        <v>664</v>
      </c>
      <c r="AE26">
        <v>589.92000000000007</v>
      </c>
      <c r="AF26" t="s">
        <v>664</v>
      </c>
      <c r="AG26">
        <v>349.96000000000004</v>
      </c>
      <c r="AH26" t="s">
        <v>664</v>
      </c>
      <c r="AI26">
        <v>469.94</v>
      </c>
      <c r="AJ26" t="s">
        <v>664</v>
      </c>
      <c r="AK26">
        <v>589.92000000000007</v>
      </c>
      <c r="AL26" t="s">
        <v>664</v>
      </c>
      <c r="AM26">
        <v>349.96000000000004</v>
      </c>
      <c r="AN26" t="s">
        <v>664</v>
      </c>
      <c r="AO26">
        <v>469.94</v>
      </c>
      <c r="AP26" t="s">
        <v>664</v>
      </c>
      <c r="AQ26">
        <v>589.92000000000007</v>
      </c>
    </row>
    <row r="27" spans="1:43" x14ac:dyDescent="0.3">
      <c r="A27">
        <v>4872</v>
      </c>
      <c r="B27" t="s">
        <v>667</v>
      </c>
      <c r="C27" t="s">
        <v>664</v>
      </c>
      <c r="D27" t="s">
        <v>668</v>
      </c>
      <c r="F27" t="s">
        <v>664</v>
      </c>
      <c r="H27">
        <v>7</v>
      </c>
      <c r="J27">
        <v>38.159999999999997</v>
      </c>
      <c r="L27">
        <v>49.8</v>
      </c>
      <c r="M27">
        <v>59.18</v>
      </c>
      <c r="N27">
        <v>80.2</v>
      </c>
      <c r="O27">
        <v>38.159999999999997</v>
      </c>
      <c r="Q27">
        <v>59.18</v>
      </c>
      <c r="R27">
        <v>80.2</v>
      </c>
      <c r="S27">
        <v>38.159999999999997</v>
      </c>
      <c r="U27">
        <v>59.18</v>
      </c>
      <c r="W27">
        <v>80.2</v>
      </c>
      <c r="X27" t="s">
        <v>664</v>
      </c>
      <c r="Y27">
        <v>377.12</v>
      </c>
      <c r="Z27" t="s">
        <v>664</v>
      </c>
      <c r="AA27">
        <v>458.59999999999997</v>
      </c>
      <c r="AB27" t="s">
        <v>664</v>
      </c>
      <c r="AC27">
        <v>524.26</v>
      </c>
      <c r="AD27" t="s">
        <v>664</v>
      </c>
      <c r="AE27">
        <v>671.4</v>
      </c>
      <c r="AF27" t="s">
        <v>664</v>
      </c>
      <c r="AG27">
        <v>377.12</v>
      </c>
      <c r="AH27" t="s">
        <v>664</v>
      </c>
      <c r="AI27">
        <v>524.26</v>
      </c>
      <c r="AJ27" t="s">
        <v>664</v>
      </c>
      <c r="AK27">
        <v>671.4</v>
      </c>
      <c r="AL27" t="s">
        <v>664</v>
      </c>
      <c r="AM27">
        <v>377.12</v>
      </c>
      <c r="AN27" t="s">
        <v>664</v>
      </c>
      <c r="AO27">
        <v>524.26</v>
      </c>
      <c r="AP27" t="s">
        <v>664</v>
      </c>
      <c r="AQ27">
        <v>671.4</v>
      </c>
    </row>
    <row r="28" spans="1:43" x14ac:dyDescent="0.3">
      <c r="A28">
        <v>7272</v>
      </c>
      <c r="B28" t="s">
        <v>668</v>
      </c>
      <c r="C28" t="s">
        <v>664</v>
      </c>
      <c r="D28" t="s">
        <v>668</v>
      </c>
      <c r="F28" t="s">
        <v>664</v>
      </c>
      <c r="H28">
        <v>7</v>
      </c>
      <c r="J28">
        <v>45.92</v>
      </c>
      <c r="L28">
        <v>57.56</v>
      </c>
      <c r="M28">
        <v>74.7</v>
      </c>
      <c r="N28">
        <v>103.48</v>
      </c>
      <c r="O28">
        <v>45.92</v>
      </c>
      <c r="Q28">
        <v>74.7</v>
      </c>
      <c r="R28">
        <v>103.48</v>
      </c>
      <c r="S28">
        <v>45.92</v>
      </c>
      <c r="U28">
        <v>74.7</v>
      </c>
      <c r="W28">
        <v>103.48</v>
      </c>
      <c r="X28" t="s">
        <v>664</v>
      </c>
      <c r="Y28">
        <v>431.44</v>
      </c>
      <c r="Z28" t="s">
        <v>664</v>
      </c>
      <c r="AA28">
        <v>512.92000000000007</v>
      </c>
      <c r="AB28" t="s">
        <v>664</v>
      </c>
      <c r="AC28">
        <v>632.9</v>
      </c>
      <c r="AD28" t="s">
        <v>664</v>
      </c>
      <c r="AE28">
        <v>834.36</v>
      </c>
      <c r="AF28" t="s">
        <v>664</v>
      </c>
      <c r="AG28">
        <v>431.44</v>
      </c>
      <c r="AH28" t="s">
        <v>664</v>
      </c>
      <c r="AI28">
        <v>632.9</v>
      </c>
      <c r="AJ28" t="s">
        <v>664</v>
      </c>
      <c r="AK28">
        <v>834.36</v>
      </c>
      <c r="AL28" t="s">
        <v>664</v>
      </c>
      <c r="AM28">
        <v>431.44</v>
      </c>
      <c r="AN28" t="s">
        <v>664</v>
      </c>
      <c r="AO28">
        <v>632.9</v>
      </c>
      <c r="AP28" t="s">
        <v>664</v>
      </c>
      <c r="AQ28">
        <v>834.36</v>
      </c>
    </row>
    <row r="30" spans="1:43" x14ac:dyDescent="0.3">
      <c r="A30">
        <v>2484</v>
      </c>
      <c r="B30" t="s">
        <v>663</v>
      </c>
      <c r="C30" t="s">
        <v>664</v>
      </c>
      <c r="D30" t="s">
        <v>671</v>
      </c>
      <c r="F30" t="s">
        <v>664</v>
      </c>
      <c r="H30">
        <v>7</v>
      </c>
      <c r="J30">
        <v>32.340000000000003</v>
      </c>
      <c r="L30">
        <v>45.92</v>
      </c>
      <c r="M30">
        <v>45.6</v>
      </c>
      <c r="N30">
        <v>58.86</v>
      </c>
      <c r="O30">
        <v>32.340000000000003</v>
      </c>
      <c r="Q30">
        <v>45.6</v>
      </c>
      <c r="R30">
        <v>58.86</v>
      </c>
      <c r="S30">
        <v>32.340000000000003</v>
      </c>
      <c r="U30">
        <v>45.6</v>
      </c>
      <c r="W30">
        <v>58.86</v>
      </c>
      <c r="X30" t="s">
        <v>664</v>
      </c>
      <c r="Y30">
        <v>336.38</v>
      </c>
      <c r="Z30" t="s">
        <v>664</v>
      </c>
      <c r="AA30">
        <v>431.44</v>
      </c>
      <c r="AB30" t="s">
        <v>664</v>
      </c>
      <c r="AC30">
        <v>429.2</v>
      </c>
      <c r="AD30" t="s">
        <v>664</v>
      </c>
      <c r="AE30">
        <v>522.02</v>
      </c>
      <c r="AF30" t="s">
        <v>664</v>
      </c>
      <c r="AG30">
        <v>336.38</v>
      </c>
      <c r="AH30" t="s">
        <v>664</v>
      </c>
      <c r="AI30">
        <v>429.2</v>
      </c>
      <c r="AJ30" t="s">
        <v>664</v>
      </c>
      <c r="AK30">
        <v>522.02</v>
      </c>
      <c r="AL30" t="s">
        <v>664</v>
      </c>
      <c r="AM30">
        <v>336.38</v>
      </c>
      <c r="AN30" t="s">
        <v>664</v>
      </c>
      <c r="AO30">
        <v>429.2</v>
      </c>
      <c r="AP30" t="s">
        <v>664</v>
      </c>
      <c r="AQ30">
        <v>522.02</v>
      </c>
    </row>
    <row r="31" spans="1:43" x14ac:dyDescent="0.3">
      <c r="A31">
        <v>3684</v>
      </c>
      <c r="B31" t="s">
        <v>666</v>
      </c>
      <c r="C31" t="s">
        <v>664</v>
      </c>
      <c r="D31" t="s">
        <v>671</v>
      </c>
      <c r="F31" t="s">
        <v>664</v>
      </c>
      <c r="H31">
        <v>7</v>
      </c>
      <c r="J31">
        <v>36.22</v>
      </c>
      <c r="L31">
        <v>49.8</v>
      </c>
      <c r="M31">
        <v>53.36</v>
      </c>
      <c r="N31">
        <v>70.5</v>
      </c>
      <c r="O31">
        <v>36.22</v>
      </c>
      <c r="Q31">
        <v>53.36</v>
      </c>
      <c r="R31">
        <v>70.5</v>
      </c>
      <c r="S31">
        <v>36.22</v>
      </c>
      <c r="U31">
        <v>53.36</v>
      </c>
      <c r="W31">
        <v>70.5</v>
      </c>
      <c r="X31" t="s">
        <v>664</v>
      </c>
      <c r="Y31">
        <v>363.53999999999996</v>
      </c>
      <c r="Z31" t="s">
        <v>664</v>
      </c>
      <c r="AA31">
        <v>458.59999999999997</v>
      </c>
      <c r="AB31" t="s">
        <v>664</v>
      </c>
      <c r="AC31">
        <v>483.52</v>
      </c>
      <c r="AD31" t="s">
        <v>664</v>
      </c>
      <c r="AE31">
        <v>603.5</v>
      </c>
      <c r="AF31" t="s">
        <v>664</v>
      </c>
      <c r="AG31">
        <v>363.53999999999996</v>
      </c>
      <c r="AH31" t="s">
        <v>664</v>
      </c>
      <c r="AI31">
        <v>483.52</v>
      </c>
      <c r="AJ31" t="s">
        <v>664</v>
      </c>
      <c r="AK31">
        <v>603.5</v>
      </c>
      <c r="AL31" t="s">
        <v>664</v>
      </c>
      <c r="AM31">
        <v>363.53999999999996</v>
      </c>
      <c r="AN31" t="s">
        <v>664</v>
      </c>
      <c r="AO31">
        <v>483.52</v>
      </c>
      <c r="AP31" t="s">
        <v>664</v>
      </c>
      <c r="AQ31">
        <v>603.5</v>
      </c>
    </row>
    <row r="32" spans="1:43" x14ac:dyDescent="0.3">
      <c r="A32">
        <v>4884</v>
      </c>
      <c r="B32" t="s">
        <v>667</v>
      </c>
      <c r="C32" t="s">
        <v>664</v>
      </c>
      <c r="D32" t="s">
        <v>671</v>
      </c>
      <c r="F32" t="s">
        <v>664</v>
      </c>
      <c r="H32">
        <v>7</v>
      </c>
      <c r="J32">
        <v>40.1</v>
      </c>
      <c r="L32">
        <v>53.68</v>
      </c>
      <c r="M32">
        <v>61.12</v>
      </c>
      <c r="N32">
        <v>82.14</v>
      </c>
      <c r="O32">
        <v>40.1</v>
      </c>
      <c r="Q32">
        <v>61.12</v>
      </c>
      <c r="R32">
        <v>82.14</v>
      </c>
      <c r="S32">
        <v>40.1</v>
      </c>
      <c r="U32">
        <v>61.12</v>
      </c>
      <c r="W32">
        <v>82.14</v>
      </c>
      <c r="X32" t="s">
        <v>664</v>
      </c>
      <c r="Y32">
        <v>390.7</v>
      </c>
      <c r="Z32" t="s">
        <v>664</v>
      </c>
      <c r="AA32">
        <v>485.76</v>
      </c>
      <c r="AB32" t="s">
        <v>664</v>
      </c>
      <c r="AC32">
        <v>537.83999999999992</v>
      </c>
      <c r="AD32" t="s">
        <v>664</v>
      </c>
      <c r="AE32">
        <v>684.98</v>
      </c>
      <c r="AF32" t="s">
        <v>664</v>
      </c>
      <c r="AG32">
        <v>390.7</v>
      </c>
      <c r="AH32" t="s">
        <v>664</v>
      </c>
      <c r="AI32">
        <v>537.83999999999992</v>
      </c>
      <c r="AJ32" t="s">
        <v>664</v>
      </c>
      <c r="AK32">
        <v>684.98</v>
      </c>
      <c r="AL32" t="s">
        <v>664</v>
      </c>
      <c r="AM32">
        <v>390.7</v>
      </c>
      <c r="AN32" t="s">
        <v>664</v>
      </c>
      <c r="AO32">
        <v>537.83999999999992</v>
      </c>
      <c r="AP32" t="s">
        <v>664</v>
      </c>
      <c r="AQ32">
        <v>684.98</v>
      </c>
    </row>
    <row r="33" spans="1:43" x14ac:dyDescent="0.3">
      <c r="A33">
        <v>7284</v>
      </c>
      <c r="B33" t="s">
        <v>668</v>
      </c>
      <c r="C33" t="s">
        <v>664</v>
      </c>
      <c r="D33" t="s">
        <v>671</v>
      </c>
      <c r="F33" t="s">
        <v>664</v>
      </c>
      <c r="H33">
        <v>7</v>
      </c>
      <c r="J33">
        <v>47.86</v>
      </c>
      <c r="L33">
        <v>61.44</v>
      </c>
      <c r="M33">
        <v>76.64</v>
      </c>
      <c r="N33">
        <v>105.42</v>
      </c>
      <c r="O33">
        <v>36.86</v>
      </c>
      <c r="Q33">
        <v>76.64</v>
      </c>
      <c r="R33">
        <v>105.42</v>
      </c>
      <c r="S33">
        <v>47.86</v>
      </c>
      <c r="U33">
        <v>76.64</v>
      </c>
      <c r="W33">
        <v>105.42</v>
      </c>
      <c r="X33" t="s">
        <v>664</v>
      </c>
      <c r="Y33">
        <v>445.02</v>
      </c>
      <c r="Z33" t="s">
        <v>664</v>
      </c>
      <c r="AA33">
        <v>540.07999999999993</v>
      </c>
      <c r="AB33" t="s">
        <v>664</v>
      </c>
      <c r="AC33">
        <v>646.48</v>
      </c>
      <c r="AD33" t="s">
        <v>664</v>
      </c>
      <c r="AE33">
        <v>847.94</v>
      </c>
      <c r="AF33" t="s">
        <v>664</v>
      </c>
      <c r="AG33">
        <v>368.02</v>
      </c>
      <c r="AH33" t="s">
        <v>664</v>
      </c>
      <c r="AI33">
        <v>646.48</v>
      </c>
      <c r="AJ33" t="s">
        <v>664</v>
      </c>
      <c r="AK33">
        <v>847.94</v>
      </c>
      <c r="AL33" t="s">
        <v>664</v>
      </c>
      <c r="AM33">
        <v>445.02</v>
      </c>
      <c r="AN33" t="s">
        <v>664</v>
      </c>
      <c r="AO33">
        <v>646.48</v>
      </c>
      <c r="AP33" t="s">
        <v>664</v>
      </c>
      <c r="AQ33">
        <v>847.94</v>
      </c>
    </row>
    <row r="35" spans="1:43" x14ac:dyDescent="0.3">
      <c r="A35" t="s">
        <v>672</v>
      </c>
      <c r="X35" t="s">
        <v>673</v>
      </c>
    </row>
    <row r="36" spans="1:43" x14ac:dyDescent="0.3">
      <c r="A36" t="s">
        <v>674</v>
      </c>
      <c r="X36" t="s">
        <v>675</v>
      </c>
    </row>
    <row r="37" spans="1:43" x14ac:dyDescent="0.3">
      <c r="A37" t="s">
        <v>676</v>
      </c>
      <c r="X37" t="s">
        <v>677</v>
      </c>
    </row>
    <row r="184" spans="1:1" x14ac:dyDescent="0.3">
      <c r="A184">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11"/>
  <dimension ref="A1:AC20"/>
  <sheetViews>
    <sheetView workbookViewId="0">
      <selection activeCell="A3" sqref="A3:A4"/>
    </sheetView>
  </sheetViews>
  <sheetFormatPr defaultRowHeight="14.4" x14ac:dyDescent="0.3"/>
  <cols>
    <col min="1" max="1" width="14.33203125" bestFit="1" customWidth="1"/>
    <col min="2" max="2" width="3.44140625" customWidth="1"/>
    <col min="3" max="3" width="16.88671875" bestFit="1" customWidth="1"/>
    <col min="4" max="4" width="1.109375" customWidth="1"/>
    <col min="5" max="5" width="14" bestFit="1" customWidth="1"/>
    <col min="6" max="6" width="2.109375" customWidth="1"/>
    <col min="7" max="7" width="18.109375" bestFit="1" customWidth="1"/>
    <col min="8" max="8" width="3.5546875" customWidth="1"/>
    <col min="9" max="9" width="12" bestFit="1" customWidth="1"/>
    <col min="10" max="10" width="2.6640625" customWidth="1"/>
    <col min="11" max="11" width="21.109375" customWidth="1"/>
    <col min="12" max="12" width="2.109375" customWidth="1"/>
    <col min="13" max="13" width="18" customWidth="1"/>
    <col min="14" max="14" width="1.6640625" customWidth="1"/>
    <col min="15" max="15" width="15.109375" bestFit="1" customWidth="1"/>
    <col min="16" max="16" width="3.44140625" customWidth="1"/>
    <col min="17" max="17" width="13" bestFit="1" customWidth="1"/>
    <col min="18" max="18" width="3.88671875" customWidth="1"/>
    <col min="19" max="19" width="17.88671875" customWidth="1"/>
    <col min="20" max="20" width="3.109375" customWidth="1"/>
    <col min="21" max="21" width="21.109375" customWidth="1"/>
    <col min="22" max="22" width="3.44140625" customWidth="1"/>
    <col min="23" max="23" width="13.33203125" bestFit="1" customWidth="1"/>
    <col min="24" max="24" width="3.5546875" customWidth="1"/>
    <col min="25" max="25" width="16.109375" customWidth="1"/>
    <col min="26" max="26" width="4.109375" customWidth="1"/>
    <col min="27" max="27" width="12.88671875" customWidth="1"/>
    <col min="28" max="28" width="5.44140625" customWidth="1"/>
    <col min="29" max="29" width="19.109375" customWidth="1"/>
  </cols>
  <sheetData>
    <row r="1" spans="1:29" x14ac:dyDescent="0.3">
      <c r="A1" t="s">
        <v>95</v>
      </c>
      <c r="C1" t="s">
        <v>96</v>
      </c>
      <c r="E1" t="s">
        <v>97</v>
      </c>
      <c r="G1" t="s">
        <v>98</v>
      </c>
      <c r="I1" t="s">
        <v>99</v>
      </c>
      <c r="K1" t="s">
        <v>100</v>
      </c>
      <c r="M1" t="s">
        <v>101</v>
      </c>
      <c r="O1" t="s">
        <v>102</v>
      </c>
      <c r="Q1" t="s">
        <v>103</v>
      </c>
      <c r="S1" t="s">
        <v>104</v>
      </c>
      <c r="U1" t="s">
        <v>105</v>
      </c>
      <c r="W1" t="s">
        <v>106</v>
      </c>
      <c r="Y1" t="s">
        <v>107</v>
      </c>
      <c r="AA1" t="s">
        <v>108</v>
      </c>
      <c r="AC1" t="s">
        <v>109</v>
      </c>
    </row>
    <row r="2" spans="1:29" x14ac:dyDescent="0.3">
      <c r="A2" t="s">
        <v>110</v>
      </c>
      <c r="C2" t="s">
        <v>111</v>
      </c>
      <c r="E2" t="s">
        <v>22</v>
      </c>
      <c r="G2" t="s">
        <v>20</v>
      </c>
      <c r="I2">
        <v>2</v>
      </c>
      <c r="K2" t="s">
        <v>112</v>
      </c>
      <c r="M2">
        <v>0</v>
      </c>
      <c r="O2">
        <v>0</v>
      </c>
      <c r="Q2">
        <v>26</v>
      </c>
      <c r="S2">
        <v>0</v>
      </c>
      <c r="U2">
        <v>0</v>
      </c>
      <c r="W2">
        <v>0</v>
      </c>
      <c r="Y2">
        <v>4</v>
      </c>
      <c r="AA2" t="s">
        <v>113</v>
      </c>
      <c r="AC2" t="s">
        <v>8</v>
      </c>
    </row>
    <row r="3" spans="1:29" x14ac:dyDescent="0.3">
      <c r="C3" t="s">
        <v>18</v>
      </c>
      <c r="E3" t="s">
        <v>114</v>
      </c>
      <c r="G3" t="s">
        <v>19</v>
      </c>
      <c r="I3">
        <v>2.5</v>
      </c>
      <c r="K3">
        <v>0.5</v>
      </c>
      <c r="M3">
        <v>0.5</v>
      </c>
      <c r="O3">
        <v>1</v>
      </c>
      <c r="Q3">
        <v>25</v>
      </c>
      <c r="S3">
        <v>0.75</v>
      </c>
      <c r="U3">
        <f>1.5</f>
        <v>1.5</v>
      </c>
      <c r="W3">
        <v>5</v>
      </c>
      <c r="Y3">
        <v>5</v>
      </c>
      <c r="AA3" t="s">
        <v>115</v>
      </c>
      <c r="AC3" t="s">
        <v>116</v>
      </c>
    </row>
    <row r="4" spans="1:29" x14ac:dyDescent="0.3">
      <c r="C4" t="s">
        <v>118</v>
      </c>
      <c r="E4" t="s">
        <v>119</v>
      </c>
      <c r="G4" t="s">
        <v>761</v>
      </c>
      <c r="I4">
        <v>3</v>
      </c>
      <c r="K4">
        <v>0.75</v>
      </c>
      <c r="M4">
        <v>0.75</v>
      </c>
      <c r="O4">
        <v>2</v>
      </c>
      <c r="Q4">
        <v>24</v>
      </c>
      <c r="S4">
        <v>1</v>
      </c>
      <c r="U4">
        <v>2</v>
      </c>
      <c r="W4">
        <v>10</v>
      </c>
      <c r="Y4">
        <v>10</v>
      </c>
    </row>
    <row r="5" spans="1:29" x14ac:dyDescent="0.3">
      <c r="C5" t="s">
        <v>120</v>
      </c>
      <c r="E5" t="s">
        <v>761</v>
      </c>
      <c r="I5">
        <v>3.5</v>
      </c>
      <c r="K5">
        <v>1</v>
      </c>
      <c r="M5">
        <v>1</v>
      </c>
      <c r="O5">
        <v>3</v>
      </c>
      <c r="Q5">
        <v>23</v>
      </c>
      <c r="S5">
        <v>1.5</v>
      </c>
      <c r="U5">
        <v>2.1875</v>
      </c>
      <c r="W5">
        <v>20</v>
      </c>
    </row>
    <row r="6" spans="1:29" x14ac:dyDescent="0.3">
      <c r="C6" t="s">
        <v>121</v>
      </c>
      <c r="I6">
        <v>4</v>
      </c>
      <c r="K6">
        <v>1.5</v>
      </c>
      <c r="M6">
        <v>1.5</v>
      </c>
      <c r="O6">
        <v>4</v>
      </c>
      <c r="Q6">
        <v>22</v>
      </c>
      <c r="U6">
        <v>3</v>
      </c>
      <c r="W6">
        <v>40</v>
      </c>
    </row>
    <row r="7" spans="1:29" x14ac:dyDescent="0.3">
      <c r="C7" t="s">
        <v>122</v>
      </c>
      <c r="I7">
        <v>5</v>
      </c>
      <c r="M7">
        <v>2</v>
      </c>
      <c r="O7">
        <v>5</v>
      </c>
      <c r="Q7">
        <v>21</v>
      </c>
      <c r="U7">
        <v>4.3125</v>
      </c>
      <c r="W7">
        <v>60</v>
      </c>
    </row>
    <row r="8" spans="1:29" x14ac:dyDescent="0.3">
      <c r="C8" t="s">
        <v>761</v>
      </c>
      <c r="I8">
        <v>6</v>
      </c>
      <c r="M8">
        <v>2.5</v>
      </c>
      <c r="O8">
        <v>6</v>
      </c>
      <c r="Q8">
        <v>20</v>
      </c>
    </row>
    <row r="9" spans="1:29" x14ac:dyDescent="0.3">
      <c r="I9">
        <v>8</v>
      </c>
      <c r="M9">
        <v>3</v>
      </c>
      <c r="O9">
        <v>7</v>
      </c>
      <c r="Q9">
        <v>19</v>
      </c>
    </row>
    <row r="10" spans="1:29" x14ac:dyDescent="0.3">
      <c r="I10">
        <v>10</v>
      </c>
      <c r="M10">
        <v>3.5</v>
      </c>
      <c r="O10">
        <v>8</v>
      </c>
      <c r="Q10">
        <v>18</v>
      </c>
    </row>
    <row r="11" spans="1:29" x14ac:dyDescent="0.3">
      <c r="I11">
        <v>0</v>
      </c>
      <c r="M11">
        <v>4</v>
      </c>
      <c r="O11">
        <v>9</v>
      </c>
      <c r="Q11">
        <v>17</v>
      </c>
    </row>
    <row r="12" spans="1:29" x14ac:dyDescent="0.3">
      <c r="O12">
        <v>10</v>
      </c>
      <c r="Q12">
        <v>16</v>
      </c>
    </row>
    <row r="13" spans="1:29" x14ac:dyDescent="0.3">
      <c r="Q13">
        <v>15</v>
      </c>
    </row>
    <row r="14" spans="1:29" x14ac:dyDescent="0.3">
      <c r="Q14">
        <v>14</v>
      </c>
    </row>
    <row r="15" spans="1:29" x14ac:dyDescent="0.3">
      <c r="Q15">
        <v>13</v>
      </c>
    </row>
    <row r="16" spans="1:29" x14ac:dyDescent="0.3">
      <c r="Q16">
        <v>12</v>
      </c>
    </row>
    <row r="17" spans="17:17" x14ac:dyDescent="0.3">
      <c r="Q17">
        <v>11</v>
      </c>
    </row>
    <row r="18" spans="17:17" x14ac:dyDescent="0.3">
      <c r="Q18">
        <v>10</v>
      </c>
    </row>
    <row r="19" spans="17:17" x14ac:dyDescent="0.3">
      <c r="Q19">
        <v>9</v>
      </c>
    </row>
    <row r="20" spans="17:17" x14ac:dyDescent="0.3">
      <c r="Q20">
        <v>8</v>
      </c>
    </row>
  </sheetData>
  <pageMargins left="0.7" right="0.7" top="0.75" bottom="0.75"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2"/>
  <dimension ref="A1:AO250"/>
  <sheetViews>
    <sheetView topLeftCell="D1" workbookViewId="0">
      <pane ySplit="1" topLeftCell="A90" activePane="bottomLeft" state="frozen"/>
      <selection activeCell="B11" sqref="B11"/>
      <selection pane="bottomLeft" activeCell="B11" sqref="B11"/>
    </sheetView>
  </sheetViews>
  <sheetFormatPr defaultRowHeight="14.4" x14ac:dyDescent="0.3"/>
  <cols>
    <col min="1" max="1" width="14.6640625" customWidth="1"/>
    <col min="2" max="2" width="48.109375" customWidth="1"/>
    <col min="3" max="3" width="12.5546875" customWidth="1"/>
    <col min="4" max="4" width="12.33203125" customWidth="1"/>
    <col min="5" max="5" width="11.5546875" customWidth="1"/>
    <col min="6" max="6" width="15.6640625" customWidth="1"/>
    <col min="7" max="7" width="16.109375" customWidth="1"/>
    <col min="8" max="8" width="11.44140625" customWidth="1"/>
    <col min="9" max="9" width="12" customWidth="1"/>
    <col min="10" max="10" width="10.5546875" customWidth="1"/>
    <col min="11" max="11" width="17.109375" customWidth="1"/>
    <col min="12" max="12" width="11" customWidth="1"/>
    <col min="13" max="13" width="11.44140625" customWidth="1"/>
    <col min="14" max="14" width="12.109375" customWidth="1"/>
    <col min="15" max="15" width="14.109375" customWidth="1"/>
    <col min="16" max="16" width="14.44140625" customWidth="1"/>
    <col min="17" max="18" width="16.5546875" customWidth="1"/>
    <col min="19" max="19" width="15.33203125" customWidth="1"/>
    <col min="20" max="20" width="11.6640625" style="5" customWidth="1"/>
    <col min="21" max="21" width="12.88671875" customWidth="1"/>
    <col min="22" max="22" width="12.109375" customWidth="1"/>
    <col min="23" max="23" width="9.109375" style="34" customWidth="1"/>
    <col min="24" max="24" width="29.44140625" style="34" bestFit="1" customWidth="1"/>
    <col min="25" max="25" width="18.88671875" style="34" bestFit="1" customWidth="1"/>
    <col min="26" max="26" width="18.88671875" style="34" customWidth="1"/>
    <col min="27" max="27" width="9.44140625" style="34" bestFit="1" customWidth="1"/>
    <col min="28" max="29" width="11.88671875" style="34" bestFit="1" customWidth="1"/>
    <col min="30" max="32" width="11.88671875" style="34" customWidth="1"/>
    <col min="35" max="35" width="11.44140625" customWidth="1"/>
    <col min="37" max="37" width="29.44140625" bestFit="1" customWidth="1"/>
    <col min="38" max="38" width="13.109375" customWidth="1"/>
    <col min="40" max="40" width="13.5546875" customWidth="1"/>
    <col min="41" max="41" width="13.88671875" customWidth="1"/>
  </cols>
  <sheetData>
    <row r="1" spans="1:41" s="9" customFormat="1" ht="28.8" x14ac:dyDescent="0.3">
      <c r="A1" s="8" t="s">
        <v>85</v>
      </c>
      <c r="B1" s="8" t="s">
        <v>86</v>
      </c>
      <c r="C1" s="8" t="s">
        <v>123</v>
      </c>
      <c r="D1" s="8" t="s">
        <v>124</v>
      </c>
      <c r="E1" s="8" t="s">
        <v>125</v>
      </c>
      <c r="F1" s="8" t="s">
        <v>126</v>
      </c>
      <c r="G1" s="8" t="s">
        <v>127</v>
      </c>
      <c r="H1" s="8" t="s">
        <v>128</v>
      </c>
      <c r="I1" s="8" t="s">
        <v>129</v>
      </c>
      <c r="J1" s="8" t="s">
        <v>130</v>
      </c>
      <c r="K1" s="8" t="s">
        <v>131</v>
      </c>
      <c r="L1" s="8" t="s">
        <v>132</v>
      </c>
      <c r="M1" s="8" t="s">
        <v>133</v>
      </c>
      <c r="N1" s="8" t="s">
        <v>134</v>
      </c>
      <c r="O1" s="8" t="s">
        <v>135</v>
      </c>
      <c r="P1" s="8" t="s">
        <v>136</v>
      </c>
      <c r="Q1" s="8" t="s">
        <v>137</v>
      </c>
      <c r="R1" s="8" t="s">
        <v>138</v>
      </c>
      <c r="S1" s="8" t="s">
        <v>139</v>
      </c>
      <c r="T1" s="43" t="s">
        <v>140</v>
      </c>
      <c r="U1" s="8" t="s">
        <v>141</v>
      </c>
      <c r="V1" s="8" t="s">
        <v>142</v>
      </c>
      <c r="W1" s="35" t="s">
        <v>143</v>
      </c>
      <c r="X1" s="35" t="s">
        <v>144</v>
      </c>
      <c r="Y1" s="35" t="s">
        <v>145</v>
      </c>
      <c r="Z1" s="35" t="s">
        <v>146</v>
      </c>
      <c r="AA1" s="35" t="s">
        <v>147</v>
      </c>
      <c r="AB1" s="35" t="s">
        <v>148</v>
      </c>
      <c r="AC1" s="35" t="s">
        <v>149</v>
      </c>
      <c r="AD1" s="35"/>
      <c r="AE1" s="35"/>
      <c r="AF1" s="35"/>
      <c r="AH1" s="9" t="s">
        <v>150</v>
      </c>
      <c r="AI1" s="9" t="s">
        <v>151</v>
      </c>
      <c r="AK1" s="9" t="s">
        <v>144</v>
      </c>
      <c r="AL1" s="9" t="s">
        <v>152</v>
      </c>
      <c r="AN1" s="9" t="s">
        <v>153</v>
      </c>
      <c r="AO1" s="9" t="s">
        <v>154</v>
      </c>
    </row>
    <row r="2" spans="1:41" x14ac:dyDescent="0.3">
      <c r="A2" s="1" t="s">
        <v>155</v>
      </c>
      <c r="B2" s="1" t="s">
        <v>156</v>
      </c>
      <c r="C2" s="1">
        <f t="shared" ref="C2:C65" si="0">E2+1.675</f>
        <v>25.675000000000001</v>
      </c>
      <c r="D2" s="1">
        <f t="shared" ref="D2:D65" si="1">F2+1.675+12.376</f>
        <v>34.051000000000002</v>
      </c>
      <c r="E2" s="1">
        <v>24</v>
      </c>
      <c r="F2" s="1">
        <v>20</v>
      </c>
      <c r="G2" s="1">
        <f>F2-(1.88*2)</f>
        <v>16.240000000000002</v>
      </c>
      <c r="H2" s="1">
        <v>0</v>
      </c>
      <c r="I2" s="1" t="s">
        <v>157</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4">
        <v>0.65</v>
      </c>
      <c r="X2" t="s">
        <v>158</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157</v>
      </c>
      <c r="AI2">
        <v>5.46</v>
      </c>
      <c r="AK2" t="s">
        <v>158</v>
      </c>
      <c r="AL2" s="36">
        <v>19.8</v>
      </c>
      <c r="AN2" t="s">
        <v>159</v>
      </c>
      <c r="AO2" s="5">
        <v>9.2959999999999994</v>
      </c>
    </row>
    <row r="3" spans="1:41" x14ac:dyDescent="0.3">
      <c r="A3" s="1" t="s">
        <v>160</v>
      </c>
      <c r="B3" s="1" t="s">
        <v>161</v>
      </c>
      <c r="C3" s="1">
        <f t="shared" si="0"/>
        <v>37.674999999999997</v>
      </c>
      <c r="D3" s="1">
        <f t="shared" si="1"/>
        <v>34.051000000000002</v>
      </c>
      <c r="E3" s="1">
        <v>36</v>
      </c>
      <c r="F3" s="1">
        <f>F2</f>
        <v>20</v>
      </c>
      <c r="G3" s="1">
        <f t="shared" ref="G3:G25" si="4">F3-(1.88*2)</f>
        <v>16.240000000000002</v>
      </c>
      <c r="H3" s="1">
        <v>0</v>
      </c>
      <c r="I3" s="1" t="s">
        <v>157</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4">
        <f>W2</f>
        <v>0.65</v>
      </c>
      <c r="X3" t="s">
        <v>158</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162</v>
      </c>
      <c r="AI3">
        <v>13.93</v>
      </c>
      <c r="AK3" t="s">
        <v>163</v>
      </c>
      <c r="AL3" s="36">
        <v>27.72</v>
      </c>
      <c r="AN3" t="s">
        <v>164</v>
      </c>
      <c r="AO3" s="5">
        <v>9.4659999999999993</v>
      </c>
    </row>
    <row r="4" spans="1:41" x14ac:dyDescent="0.3">
      <c r="A4" s="1" t="s">
        <v>165</v>
      </c>
      <c r="B4" s="1" t="s">
        <v>166</v>
      </c>
      <c r="C4" s="1">
        <f t="shared" si="0"/>
        <v>49.674999999999997</v>
      </c>
      <c r="D4" s="1">
        <f t="shared" si="1"/>
        <v>34.051000000000002</v>
      </c>
      <c r="E4" s="1">
        <v>48</v>
      </c>
      <c r="F4" s="1">
        <f t="shared" ref="F4:F5" si="10">F3</f>
        <v>20</v>
      </c>
      <c r="G4" s="1">
        <f t="shared" si="4"/>
        <v>16.240000000000002</v>
      </c>
      <c r="H4" s="1">
        <v>0</v>
      </c>
      <c r="I4" s="1" t="s">
        <v>157</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4">
        <f t="shared" ref="W4:W67" si="11">W3</f>
        <v>0.65</v>
      </c>
      <c r="X4" t="s">
        <v>158</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167</v>
      </c>
      <c r="AI4">
        <v>29.7</v>
      </c>
      <c r="AK4" t="s">
        <v>168</v>
      </c>
      <c r="AL4" s="36">
        <v>30</v>
      </c>
    </row>
    <row r="5" spans="1:41" x14ac:dyDescent="0.3">
      <c r="A5" s="1" t="s">
        <v>169</v>
      </c>
      <c r="B5" s="1" t="s">
        <v>170</v>
      </c>
      <c r="C5" s="1">
        <f t="shared" si="0"/>
        <v>73.674999999999997</v>
      </c>
      <c r="D5" s="1">
        <f t="shared" si="1"/>
        <v>34.051000000000002</v>
      </c>
      <c r="E5" s="1">
        <v>72</v>
      </c>
      <c r="F5" s="1">
        <f t="shared" si="10"/>
        <v>20</v>
      </c>
      <c r="G5" s="1">
        <f t="shared" si="4"/>
        <v>16.240000000000002</v>
      </c>
      <c r="H5" s="1">
        <v>0</v>
      </c>
      <c r="I5" s="1" t="s">
        <v>157</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4">
        <f t="shared" si="11"/>
        <v>0.65</v>
      </c>
      <c r="X5" t="s">
        <v>158</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171</v>
      </c>
      <c r="AL5" s="36">
        <v>40.200000000000003</v>
      </c>
    </row>
    <row r="6" spans="1:41" x14ac:dyDescent="0.3">
      <c r="A6" s="1" t="s">
        <v>172</v>
      </c>
      <c r="B6" s="1" t="s">
        <v>173</v>
      </c>
      <c r="C6" s="1">
        <f t="shared" si="0"/>
        <v>25.675000000000001</v>
      </c>
      <c r="D6" s="1">
        <f t="shared" si="1"/>
        <v>50.050999999999995</v>
      </c>
      <c r="E6" s="1">
        <v>24</v>
      </c>
      <c r="F6" s="1">
        <v>36</v>
      </c>
      <c r="G6" s="1">
        <f t="shared" si="4"/>
        <v>32.24</v>
      </c>
      <c r="H6" s="1">
        <v>0</v>
      </c>
      <c r="I6" s="1" t="s">
        <v>157</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4">
        <f t="shared" si="11"/>
        <v>0.65</v>
      </c>
      <c r="X6" t="s">
        <v>158</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174</v>
      </c>
      <c r="AL6" s="36">
        <v>30</v>
      </c>
    </row>
    <row r="7" spans="1:41" x14ac:dyDescent="0.3">
      <c r="A7" s="1" t="s">
        <v>175</v>
      </c>
      <c r="B7" s="1" t="s">
        <v>176</v>
      </c>
      <c r="C7" s="1">
        <f t="shared" si="0"/>
        <v>37.674999999999997</v>
      </c>
      <c r="D7" s="1">
        <f t="shared" si="1"/>
        <v>50.050999999999995</v>
      </c>
      <c r="E7" s="1">
        <v>36</v>
      </c>
      <c r="F7" s="1">
        <f>F6</f>
        <v>36</v>
      </c>
      <c r="G7" s="1">
        <f t="shared" si="4"/>
        <v>32.24</v>
      </c>
      <c r="H7" s="1">
        <v>0</v>
      </c>
      <c r="I7" s="1" t="s">
        <v>157</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4">
        <f t="shared" si="11"/>
        <v>0.65</v>
      </c>
      <c r="X7" t="s">
        <v>158</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177</v>
      </c>
      <c r="AL7" s="36">
        <v>40.200000000000003</v>
      </c>
    </row>
    <row r="8" spans="1:41" x14ac:dyDescent="0.3">
      <c r="A8" s="1" t="s">
        <v>178</v>
      </c>
      <c r="B8" s="1" t="s">
        <v>179</v>
      </c>
      <c r="C8" s="1">
        <f t="shared" si="0"/>
        <v>49.674999999999997</v>
      </c>
      <c r="D8" s="1">
        <f t="shared" si="1"/>
        <v>50.050999999999995</v>
      </c>
      <c r="E8" s="1">
        <v>48</v>
      </c>
      <c r="F8" s="1">
        <f t="shared" ref="F8:F13" si="12">F7</f>
        <v>36</v>
      </c>
      <c r="G8" s="1">
        <f t="shared" si="4"/>
        <v>32.24</v>
      </c>
      <c r="H8" s="1">
        <v>0</v>
      </c>
      <c r="I8" s="1" t="s">
        <v>157</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4">
        <f t="shared" si="11"/>
        <v>0.65</v>
      </c>
      <c r="X8" t="s">
        <v>158</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3">
      <c r="A9" s="1" t="s">
        <v>180</v>
      </c>
      <c r="B9" s="1" t="s">
        <v>181</v>
      </c>
      <c r="C9" s="1">
        <f t="shared" si="0"/>
        <v>73.674999999999997</v>
      </c>
      <c r="D9" s="1">
        <f t="shared" si="1"/>
        <v>50.050999999999995</v>
      </c>
      <c r="E9" s="1">
        <v>72</v>
      </c>
      <c r="F9" s="1">
        <f t="shared" si="12"/>
        <v>36</v>
      </c>
      <c r="G9" s="1">
        <f t="shared" si="4"/>
        <v>32.24</v>
      </c>
      <c r="H9" s="1">
        <v>0</v>
      </c>
      <c r="I9" s="1" t="s">
        <v>157</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4">
        <f t="shared" si="11"/>
        <v>0.65</v>
      </c>
      <c r="X9" t="s">
        <v>158</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3">
      <c r="A10" s="1" t="s">
        <v>182</v>
      </c>
      <c r="B10" s="1" t="s">
        <v>183</v>
      </c>
      <c r="C10" s="1">
        <f t="shared" si="0"/>
        <v>25.675000000000001</v>
      </c>
      <c r="D10" s="1">
        <f t="shared" si="1"/>
        <v>62.050999999999995</v>
      </c>
      <c r="E10" s="1">
        <v>24</v>
      </c>
      <c r="F10" s="1">
        <v>48</v>
      </c>
      <c r="G10" s="1">
        <f t="shared" si="4"/>
        <v>44.24</v>
      </c>
      <c r="H10" s="1">
        <v>0</v>
      </c>
      <c r="I10" s="1" t="s">
        <v>157</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4">
        <f t="shared" si="11"/>
        <v>0.65</v>
      </c>
      <c r="X10" t="s">
        <v>158</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3">
      <c r="A11" s="1" t="s">
        <v>184</v>
      </c>
      <c r="B11" s="1" t="s">
        <v>185</v>
      </c>
      <c r="C11" s="1">
        <f t="shared" si="0"/>
        <v>37.674999999999997</v>
      </c>
      <c r="D11" s="1">
        <f t="shared" si="1"/>
        <v>62.050999999999995</v>
      </c>
      <c r="E11" s="1">
        <v>36</v>
      </c>
      <c r="F11" s="1">
        <f t="shared" si="12"/>
        <v>48</v>
      </c>
      <c r="G11" s="1">
        <f t="shared" si="4"/>
        <v>44.24</v>
      </c>
      <c r="H11" s="1">
        <v>0</v>
      </c>
      <c r="I11" s="1" t="s">
        <v>157</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4">
        <f t="shared" si="11"/>
        <v>0.65</v>
      </c>
      <c r="X11" t="s">
        <v>158</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3">
      <c r="A12" s="1" t="s">
        <v>186</v>
      </c>
      <c r="B12" s="1" t="s">
        <v>187</v>
      </c>
      <c r="C12" s="1">
        <f t="shared" si="0"/>
        <v>49.674999999999997</v>
      </c>
      <c r="D12" s="1">
        <f t="shared" si="1"/>
        <v>62.050999999999995</v>
      </c>
      <c r="E12" s="1">
        <v>48</v>
      </c>
      <c r="F12" s="1">
        <f t="shared" si="12"/>
        <v>48</v>
      </c>
      <c r="G12" s="1">
        <f t="shared" si="4"/>
        <v>44.24</v>
      </c>
      <c r="H12" s="1">
        <v>0</v>
      </c>
      <c r="I12" s="1" t="s">
        <v>157</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4">
        <f t="shared" si="11"/>
        <v>0.65</v>
      </c>
      <c r="X12" t="s">
        <v>158</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3">
      <c r="A13" s="1" t="s">
        <v>157</v>
      </c>
      <c r="B13" s="1" t="s">
        <v>188</v>
      </c>
      <c r="C13" s="1">
        <f t="shared" si="0"/>
        <v>73.674999999999997</v>
      </c>
      <c r="D13" s="1">
        <f t="shared" si="1"/>
        <v>62.050999999999995</v>
      </c>
      <c r="E13" s="1">
        <v>72</v>
      </c>
      <c r="F13" s="1">
        <f t="shared" si="12"/>
        <v>48</v>
      </c>
      <c r="G13" s="1">
        <f t="shared" si="4"/>
        <v>44.24</v>
      </c>
      <c r="H13" s="1">
        <v>0</v>
      </c>
      <c r="I13" s="1" t="s">
        <v>157</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4">
        <f t="shared" si="11"/>
        <v>0.65</v>
      </c>
      <c r="X13" t="s">
        <v>158</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3">
      <c r="A14" s="1" t="s">
        <v>189</v>
      </c>
      <c r="B14" s="1" t="s">
        <v>190</v>
      </c>
      <c r="C14" s="1">
        <f t="shared" si="0"/>
        <v>25.675000000000001</v>
      </c>
      <c r="D14" s="1">
        <f t="shared" si="1"/>
        <v>74.051000000000002</v>
      </c>
      <c r="E14" s="1">
        <v>24</v>
      </c>
      <c r="F14" s="1">
        <v>60</v>
      </c>
      <c r="G14" s="1">
        <f t="shared" si="4"/>
        <v>56.24</v>
      </c>
      <c r="H14" s="1">
        <v>0</v>
      </c>
      <c r="I14" s="1" t="s">
        <v>157</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4">
        <f t="shared" si="11"/>
        <v>0.65</v>
      </c>
      <c r="X14" t="s">
        <v>158</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3">
      <c r="A15" s="1" t="s">
        <v>191</v>
      </c>
      <c r="B15" s="1" t="s">
        <v>192</v>
      </c>
      <c r="C15" s="1">
        <f t="shared" si="0"/>
        <v>37.674999999999997</v>
      </c>
      <c r="D15" s="1">
        <f t="shared" si="1"/>
        <v>74.051000000000002</v>
      </c>
      <c r="E15" s="1">
        <v>36</v>
      </c>
      <c r="F15" s="1">
        <v>60</v>
      </c>
      <c r="G15" s="1">
        <f t="shared" si="4"/>
        <v>56.24</v>
      </c>
      <c r="H15" s="1">
        <v>0</v>
      </c>
      <c r="I15" s="1" t="s">
        <v>157</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4">
        <f t="shared" si="11"/>
        <v>0.65</v>
      </c>
      <c r="X15" t="s">
        <v>158</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3">
      <c r="A16" s="1" t="s">
        <v>193</v>
      </c>
      <c r="B16" s="1" t="s">
        <v>194</v>
      </c>
      <c r="C16" s="1">
        <f t="shared" si="0"/>
        <v>49.674999999999997</v>
      </c>
      <c r="D16" s="1">
        <f t="shared" si="1"/>
        <v>74.051000000000002</v>
      </c>
      <c r="E16" s="1">
        <v>48</v>
      </c>
      <c r="F16" s="1">
        <v>60</v>
      </c>
      <c r="G16" s="1">
        <f t="shared" si="4"/>
        <v>56.24</v>
      </c>
      <c r="H16" s="1">
        <v>0</v>
      </c>
      <c r="I16" s="1" t="s">
        <v>157</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4">
        <f t="shared" si="11"/>
        <v>0.65</v>
      </c>
      <c r="X16" t="s">
        <v>158</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3">
      <c r="A17" s="1" t="s">
        <v>195</v>
      </c>
      <c r="B17" s="1" t="s">
        <v>196</v>
      </c>
      <c r="C17" s="1">
        <f t="shared" si="0"/>
        <v>73.674999999999997</v>
      </c>
      <c r="D17" s="1">
        <f t="shared" si="1"/>
        <v>74.051000000000002</v>
      </c>
      <c r="E17" s="1">
        <v>72</v>
      </c>
      <c r="F17" s="1">
        <v>60</v>
      </c>
      <c r="G17" s="1">
        <f t="shared" si="4"/>
        <v>56.24</v>
      </c>
      <c r="H17" s="1">
        <v>0</v>
      </c>
      <c r="I17" s="1" t="s">
        <v>157</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4">
        <f t="shared" si="11"/>
        <v>0.65</v>
      </c>
      <c r="X17" t="s">
        <v>158</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3">
      <c r="A18" s="1" t="s">
        <v>197</v>
      </c>
      <c r="B18" s="1" t="s">
        <v>198</v>
      </c>
      <c r="C18" s="1">
        <f t="shared" si="0"/>
        <v>25.675000000000001</v>
      </c>
      <c r="D18" s="1">
        <f t="shared" si="1"/>
        <v>86.051000000000002</v>
      </c>
      <c r="E18" s="1">
        <v>24</v>
      </c>
      <c r="F18" s="1">
        <v>72</v>
      </c>
      <c r="G18" s="1">
        <f t="shared" si="4"/>
        <v>68.239999999999995</v>
      </c>
      <c r="H18" s="1">
        <v>0</v>
      </c>
      <c r="I18" s="1" t="s">
        <v>157</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4">
        <f t="shared" si="11"/>
        <v>0.65</v>
      </c>
      <c r="X18" t="s">
        <v>158</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3">
      <c r="A19" s="1" t="s">
        <v>199</v>
      </c>
      <c r="B19" s="1" t="s">
        <v>200</v>
      </c>
      <c r="C19" s="1">
        <f t="shared" si="0"/>
        <v>37.674999999999997</v>
      </c>
      <c r="D19" s="1">
        <f t="shared" si="1"/>
        <v>86.051000000000002</v>
      </c>
      <c r="E19" s="1">
        <v>36</v>
      </c>
      <c r="F19" s="1">
        <v>72</v>
      </c>
      <c r="G19" s="1">
        <f t="shared" si="4"/>
        <v>68.239999999999995</v>
      </c>
      <c r="H19" s="1">
        <v>0</v>
      </c>
      <c r="I19" s="1" t="s">
        <v>157</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4">
        <f t="shared" si="11"/>
        <v>0.65</v>
      </c>
      <c r="X19" t="s">
        <v>158</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3">
      <c r="A20" s="1" t="s">
        <v>201</v>
      </c>
      <c r="B20" s="1" t="s">
        <v>202</v>
      </c>
      <c r="C20" s="1">
        <f t="shared" si="0"/>
        <v>49.674999999999997</v>
      </c>
      <c r="D20" s="1">
        <f t="shared" si="1"/>
        <v>86.051000000000002</v>
      </c>
      <c r="E20" s="1">
        <v>48</v>
      </c>
      <c r="F20" s="1">
        <v>72</v>
      </c>
      <c r="G20" s="1">
        <f t="shared" si="4"/>
        <v>68.239999999999995</v>
      </c>
      <c r="H20" s="1">
        <v>0</v>
      </c>
      <c r="I20" s="1" t="s">
        <v>157</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4">
        <f t="shared" si="11"/>
        <v>0.65</v>
      </c>
      <c r="X20" t="s">
        <v>158</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3">
      <c r="A21" s="1" t="s">
        <v>203</v>
      </c>
      <c r="B21" s="1" t="s">
        <v>204</v>
      </c>
      <c r="C21" s="1">
        <f t="shared" si="0"/>
        <v>73.674999999999997</v>
      </c>
      <c r="D21" s="1">
        <f t="shared" si="1"/>
        <v>86.051000000000002</v>
      </c>
      <c r="E21" s="1">
        <v>72</v>
      </c>
      <c r="F21" s="1">
        <v>72</v>
      </c>
      <c r="G21" s="1">
        <f t="shared" si="4"/>
        <v>68.239999999999995</v>
      </c>
      <c r="H21" s="1">
        <v>0</v>
      </c>
      <c r="I21" s="1" t="s">
        <v>157</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4">
        <f t="shared" si="11"/>
        <v>0.65</v>
      </c>
      <c r="X21" t="s">
        <v>158</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3">
      <c r="A22" s="1" t="s">
        <v>205</v>
      </c>
      <c r="B22" s="1" t="s">
        <v>206</v>
      </c>
      <c r="C22" s="1">
        <f t="shared" si="0"/>
        <v>25.675000000000001</v>
      </c>
      <c r="D22" s="1">
        <f t="shared" si="1"/>
        <v>98.051000000000002</v>
      </c>
      <c r="E22" s="1">
        <v>24</v>
      </c>
      <c r="F22" s="1">
        <v>84</v>
      </c>
      <c r="G22" s="1">
        <f t="shared" si="4"/>
        <v>80.239999999999995</v>
      </c>
      <c r="H22" s="1">
        <v>0</v>
      </c>
      <c r="I22" s="1" t="s">
        <v>157</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4">
        <f t="shared" si="11"/>
        <v>0.65</v>
      </c>
      <c r="X22" t="s">
        <v>158</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3">
      <c r="A23" s="1" t="s">
        <v>207</v>
      </c>
      <c r="B23" s="1" t="s">
        <v>208</v>
      </c>
      <c r="C23" s="1">
        <f t="shared" si="0"/>
        <v>37.674999999999997</v>
      </c>
      <c r="D23" s="1">
        <f t="shared" si="1"/>
        <v>98.051000000000002</v>
      </c>
      <c r="E23" s="1">
        <v>36</v>
      </c>
      <c r="F23" s="1">
        <v>84</v>
      </c>
      <c r="G23" s="1">
        <f t="shared" si="4"/>
        <v>80.239999999999995</v>
      </c>
      <c r="H23" s="1">
        <v>0</v>
      </c>
      <c r="I23" s="1" t="s">
        <v>157</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4">
        <f t="shared" si="11"/>
        <v>0.65</v>
      </c>
      <c r="X23" t="s">
        <v>158</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3">
      <c r="A24" s="1" t="s">
        <v>209</v>
      </c>
      <c r="B24" s="1" t="s">
        <v>210</v>
      </c>
      <c r="C24" s="1">
        <f t="shared" si="0"/>
        <v>49.674999999999997</v>
      </c>
      <c r="D24" s="1">
        <f t="shared" si="1"/>
        <v>98.051000000000002</v>
      </c>
      <c r="E24" s="1">
        <v>48</v>
      </c>
      <c r="F24" s="1">
        <v>84</v>
      </c>
      <c r="G24" s="1">
        <f t="shared" si="4"/>
        <v>80.239999999999995</v>
      </c>
      <c r="H24" s="1">
        <v>0</v>
      </c>
      <c r="I24" s="1" t="s">
        <v>157</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4">
        <f t="shared" si="11"/>
        <v>0.65</v>
      </c>
      <c r="X24" t="s">
        <v>158</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3">
      <c r="A25" s="1" t="s">
        <v>211</v>
      </c>
      <c r="B25" s="1" t="s">
        <v>212</v>
      </c>
      <c r="C25" s="1">
        <f t="shared" si="0"/>
        <v>73.674999999999997</v>
      </c>
      <c r="D25" s="1">
        <f t="shared" si="1"/>
        <v>98.051000000000002</v>
      </c>
      <c r="E25" s="1">
        <v>72</v>
      </c>
      <c r="F25" s="1">
        <v>84</v>
      </c>
      <c r="G25" s="1">
        <f t="shared" si="4"/>
        <v>80.239999999999995</v>
      </c>
      <c r="H25" s="1">
        <v>0</v>
      </c>
      <c r="I25" s="1" t="s">
        <v>157</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4">
        <f t="shared" si="11"/>
        <v>0.65</v>
      </c>
      <c r="X25" t="s">
        <v>158</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3">
      <c r="A26" s="1" t="s">
        <v>213</v>
      </c>
      <c r="B26" s="1" t="s">
        <v>214</v>
      </c>
      <c r="C26" s="1">
        <f t="shared" si="0"/>
        <v>25.675000000000001</v>
      </c>
      <c r="D26" s="1">
        <f t="shared" si="1"/>
        <v>34.051000000000002</v>
      </c>
      <c r="E26" s="1">
        <v>24</v>
      </c>
      <c r="F26" s="1">
        <v>20</v>
      </c>
      <c r="G26" s="1">
        <f>F26-(1.88*2)</f>
        <v>16.240000000000002</v>
      </c>
      <c r="H26" s="1">
        <v>0</v>
      </c>
      <c r="I26" s="1" t="s">
        <v>157</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4">
        <f t="shared" si="11"/>
        <v>0.65</v>
      </c>
      <c r="X26" t="s">
        <v>163</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3">
      <c r="A27" s="1" t="s">
        <v>215</v>
      </c>
      <c r="B27" s="1" t="s">
        <v>216</v>
      </c>
      <c r="C27" s="1">
        <f t="shared" si="0"/>
        <v>37.674999999999997</v>
      </c>
      <c r="D27" s="1">
        <f t="shared" si="1"/>
        <v>34.051000000000002</v>
      </c>
      <c r="E27" s="1">
        <v>36</v>
      </c>
      <c r="F27" s="1">
        <f>F26</f>
        <v>20</v>
      </c>
      <c r="G27" s="1">
        <f t="shared" ref="G27:G49" si="13">F27-(1.88*2)</f>
        <v>16.240000000000002</v>
      </c>
      <c r="H27" s="1">
        <v>0</v>
      </c>
      <c r="I27" s="1" t="s">
        <v>157</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4">
        <f t="shared" si="11"/>
        <v>0.65</v>
      </c>
      <c r="X27" t="s">
        <v>163</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3">
      <c r="A28" s="1" t="s">
        <v>217</v>
      </c>
      <c r="B28" s="1" t="s">
        <v>218</v>
      </c>
      <c r="C28" s="1">
        <f t="shared" si="0"/>
        <v>49.674999999999997</v>
      </c>
      <c r="D28" s="1">
        <f t="shared" si="1"/>
        <v>34.051000000000002</v>
      </c>
      <c r="E28" s="1">
        <v>48</v>
      </c>
      <c r="F28" s="1">
        <f t="shared" ref="F28:F29" si="16">F27</f>
        <v>20</v>
      </c>
      <c r="G28" s="1">
        <f t="shared" si="13"/>
        <v>16.240000000000002</v>
      </c>
      <c r="H28" s="1">
        <v>0</v>
      </c>
      <c r="I28" s="1" t="s">
        <v>157</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4">
        <f t="shared" si="11"/>
        <v>0.65</v>
      </c>
      <c r="X28" t="s">
        <v>163</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3">
      <c r="A29" s="1" t="s">
        <v>219</v>
      </c>
      <c r="B29" s="1" t="s">
        <v>220</v>
      </c>
      <c r="C29" s="1">
        <f t="shared" si="0"/>
        <v>73.674999999999997</v>
      </c>
      <c r="D29" s="1">
        <f t="shared" si="1"/>
        <v>34.051000000000002</v>
      </c>
      <c r="E29" s="1">
        <v>72</v>
      </c>
      <c r="F29" s="1">
        <f t="shared" si="16"/>
        <v>20</v>
      </c>
      <c r="G29" s="1">
        <f t="shared" si="13"/>
        <v>16.240000000000002</v>
      </c>
      <c r="H29" s="1">
        <v>0</v>
      </c>
      <c r="I29" s="1" t="s">
        <v>157</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4">
        <f t="shared" si="11"/>
        <v>0.65</v>
      </c>
      <c r="X29" t="s">
        <v>163</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3">
      <c r="A30" s="1" t="s">
        <v>221</v>
      </c>
      <c r="B30" s="1" t="s">
        <v>222</v>
      </c>
      <c r="C30" s="1">
        <f t="shared" si="0"/>
        <v>25.675000000000001</v>
      </c>
      <c r="D30" s="1">
        <f t="shared" si="1"/>
        <v>50.050999999999995</v>
      </c>
      <c r="E30" s="1">
        <v>24</v>
      </c>
      <c r="F30" s="1">
        <v>36</v>
      </c>
      <c r="G30" s="1">
        <f t="shared" si="13"/>
        <v>32.24</v>
      </c>
      <c r="H30" s="1">
        <v>0</v>
      </c>
      <c r="I30" s="1" t="s">
        <v>157</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4">
        <f t="shared" si="11"/>
        <v>0.65</v>
      </c>
      <c r="X30" t="s">
        <v>163</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3">
      <c r="A31" s="1" t="s">
        <v>223</v>
      </c>
      <c r="B31" s="1" t="s">
        <v>224</v>
      </c>
      <c r="C31" s="1">
        <f t="shared" si="0"/>
        <v>37.674999999999997</v>
      </c>
      <c r="D31" s="1">
        <f t="shared" si="1"/>
        <v>50.050999999999995</v>
      </c>
      <c r="E31" s="1">
        <v>36</v>
      </c>
      <c r="F31" s="1">
        <f>F30</f>
        <v>36</v>
      </c>
      <c r="G31" s="1">
        <f t="shared" si="13"/>
        <v>32.24</v>
      </c>
      <c r="H31" s="1">
        <v>0</v>
      </c>
      <c r="I31" s="1" t="s">
        <v>157</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4">
        <f t="shared" si="11"/>
        <v>0.65</v>
      </c>
      <c r="X31" t="s">
        <v>163</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3">
      <c r="A32" s="1" t="s">
        <v>225</v>
      </c>
      <c r="B32" s="1" t="s">
        <v>226</v>
      </c>
      <c r="C32" s="1">
        <f t="shared" si="0"/>
        <v>49.674999999999997</v>
      </c>
      <c r="D32" s="1">
        <f t="shared" si="1"/>
        <v>50.050999999999995</v>
      </c>
      <c r="E32" s="1">
        <v>48</v>
      </c>
      <c r="F32" s="1">
        <f t="shared" ref="F32:F37" si="17">F31</f>
        <v>36</v>
      </c>
      <c r="G32" s="1">
        <f t="shared" si="13"/>
        <v>32.24</v>
      </c>
      <c r="H32" s="1">
        <v>0</v>
      </c>
      <c r="I32" s="1" t="s">
        <v>157</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4">
        <f t="shared" si="11"/>
        <v>0.65</v>
      </c>
      <c r="X32" t="s">
        <v>163</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3">
      <c r="A33" s="1" t="s">
        <v>227</v>
      </c>
      <c r="B33" s="1" t="s">
        <v>228</v>
      </c>
      <c r="C33" s="1">
        <f t="shared" si="0"/>
        <v>73.674999999999997</v>
      </c>
      <c r="D33" s="1">
        <f t="shared" si="1"/>
        <v>50.050999999999995</v>
      </c>
      <c r="E33" s="1">
        <v>72</v>
      </c>
      <c r="F33" s="1">
        <f t="shared" si="17"/>
        <v>36</v>
      </c>
      <c r="G33" s="1">
        <f t="shared" si="13"/>
        <v>32.24</v>
      </c>
      <c r="H33" s="1">
        <v>0</v>
      </c>
      <c r="I33" s="1" t="s">
        <v>157</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4">
        <f t="shared" si="11"/>
        <v>0.65</v>
      </c>
      <c r="X33" t="s">
        <v>163</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3">
      <c r="A34" s="1" t="s">
        <v>229</v>
      </c>
      <c r="B34" s="1" t="s">
        <v>230</v>
      </c>
      <c r="C34" s="1">
        <f t="shared" si="0"/>
        <v>25.675000000000001</v>
      </c>
      <c r="D34" s="1">
        <f t="shared" si="1"/>
        <v>62.050999999999995</v>
      </c>
      <c r="E34" s="1">
        <v>24</v>
      </c>
      <c r="F34" s="1">
        <v>48</v>
      </c>
      <c r="G34" s="1">
        <f t="shared" si="13"/>
        <v>44.24</v>
      </c>
      <c r="H34" s="1">
        <v>0</v>
      </c>
      <c r="I34" s="1" t="s">
        <v>157</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4">
        <f t="shared" si="11"/>
        <v>0.65</v>
      </c>
      <c r="X34" t="s">
        <v>163</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3">
      <c r="A35" s="1" t="s">
        <v>231</v>
      </c>
      <c r="B35" s="1" t="s">
        <v>232</v>
      </c>
      <c r="C35" s="1">
        <f t="shared" si="0"/>
        <v>37.674999999999997</v>
      </c>
      <c r="D35" s="1">
        <f t="shared" si="1"/>
        <v>62.050999999999995</v>
      </c>
      <c r="E35" s="1">
        <v>36</v>
      </c>
      <c r="F35" s="1">
        <f t="shared" si="17"/>
        <v>48</v>
      </c>
      <c r="G35" s="1">
        <f t="shared" si="13"/>
        <v>44.24</v>
      </c>
      <c r="H35" s="1">
        <v>0</v>
      </c>
      <c r="I35" s="1" t="s">
        <v>157</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4">
        <f t="shared" si="11"/>
        <v>0.65</v>
      </c>
      <c r="X35" t="s">
        <v>163</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3">
      <c r="A36" s="1" t="s">
        <v>233</v>
      </c>
      <c r="B36" s="1" t="s">
        <v>234</v>
      </c>
      <c r="C36" s="1">
        <f t="shared" si="0"/>
        <v>49.674999999999997</v>
      </c>
      <c r="D36" s="1">
        <f t="shared" si="1"/>
        <v>62.050999999999995</v>
      </c>
      <c r="E36" s="1">
        <v>48</v>
      </c>
      <c r="F36" s="1">
        <f t="shared" si="17"/>
        <v>48</v>
      </c>
      <c r="G36" s="1">
        <f t="shared" si="13"/>
        <v>44.24</v>
      </c>
      <c r="H36" s="1">
        <v>0</v>
      </c>
      <c r="I36" s="1" t="s">
        <v>157</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4">
        <f t="shared" si="11"/>
        <v>0.65</v>
      </c>
      <c r="X36" t="s">
        <v>163</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3">
      <c r="A37" s="1" t="s">
        <v>235</v>
      </c>
      <c r="B37" s="1" t="s">
        <v>236</v>
      </c>
      <c r="C37" s="1">
        <f t="shared" si="0"/>
        <v>73.674999999999997</v>
      </c>
      <c r="D37" s="1">
        <f t="shared" si="1"/>
        <v>62.050999999999995</v>
      </c>
      <c r="E37" s="1">
        <v>72</v>
      </c>
      <c r="F37" s="1">
        <f t="shared" si="17"/>
        <v>48</v>
      </c>
      <c r="G37" s="1">
        <f t="shared" si="13"/>
        <v>44.24</v>
      </c>
      <c r="H37" s="1">
        <v>0</v>
      </c>
      <c r="I37" s="1" t="s">
        <v>157</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4">
        <f t="shared" si="11"/>
        <v>0.65</v>
      </c>
      <c r="X37" t="s">
        <v>163</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3">
      <c r="A38" s="1" t="s">
        <v>237</v>
      </c>
      <c r="B38" s="1" t="s">
        <v>238</v>
      </c>
      <c r="C38" s="1">
        <f t="shared" si="0"/>
        <v>25.675000000000001</v>
      </c>
      <c r="D38" s="1">
        <f t="shared" si="1"/>
        <v>74.051000000000002</v>
      </c>
      <c r="E38" s="1">
        <v>24</v>
      </c>
      <c r="F38" s="1">
        <v>60</v>
      </c>
      <c r="G38" s="1">
        <f t="shared" si="13"/>
        <v>56.24</v>
      </c>
      <c r="H38" s="1">
        <v>0</v>
      </c>
      <c r="I38" s="1" t="s">
        <v>157</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4">
        <f t="shared" si="11"/>
        <v>0.65</v>
      </c>
      <c r="X38" t="s">
        <v>163</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3">
      <c r="A39" s="1" t="s">
        <v>239</v>
      </c>
      <c r="B39" s="1" t="s">
        <v>240</v>
      </c>
      <c r="C39" s="1">
        <f t="shared" si="0"/>
        <v>37.674999999999997</v>
      </c>
      <c r="D39" s="1">
        <f t="shared" si="1"/>
        <v>74.051000000000002</v>
      </c>
      <c r="E39" s="1">
        <v>36</v>
      </c>
      <c r="F39" s="1">
        <v>60</v>
      </c>
      <c r="G39" s="1">
        <f t="shared" si="13"/>
        <v>56.24</v>
      </c>
      <c r="H39" s="1">
        <v>0</v>
      </c>
      <c r="I39" s="1" t="s">
        <v>157</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4">
        <f t="shared" si="11"/>
        <v>0.65</v>
      </c>
      <c r="X39" t="s">
        <v>163</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3">
      <c r="A40" s="1" t="s">
        <v>241</v>
      </c>
      <c r="B40" s="1" t="s">
        <v>242</v>
      </c>
      <c r="C40" s="1">
        <f t="shared" si="0"/>
        <v>49.674999999999997</v>
      </c>
      <c r="D40" s="1">
        <f t="shared" si="1"/>
        <v>74.051000000000002</v>
      </c>
      <c r="E40" s="1">
        <v>48</v>
      </c>
      <c r="F40" s="1">
        <v>60</v>
      </c>
      <c r="G40" s="1">
        <f t="shared" si="13"/>
        <v>56.24</v>
      </c>
      <c r="H40" s="1">
        <v>0</v>
      </c>
      <c r="I40" s="1" t="s">
        <v>157</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4">
        <f t="shared" si="11"/>
        <v>0.65</v>
      </c>
      <c r="X40" t="s">
        <v>163</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3">
      <c r="A41" s="1" t="s">
        <v>243</v>
      </c>
      <c r="B41" s="1" t="s">
        <v>244</v>
      </c>
      <c r="C41" s="1">
        <f t="shared" si="0"/>
        <v>73.674999999999997</v>
      </c>
      <c r="D41" s="1">
        <f t="shared" si="1"/>
        <v>74.051000000000002</v>
      </c>
      <c r="E41" s="1">
        <v>72</v>
      </c>
      <c r="F41" s="1">
        <v>60</v>
      </c>
      <c r="G41" s="1">
        <f t="shared" si="13"/>
        <v>56.24</v>
      </c>
      <c r="H41" s="1">
        <v>0</v>
      </c>
      <c r="I41" s="1" t="s">
        <v>157</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4">
        <f t="shared" si="11"/>
        <v>0.65</v>
      </c>
      <c r="X41" t="s">
        <v>163</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3">
      <c r="A42" s="1" t="s">
        <v>245</v>
      </c>
      <c r="B42" s="1" t="s">
        <v>246</v>
      </c>
      <c r="C42" s="1">
        <f t="shared" si="0"/>
        <v>25.675000000000001</v>
      </c>
      <c r="D42" s="1">
        <f t="shared" si="1"/>
        <v>86.051000000000002</v>
      </c>
      <c r="E42" s="1">
        <v>24</v>
      </c>
      <c r="F42" s="1">
        <v>72</v>
      </c>
      <c r="G42" s="1">
        <f t="shared" si="13"/>
        <v>68.239999999999995</v>
      </c>
      <c r="H42" s="1">
        <v>0</v>
      </c>
      <c r="I42" s="1" t="s">
        <v>157</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4">
        <f t="shared" si="11"/>
        <v>0.65</v>
      </c>
      <c r="X42" t="s">
        <v>163</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3">
      <c r="A43" s="1" t="s">
        <v>247</v>
      </c>
      <c r="B43" s="1" t="s">
        <v>248</v>
      </c>
      <c r="C43" s="1">
        <f t="shared" si="0"/>
        <v>37.674999999999997</v>
      </c>
      <c r="D43" s="1">
        <f t="shared" si="1"/>
        <v>86.051000000000002</v>
      </c>
      <c r="E43" s="1">
        <v>36</v>
      </c>
      <c r="F43" s="1">
        <v>72</v>
      </c>
      <c r="G43" s="1">
        <f t="shared" si="13"/>
        <v>68.239999999999995</v>
      </c>
      <c r="H43" s="1">
        <v>0</v>
      </c>
      <c r="I43" s="1" t="s">
        <v>157</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4">
        <f t="shared" si="11"/>
        <v>0.65</v>
      </c>
      <c r="X43" t="s">
        <v>163</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3">
      <c r="A44" s="1" t="s">
        <v>249</v>
      </c>
      <c r="B44" s="1" t="s">
        <v>250</v>
      </c>
      <c r="C44" s="1">
        <f t="shared" si="0"/>
        <v>49.674999999999997</v>
      </c>
      <c r="D44" s="1">
        <f t="shared" si="1"/>
        <v>86.051000000000002</v>
      </c>
      <c r="E44" s="1">
        <v>48</v>
      </c>
      <c r="F44" s="1">
        <v>72</v>
      </c>
      <c r="G44" s="1">
        <f t="shared" si="13"/>
        <v>68.239999999999995</v>
      </c>
      <c r="H44" s="1">
        <v>0</v>
      </c>
      <c r="I44" s="1" t="s">
        <v>157</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4">
        <f t="shared" si="11"/>
        <v>0.65</v>
      </c>
      <c r="X44" t="s">
        <v>163</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3">
      <c r="A45" s="1" t="s">
        <v>251</v>
      </c>
      <c r="B45" s="1" t="s">
        <v>252</v>
      </c>
      <c r="C45" s="1">
        <f t="shared" si="0"/>
        <v>73.674999999999997</v>
      </c>
      <c r="D45" s="1">
        <f t="shared" si="1"/>
        <v>86.051000000000002</v>
      </c>
      <c r="E45" s="1">
        <v>72</v>
      </c>
      <c r="F45" s="1">
        <v>72</v>
      </c>
      <c r="G45" s="1">
        <f t="shared" si="13"/>
        <v>68.239999999999995</v>
      </c>
      <c r="H45" s="1">
        <v>0</v>
      </c>
      <c r="I45" s="1" t="s">
        <v>157</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4">
        <f t="shared" si="11"/>
        <v>0.65</v>
      </c>
      <c r="X45" t="s">
        <v>163</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3">
      <c r="A46" s="1" t="s">
        <v>253</v>
      </c>
      <c r="B46" s="1" t="s">
        <v>254</v>
      </c>
      <c r="C46" s="1">
        <f t="shared" si="0"/>
        <v>25.675000000000001</v>
      </c>
      <c r="D46" s="1">
        <f t="shared" si="1"/>
        <v>98.051000000000002</v>
      </c>
      <c r="E46" s="1">
        <v>24</v>
      </c>
      <c r="F46" s="1">
        <v>84</v>
      </c>
      <c r="G46" s="1">
        <f t="shared" si="13"/>
        <v>80.239999999999995</v>
      </c>
      <c r="H46" s="1">
        <v>0</v>
      </c>
      <c r="I46" s="1" t="s">
        <v>157</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4">
        <f t="shared" si="11"/>
        <v>0.65</v>
      </c>
      <c r="X46" t="s">
        <v>163</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3">
      <c r="A47" s="1" t="s">
        <v>255</v>
      </c>
      <c r="B47" s="1" t="s">
        <v>256</v>
      </c>
      <c r="C47" s="1">
        <f t="shared" si="0"/>
        <v>37.674999999999997</v>
      </c>
      <c r="D47" s="1">
        <f t="shared" si="1"/>
        <v>98.051000000000002</v>
      </c>
      <c r="E47" s="1">
        <v>36</v>
      </c>
      <c r="F47" s="1">
        <v>84</v>
      </c>
      <c r="G47" s="1">
        <f t="shared" si="13"/>
        <v>80.239999999999995</v>
      </c>
      <c r="H47" s="1">
        <v>0</v>
      </c>
      <c r="I47" s="1" t="s">
        <v>157</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4">
        <f t="shared" si="11"/>
        <v>0.65</v>
      </c>
      <c r="X47" t="s">
        <v>163</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3">
      <c r="A48" s="1" t="s">
        <v>257</v>
      </c>
      <c r="B48" s="1" t="s">
        <v>258</v>
      </c>
      <c r="C48" s="1">
        <f t="shared" si="0"/>
        <v>49.674999999999997</v>
      </c>
      <c r="D48" s="1">
        <f t="shared" si="1"/>
        <v>98.051000000000002</v>
      </c>
      <c r="E48" s="1">
        <v>48</v>
      </c>
      <c r="F48" s="1">
        <v>84</v>
      </c>
      <c r="G48" s="1">
        <f t="shared" si="13"/>
        <v>80.239999999999995</v>
      </c>
      <c r="H48" s="1">
        <v>0</v>
      </c>
      <c r="I48" s="1" t="s">
        <v>157</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4">
        <f t="shared" si="11"/>
        <v>0.65</v>
      </c>
      <c r="X48" t="s">
        <v>163</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3">
      <c r="A49" s="1" t="s">
        <v>259</v>
      </c>
      <c r="B49" s="1" t="s">
        <v>260</v>
      </c>
      <c r="C49" s="1">
        <f t="shared" si="0"/>
        <v>73.674999999999997</v>
      </c>
      <c r="D49" s="1">
        <f t="shared" si="1"/>
        <v>98.051000000000002</v>
      </c>
      <c r="E49" s="1">
        <v>72</v>
      </c>
      <c r="F49" s="1">
        <v>84</v>
      </c>
      <c r="G49" s="1">
        <f t="shared" si="13"/>
        <v>80.239999999999995</v>
      </c>
      <c r="H49" s="1">
        <v>0</v>
      </c>
      <c r="I49" s="1" t="s">
        <v>157</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4">
        <f t="shared" si="11"/>
        <v>0.65</v>
      </c>
      <c r="X49" t="s">
        <v>163</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3">
      <c r="A50" s="1" t="s">
        <v>261</v>
      </c>
      <c r="B50" s="1" t="s">
        <v>262</v>
      </c>
      <c r="C50" s="1">
        <f t="shared" si="0"/>
        <v>25.675000000000001</v>
      </c>
      <c r="D50" s="1">
        <f t="shared" si="1"/>
        <v>34.051000000000002</v>
      </c>
      <c r="E50" s="1">
        <v>24</v>
      </c>
      <c r="F50" s="1">
        <v>20</v>
      </c>
      <c r="G50" s="1">
        <f>F50-(1.88*2)</f>
        <v>16.240000000000002</v>
      </c>
      <c r="H50" s="1">
        <v>1</v>
      </c>
      <c r="I50" s="1" t="s">
        <v>157</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4">
        <f t="shared" si="11"/>
        <v>0.65</v>
      </c>
      <c r="X50" t="s">
        <v>174</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3">
      <c r="A51" s="1" t="s">
        <v>263</v>
      </c>
      <c r="B51" s="1" t="s">
        <v>264</v>
      </c>
      <c r="C51" s="1">
        <f t="shared" si="0"/>
        <v>37.674999999999997</v>
      </c>
      <c r="D51" s="1">
        <f t="shared" si="1"/>
        <v>34.051000000000002</v>
      </c>
      <c r="E51" s="1">
        <v>36</v>
      </c>
      <c r="F51" s="1">
        <f>F50</f>
        <v>20</v>
      </c>
      <c r="G51" s="1">
        <f t="shared" ref="G51:G73" si="18">F51-(1.88*2)</f>
        <v>16.240000000000002</v>
      </c>
      <c r="H51" s="1">
        <v>1</v>
      </c>
      <c r="I51" s="1" t="s">
        <v>157</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4">
        <f t="shared" si="11"/>
        <v>0.65</v>
      </c>
      <c r="X51" t="s">
        <v>174</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3">
      <c r="A52" s="1" t="s">
        <v>265</v>
      </c>
      <c r="B52" s="1" t="s">
        <v>266</v>
      </c>
      <c r="C52" s="1">
        <f t="shared" si="0"/>
        <v>49.674999999999997</v>
      </c>
      <c r="D52" s="1">
        <f t="shared" si="1"/>
        <v>34.051000000000002</v>
      </c>
      <c r="E52" s="1">
        <v>48</v>
      </c>
      <c r="F52" s="1">
        <f t="shared" ref="F52:F53" si="21">F51</f>
        <v>20</v>
      </c>
      <c r="G52" s="1">
        <f t="shared" si="18"/>
        <v>16.240000000000002</v>
      </c>
      <c r="H52" s="1">
        <v>1</v>
      </c>
      <c r="I52" s="1" t="s">
        <v>157</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4">
        <f t="shared" si="11"/>
        <v>0.65</v>
      </c>
      <c r="X52" t="s">
        <v>174</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3">
      <c r="A53" s="1" t="s">
        <v>267</v>
      </c>
      <c r="B53" s="1" t="s">
        <v>268</v>
      </c>
      <c r="C53" s="1">
        <f t="shared" si="0"/>
        <v>73.674999999999997</v>
      </c>
      <c r="D53" s="1">
        <f t="shared" si="1"/>
        <v>34.051000000000002</v>
      </c>
      <c r="E53" s="1">
        <v>72</v>
      </c>
      <c r="F53" s="1">
        <f t="shared" si="21"/>
        <v>20</v>
      </c>
      <c r="G53" s="1">
        <f t="shared" si="18"/>
        <v>16.240000000000002</v>
      </c>
      <c r="H53" s="1">
        <v>1</v>
      </c>
      <c r="I53" s="1" t="s">
        <v>157</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4">
        <f t="shared" si="11"/>
        <v>0.65</v>
      </c>
      <c r="X53" t="s">
        <v>174</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3">
      <c r="A54" s="1" t="s">
        <v>269</v>
      </c>
      <c r="B54" s="1" t="s">
        <v>270</v>
      </c>
      <c r="C54" s="1">
        <f t="shared" si="0"/>
        <v>25.675000000000001</v>
      </c>
      <c r="D54" s="1">
        <f t="shared" si="1"/>
        <v>50.050999999999995</v>
      </c>
      <c r="E54" s="1">
        <v>24</v>
      </c>
      <c r="F54" s="1">
        <v>36</v>
      </c>
      <c r="G54" s="1">
        <f t="shared" si="18"/>
        <v>32.24</v>
      </c>
      <c r="H54" s="1">
        <v>1</v>
      </c>
      <c r="I54" s="1" t="s">
        <v>157</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4">
        <f t="shared" si="11"/>
        <v>0.65</v>
      </c>
      <c r="X54" t="s">
        <v>174</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3">
      <c r="A55" s="1" t="s">
        <v>271</v>
      </c>
      <c r="B55" s="1" t="s">
        <v>272</v>
      </c>
      <c r="C55" s="1">
        <f t="shared" si="0"/>
        <v>37.674999999999997</v>
      </c>
      <c r="D55" s="1">
        <f t="shared" si="1"/>
        <v>50.050999999999995</v>
      </c>
      <c r="E55" s="1">
        <v>36</v>
      </c>
      <c r="F55" s="1">
        <f>F54</f>
        <v>36</v>
      </c>
      <c r="G55" s="1">
        <f t="shared" si="18"/>
        <v>32.24</v>
      </c>
      <c r="H55" s="1">
        <v>1</v>
      </c>
      <c r="I55" s="1" t="s">
        <v>157</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4">
        <f t="shared" si="11"/>
        <v>0.65</v>
      </c>
      <c r="X55" t="s">
        <v>174</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3">
      <c r="A56" s="1" t="s">
        <v>273</v>
      </c>
      <c r="B56" s="1" t="s">
        <v>274</v>
      </c>
      <c r="C56" s="1">
        <f t="shared" si="0"/>
        <v>49.674999999999997</v>
      </c>
      <c r="D56" s="1">
        <f t="shared" si="1"/>
        <v>50.050999999999995</v>
      </c>
      <c r="E56" s="1">
        <v>48</v>
      </c>
      <c r="F56" s="1">
        <f t="shared" ref="F56:F61" si="22">F55</f>
        <v>36</v>
      </c>
      <c r="G56" s="1">
        <f t="shared" si="18"/>
        <v>32.24</v>
      </c>
      <c r="H56" s="1">
        <v>1</v>
      </c>
      <c r="I56" s="1" t="s">
        <v>157</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4">
        <f t="shared" si="11"/>
        <v>0.65</v>
      </c>
      <c r="X56" t="s">
        <v>174</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3">
      <c r="A57" s="1" t="s">
        <v>275</v>
      </c>
      <c r="B57" s="1" t="s">
        <v>276</v>
      </c>
      <c r="C57" s="1">
        <f t="shared" si="0"/>
        <v>73.674999999999997</v>
      </c>
      <c r="D57" s="1">
        <f t="shared" si="1"/>
        <v>50.050999999999995</v>
      </c>
      <c r="E57" s="1">
        <v>72</v>
      </c>
      <c r="F57" s="1">
        <f t="shared" si="22"/>
        <v>36</v>
      </c>
      <c r="G57" s="1">
        <f t="shared" si="18"/>
        <v>32.24</v>
      </c>
      <c r="H57" s="1">
        <v>1</v>
      </c>
      <c r="I57" s="1" t="s">
        <v>157</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4">
        <f t="shared" si="11"/>
        <v>0.65</v>
      </c>
      <c r="X57" t="s">
        <v>174</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3">
      <c r="A58" s="1" t="s">
        <v>277</v>
      </c>
      <c r="B58" s="1" t="s">
        <v>278</v>
      </c>
      <c r="C58" s="1">
        <f t="shared" si="0"/>
        <v>25.675000000000001</v>
      </c>
      <c r="D58" s="1">
        <f t="shared" si="1"/>
        <v>62.050999999999995</v>
      </c>
      <c r="E58" s="1">
        <v>24</v>
      </c>
      <c r="F58" s="1">
        <v>48</v>
      </c>
      <c r="G58" s="1">
        <f t="shared" si="18"/>
        <v>44.24</v>
      </c>
      <c r="H58" s="1">
        <v>1</v>
      </c>
      <c r="I58" s="1" t="s">
        <v>157</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4">
        <f t="shared" si="11"/>
        <v>0.65</v>
      </c>
      <c r="X58" t="s">
        <v>174</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3">
      <c r="A59" s="1" t="s">
        <v>279</v>
      </c>
      <c r="B59" s="1" t="s">
        <v>280</v>
      </c>
      <c r="C59" s="1">
        <f t="shared" si="0"/>
        <v>37.674999999999997</v>
      </c>
      <c r="D59" s="1">
        <f t="shared" si="1"/>
        <v>62.050999999999995</v>
      </c>
      <c r="E59" s="1">
        <v>36</v>
      </c>
      <c r="F59" s="1">
        <f t="shared" si="22"/>
        <v>48</v>
      </c>
      <c r="G59" s="1">
        <f t="shared" si="18"/>
        <v>44.24</v>
      </c>
      <c r="H59" s="1">
        <v>1</v>
      </c>
      <c r="I59" s="1" t="s">
        <v>157</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4">
        <f t="shared" si="11"/>
        <v>0.65</v>
      </c>
      <c r="X59" t="s">
        <v>174</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3">
      <c r="A60" s="1" t="s">
        <v>281</v>
      </c>
      <c r="B60" s="1" t="s">
        <v>282</v>
      </c>
      <c r="C60" s="1">
        <f t="shared" si="0"/>
        <v>49.674999999999997</v>
      </c>
      <c r="D60" s="1">
        <f t="shared" si="1"/>
        <v>62.050999999999995</v>
      </c>
      <c r="E60" s="1">
        <v>48</v>
      </c>
      <c r="F60" s="1">
        <f t="shared" si="22"/>
        <v>48</v>
      </c>
      <c r="G60" s="1">
        <f t="shared" si="18"/>
        <v>44.24</v>
      </c>
      <c r="H60" s="1">
        <v>1</v>
      </c>
      <c r="I60" s="1" t="s">
        <v>157</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4">
        <f t="shared" si="11"/>
        <v>0.65</v>
      </c>
      <c r="X60" t="s">
        <v>174</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3">
      <c r="A61" s="1" t="s">
        <v>283</v>
      </c>
      <c r="B61" s="1" t="s">
        <v>284</v>
      </c>
      <c r="C61" s="1">
        <f t="shared" si="0"/>
        <v>73.674999999999997</v>
      </c>
      <c r="D61" s="1">
        <f t="shared" si="1"/>
        <v>62.050999999999995</v>
      </c>
      <c r="E61" s="1">
        <v>72</v>
      </c>
      <c r="F61" s="1">
        <f t="shared" si="22"/>
        <v>48</v>
      </c>
      <c r="G61" s="1">
        <f t="shared" si="18"/>
        <v>44.24</v>
      </c>
      <c r="H61" s="1">
        <v>1</v>
      </c>
      <c r="I61" s="1" t="s">
        <v>157</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4">
        <f t="shared" si="11"/>
        <v>0.65</v>
      </c>
      <c r="X61" t="s">
        <v>174</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3">
      <c r="A62" s="1" t="s">
        <v>285</v>
      </c>
      <c r="B62" s="1" t="s">
        <v>286</v>
      </c>
      <c r="C62" s="1">
        <f t="shared" si="0"/>
        <v>25.675000000000001</v>
      </c>
      <c r="D62" s="1">
        <f t="shared" si="1"/>
        <v>74.051000000000002</v>
      </c>
      <c r="E62" s="1">
        <v>24</v>
      </c>
      <c r="F62" s="1">
        <v>60</v>
      </c>
      <c r="G62" s="1">
        <f t="shared" si="18"/>
        <v>56.24</v>
      </c>
      <c r="H62" s="1">
        <v>1</v>
      </c>
      <c r="I62" s="1" t="s">
        <v>157</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4">
        <f t="shared" si="11"/>
        <v>0.65</v>
      </c>
      <c r="X62" t="s">
        <v>174</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3">
      <c r="A63" s="1" t="s">
        <v>287</v>
      </c>
      <c r="B63" s="1" t="s">
        <v>288</v>
      </c>
      <c r="C63" s="1">
        <f t="shared" si="0"/>
        <v>37.674999999999997</v>
      </c>
      <c r="D63" s="1">
        <f t="shared" si="1"/>
        <v>74.051000000000002</v>
      </c>
      <c r="E63" s="1">
        <v>36</v>
      </c>
      <c r="F63" s="1">
        <v>60</v>
      </c>
      <c r="G63" s="1">
        <f t="shared" si="18"/>
        <v>56.24</v>
      </c>
      <c r="H63" s="1">
        <v>1</v>
      </c>
      <c r="I63" s="1" t="s">
        <v>157</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4">
        <f t="shared" si="11"/>
        <v>0.65</v>
      </c>
      <c r="X63" t="s">
        <v>174</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3">
      <c r="A64" s="1" t="s">
        <v>289</v>
      </c>
      <c r="B64" s="1" t="s">
        <v>290</v>
      </c>
      <c r="C64" s="1">
        <f t="shared" si="0"/>
        <v>49.674999999999997</v>
      </c>
      <c r="D64" s="1">
        <f t="shared" si="1"/>
        <v>74.051000000000002</v>
      </c>
      <c r="E64" s="1">
        <v>48</v>
      </c>
      <c r="F64" s="1">
        <v>60</v>
      </c>
      <c r="G64" s="1">
        <f t="shared" si="18"/>
        <v>56.24</v>
      </c>
      <c r="H64" s="1">
        <v>1</v>
      </c>
      <c r="I64" s="1" t="s">
        <v>157</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4">
        <f t="shared" si="11"/>
        <v>0.65</v>
      </c>
      <c r="X64" t="s">
        <v>174</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3">
      <c r="A65" s="1" t="s">
        <v>291</v>
      </c>
      <c r="B65" s="1" t="s">
        <v>292</v>
      </c>
      <c r="C65" s="1">
        <f t="shared" si="0"/>
        <v>73.674999999999997</v>
      </c>
      <c r="D65" s="1">
        <f t="shared" si="1"/>
        <v>74.051000000000002</v>
      </c>
      <c r="E65" s="1">
        <v>72</v>
      </c>
      <c r="F65" s="1">
        <v>60</v>
      </c>
      <c r="G65" s="1">
        <f t="shared" si="18"/>
        <v>56.24</v>
      </c>
      <c r="H65" s="1">
        <v>1</v>
      </c>
      <c r="I65" s="1" t="s">
        <v>157</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4">
        <f t="shared" si="11"/>
        <v>0.65</v>
      </c>
      <c r="X65" t="s">
        <v>174</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3">
      <c r="A66" s="1" t="s">
        <v>293</v>
      </c>
      <c r="B66" s="1" t="s">
        <v>294</v>
      </c>
      <c r="C66" s="1">
        <f t="shared" ref="C66:C129" si="23">E66+1.675</f>
        <v>25.675000000000001</v>
      </c>
      <c r="D66" s="1">
        <f t="shared" ref="D66:D129" si="24">F66+1.675+12.376</f>
        <v>86.051000000000002</v>
      </c>
      <c r="E66" s="1">
        <v>24</v>
      </c>
      <c r="F66" s="1">
        <v>72</v>
      </c>
      <c r="G66" s="1">
        <f t="shared" si="18"/>
        <v>68.239999999999995</v>
      </c>
      <c r="H66" s="1">
        <v>1</v>
      </c>
      <c r="I66" s="1" t="s">
        <v>157</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4">
        <f t="shared" si="11"/>
        <v>0.65</v>
      </c>
      <c r="X66" t="s">
        <v>174</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3">
      <c r="A67" s="1" t="s">
        <v>295</v>
      </c>
      <c r="B67" s="1" t="s">
        <v>296</v>
      </c>
      <c r="C67" s="1">
        <f t="shared" si="23"/>
        <v>37.674999999999997</v>
      </c>
      <c r="D67" s="1">
        <f t="shared" si="24"/>
        <v>86.051000000000002</v>
      </c>
      <c r="E67" s="1">
        <v>36</v>
      </c>
      <c r="F67" s="1">
        <v>72</v>
      </c>
      <c r="G67" s="1">
        <f t="shared" si="18"/>
        <v>68.239999999999995</v>
      </c>
      <c r="H67" s="1">
        <v>1</v>
      </c>
      <c r="I67" s="1" t="s">
        <v>157</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4">
        <f t="shared" si="11"/>
        <v>0.65</v>
      </c>
      <c r="X67" t="s">
        <v>174</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3">
      <c r="A68" s="1" t="s">
        <v>297</v>
      </c>
      <c r="B68" s="1" t="s">
        <v>298</v>
      </c>
      <c r="C68" s="1">
        <f t="shared" si="23"/>
        <v>49.674999999999997</v>
      </c>
      <c r="D68" s="1">
        <f t="shared" si="24"/>
        <v>86.051000000000002</v>
      </c>
      <c r="E68" s="1">
        <v>48</v>
      </c>
      <c r="F68" s="1">
        <v>72</v>
      </c>
      <c r="G68" s="1">
        <f t="shared" si="18"/>
        <v>68.239999999999995</v>
      </c>
      <c r="H68" s="1">
        <v>1</v>
      </c>
      <c r="I68" s="1" t="s">
        <v>157</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4">
        <f t="shared" ref="W68:W131" si="30">W67</f>
        <v>0.65</v>
      </c>
      <c r="X68" t="s">
        <v>174</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3">
      <c r="A69" s="1" t="s">
        <v>299</v>
      </c>
      <c r="B69" s="1" t="s">
        <v>300</v>
      </c>
      <c r="C69" s="1">
        <f t="shared" si="23"/>
        <v>73.674999999999997</v>
      </c>
      <c r="D69" s="1">
        <f t="shared" si="24"/>
        <v>86.051000000000002</v>
      </c>
      <c r="E69" s="1">
        <v>72</v>
      </c>
      <c r="F69" s="1">
        <v>72</v>
      </c>
      <c r="G69" s="1">
        <f t="shared" si="18"/>
        <v>68.239999999999995</v>
      </c>
      <c r="H69" s="1">
        <v>1</v>
      </c>
      <c r="I69" s="1" t="s">
        <v>157</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4">
        <f t="shared" si="30"/>
        <v>0.65</v>
      </c>
      <c r="X69" t="s">
        <v>174</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3">
      <c r="A70" s="1" t="s">
        <v>301</v>
      </c>
      <c r="B70" s="1" t="s">
        <v>302</v>
      </c>
      <c r="C70" s="1">
        <f t="shared" si="23"/>
        <v>25.675000000000001</v>
      </c>
      <c r="D70" s="1">
        <f t="shared" si="24"/>
        <v>98.051000000000002</v>
      </c>
      <c r="E70" s="1">
        <v>24</v>
      </c>
      <c r="F70" s="1">
        <v>84</v>
      </c>
      <c r="G70" s="1">
        <f t="shared" si="18"/>
        <v>80.239999999999995</v>
      </c>
      <c r="H70" s="1">
        <v>1</v>
      </c>
      <c r="I70" s="1" t="s">
        <v>157</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4">
        <f t="shared" si="30"/>
        <v>0.65</v>
      </c>
      <c r="X70" t="s">
        <v>174</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3">
      <c r="A71" s="1" t="s">
        <v>303</v>
      </c>
      <c r="B71" s="1" t="s">
        <v>304</v>
      </c>
      <c r="C71" s="1">
        <f t="shared" si="23"/>
        <v>37.674999999999997</v>
      </c>
      <c r="D71" s="1">
        <f t="shared" si="24"/>
        <v>98.051000000000002</v>
      </c>
      <c r="E71" s="1">
        <v>36</v>
      </c>
      <c r="F71" s="1">
        <v>84</v>
      </c>
      <c r="G71" s="1">
        <f t="shared" si="18"/>
        <v>80.239999999999995</v>
      </c>
      <c r="H71" s="1">
        <v>1</v>
      </c>
      <c r="I71" s="1" t="s">
        <v>157</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4">
        <f t="shared" si="30"/>
        <v>0.65</v>
      </c>
      <c r="X71" t="s">
        <v>174</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3">
      <c r="A72" s="1" t="s">
        <v>305</v>
      </c>
      <c r="B72" s="1" t="s">
        <v>306</v>
      </c>
      <c r="C72" s="1">
        <f t="shared" si="23"/>
        <v>49.674999999999997</v>
      </c>
      <c r="D72" s="1">
        <f t="shared" si="24"/>
        <v>98.051000000000002</v>
      </c>
      <c r="E72" s="1">
        <v>48</v>
      </c>
      <c r="F72" s="1">
        <v>84</v>
      </c>
      <c r="G72" s="1">
        <f t="shared" si="18"/>
        <v>80.239999999999995</v>
      </c>
      <c r="H72" s="1">
        <v>1</v>
      </c>
      <c r="I72" s="1" t="s">
        <v>157</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4">
        <f t="shared" si="30"/>
        <v>0.65</v>
      </c>
      <c r="X72" t="s">
        <v>174</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3">
      <c r="A73" s="1" t="s">
        <v>307</v>
      </c>
      <c r="B73" s="1" t="s">
        <v>308</v>
      </c>
      <c r="C73" s="1">
        <f t="shared" si="23"/>
        <v>73.674999999999997</v>
      </c>
      <c r="D73" s="1">
        <f t="shared" si="24"/>
        <v>98.051000000000002</v>
      </c>
      <c r="E73" s="1">
        <v>72</v>
      </c>
      <c r="F73" s="1">
        <v>84</v>
      </c>
      <c r="G73" s="1">
        <f t="shared" si="18"/>
        <v>80.239999999999995</v>
      </c>
      <c r="H73" s="1">
        <v>1</v>
      </c>
      <c r="I73" s="1" t="s">
        <v>157</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4">
        <f t="shared" si="30"/>
        <v>0.65</v>
      </c>
      <c r="X73" t="s">
        <v>174</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3">
      <c r="A74" s="1" t="s">
        <v>309</v>
      </c>
      <c r="B74" s="1" t="s">
        <v>310</v>
      </c>
      <c r="C74" s="1">
        <f t="shared" si="23"/>
        <v>25.675000000000001</v>
      </c>
      <c r="D74" s="1">
        <f t="shared" si="24"/>
        <v>34.051000000000002</v>
      </c>
      <c r="E74" s="1">
        <v>24</v>
      </c>
      <c r="F74" s="1">
        <v>20</v>
      </c>
      <c r="G74" s="1">
        <f>F74-(1.88*2)</f>
        <v>16.240000000000002</v>
      </c>
      <c r="H74" s="1">
        <v>2</v>
      </c>
      <c r="I74" s="1" t="s">
        <v>157</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4">
        <f t="shared" si="30"/>
        <v>0.65</v>
      </c>
      <c r="X74" t="s">
        <v>177</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3">
      <c r="A75" s="1" t="s">
        <v>311</v>
      </c>
      <c r="B75" s="1" t="s">
        <v>312</v>
      </c>
      <c r="C75" s="1">
        <f t="shared" si="23"/>
        <v>37.674999999999997</v>
      </c>
      <c r="D75" s="1">
        <f t="shared" si="24"/>
        <v>34.051000000000002</v>
      </c>
      <c r="E75" s="1">
        <v>36</v>
      </c>
      <c r="F75" s="1">
        <f>F74</f>
        <v>20</v>
      </c>
      <c r="G75" s="1">
        <f t="shared" ref="G75:G97" si="31">F75-(1.88*2)</f>
        <v>16.240000000000002</v>
      </c>
      <c r="H75" s="1">
        <v>2</v>
      </c>
      <c r="I75" s="1" t="s">
        <v>157</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4">
        <f t="shared" si="30"/>
        <v>0.65</v>
      </c>
      <c r="X75" t="s">
        <v>177</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3">
      <c r="A76" s="1" t="s">
        <v>313</v>
      </c>
      <c r="B76" s="1" t="s">
        <v>314</v>
      </c>
      <c r="C76" s="1">
        <f t="shared" si="23"/>
        <v>49.674999999999997</v>
      </c>
      <c r="D76" s="1">
        <f t="shared" si="24"/>
        <v>34.051000000000002</v>
      </c>
      <c r="E76" s="1">
        <v>48</v>
      </c>
      <c r="F76" s="1">
        <f t="shared" ref="F76:F77" si="34">F75</f>
        <v>20</v>
      </c>
      <c r="G76" s="1">
        <f t="shared" si="31"/>
        <v>16.240000000000002</v>
      </c>
      <c r="H76" s="1">
        <v>2</v>
      </c>
      <c r="I76" s="1" t="s">
        <v>157</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4">
        <f t="shared" si="30"/>
        <v>0.65</v>
      </c>
      <c r="X76" t="s">
        <v>177</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3">
      <c r="A77" s="1" t="s">
        <v>315</v>
      </c>
      <c r="B77" s="1" t="s">
        <v>316</v>
      </c>
      <c r="C77" s="1">
        <f t="shared" si="23"/>
        <v>73.674999999999997</v>
      </c>
      <c r="D77" s="1">
        <f t="shared" si="24"/>
        <v>34.051000000000002</v>
      </c>
      <c r="E77" s="1">
        <v>72</v>
      </c>
      <c r="F77" s="1">
        <f t="shared" si="34"/>
        <v>20</v>
      </c>
      <c r="G77" s="1">
        <f t="shared" si="31"/>
        <v>16.240000000000002</v>
      </c>
      <c r="H77" s="1">
        <v>2</v>
      </c>
      <c r="I77" s="1" t="s">
        <v>157</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4">
        <f t="shared" si="30"/>
        <v>0.65</v>
      </c>
      <c r="X77" t="s">
        <v>177</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3">
      <c r="A78" s="1" t="s">
        <v>317</v>
      </c>
      <c r="B78" s="1" t="s">
        <v>318</v>
      </c>
      <c r="C78" s="1">
        <f t="shared" si="23"/>
        <v>25.675000000000001</v>
      </c>
      <c r="D78" s="1">
        <f t="shared" si="24"/>
        <v>50.050999999999995</v>
      </c>
      <c r="E78" s="1">
        <v>24</v>
      </c>
      <c r="F78" s="1">
        <v>36</v>
      </c>
      <c r="G78" s="1">
        <f t="shared" si="31"/>
        <v>32.24</v>
      </c>
      <c r="H78" s="1">
        <v>2</v>
      </c>
      <c r="I78" s="1" t="s">
        <v>157</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4">
        <f t="shared" si="30"/>
        <v>0.65</v>
      </c>
      <c r="X78" t="s">
        <v>177</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3">
      <c r="A79" s="1" t="s">
        <v>319</v>
      </c>
      <c r="B79" s="1" t="s">
        <v>320</v>
      </c>
      <c r="C79" s="1">
        <f t="shared" si="23"/>
        <v>37.674999999999997</v>
      </c>
      <c r="D79" s="1">
        <f t="shared" si="24"/>
        <v>50.050999999999995</v>
      </c>
      <c r="E79" s="1">
        <v>36</v>
      </c>
      <c r="F79" s="1">
        <f>F78</f>
        <v>36</v>
      </c>
      <c r="G79" s="1">
        <f t="shared" si="31"/>
        <v>32.24</v>
      </c>
      <c r="H79" s="1">
        <v>2</v>
      </c>
      <c r="I79" s="1" t="s">
        <v>157</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4">
        <f t="shared" si="30"/>
        <v>0.65</v>
      </c>
      <c r="X79" t="s">
        <v>177</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3">
      <c r="A80" s="1" t="s">
        <v>321</v>
      </c>
      <c r="B80" s="1" t="s">
        <v>322</v>
      </c>
      <c r="C80" s="1">
        <f t="shared" si="23"/>
        <v>49.674999999999997</v>
      </c>
      <c r="D80" s="1">
        <f t="shared" si="24"/>
        <v>50.050999999999995</v>
      </c>
      <c r="E80" s="1">
        <v>48</v>
      </c>
      <c r="F80" s="1">
        <f t="shared" ref="F80:F85" si="35">F79</f>
        <v>36</v>
      </c>
      <c r="G80" s="1">
        <f t="shared" si="31"/>
        <v>32.24</v>
      </c>
      <c r="H80" s="1">
        <v>2</v>
      </c>
      <c r="I80" s="1" t="s">
        <v>157</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4">
        <f t="shared" si="30"/>
        <v>0.65</v>
      </c>
      <c r="X80" t="s">
        <v>177</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3">
      <c r="A81" s="1" t="s">
        <v>323</v>
      </c>
      <c r="B81" s="1" t="s">
        <v>324</v>
      </c>
      <c r="C81" s="1">
        <f t="shared" si="23"/>
        <v>73.674999999999997</v>
      </c>
      <c r="D81" s="1">
        <f t="shared" si="24"/>
        <v>50.050999999999995</v>
      </c>
      <c r="E81" s="1">
        <v>72</v>
      </c>
      <c r="F81" s="1">
        <f t="shared" si="35"/>
        <v>36</v>
      </c>
      <c r="G81" s="1">
        <f t="shared" si="31"/>
        <v>32.24</v>
      </c>
      <c r="H81" s="1">
        <v>2</v>
      </c>
      <c r="I81" s="1" t="s">
        <v>157</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4">
        <f t="shared" si="30"/>
        <v>0.65</v>
      </c>
      <c r="X81" t="s">
        <v>177</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3">
      <c r="A82" s="1" t="s">
        <v>325</v>
      </c>
      <c r="B82" s="1" t="s">
        <v>326</v>
      </c>
      <c r="C82" s="1">
        <f t="shared" si="23"/>
        <v>25.675000000000001</v>
      </c>
      <c r="D82" s="1">
        <f t="shared" si="24"/>
        <v>62.050999999999995</v>
      </c>
      <c r="E82" s="1">
        <v>24</v>
      </c>
      <c r="F82" s="1">
        <v>48</v>
      </c>
      <c r="G82" s="1">
        <f t="shared" si="31"/>
        <v>44.24</v>
      </c>
      <c r="H82" s="1">
        <v>2</v>
      </c>
      <c r="I82" s="1" t="s">
        <v>157</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4">
        <f t="shared" si="30"/>
        <v>0.65</v>
      </c>
      <c r="X82" t="s">
        <v>177</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3">
      <c r="A83" s="1" t="s">
        <v>327</v>
      </c>
      <c r="B83" s="1" t="s">
        <v>328</v>
      </c>
      <c r="C83" s="1">
        <f t="shared" si="23"/>
        <v>37.674999999999997</v>
      </c>
      <c r="D83" s="1">
        <f t="shared" si="24"/>
        <v>62.050999999999995</v>
      </c>
      <c r="E83" s="1">
        <v>36</v>
      </c>
      <c r="F83" s="1">
        <f t="shared" si="35"/>
        <v>48</v>
      </c>
      <c r="G83" s="1">
        <f t="shared" si="31"/>
        <v>44.24</v>
      </c>
      <c r="H83" s="1">
        <v>2</v>
      </c>
      <c r="I83" s="1" t="s">
        <v>157</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4">
        <f t="shared" si="30"/>
        <v>0.65</v>
      </c>
      <c r="X83" t="s">
        <v>177</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3">
      <c r="A84" s="1" t="s">
        <v>329</v>
      </c>
      <c r="B84" s="1" t="s">
        <v>330</v>
      </c>
      <c r="C84" s="1">
        <f t="shared" si="23"/>
        <v>49.674999999999997</v>
      </c>
      <c r="D84" s="1">
        <f t="shared" si="24"/>
        <v>62.050999999999995</v>
      </c>
      <c r="E84" s="1">
        <v>48</v>
      </c>
      <c r="F84" s="1">
        <f t="shared" si="35"/>
        <v>48</v>
      </c>
      <c r="G84" s="1">
        <f t="shared" si="31"/>
        <v>44.24</v>
      </c>
      <c r="H84" s="1">
        <v>2</v>
      </c>
      <c r="I84" s="1" t="s">
        <v>157</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4">
        <f t="shared" si="30"/>
        <v>0.65</v>
      </c>
      <c r="X84" t="s">
        <v>177</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3">
      <c r="A85" s="1" t="s">
        <v>331</v>
      </c>
      <c r="B85" s="1" t="s">
        <v>332</v>
      </c>
      <c r="C85" s="1">
        <f t="shared" si="23"/>
        <v>73.674999999999997</v>
      </c>
      <c r="D85" s="1">
        <f t="shared" si="24"/>
        <v>62.050999999999995</v>
      </c>
      <c r="E85" s="1">
        <v>72</v>
      </c>
      <c r="F85" s="1">
        <f t="shared" si="35"/>
        <v>48</v>
      </c>
      <c r="G85" s="1">
        <f t="shared" si="31"/>
        <v>44.24</v>
      </c>
      <c r="H85" s="1">
        <v>2</v>
      </c>
      <c r="I85" s="1" t="s">
        <v>157</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4">
        <f t="shared" si="30"/>
        <v>0.65</v>
      </c>
      <c r="X85" t="s">
        <v>177</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3">
      <c r="A86" s="1" t="s">
        <v>333</v>
      </c>
      <c r="B86" s="1" t="s">
        <v>334</v>
      </c>
      <c r="C86" s="1">
        <f t="shared" si="23"/>
        <v>25.675000000000001</v>
      </c>
      <c r="D86" s="1">
        <f t="shared" si="24"/>
        <v>74.051000000000002</v>
      </c>
      <c r="E86" s="1">
        <v>24</v>
      </c>
      <c r="F86" s="1">
        <v>60</v>
      </c>
      <c r="G86" s="1">
        <f t="shared" si="31"/>
        <v>56.24</v>
      </c>
      <c r="H86" s="1">
        <v>2</v>
      </c>
      <c r="I86" s="1" t="s">
        <v>157</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4">
        <f t="shared" si="30"/>
        <v>0.65</v>
      </c>
      <c r="X86" t="s">
        <v>177</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3">
      <c r="A87" s="1" t="s">
        <v>335</v>
      </c>
      <c r="B87" s="1" t="s">
        <v>336</v>
      </c>
      <c r="C87" s="1">
        <f t="shared" si="23"/>
        <v>37.674999999999997</v>
      </c>
      <c r="D87" s="1">
        <f t="shared" si="24"/>
        <v>74.051000000000002</v>
      </c>
      <c r="E87" s="1">
        <v>36</v>
      </c>
      <c r="F87" s="1">
        <v>60</v>
      </c>
      <c r="G87" s="1">
        <f t="shared" si="31"/>
        <v>56.24</v>
      </c>
      <c r="H87" s="1">
        <v>2</v>
      </c>
      <c r="I87" s="1" t="s">
        <v>157</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4">
        <f t="shared" si="30"/>
        <v>0.65</v>
      </c>
      <c r="X87" t="s">
        <v>177</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3">
      <c r="A88" s="1" t="s">
        <v>337</v>
      </c>
      <c r="B88" s="1" t="s">
        <v>338</v>
      </c>
      <c r="C88" s="1">
        <f t="shared" si="23"/>
        <v>49.674999999999997</v>
      </c>
      <c r="D88" s="1">
        <f t="shared" si="24"/>
        <v>74.051000000000002</v>
      </c>
      <c r="E88" s="1">
        <v>48</v>
      </c>
      <c r="F88" s="1">
        <v>60</v>
      </c>
      <c r="G88" s="1">
        <f t="shared" si="31"/>
        <v>56.24</v>
      </c>
      <c r="H88" s="1">
        <v>2</v>
      </c>
      <c r="I88" s="1" t="s">
        <v>157</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4">
        <f t="shared" si="30"/>
        <v>0.65</v>
      </c>
      <c r="X88" t="s">
        <v>177</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3">
      <c r="A89" s="1" t="s">
        <v>339</v>
      </c>
      <c r="B89" s="1" t="s">
        <v>340</v>
      </c>
      <c r="C89" s="1">
        <f t="shared" si="23"/>
        <v>73.674999999999997</v>
      </c>
      <c r="D89" s="1">
        <f t="shared" si="24"/>
        <v>74.051000000000002</v>
      </c>
      <c r="E89" s="1">
        <v>72</v>
      </c>
      <c r="F89" s="1">
        <v>60</v>
      </c>
      <c r="G89" s="1">
        <f t="shared" si="31"/>
        <v>56.24</v>
      </c>
      <c r="H89" s="1">
        <v>2</v>
      </c>
      <c r="I89" s="1" t="s">
        <v>157</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4">
        <f t="shared" si="30"/>
        <v>0.65</v>
      </c>
      <c r="X89" t="s">
        <v>177</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3">
      <c r="A90" s="1" t="s">
        <v>341</v>
      </c>
      <c r="B90" s="1" t="s">
        <v>342</v>
      </c>
      <c r="C90" s="1">
        <f t="shared" si="23"/>
        <v>25.675000000000001</v>
      </c>
      <c r="D90" s="1">
        <f t="shared" si="24"/>
        <v>86.051000000000002</v>
      </c>
      <c r="E90" s="1">
        <v>24</v>
      </c>
      <c r="F90" s="1">
        <v>72</v>
      </c>
      <c r="G90" s="1">
        <f t="shared" si="31"/>
        <v>68.239999999999995</v>
      </c>
      <c r="H90" s="1">
        <v>2</v>
      </c>
      <c r="I90" s="1" t="s">
        <v>157</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4">
        <f t="shared" si="30"/>
        <v>0.65</v>
      </c>
      <c r="X90" t="s">
        <v>177</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3">
      <c r="A91" s="1" t="s">
        <v>343</v>
      </c>
      <c r="B91" s="1" t="s">
        <v>344</v>
      </c>
      <c r="C91" s="1">
        <f t="shared" si="23"/>
        <v>37.674999999999997</v>
      </c>
      <c r="D91" s="1">
        <f t="shared" si="24"/>
        <v>86.051000000000002</v>
      </c>
      <c r="E91" s="1">
        <v>36</v>
      </c>
      <c r="F91" s="1">
        <v>72</v>
      </c>
      <c r="G91" s="1">
        <f t="shared" si="31"/>
        <v>68.239999999999995</v>
      </c>
      <c r="H91" s="1">
        <v>2</v>
      </c>
      <c r="I91" s="1" t="s">
        <v>157</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4">
        <f t="shared" si="30"/>
        <v>0.65</v>
      </c>
      <c r="X91" t="s">
        <v>177</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3">
      <c r="A92" s="1" t="s">
        <v>345</v>
      </c>
      <c r="B92" s="1" t="s">
        <v>346</v>
      </c>
      <c r="C92" s="1">
        <f t="shared" si="23"/>
        <v>49.674999999999997</v>
      </c>
      <c r="D92" s="1">
        <f t="shared" si="24"/>
        <v>86.051000000000002</v>
      </c>
      <c r="E92" s="1">
        <v>48</v>
      </c>
      <c r="F92" s="1">
        <v>72</v>
      </c>
      <c r="G92" s="1">
        <f t="shared" si="31"/>
        <v>68.239999999999995</v>
      </c>
      <c r="H92" s="1">
        <v>2</v>
      </c>
      <c r="I92" s="1" t="s">
        <v>157</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4">
        <f t="shared" si="30"/>
        <v>0.65</v>
      </c>
      <c r="X92" t="s">
        <v>177</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3">
      <c r="A93" s="1" t="s">
        <v>347</v>
      </c>
      <c r="B93" s="1" t="s">
        <v>348</v>
      </c>
      <c r="C93" s="1">
        <f t="shared" si="23"/>
        <v>73.674999999999997</v>
      </c>
      <c r="D93" s="1">
        <f t="shared" si="24"/>
        <v>86.051000000000002</v>
      </c>
      <c r="E93" s="1">
        <v>72</v>
      </c>
      <c r="F93" s="1">
        <v>72</v>
      </c>
      <c r="G93" s="1">
        <f t="shared" si="31"/>
        <v>68.239999999999995</v>
      </c>
      <c r="H93" s="1">
        <v>2</v>
      </c>
      <c r="I93" s="1" t="s">
        <v>157</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4">
        <f t="shared" si="30"/>
        <v>0.65</v>
      </c>
      <c r="X93" t="s">
        <v>177</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3">
      <c r="A94" s="1" t="s">
        <v>349</v>
      </c>
      <c r="B94" s="1" t="s">
        <v>350</v>
      </c>
      <c r="C94" s="1">
        <f t="shared" si="23"/>
        <v>25.675000000000001</v>
      </c>
      <c r="D94" s="1">
        <f t="shared" si="24"/>
        <v>98.051000000000002</v>
      </c>
      <c r="E94" s="1">
        <v>24</v>
      </c>
      <c r="F94" s="1">
        <v>84</v>
      </c>
      <c r="G94" s="1">
        <f t="shared" si="31"/>
        <v>80.239999999999995</v>
      </c>
      <c r="H94" s="1">
        <v>2</v>
      </c>
      <c r="I94" s="1" t="s">
        <v>157</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4">
        <f t="shared" si="30"/>
        <v>0.65</v>
      </c>
      <c r="X94" t="s">
        <v>177</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3">
      <c r="A95" s="1" t="s">
        <v>351</v>
      </c>
      <c r="B95" s="1" t="s">
        <v>352</v>
      </c>
      <c r="C95" s="1">
        <f t="shared" si="23"/>
        <v>37.674999999999997</v>
      </c>
      <c r="D95" s="1">
        <f t="shared" si="24"/>
        <v>98.051000000000002</v>
      </c>
      <c r="E95" s="1">
        <v>36</v>
      </c>
      <c r="F95" s="1">
        <v>84</v>
      </c>
      <c r="G95" s="1">
        <f t="shared" si="31"/>
        <v>80.239999999999995</v>
      </c>
      <c r="H95" s="1">
        <v>2</v>
      </c>
      <c r="I95" s="1" t="s">
        <v>157</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4">
        <f t="shared" si="30"/>
        <v>0.65</v>
      </c>
      <c r="X95" t="s">
        <v>177</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3">
      <c r="A96" s="1" t="s">
        <v>353</v>
      </c>
      <c r="B96" s="1" t="s">
        <v>354</v>
      </c>
      <c r="C96" s="1">
        <f t="shared" si="23"/>
        <v>49.674999999999997</v>
      </c>
      <c r="D96" s="1">
        <f t="shared" si="24"/>
        <v>98.051000000000002</v>
      </c>
      <c r="E96" s="1">
        <v>48</v>
      </c>
      <c r="F96" s="1">
        <v>84</v>
      </c>
      <c r="G96" s="1">
        <f t="shared" si="31"/>
        <v>80.239999999999995</v>
      </c>
      <c r="H96" s="1">
        <v>2</v>
      </c>
      <c r="I96" s="1" t="s">
        <v>157</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4">
        <f t="shared" si="30"/>
        <v>0.65</v>
      </c>
      <c r="X96" t="s">
        <v>177</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3">
      <c r="A97" s="1" t="s">
        <v>355</v>
      </c>
      <c r="B97" s="1" t="s">
        <v>356</v>
      </c>
      <c r="C97" s="1">
        <f t="shared" si="23"/>
        <v>73.674999999999997</v>
      </c>
      <c r="D97" s="1">
        <f t="shared" si="24"/>
        <v>98.051000000000002</v>
      </c>
      <c r="E97" s="1">
        <v>72</v>
      </c>
      <c r="F97" s="1">
        <v>84</v>
      </c>
      <c r="G97" s="1">
        <f t="shared" si="31"/>
        <v>80.239999999999995</v>
      </c>
      <c r="H97" s="1">
        <v>2</v>
      </c>
      <c r="I97" s="1" t="s">
        <v>157</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4">
        <f t="shared" si="30"/>
        <v>0.65</v>
      </c>
      <c r="X97" t="s">
        <v>177</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3">
      <c r="A98" s="1" t="s">
        <v>357</v>
      </c>
      <c r="B98" t="s">
        <v>358</v>
      </c>
      <c r="C98">
        <f t="shared" si="23"/>
        <v>25.675000000000001</v>
      </c>
      <c r="D98">
        <f t="shared" si="24"/>
        <v>34.051000000000002</v>
      </c>
      <c r="E98">
        <v>24</v>
      </c>
      <c r="F98">
        <v>20</v>
      </c>
      <c r="G98">
        <f>F98-(1.88*2)</f>
        <v>16.240000000000002</v>
      </c>
      <c r="H98">
        <v>0</v>
      </c>
      <c r="I98" t="s">
        <v>162</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4">
        <f t="shared" si="30"/>
        <v>0.65</v>
      </c>
      <c r="X98" t="s">
        <v>158</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3">
      <c r="A99" s="1" t="s">
        <v>359</v>
      </c>
      <c r="B99" t="s">
        <v>360</v>
      </c>
      <c r="C99">
        <f t="shared" si="23"/>
        <v>37.674999999999997</v>
      </c>
      <c r="D99">
        <f t="shared" si="24"/>
        <v>34.051000000000002</v>
      </c>
      <c r="E99">
        <v>36</v>
      </c>
      <c r="F99">
        <f>F98</f>
        <v>20</v>
      </c>
      <c r="G99">
        <f t="shared" ref="G99:G121" si="36">F99-(1.88*2)</f>
        <v>16.240000000000002</v>
      </c>
      <c r="H99">
        <v>0</v>
      </c>
      <c r="I99" t="s">
        <v>162</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4">
        <f t="shared" si="30"/>
        <v>0.65</v>
      </c>
      <c r="X99" t="s">
        <v>158</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3">
      <c r="A100" s="1" t="s">
        <v>361</v>
      </c>
      <c r="B100" t="s">
        <v>362</v>
      </c>
      <c r="C100">
        <f t="shared" si="23"/>
        <v>49.674999999999997</v>
      </c>
      <c r="D100">
        <f t="shared" si="24"/>
        <v>34.051000000000002</v>
      </c>
      <c r="E100">
        <v>48</v>
      </c>
      <c r="F100">
        <f t="shared" ref="F100:F101" si="40">F99</f>
        <v>20</v>
      </c>
      <c r="G100">
        <f t="shared" si="36"/>
        <v>16.240000000000002</v>
      </c>
      <c r="H100">
        <v>0</v>
      </c>
      <c r="I100" t="s">
        <v>162</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4">
        <f t="shared" si="30"/>
        <v>0.65</v>
      </c>
      <c r="X100" t="s">
        <v>158</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3">
      <c r="A101" s="1" t="s">
        <v>363</v>
      </c>
      <c r="B101" t="s">
        <v>364</v>
      </c>
      <c r="C101">
        <f t="shared" si="23"/>
        <v>73.674999999999997</v>
      </c>
      <c r="D101">
        <f t="shared" si="24"/>
        <v>34.051000000000002</v>
      </c>
      <c r="E101">
        <v>72</v>
      </c>
      <c r="F101">
        <f t="shared" si="40"/>
        <v>20</v>
      </c>
      <c r="G101">
        <f t="shared" si="36"/>
        <v>16.240000000000002</v>
      </c>
      <c r="H101">
        <v>0</v>
      </c>
      <c r="I101" t="s">
        <v>162</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4">
        <f t="shared" si="30"/>
        <v>0.65</v>
      </c>
      <c r="X101" t="s">
        <v>158</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3">
      <c r="A102" s="1" t="s">
        <v>365</v>
      </c>
      <c r="B102" t="s">
        <v>366</v>
      </c>
      <c r="C102">
        <f t="shared" si="23"/>
        <v>25.675000000000001</v>
      </c>
      <c r="D102">
        <f t="shared" si="24"/>
        <v>50.050999999999995</v>
      </c>
      <c r="E102">
        <v>24</v>
      </c>
      <c r="F102">
        <v>36</v>
      </c>
      <c r="G102">
        <f t="shared" si="36"/>
        <v>32.24</v>
      </c>
      <c r="H102">
        <v>0</v>
      </c>
      <c r="I102" t="s">
        <v>162</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4">
        <f t="shared" si="30"/>
        <v>0.65</v>
      </c>
      <c r="X102" t="s">
        <v>158</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3">
      <c r="A103" s="1" t="s">
        <v>367</v>
      </c>
      <c r="B103" t="s">
        <v>368</v>
      </c>
      <c r="C103">
        <f t="shared" si="23"/>
        <v>37.674999999999997</v>
      </c>
      <c r="D103">
        <f t="shared" si="24"/>
        <v>50.050999999999995</v>
      </c>
      <c r="E103">
        <v>36</v>
      </c>
      <c r="F103">
        <f>F102</f>
        <v>36</v>
      </c>
      <c r="G103">
        <f t="shared" si="36"/>
        <v>32.24</v>
      </c>
      <c r="H103">
        <v>0</v>
      </c>
      <c r="I103" t="s">
        <v>162</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4">
        <f t="shared" si="30"/>
        <v>0.65</v>
      </c>
      <c r="X103" t="s">
        <v>158</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3">
      <c r="A104" s="1" t="s">
        <v>369</v>
      </c>
      <c r="B104" t="s">
        <v>370</v>
      </c>
      <c r="C104">
        <f t="shared" si="23"/>
        <v>49.674999999999997</v>
      </c>
      <c r="D104">
        <f t="shared" si="24"/>
        <v>50.050999999999995</v>
      </c>
      <c r="E104">
        <v>48</v>
      </c>
      <c r="F104">
        <f t="shared" ref="F104:F109" si="41">F103</f>
        <v>36</v>
      </c>
      <c r="G104">
        <f t="shared" si="36"/>
        <v>32.24</v>
      </c>
      <c r="H104">
        <v>0</v>
      </c>
      <c r="I104" t="s">
        <v>162</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4">
        <f t="shared" si="30"/>
        <v>0.65</v>
      </c>
      <c r="X104" t="s">
        <v>158</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3">
      <c r="A105" s="1" t="s">
        <v>371</v>
      </c>
      <c r="B105" t="s">
        <v>372</v>
      </c>
      <c r="C105">
        <f t="shared" si="23"/>
        <v>73.674999999999997</v>
      </c>
      <c r="D105">
        <f t="shared" si="24"/>
        <v>50.050999999999995</v>
      </c>
      <c r="E105">
        <v>72</v>
      </c>
      <c r="F105">
        <f t="shared" si="41"/>
        <v>36</v>
      </c>
      <c r="G105">
        <f t="shared" si="36"/>
        <v>32.24</v>
      </c>
      <c r="H105">
        <v>0</v>
      </c>
      <c r="I105" t="s">
        <v>162</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4">
        <f t="shared" si="30"/>
        <v>0.65</v>
      </c>
      <c r="X105" t="s">
        <v>158</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3">
      <c r="A106" s="1" t="s">
        <v>373</v>
      </c>
      <c r="B106" t="s">
        <v>374</v>
      </c>
      <c r="C106">
        <f t="shared" si="23"/>
        <v>25.675000000000001</v>
      </c>
      <c r="D106">
        <f t="shared" si="24"/>
        <v>62.050999999999995</v>
      </c>
      <c r="E106">
        <v>24</v>
      </c>
      <c r="F106">
        <v>48</v>
      </c>
      <c r="G106">
        <f t="shared" si="36"/>
        <v>44.24</v>
      </c>
      <c r="H106">
        <v>0</v>
      </c>
      <c r="I106" t="s">
        <v>162</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4">
        <f t="shared" si="30"/>
        <v>0.65</v>
      </c>
      <c r="X106" t="s">
        <v>158</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3">
      <c r="A107" s="1" t="s">
        <v>375</v>
      </c>
      <c r="B107" t="s">
        <v>376</v>
      </c>
      <c r="C107">
        <f t="shared" si="23"/>
        <v>37.674999999999997</v>
      </c>
      <c r="D107">
        <f t="shared" si="24"/>
        <v>62.050999999999995</v>
      </c>
      <c r="E107">
        <v>36</v>
      </c>
      <c r="F107">
        <f t="shared" si="41"/>
        <v>48</v>
      </c>
      <c r="G107">
        <f t="shared" si="36"/>
        <v>44.24</v>
      </c>
      <c r="H107">
        <v>0</v>
      </c>
      <c r="I107" t="s">
        <v>162</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4">
        <f t="shared" si="30"/>
        <v>0.65</v>
      </c>
      <c r="X107" t="s">
        <v>158</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3">
      <c r="A108" s="1" t="s">
        <v>377</v>
      </c>
      <c r="B108" t="s">
        <v>378</v>
      </c>
      <c r="C108">
        <f t="shared" si="23"/>
        <v>49.674999999999997</v>
      </c>
      <c r="D108">
        <f t="shared" si="24"/>
        <v>62.050999999999995</v>
      </c>
      <c r="E108">
        <v>48</v>
      </c>
      <c r="F108">
        <f t="shared" si="41"/>
        <v>48</v>
      </c>
      <c r="G108">
        <f t="shared" si="36"/>
        <v>44.24</v>
      </c>
      <c r="H108">
        <v>0</v>
      </c>
      <c r="I108" t="s">
        <v>162</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4">
        <f t="shared" si="30"/>
        <v>0.65</v>
      </c>
      <c r="X108" t="s">
        <v>158</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3">
      <c r="A109" s="1" t="s">
        <v>379</v>
      </c>
      <c r="B109" t="s">
        <v>380</v>
      </c>
      <c r="C109">
        <f t="shared" si="23"/>
        <v>73.674999999999997</v>
      </c>
      <c r="D109">
        <f t="shared" si="24"/>
        <v>62.050999999999995</v>
      </c>
      <c r="E109">
        <v>72</v>
      </c>
      <c r="F109">
        <f t="shared" si="41"/>
        <v>48</v>
      </c>
      <c r="G109">
        <f t="shared" si="36"/>
        <v>44.24</v>
      </c>
      <c r="H109">
        <v>0</v>
      </c>
      <c r="I109" t="s">
        <v>162</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4">
        <f t="shared" si="30"/>
        <v>0.65</v>
      </c>
      <c r="X109" t="s">
        <v>158</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3">
      <c r="A110" s="1" t="s">
        <v>381</v>
      </c>
      <c r="B110" t="s">
        <v>382</v>
      </c>
      <c r="C110">
        <f t="shared" si="23"/>
        <v>25.675000000000001</v>
      </c>
      <c r="D110">
        <f t="shared" si="24"/>
        <v>74.051000000000002</v>
      </c>
      <c r="E110">
        <v>24</v>
      </c>
      <c r="F110">
        <v>60</v>
      </c>
      <c r="G110">
        <f t="shared" si="36"/>
        <v>56.24</v>
      </c>
      <c r="H110">
        <v>0</v>
      </c>
      <c r="I110" t="s">
        <v>162</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4">
        <f t="shared" si="30"/>
        <v>0.65</v>
      </c>
      <c r="X110" t="s">
        <v>158</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3">
      <c r="A111" s="1" t="s">
        <v>383</v>
      </c>
      <c r="B111" t="s">
        <v>384</v>
      </c>
      <c r="C111">
        <f t="shared" si="23"/>
        <v>37.674999999999997</v>
      </c>
      <c r="D111">
        <f t="shared" si="24"/>
        <v>74.051000000000002</v>
      </c>
      <c r="E111">
        <v>36</v>
      </c>
      <c r="F111">
        <v>60</v>
      </c>
      <c r="G111">
        <f t="shared" si="36"/>
        <v>56.24</v>
      </c>
      <c r="H111">
        <v>0</v>
      </c>
      <c r="I111" t="s">
        <v>162</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4">
        <f t="shared" si="30"/>
        <v>0.65</v>
      </c>
      <c r="X111" t="s">
        <v>158</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3">
      <c r="A112" s="1" t="s">
        <v>385</v>
      </c>
      <c r="B112" t="s">
        <v>386</v>
      </c>
      <c r="C112">
        <f t="shared" si="23"/>
        <v>49.674999999999997</v>
      </c>
      <c r="D112">
        <f t="shared" si="24"/>
        <v>74.051000000000002</v>
      </c>
      <c r="E112">
        <v>48</v>
      </c>
      <c r="F112">
        <v>60</v>
      </c>
      <c r="G112">
        <f t="shared" si="36"/>
        <v>56.24</v>
      </c>
      <c r="H112">
        <v>0</v>
      </c>
      <c r="I112" t="s">
        <v>162</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4">
        <f t="shared" si="30"/>
        <v>0.65</v>
      </c>
      <c r="X112" t="s">
        <v>158</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3">
      <c r="A113" s="1" t="s">
        <v>387</v>
      </c>
      <c r="B113" t="s">
        <v>388</v>
      </c>
      <c r="C113">
        <f t="shared" si="23"/>
        <v>73.674999999999997</v>
      </c>
      <c r="D113">
        <f t="shared" si="24"/>
        <v>74.051000000000002</v>
      </c>
      <c r="E113">
        <v>72</v>
      </c>
      <c r="F113">
        <v>60</v>
      </c>
      <c r="G113">
        <f t="shared" si="36"/>
        <v>56.24</v>
      </c>
      <c r="H113">
        <v>0</v>
      </c>
      <c r="I113" t="s">
        <v>162</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4">
        <f t="shared" si="30"/>
        <v>0.65</v>
      </c>
      <c r="X113" t="s">
        <v>158</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3">
      <c r="A114" s="1" t="s">
        <v>389</v>
      </c>
      <c r="B114" t="s">
        <v>390</v>
      </c>
      <c r="C114">
        <f t="shared" si="23"/>
        <v>25.675000000000001</v>
      </c>
      <c r="D114">
        <f t="shared" si="24"/>
        <v>86.051000000000002</v>
      </c>
      <c r="E114">
        <v>24</v>
      </c>
      <c r="F114">
        <v>72</v>
      </c>
      <c r="G114">
        <f t="shared" si="36"/>
        <v>68.239999999999995</v>
      </c>
      <c r="H114">
        <v>0</v>
      </c>
      <c r="I114" t="s">
        <v>162</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4">
        <f t="shared" si="30"/>
        <v>0.65</v>
      </c>
      <c r="X114" t="s">
        <v>158</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3">
      <c r="A115" s="1" t="s">
        <v>391</v>
      </c>
      <c r="B115" t="s">
        <v>392</v>
      </c>
      <c r="C115">
        <f t="shared" si="23"/>
        <v>37.674999999999997</v>
      </c>
      <c r="D115">
        <f t="shared" si="24"/>
        <v>86.051000000000002</v>
      </c>
      <c r="E115">
        <v>36</v>
      </c>
      <c r="F115">
        <v>72</v>
      </c>
      <c r="G115">
        <f t="shared" si="36"/>
        <v>68.239999999999995</v>
      </c>
      <c r="H115">
        <v>0</v>
      </c>
      <c r="I115" t="s">
        <v>162</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4">
        <f t="shared" si="30"/>
        <v>0.65</v>
      </c>
      <c r="X115" t="s">
        <v>158</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3">
      <c r="A116" s="1" t="s">
        <v>393</v>
      </c>
      <c r="B116" t="s">
        <v>394</v>
      </c>
      <c r="C116">
        <f t="shared" si="23"/>
        <v>49.674999999999997</v>
      </c>
      <c r="D116">
        <f t="shared" si="24"/>
        <v>86.051000000000002</v>
      </c>
      <c r="E116">
        <v>48</v>
      </c>
      <c r="F116">
        <v>72</v>
      </c>
      <c r="G116">
        <f t="shared" si="36"/>
        <v>68.239999999999995</v>
      </c>
      <c r="H116">
        <v>0</v>
      </c>
      <c r="I116" t="s">
        <v>162</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4">
        <f t="shared" si="30"/>
        <v>0.65</v>
      </c>
      <c r="X116" t="s">
        <v>158</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3">
      <c r="A117" s="1" t="s">
        <v>395</v>
      </c>
      <c r="B117" t="s">
        <v>396</v>
      </c>
      <c r="C117">
        <f t="shared" si="23"/>
        <v>73.674999999999997</v>
      </c>
      <c r="D117">
        <f t="shared" si="24"/>
        <v>86.051000000000002</v>
      </c>
      <c r="E117">
        <v>72</v>
      </c>
      <c r="F117">
        <v>72</v>
      </c>
      <c r="G117">
        <f t="shared" si="36"/>
        <v>68.239999999999995</v>
      </c>
      <c r="H117">
        <v>0</v>
      </c>
      <c r="I117" t="s">
        <v>162</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4">
        <f t="shared" si="30"/>
        <v>0.65</v>
      </c>
      <c r="X117" t="s">
        <v>158</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3">
      <c r="A118" s="1" t="s">
        <v>397</v>
      </c>
      <c r="B118" t="s">
        <v>398</v>
      </c>
      <c r="C118">
        <f t="shared" si="23"/>
        <v>25.675000000000001</v>
      </c>
      <c r="D118">
        <f t="shared" si="24"/>
        <v>98.051000000000002</v>
      </c>
      <c r="E118">
        <v>24</v>
      </c>
      <c r="F118">
        <v>84</v>
      </c>
      <c r="G118">
        <f t="shared" si="36"/>
        <v>80.239999999999995</v>
      </c>
      <c r="H118">
        <v>0</v>
      </c>
      <c r="I118" t="s">
        <v>162</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4">
        <f t="shared" si="30"/>
        <v>0.65</v>
      </c>
      <c r="X118" t="s">
        <v>158</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3">
      <c r="A119" s="1" t="s">
        <v>399</v>
      </c>
      <c r="B119" t="s">
        <v>400</v>
      </c>
      <c r="C119">
        <f t="shared" si="23"/>
        <v>37.674999999999997</v>
      </c>
      <c r="D119">
        <f t="shared" si="24"/>
        <v>98.051000000000002</v>
      </c>
      <c r="E119">
        <v>36</v>
      </c>
      <c r="F119">
        <v>84</v>
      </c>
      <c r="G119">
        <f t="shared" si="36"/>
        <v>80.239999999999995</v>
      </c>
      <c r="H119">
        <v>0</v>
      </c>
      <c r="I119" t="s">
        <v>162</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4">
        <f t="shared" si="30"/>
        <v>0.65</v>
      </c>
      <c r="X119" t="s">
        <v>158</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3">
      <c r="A120" s="1" t="s">
        <v>401</v>
      </c>
      <c r="B120" t="s">
        <v>402</v>
      </c>
      <c r="C120">
        <f t="shared" si="23"/>
        <v>49.674999999999997</v>
      </c>
      <c r="D120">
        <f t="shared" si="24"/>
        <v>98.051000000000002</v>
      </c>
      <c r="E120">
        <v>48</v>
      </c>
      <c r="F120">
        <v>84</v>
      </c>
      <c r="G120">
        <f t="shared" si="36"/>
        <v>80.239999999999995</v>
      </c>
      <c r="H120">
        <v>0</v>
      </c>
      <c r="I120" t="s">
        <v>162</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4">
        <f t="shared" si="30"/>
        <v>0.65</v>
      </c>
      <c r="X120" t="s">
        <v>158</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3">
      <c r="A121" s="1" t="s">
        <v>403</v>
      </c>
      <c r="B121" t="s">
        <v>404</v>
      </c>
      <c r="C121">
        <f t="shared" si="23"/>
        <v>73.674999999999997</v>
      </c>
      <c r="D121">
        <f t="shared" si="24"/>
        <v>98.051000000000002</v>
      </c>
      <c r="E121">
        <v>72</v>
      </c>
      <c r="F121">
        <v>84</v>
      </c>
      <c r="G121">
        <f t="shared" si="36"/>
        <v>80.239999999999995</v>
      </c>
      <c r="H121">
        <v>0</v>
      </c>
      <c r="I121" t="s">
        <v>162</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4">
        <f t="shared" si="30"/>
        <v>0.65</v>
      </c>
      <c r="X121" t="s">
        <v>158</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3">
      <c r="A122" s="1" t="s">
        <v>405</v>
      </c>
      <c r="B122" t="s">
        <v>406</v>
      </c>
      <c r="C122">
        <f t="shared" si="23"/>
        <v>25.675000000000001</v>
      </c>
      <c r="D122">
        <f t="shared" si="24"/>
        <v>34.051000000000002</v>
      </c>
      <c r="E122">
        <v>24</v>
      </c>
      <c r="F122">
        <v>20</v>
      </c>
      <c r="G122">
        <f>F122-(1.88*2)</f>
        <v>16.240000000000002</v>
      </c>
      <c r="H122">
        <v>1</v>
      </c>
      <c r="I122" t="s">
        <v>162</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4">
        <f t="shared" si="30"/>
        <v>0.65</v>
      </c>
      <c r="X122" t="s">
        <v>174</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3">
      <c r="A123" s="1" t="s">
        <v>407</v>
      </c>
      <c r="B123" t="s">
        <v>408</v>
      </c>
      <c r="C123">
        <f t="shared" si="23"/>
        <v>37.674999999999997</v>
      </c>
      <c r="D123">
        <f t="shared" si="24"/>
        <v>34.051000000000002</v>
      </c>
      <c r="E123">
        <v>36</v>
      </c>
      <c r="F123">
        <f>F122</f>
        <v>20</v>
      </c>
      <c r="G123">
        <f t="shared" ref="G123:G145" si="42">F123-(1.88*2)</f>
        <v>16.240000000000002</v>
      </c>
      <c r="H123">
        <v>1</v>
      </c>
      <c r="I123" t="s">
        <v>162</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4">
        <f t="shared" si="30"/>
        <v>0.65</v>
      </c>
      <c r="X123" t="s">
        <v>174</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3">
      <c r="A124" s="1" t="s">
        <v>409</v>
      </c>
      <c r="B124" t="s">
        <v>410</v>
      </c>
      <c r="C124">
        <f t="shared" si="23"/>
        <v>49.674999999999997</v>
      </c>
      <c r="D124">
        <f t="shared" si="24"/>
        <v>34.051000000000002</v>
      </c>
      <c r="E124">
        <v>48</v>
      </c>
      <c r="F124">
        <f t="shared" ref="F124:F125" si="45">F123</f>
        <v>20</v>
      </c>
      <c r="G124">
        <f t="shared" si="42"/>
        <v>16.240000000000002</v>
      </c>
      <c r="H124">
        <v>1</v>
      </c>
      <c r="I124" t="s">
        <v>162</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4">
        <f t="shared" si="30"/>
        <v>0.65</v>
      </c>
      <c r="X124" t="s">
        <v>174</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3">
      <c r="A125" s="1" t="s">
        <v>411</v>
      </c>
      <c r="B125" t="s">
        <v>412</v>
      </c>
      <c r="C125">
        <f t="shared" si="23"/>
        <v>73.674999999999997</v>
      </c>
      <c r="D125">
        <f t="shared" si="24"/>
        <v>34.051000000000002</v>
      </c>
      <c r="E125">
        <v>72</v>
      </c>
      <c r="F125">
        <f t="shared" si="45"/>
        <v>20</v>
      </c>
      <c r="G125">
        <f t="shared" si="42"/>
        <v>16.240000000000002</v>
      </c>
      <c r="H125">
        <v>1</v>
      </c>
      <c r="I125" t="s">
        <v>162</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4">
        <f t="shared" si="30"/>
        <v>0.65</v>
      </c>
      <c r="X125" t="s">
        <v>174</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3">
      <c r="A126" s="1" t="s">
        <v>413</v>
      </c>
      <c r="B126" t="s">
        <v>414</v>
      </c>
      <c r="C126">
        <f t="shared" si="23"/>
        <v>25.675000000000001</v>
      </c>
      <c r="D126">
        <f t="shared" si="24"/>
        <v>50.050999999999995</v>
      </c>
      <c r="E126">
        <v>24</v>
      </c>
      <c r="F126">
        <v>36</v>
      </c>
      <c r="G126">
        <f t="shared" si="42"/>
        <v>32.24</v>
      </c>
      <c r="H126">
        <v>1</v>
      </c>
      <c r="I126" t="s">
        <v>162</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4">
        <f t="shared" si="30"/>
        <v>0.65</v>
      </c>
      <c r="X126" t="s">
        <v>174</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3">
      <c r="A127" s="1" t="s">
        <v>415</v>
      </c>
      <c r="B127" t="s">
        <v>416</v>
      </c>
      <c r="C127">
        <f t="shared" si="23"/>
        <v>37.674999999999997</v>
      </c>
      <c r="D127">
        <f t="shared" si="24"/>
        <v>50.050999999999995</v>
      </c>
      <c r="E127">
        <v>36</v>
      </c>
      <c r="F127">
        <f>F126</f>
        <v>36</v>
      </c>
      <c r="G127">
        <f t="shared" si="42"/>
        <v>32.24</v>
      </c>
      <c r="H127">
        <v>1</v>
      </c>
      <c r="I127" t="s">
        <v>162</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4">
        <f t="shared" si="30"/>
        <v>0.65</v>
      </c>
      <c r="X127" t="s">
        <v>174</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3">
      <c r="A128" s="1" t="s">
        <v>417</v>
      </c>
      <c r="B128" t="s">
        <v>418</v>
      </c>
      <c r="C128">
        <f t="shared" si="23"/>
        <v>49.674999999999997</v>
      </c>
      <c r="D128">
        <f t="shared" si="24"/>
        <v>50.050999999999995</v>
      </c>
      <c r="E128">
        <v>48</v>
      </c>
      <c r="F128">
        <f t="shared" ref="F128:F133" si="46">F127</f>
        <v>36</v>
      </c>
      <c r="G128">
        <f t="shared" si="42"/>
        <v>32.24</v>
      </c>
      <c r="H128">
        <v>1</v>
      </c>
      <c r="I128" t="s">
        <v>162</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4">
        <f t="shared" si="30"/>
        <v>0.65</v>
      </c>
      <c r="X128" t="s">
        <v>174</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3">
      <c r="A129" s="1" t="s">
        <v>419</v>
      </c>
      <c r="B129" t="s">
        <v>420</v>
      </c>
      <c r="C129">
        <f t="shared" si="23"/>
        <v>73.674999999999997</v>
      </c>
      <c r="D129">
        <f t="shared" si="24"/>
        <v>50.050999999999995</v>
      </c>
      <c r="E129">
        <v>72</v>
      </c>
      <c r="F129">
        <f t="shared" si="46"/>
        <v>36</v>
      </c>
      <c r="G129">
        <f t="shared" si="42"/>
        <v>32.24</v>
      </c>
      <c r="H129">
        <v>1</v>
      </c>
      <c r="I129" t="s">
        <v>162</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4">
        <f t="shared" si="30"/>
        <v>0.65</v>
      </c>
      <c r="X129" t="s">
        <v>174</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3">
      <c r="A130" s="1" t="s">
        <v>421</v>
      </c>
      <c r="B130" t="s">
        <v>422</v>
      </c>
      <c r="C130">
        <f t="shared" ref="C130:C193" si="47">E130+1.675</f>
        <v>25.675000000000001</v>
      </c>
      <c r="D130">
        <f t="shared" ref="D130:D193" si="48">F130+1.675+12.376</f>
        <v>62.050999999999995</v>
      </c>
      <c r="E130">
        <v>24</v>
      </c>
      <c r="F130">
        <v>48</v>
      </c>
      <c r="G130">
        <f t="shared" si="42"/>
        <v>44.24</v>
      </c>
      <c r="H130">
        <v>1</v>
      </c>
      <c r="I130" t="s">
        <v>162</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4">
        <f t="shared" si="30"/>
        <v>0.65</v>
      </c>
      <c r="X130" t="s">
        <v>174</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3">
      <c r="A131" s="1" t="s">
        <v>423</v>
      </c>
      <c r="B131" t="s">
        <v>424</v>
      </c>
      <c r="C131">
        <f t="shared" si="47"/>
        <v>37.674999999999997</v>
      </c>
      <c r="D131">
        <f t="shared" si="48"/>
        <v>62.050999999999995</v>
      </c>
      <c r="E131">
        <v>36</v>
      </c>
      <c r="F131">
        <f t="shared" si="46"/>
        <v>48</v>
      </c>
      <c r="G131">
        <f t="shared" si="42"/>
        <v>44.24</v>
      </c>
      <c r="H131">
        <v>1</v>
      </c>
      <c r="I131" t="s">
        <v>162</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4">
        <f t="shared" si="30"/>
        <v>0.65</v>
      </c>
      <c r="X131" t="s">
        <v>174</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3">
      <c r="A132" s="1" t="s">
        <v>425</v>
      </c>
      <c r="B132" t="s">
        <v>426</v>
      </c>
      <c r="C132">
        <f t="shared" si="47"/>
        <v>49.674999999999997</v>
      </c>
      <c r="D132">
        <f t="shared" si="48"/>
        <v>62.050999999999995</v>
      </c>
      <c r="E132">
        <v>48</v>
      </c>
      <c r="F132">
        <f t="shared" si="46"/>
        <v>48</v>
      </c>
      <c r="G132">
        <f t="shared" si="42"/>
        <v>44.24</v>
      </c>
      <c r="H132">
        <v>1</v>
      </c>
      <c r="I132" t="s">
        <v>162</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4">
        <f t="shared" ref="W132:W195" si="53">W131</f>
        <v>0.65</v>
      </c>
      <c r="X132" t="s">
        <v>174</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3">
      <c r="A133" s="1" t="s">
        <v>427</v>
      </c>
      <c r="B133" t="s">
        <v>428</v>
      </c>
      <c r="C133">
        <f t="shared" si="47"/>
        <v>73.674999999999997</v>
      </c>
      <c r="D133">
        <f t="shared" si="48"/>
        <v>62.050999999999995</v>
      </c>
      <c r="E133">
        <v>72</v>
      </c>
      <c r="F133">
        <f t="shared" si="46"/>
        <v>48</v>
      </c>
      <c r="G133">
        <f t="shared" si="42"/>
        <v>44.24</v>
      </c>
      <c r="H133">
        <v>1</v>
      </c>
      <c r="I133" t="s">
        <v>162</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4">
        <f t="shared" si="53"/>
        <v>0.65</v>
      </c>
      <c r="X133" t="s">
        <v>174</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3">
      <c r="A134" s="1" t="s">
        <v>429</v>
      </c>
      <c r="B134" t="s">
        <v>430</v>
      </c>
      <c r="C134">
        <f t="shared" si="47"/>
        <v>25.675000000000001</v>
      </c>
      <c r="D134">
        <f t="shared" si="48"/>
        <v>74.051000000000002</v>
      </c>
      <c r="E134">
        <v>24</v>
      </c>
      <c r="F134">
        <v>60</v>
      </c>
      <c r="G134">
        <f t="shared" si="42"/>
        <v>56.24</v>
      </c>
      <c r="H134">
        <v>1</v>
      </c>
      <c r="I134" t="s">
        <v>162</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4">
        <f t="shared" si="53"/>
        <v>0.65</v>
      </c>
      <c r="X134" t="s">
        <v>174</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3">
      <c r="A135" s="1" t="s">
        <v>431</v>
      </c>
      <c r="B135" t="s">
        <v>432</v>
      </c>
      <c r="C135">
        <f t="shared" si="47"/>
        <v>37.674999999999997</v>
      </c>
      <c r="D135">
        <f t="shared" si="48"/>
        <v>74.051000000000002</v>
      </c>
      <c r="E135">
        <v>36</v>
      </c>
      <c r="F135">
        <v>60</v>
      </c>
      <c r="G135">
        <f t="shared" si="42"/>
        <v>56.24</v>
      </c>
      <c r="H135">
        <v>1</v>
      </c>
      <c r="I135" t="s">
        <v>162</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4">
        <f t="shared" si="53"/>
        <v>0.65</v>
      </c>
      <c r="X135" t="s">
        <v>174</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3">
      <c r="A136" s="1" t="s">
        <v>433</v>
      </c>
      <c r="B136" t="s">
        <v>434</v>
      </c>
      <c r="C136">
        <f t="shared" si="47"/>
        <v>49.674999999999997</v>
      </c>
      <c r="D136">
        <f t="shared" si="48"/>
        <v>74.051000000000002</v>
      </c>
      <c r="E136">
        <v>48</v>
      </c>
      <c r="F136">
        <v>60</v>
      </c>
      <c r="G136">
        <f t="shared" si="42"/>
        <v>56.24</v>
      </c>
      <c r="H136">
        <v>1</v>
      </c>
      <c r="I136" t="s">
        <v>162</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4">
        <f t="shared" si="53"/>
        <v>0.65</v>
      </c>
      <c r="X136" t="s">
        <v>174</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3">
      <c r="A137" s="1" t="s">
        <v>435</v>
      </c>
      <c r="B137" t="s">
        <v>436</v>
      </c>
      <c r="C137">
        <f t="shared" si="47"/>
        <v>73.674999999999997</v>
      </c>
      <c r="D137">
        <f t="shared" si="48"/>
        <v>74.051000000000002</v>
      </c>
      <c r="E137">
        <v>72</v>
      </c>
      <c r="F137">
        <v>60</v>
      </c>
      <c r="G137">
        <f t="shared" si="42"/>
        <v>56.24</v>
      </c>
      <c r="H137">
        <v>1</v>
      </c>
      <c r="I137" t="s">
        <v>162</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4">
        <f t="shared" si="53"/>
        <v>0.65</v>
      </c>
      <c r="X137" t="s">
        <v>174</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3">
      <c r="A138" s="1" t="s">
        <v>437</v>
      </c>
      <c r="B138" t="s">
        <v>438</v>
      </c>
      <c r="C138">
        <f t="shared" si="47"/>
        <v>25.675000000000001</v>
      </c>
      <c r="D138">
        <f t="shared" si="48"/>
        <v>86.051000000000002</v>
      </c>
      <c r="E138">
        <v>24</v>
      </c>
      <c r="F138">
        <v>72</v>
      </c>
      <c r="G138">
        <f t="shared" si="42"/>
        <v>68.239999999999995</v>
      </c>
      <c r="H138">
        <v>1</v>
      </c>
      <c r="I138" t="s">
        <v>162</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4">
        <f t="shared" si="53"/>
        <v>0.65</v>
      </c>
      <c r="X138" t="s">
        <v>174</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3">
      <c r="A139" s="1" t="s">
        <v>439</v>
      </c>
      <c r="B139" t="s">
        <v>440</v>
      </c>
      <c r="C139">
        <f t="shared" si="47"/>
        <v>37.674999999999997</v>
      </c>
      <c r="D139">
        <f t="shared" si="48"/>
        <v>86.051000000000002</v>
      </c>
      <c r="E139">
        <v>36</v>
      </c>
      <c r="F139">
        <v>72</v>
      </c>
      <c r="G139">
        <f t="shared" si="42"/>
        <v>68.239999999999995</v>
      </c>
      <c r="H139">
        <v>1</v>
      </c>
      <c r="I139" t="s">
        <v>162</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4">
        <f t="shared" si="53"/>
        <v>0.65</v>
      </c>
      <c r="X139" t="s">
        <v>174</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3">
      <c r="A140" s="1" t="s">
        <v>441</v>
      </c>
      <c r="B140" t="s">
        <v>442</v>
      </c>
      <c r="C140">
        <f t="shared" si="47"/>
        <v>49.674999999999997</v>
      </c>
      <c r="D140">
        <f t="shared" si="48"/>
        <v>86.051000000000002</v>
      </c>
      <c r="E140">
        <v>48</v>
      </c>
      <c r="F140">
        <v>72</v>
      </c>
      <c r="G140">
        <f t="shared" si="42"/>
        <v>68.239999999999995</v>
      </c>
      <c r="H140">
        <v>1</v>
      </c>
      <c r="I140" t="s">
        <v>162</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4">
        <f t="shared" si="53"/>
        <v>0.65</v>
      </c>
      <c r="X140" t="s">
        <v>174</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3">
      <c r="A141" s="1" t="s">
        <v>443</v>
      </c>
      <c r="B141" t="s">
        <v>444</v>
      </c>
      <c r="C141">
        <f t="shared" si="47"/>
        <v>73.674999999999997</v>
      </c>
      <c r="D141">
        <f t="shared" si="48"/>
        <v>86.051000000000002</v>
      </c>
      <c r="E141">
        <v>72</v>
      </c>
      <c r="F141">
        <v>72</v>
      </c>
      <c r="G141">
        <f t="shared" si="42"/>
        <v>68.239999999999995</v>
      </c>
      <c r="H141">
        <v>1</v>
      </c>
      <c r="I141" t="s">
        <v>162</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4">
        <f t="shared" si="53"/>
        <v>0.65</v>
      </c>
      <c r="X141" t="s">
        <v>174</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3">
      <c r="A142" s="1" t="s">
        <v>445</v>
      </c>
      <c r="B142" t="s">
        <v>446</v>
      </c>
      <c r="C142">
        <f t="shared" si="47"/>
        <v>25.675000000000001</v>
      </c>
      <c r="D142">
        <f t="shared" si="48"/>
        <v>98.051000000000002</v>
      </c>
      <c r="E142">
        <v>24</v>
      </c>
      <c r="F142">
        <v>84</v>
      </c>
      <c r="G142">
        <f t="shared" si="42"/>
        <v>80.239999999999995</v>
      </c>
      <c r="H142">
        <v>1</v>
      </c>
      <c r="I142" t="s">
        <v>162</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4">
        <f t="shared" si="53"/>
        <v>0.65</v>
      </c>
      <c r="X142" t="s">
        <v>174</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3">
      <c r="A143" s="1" t="s">
        <v>447</v>
      </c>
      <c r="B143" t="s">
        <v>448</v>
      </c>
      <c r="C143">
        <f t="shared" si="47"/>
        <v>37.674999999999997</v>
      </c>
      <c r="D143">
        <f t="shared" si="48"/>
        <v>98.051000000000002</v>
      </c>
      <c r="E143">
        <v>36</v>
      </c>
      <c r="F143">
        <v>84</v>
      </c>
      <c r="G143">
        <f t="shared" si="42"/>
        <v>80.239999999999995</v>
      </c>
      <c r="H143">
        <v>1</v>
      </c>
      <c r="I143" t="s">
        <v>162</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4">
        <f t="shared" si="53"/>
        <v>0.65</v>
      </c>
      <c r="X143" t="s">
        <v>174</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3">
      <c r="A144" s="1" t="s">
        <v>449</v>
      </c>
      <c r="B144" t="s">
        <v>450</v>
      </c>
      <c r="C144">
        <f t="shared" si="47"/>
        <v>49.674999999999997</v>
      </c>
      <c r="D144">
        <f t="shared" si="48"/>
        <v>98.051000000000002</v>
      </c>
      <c r="E144">
        <v>48</v>
      </c>
      <c r="F144">
        <v>84</v>
      </c>
      <c r="G144">
        <f t="shared" si="42"/>
        <v>80.239999999999995</v>
      </c>
      <c r="H144">
        <v>1</v>
      </c>
      <c r="I144" t="s">
        <v>162</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4">
        <f t="shared" si="53"/>
        <v>0.65</v>
      </c>
      <c r="X144" t="s">
        <v>174</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3">
      <c r="A145" s="1" t="s">
        <v>451</v>
      </c>
      <c r="B145" t="s">
        <v>452</v>
      </c>
      <c r="C145">
        <f t="shared" si="47"/>
        <v>73.674999999999997</v>
      </c>
      <c r="D145">
        <f t="shared" si="48"/>
        <v>98.051000000000002</v>
      </c>
      <c r="E145">
        <v>72</v>
      </c>
      <c r="F145">
        <v>84</v>
      </c>
      <c r="G145">
        <f t="shared" si="42"/>
        <v>80.239999999999995</v>
      </c>
      <c r="H145">
        <v>1</v>
      </c>
      <c r="I145" t="s">
        <v>162</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4">
        <f t="shared" si="53"/>
        <v>0.65</v>
      </c>
      <c r="X145" t="s">
        <v>174</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3">
      <c r="A146" s="1" t="s">
        <v>453</v>
      </c>
      <c r="B146" t="s">
        <v>454</v>
      </c>
      <c r="C146">
        <f t="shared" si="47"/>
        <v>25.675000000000001</v>
      </c>
      <c r="D146">
        <f t="shared" si="48"/>
        <v>34.051000000000002</v>
      </c>
      <c r="E146">
        <v>24</v>
      </c>
      <c r="F146">
        <v>20</v>
      </c>
      <c r="G146">
        <f>F146-(1.88*2)</f>
        <v>16.240000000000002</v>
      </c>
      <c r="H146">
        <v>2</v>
      </c>
      <c r="I146" t="s">
        <v>162</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4">
        <f t="shared" si="53"/>
        <v>0.65</v>
      </c>
      <c r="X146" t="s">
        <v>177</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3">
      <c r="A147" s="1" t="s">
        <v>455</v>
      </c>
      <c r="B147" t="s">
        <v>456</v>
      </c>
      <c r="C147">
        <f t="shared" si="47"/>
        <v>37.674999999999997</v>
      </c>
      <c r="D147">
        <f t="shared" si="48"/>
        <v>34.051000000000002</v>
      </c>
      <c r="E147">
        <v>36</v>
      </c>
      <c r="F147">
        <f>F146</f>
        <v>20</v>
      </c>
      <c r="G147">
        <f t="shared" ref="G147:G169" si="54">F147-(1.88*2)</f>
        <v>16.240000000000002</v>
      </c>
      <c r="H147">
        <v>2</v>
      </c>
      <c r="I147" t="s">
        <v>162</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4">
        <f t="shared" si="53"/>
        <v>0.65</v>
      </c>
      <c r="X147" t="s">
        <v>177</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3">
      <c r="A148" s="1" t="s">
        <v>457</v>
      </c>
      <c r="B148" t="s">
        <v>458</v>
      </c>
      <c r="C148">
        <f t="shared" si="47"/>
        <v>49.674999999999997</v>
      </c>
      <c r="D148">
        <f t="shared" si="48"/>
        <v>34.051000000000002</v>
      </c>
      <c r="E148">
        <v>48</v>
      </c>
      <c r="F148">
        <f t="shared" ref="F148:F149" si="57">F147</f>
        <v>20</v>
      </c>
      <c r="G148">
        <f t="shared" si="54"/>
        <v>16.240000000000002</v>
      </c>
      <c r="H148">
        <v>2</v>
      </c>
      <c r="I148" t="s">
        <v>162</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4">
        <f t="shared" si="53"/>
        <v>0.65</v>
      </c>
      <c r="X148" t="s">
        <v>177</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3">
      <c r="A149" s="1" t="s">
        <v>459</v>
      </c>
      <c r="B149" t="s">
        <v>460</v>
      </c>
      <c r="C149">
        <f t="shared" si="47"/>
        <v>73.674999999999997</v>
      </c>
      <c r="D149">
        <f t="shared" si="48"/>
        <v>34.051000000000002</v>
      </c>
      <c r="E149">
        <v>72</v>
      </c>
      <c r="F149">
        <f t="shared" si="57"/>
        <v>20</v>
      </c>
      <c r="G149">
        <f t="shared" si="54"/>
        <v>16.240000000000002</v>
      </c>
      <c r="H149">
        <v>2</v>
      </c>
      <c r="I149" t="s">
        <v>162</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4">
        <f t="shared" si="53"/>
        <v>0.65</v>
      </c>
      <c r="X149" t="s">
        <v>177</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3">
      <c r="A150" s="1" t="s">
        <v>461</v>
      </c>
      <c r="B150" t="s">
        <v>462</v>
      </c>
      <c r="C150">
        <f t="shared" si="47"/>
        <v>25.675000000000001</v>
      </c>
      <c r="D150">
        <f t="shared" si="48"/>
        <v>50.050999999999995</v>
      </c>
      <c r="E150">
        <v>24</v>
      </c>
      <c r="F150">
        <v>36</v>
      </c>
      <c r="G150">
        <f t="shared" si="54"/>
        <v>32.24</v>
      </c>
      <c r="H150">
        <v>2</v>
      </c>
      <c r="I150" t="s">
        <v>162</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4">
        <f t="shared" si="53"/>
        <v>0.65</v>
      </c>
      <c r="X150" t="s">
        <v>177</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3">
      <c r="A151" s="1" t="s">
        <v>463</v>
      </c>
      <c r="B151" t="s">
        <v>464</v>
      </c>
      <c r="C151">
        <f t="shared" si="47"/>
        <v>37.674999999999997</v>
      </c>
      <c r="D151">
        <f t="shared" si="48"/>
        <v>50.050999999999995</v>
      </c>
      <c r="E151">
        <v>36</v>
      </c>
      <c r="F151">
        <f>F150</f>
        <v>36</v>
      </c>
      <c r="G151">
        <f t="shared" si="54"/>
        <v>32.24</v>
      </c>
      <c r="H151">
        <v>2</v>
      </c>
      <c r="I151" t="s">
        <v>162</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4">
        <f t="shared" si="53"/>
        <v>0.65</v>
      </c>
      <c r="X151" t="s">
        <v>177</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3">
      <c r="A152" s="1" t="s">
        <v>465</v>
      </c>
      <c r="B152" t="s">
        <v>466</v>
      </c>
      <c r="C152">
        <f t="shared" si="47"/>
        <v>49.674999999999997</v>
      </c>
      <c r="D152">
        <f t="shared" si="48"/>
        <v>50.050999999999995</v>
      </c>
      <c r="E152">
        <v>48</v>
      </c>
      <c r="F152">
        <f t="shared" ref="F152:F157" si="58">F151</f>
        <v>36</v>
      </c>
      <c r="G152">
        <f t="shared" si="54"/>
        <v>32.24</v>
      </c>
      <c r="H152">
        <v>2</v>
      </c>
      <c r="I152" t="s">
        <v>162</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4">
        <f t="shared" si="53"/>
        <v>0.65</v>
      </c>
      <c r="X152" t="s">
        <v>177</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3">
      <c r="A153" s="1" t="s">
        <v>467</v>
      </c>
      <c r="B153" t="s">
        <v>468</v>
      </c>
      <c r="C153">
        <f t="shared" si="47"/>
        <v>73.674999999999997</v>
      </c>
      <c r="D153">
        <f t="shared" si="48"/>
        <v>50.050999999999995</v>
      </c>
      <c r="E153">
        <v>72</v>
      </c>
      <c r="F153">
        <f t="shared" si="58"/>
        <v>36</v>
      </c>
      <c r="G153">
        <f t="shared" si="54"/>
        <v>32.24</v>
      </c>
      <c r="H153">
        <v>2</v>
      </c>
      <c r="I153" t="s">
        <v>162</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4">
        <f t="shared" si="53"/>
        <v>0.65</v>
      </c>
      <c r="X153" t="s">
        <v>177</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3">
      <c r="A154" s="1" t="s">
        <v>469</v>
      </c>
      <c r="B154" t="s">
        <v>470</v>
      </c>
      <c r="C154">
        <f t="shared" si="47"/>
        <v>25.675000000000001</v>
      </c>
      <c r="D154">
        <f t="shared" si="48"/>
        <v>62.050999999999995</v>
      </c>
      <c r="E154">
        <v>24</v>
      </c>
      <c r="F154">
        <v>48</v>
      </c>
      <c r="G154">
        <f t="shared" si="54"/>
        <v>44.24</v>
      </c>
      <c r="H154">
        <v>2</v>
      </c>
      <c r="I154" t="s">
        <v>162</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4">
        <f t="shared" si="53"/>
        <v>0.65</v>
      </c>
      <c r="X154" t="s">
        <v>177</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3">
      <c r="A155" s="1" t="s">
        <v>471</v>
      </c>
      <c r="B155" t="s">
        <v>472</v>
      </c>
      <c r="C155">
        <f t="shared" si="47"/>
        <v>37.674999999999997</v>
      </c>
      <c r="D155">
        <f t="shared" si="48"/>
        <v>62.050999999999995</v>
      </c>
      <c r="E155">
        <v>36</v>
      </c>
      <c r="F155">
        <f t="shared" si="58"/>
        <v>48</v>
      </c>
      <c r="G155">
        <f t="shared" si="54"/>
        <v>44.24</v>
      </c>
      <c r="H155">
        <v>2</v>
      </c>
      <c r="I155" t="s">
        <v>162</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4">
        <f t="shared" si="53"/>
        <v>0.65</v>
      </c>
      <c r="X155" t="s">
        <v>177</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3">
      <c r="A156" s="1" t="s">
        <v>473</v>
      </c>
      <c r="B156" t="s">
        <v>474</v>
      </c>
      <c r="C156">
        <f t="shared" si="47"/>
        <v>49.674999999999997</v>
      </c>
      <c r="D156">
        <f t="shared" si="48"/>
        <v>62.050999999999995</v>
      </c>
      <c r="E156">
        <v>48</v>
      </c>
      <c r="F156">
        <f t="shared" si="58"/>
        <v>48</v>
      </c>
      <c r="G156">
        <f t="shared" si="54"/>
        <v>44.24</v>
      </c>
      <c r="H156">
        <v>2</v>
      </c>
      <c r="I156" t="s">
        <v>162</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4">
        <f t="shared" si="53"/>
        <v>0.65</v>
      </c>
      <c r="X156" t="s">
        <v>177</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3">
      <c r="A157" s="1" t="s">
        <v>475</v>
      </c>
      <c r="B157" t="s">
        <v>476</v>
      </c>
      <c r="C157">
        <f t="shared" si="47"/>
        <v>73.674999999999997</v>
      </c>
      <c r="D157">
        <f t="shared" si="48"/>
        <v>62.050999999999995</v>
      </c>
      <c r="E157">
        <v>72</v>
      </c>
      <c r="F157">
        <f t="shared" si="58"/>
        <v>48</v>
      </c>
      <c r="G157">
        <f t="shared" si="54"/>
        <v>44.24</v>
      </c>
      <c r="H157">
        <v>2</v>
      </c>
      <c r="I157" t="s">
        <v>162</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4">
        <f t="shared" si="53"/>
        <v>0.65</v>
      </c>
      <c r="X157" t="s">
        <v>177</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3">
      <c r="A158" s="1" t="s">
        <v>477</v>
      </c>
      <c r="B158" t="s">
        <v>478</v>
      </c>
      <c r="C158">
        <f t="shared" si="47"/>
        <v>25.675000000000001</v>
      </c>
      <c r="D158">
        <f t="shared" si="48"/>
        <v>74.051000000000002</v>
      </c>
      <c r="E158">
        <v>24</v>
      </c>
      <c r="F158">
        <v>60</v>
      </c>
      <c r="G158">
        <f t="shared" si="54"/>
        <v>56.24</v>
      </c>
      <c r="H158">
        <v>2</v>
      </c>
      <c r="I158" t="s">
        <v>162</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4">
        <f t="shared" si="53"/>
        <v>0.65</v>
      </c>
      <c r="X158" t="s">
        <v>177</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3">
      <c r="A159" s="1" t="s">
        <v>479</v>
      </c>
      <c r="B159" t="s">
        <v>480</v>
      </c>
      <c r="C159">
        <f t="shared" si="47"/>
        <v>37.674999999999997</v>
      </c>
      <c r="D159">
        <f t="shared" si="48"/>
        <v>74.051000000000002</v>
      </c>
      <c r="E159">
        <v>36</v>
      </c>
      <c r="F159">
        <v>60</v>
      </c>
      <c r="G159">
        <f t="shared" si="54"/>
        <v>56.24</v>
      </c>
      <c r="H159">
        <v>2</v>
      </c>
      <c r="I159" t="s">
        <v>162</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4">
        <f t="shared" si="53"/>
        <v>0.65</v>
      </c>
      <c r="X159" t="s">
        <v>177</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3">
      <c r="A160" s="1" t="s">
        <v>481</v>
      </c>
      <c r="B160" t="s">
        <v>482</v>
      </c>
      <c r="C160">
        <f t="shared" si="47"/>
        <v>49.674999999999997</v>
      </c>
      <c r="D160">
        <f t="shared" si="48"/>
        <v>74.051000000000002</v>
      </c>
      <c r="E160">
        <v>48</v>
      </c>
      <c r="F160">
        <v>60</v>
      </c>
      <c r="G160">
        <f t="shared" si="54"/>
        <v>56.24</v>
      </c>
      <c r="H160">
        <v>2</v>
      </c>
      <c r="I160" t="s">
        <v>162</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4">
        <f t="shared" si="53"/>
        <v>0.65</v>
      </c>
      <c r="X160" t="s">
        <v>177</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3">
      <c r="A161" s="1" t="s">
        <v>483</v>
      </c>
      <c r="B161" t="s">
        <v>484</v>
      </c>
      <c r="C161">
        <f t="shared" si="47"/>
        <v>73.674999999999997</v>
      </c>
      <c r="D161">
        <f t="shared" si="48"/>
        <v>74.051000000000002</v>
      </c>
      <c r="E161">
        <v>72</v>
      </c>
      <c r="F161">
        <v>60</v>
      </c>
      <c r="G161">
        <f t="shared" si="54"/>
        <v>56.24</v>
      </c>
      <c r="H161">
        <v>2</v>
      </c>
      <c r="I161" t="s">
        <v>162</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4">
        <f t="shared" si="53"/>
        <v>0.65</v>
      </c>
      <c r="X161" t="s">
        <v>177</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3">
      <c r="A162" s="1" t="s">
        <v>485</v>
      </c>
      <c r="B162" t="s">
        <v>486</v>
      </c>
      <c r="C162">
        <f t="shared" si="47"/>
        <v>25.675000000000001</v>
      </c>
      <c r="D162">
        <f t="shared" si="48"/>
        <v>86.051000000000002</v>
      </c>
      <c r="E162">
        <v>24</v>
      </c>
      <c r="F162">
        <v>72</v>
      </c>
      <c r="G162">
        <f t="shared" si="54"/>
        <v>68.239999999999995</v>
      </c>
      <c r="H162">
        <v>2</v>
      </c>
      <c r="I162" t="s">
        <v>162</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4">
        <f t="shared" si="53"/>
        <v>0.65</v>
      </c>
      <c r="X162" t="s">
        <v>177</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3">
      <c r="A163" s="1" t="s">
        <v>487</v>
      </c>
      <c r="B163" t="s">
        <v>488</v>
      </c>
      <c r="C163">
        <f t="shared" si="47"/>
        <v>37.674999999999997</v>
      </c>
      <c r="D163">
        <f t="shared" si="48"/>
        <v>86.051000000000002</v>
      </c>
      <c r="E163">
        <v>36</v>
      </c>
      <c r="F163">
        <v>72</v>
      </c>
      <c r="G163">
        <f t="shared" si="54"/>
        <v>68.239999999999995</v>
      </c>
      <c r="H163">
        <v>2</v>
      </c>
      <c r="I163" t="s">
        <v>162</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4">
        <f t="shared" si="53"/>
        <v>0.65</v>
      </c>
      <c r="X163" t="s">
        <v>177</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3">
      <c r="A164" s="1" t="s">
        <v>489</v>
      </c>
      <c r="B164" t="s">
        <v>490</v>
      </c>
      <c r="C164">
        <f t="shared" si="47"/>
        <v>49.674999999999997</v>
      </c>
      <c r="D164">
        <f t="shared" si="48"/>
        <v>86.051000000000002</v>
      </c>
      <c r="E164">
        <v>48</v>
      </c>
      <c r="F164">
        <v>72</v>
      </c>
      <c r="G164">
        <f t="shared" si="54"/>
        <v>68.239999999999995</v>
      </c>
      <c r="H164">
        <v>2</v>
      </c>
      <c r="I164" t="s">
        <v>162</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4">
        <f t="shared" si="53"/>
        <v>0.65</v>
      </c>
      <c r="X164" t="s">
        <v>177</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3">
      <c r="A165" s="1" t="s">
        <v>491</v>
      </c>
      <c r="B165" t="s">
        <v>492</v>
      </c>
      <c r="C165">
        <f t="shared" si="47"/>
        <v>73.674999999999997</v>
      </c>
      <c r="D165">
        <f t="shared" si="48"/>
        <v>86.051000000000002</v>
      </c>
      <c r="E165">
        <v>72</v>
      </c>
      <c r="F165">
        <v>72</v>
      </c>
      <c r="G165">
        <f t="shared" si="54"/>
        <v>68.239999999999995</v>
      </c>
      <c r="H165">
        <v>2</v>
      </c>
      <c r="I165" t="s">
        <v>162</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4">
        <f t="shared" si="53"/>
        <v>0.65</v>
      </c>
      <c r="X165" t="s">
        <v>177</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3">
      <c r="A166" s="1" t="s">
        <v>493</v>
      </c>
      <c r="B166" t="s">
        <v>494</v>
      </c>
      <c r="C166">
        <f t="shared" si="47"/>
        <v>25.675000000000001</v>
      </c>
      <c r="D166">
        <f t="shared" si="48"/>
        <v>98.051000000000002</v>
      </c>
      <c r="E166">
        <v>24</v>
      </c>
      <c r="F166">
        <v>84</v>
      </c>
      <c r="G166">
        <f t="shared" si="54"/>
        <v>80.239999999999995</v>
      </c>
      <c r="H166">
        <v>2</v>
      </c>
      <c r="I166" t="s">
        <v>162</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4">
        <f t="shared" si="53"/>
        <v>0.65</v>
      </c>
      <c r="X166" t="s">
        <v>177</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3">
      <c r="A167" s="1" t="s">
        <v>495</v>
      </c>
      <c r="B167" t="s">
        <v>496</v>
      </c>
      <c r="C167">
        <f t="shared" si="47"/>
        <v>37.674999999999997</v>
      </c>
      <c r="D167">
        <f t="shared" si="48"/>
        <v>98.051000000000002</v>
      </c>
      <c r="E167">
        <v>36</v>
      </c>
      <c r="F167">
        <v>84</v>
      </c>
      <c r="G167">
        <f t="shared" si="54"/>
        <v>80.239999999999995</v>
      </c>
      <c r="H167">
        <v>2</v>
      </c>
      <c r="I167" t="s">
        <v>162</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4">
        <f t="shared" si="53"/>
        <v>0.65</v>
      </c>
      <c r="X167" t="s">
        <v>177</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3">
      <c r="A168" s="1" t="s">
        <v>497</v>
      </c>
      <c r="B168" t="s">
        <v>498</v>
      </c>
      <c r="C168">
        <f t="shared" si="47"/>
        <v>49.674999999999997</v>
      </c>
      <c r="D168">
        <f t="shared" si="48"/>
        <v>98.051000000000002</v>
      </c>
      <c r="E168">
        <v>48</v>
      </c>
      <c r="F168">
        <v>84</v>
      </c>
      <c r="G168">
        <f t="shared" si="54"/>
        <v>80.239999999999995</v>
      </c>
      <c r="H168">
        <v>2</v>
      </c>
      <c r="I168" t="s">
        <v>162</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4">
        <f t="shared" si="53"/>
        <v>0.65</v>
      </c>
      <c r="X168" t="s">
        <v>177</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3">
      <c r="A169" s="1" t="s">
        <v>499</v>
      </c>
      <c r="B169" t="s">
        <v>500</v>
      </c>
      <c r="C169">
        <f t="shared" si="47"/>
        <v>73.674999999999997</v>
      </c>
      <c r="D169">
        <f t="shared" si="48"/>
        <v>98.051000000000002</v>
      </c>
      <c r="E169">
        <v>72</v>
      </c>
      <c r="F169">
        <v>84</v>
      </c>
      <c r="G169">
        <f t="shared" si="54"/>
        <v>80.239999999999995</v>
      </c>
      <c r="H169">
        <v>2</v>
      </c>
      <c r="I169" t="s">
        <v>162</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4">
        <f t="shared" si="53"/>
        <v>0.65</v>
      </c>
      <c r="X169" t="s">
        <v>177</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3">
      <c r="A170" s="1" t="s">
        <v>501</v>
      </c>
      <c r="B170" s="1" t="s">
        <v>502</v>
      </c>
      <c r="C170" s="1">
        <f t="shared" si="47"/>
        <v>25.675000000000001</v>
      </c>
      <c r="D170" s="1">
        <f t="shared" si="48"/>
        <v>34.051000000000002</v>
      </c>
      <c r="E170" s="1">
        <v>24</v>
      </c>
      <c r="F170" s="1">
        <v>20</v>
      </c>
      <c r="G170" s="1">
        <f>F170-(1.88*2)</f>
        <v>16.240000000000002</v>
      </c>
      <c r="H170" s="1">
        <v>0</v>
      </c>
      <c r="I170" s="1" t="s">
        <v>167</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4">
        <f t="shared" si="53"/>
        <v>0.65</v>
      </c>
      <c r="X170" t="s">
        <v>158</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3">
      <c r="A171" s="1" t="s">
        <v>503</v>
      </c>
      <c r="B171" s="1" t="s">
        <v>504</v>
      </c>
      <c r="C171" s="1">
        <f t="shared" si="47"/>
        <v>37.674999999999997</v>
      </c>
      <c r="D171" s="1">
        <f t="shared" si="48"/>
        <v>34.051000000000002</v>
      </c>
      <c r="E171" s="1">
        <v>36</v>
      </c>
      <c r="F171" s="1">
        <f>F170</f>
        <v>20</v>
      </c>
      <c r="G171" s="1">
        <f t="shared" ref="G171:G193" si="60">F171-(1.88*2)</f>
        <v>16.240000000000002</v>
      </c>
      <c r="H171" s="1">
        <v>0</v>
      </c>
      <c r="I171" s="1" t="s">
        <v>167</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4">
        <f t="shared" si="53"/>
        <v>0.65</v>
      </c>
      <c r="X171" t="s">
        <v>158</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3">
      <c r="A172" s="1" t="s">
        <v>505</v>
      </c>
      <c r="B172" s="1" t="s">
        <v>506</v>
      </c>
      <c r="C172" s="1">
        <f t="shared" si="47"/>
        <v>49.674999999999997</v>
      </c>
      <c r="D172" s="1">
        <f t="shared" si="48"/>
        <v>34.051000000000002</v>
      </c>
      <c r="E172" s="1">
        <v>48</v>
      </c>
      <c r="F172" s="1">
        <f t="shared" ref="F172:F173" si="64">F171</f>
        <v>20</v>
      </c>
      <c r="G172" s="1">
        <f t="shared" si="60"/>
        <v>16.240000000000002</v>
      </c>
      <c r="H172" s="1">
        <v>0</v>
      </c>
      <c r="I172" s="1" t="s">
        <v>167</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4">
        <f t="shared" si="53"/>
        <v>0.65</v>
      </c>
      <c r="X172" t="s">
        <v>158</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3">
      <c r="A173" s="1" t="s">
        <v>507</v>
      </c>
      <c r="B173" s="1" t="s">
        <v>508</v>
      </c>
      <c r="C173" s="1">
        <f t="shared" si="47"/>
        <v>73.674999999999997</v>
      </c>
      <c r="D173" s="1">
        <f t="shared" si="48"/>
        <v>34.051000000000002</v>
      </c>
      <c r="E173" s="1">
        <v>72</v>
      </c>
      <c r="F173" s="1">
        <f t="shared" si="64"/>
        <v>20</v>
      </c>
      <c r="G173" s="1">
        <f t="shared" si="60"/>
        <v>16.240000000000002</v>
      </c>
      <c r="H173" s="1">
        <v>0</v>
      </c>
      <c r="I173" s="1" t="s">
        <v>167</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4">
        <f t="shared" si="53"/>
        <v>0.65</v>
      </c>
      <c r="X173" t="s">
        <v>158</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3">
      <c r="A174" s="1" t="s">
        <v>509</v>
      </c>
      <c r="B174" s="1" t="s">
        <v>510</v>
      </c>
      <c r="C174" s="1">
        <f t="shared" si="47"/>
        <v>25.675000000000001</v>
      </c>
      <c r="D174" s="1">
        <f t="shared" si="48"/>
        <v>50.050999999999995</v>
      </c>
      <c r="E174" s="1">
        <v>24</v>
      </c>
      <c r="F174" s="1">
        <v>36</v>
      </c>
      <c r="G174" s="1">
        <f t="shared" si="60"/>
        <v>32.24</v>
      </c>
      <c r="H174" s="1">
        <v>0</v>
      </c>
      <c r="I174" s="1" t="s">
        <v>167</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4">
        <f t="shared" si="53"/>
        <v>0.65</v>
      </c>
      <c r="X174" t="s">
        <v>158</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3">
      <c r="A175" s="1" t="s">
        <v>511</v>
      </c>
      <c r="B175" s="1" t="s">
        <v>512</v>
      </c>
      <c r="C175" s="1">
        <f t="shared" si="47"/>
        <v>37.674999999999997</v>
      </c>
      <c r="D175" s="1">
        <f t="shared" si="48"/>
        <v>50.050999999999995</v>
      </c>
      <c r="E175" s="1">
        <v>36</v>
      </c>
      <c r="F175" s="1">
        <f>F174</f>
        <v>36</v>
      </c>
      <c r="G175" s="1">
        <f t="shared" si="60"/>
        <v>32.24</v>
      </c>
      <c r="H175" s="1">
        <v>0</v>
      </c>
      <c r="I175" s="1" t="s">
        <v>167</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4">
        <f t="shared" si="53"/>
        <v>0.65</v>
      </c>
      <c r="X175" t="s">
        <v>158</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3">
      <c r="A176" s="1" t="s">
        <v>513</v>
      </c>
      <c r="B176" s="1" t="s">
        <v>514</v>
      </c>
      <c r="C176" s="1">
        <f t="shared" si="47"/>
        <v>49.674999999999997</v>
      </c>
      <c r="D176" s="1">
        <f t="shared" si="48"/>
        <v>50.050999999999995</v>
      </c>
      <c r="E176" s="1">
        <v>48</v>
      </c>
      <c r="F176" s="1">
        <f t="shared" ref="F176:F181" si="65">F175</f>
        <v>36</v>
      </c>
      <c r="G176" s="1">
        <f t="shared" si="60"/>
        <v>32.24</v>
      </c>
      <c r="H176" s="1">
        <v>0</v>
      </c>
      <c r="I176" s="1" t="s">
        <v>167</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4">
        <f t="shared" si="53"/>
        <v>0.65</v>
      </c>
      <c r="X176" t="s">
        <v>158</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3">
      <c r="A177" s="1" t="s">
        <v>515</v>
      </c>
      <c r="B177" s="1" t="s">
        <v>516</v>
      </c>
      <c r="C177" s="1">
        <f t="shared" si="47"/>
        <v>73.674999999999997</v>
      </c>
      <c r="D177" s="1">
        <f t="shared" si="48"/>
        <v>50.050999999999995</v>
      </c>
      <c r="E177" s="1">
        <v>72</v>
      </c>
      <c r="F177" s="1">
        <f t="shared" si="65"/>
        <v>36</v>
      </c>
      <c r="G177" s="1">
        <f t="shared" si="60"/>
        <v>32.24</v>
      </c>
      <c r="H177" s="1">
        <v>0</v>
      </c>
      <c r="I177" s="1" t="s">
        <v>167</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4">
        <f t="shared" si="53"/>
        <v>0.65</v>
      </c>
      <c r="X177" t="s">
        <v>158</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3">
      <c r="A178" s="1" t="s">
        <v>517</v>
      </c>
      <c r="B178" s="1" t="s">
        <v>518</v>
      </c>
      <c r="C178" s="1">
        <f t="shared" si="47"/>
        <v>25.675000000000001</v>
      </c>
      <c r="D178" s="1">
        <f t="shared" si="48"/>
        <v>62.050999999999995</v>
      </c>
      <c r="E178" s="1">
        <v>24</v>
      </c>
      <c r="F178" s="1">
        <v>48</v>
      </c>
      <c r="G178" s="1">
        <f t="shared" si="60"/>
        <v>44.24</v>
      </c>
      <c r="H178" s="1">
        <v>0</v>
      </c>
      <c r="I178" s="1" t="s">
        <v>167</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4">
        <f t="shared" si="53"/>
        <v>0.65</v>
      </c>
      <c r="X178" t="s">
        <v>158</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3">
      <c r="A179" s="1" t="s">
        <v>519</v>
      </c>
      <c r="B179" s="1" t="s">
        <v>520</v>
      </c>
      <c r="C179" s="1">
        <f t="shared" si="47"/>
        <v>37.674999999999997</v>
      </c>
      <c r="D179" s="1">
        <f t="shared" si="48"/>
        <v>62.050999999999995</v>
      </c>
      <c r="E179" s="1">
        <v>36</v>
      </c>
      <c r="F179" s="1">
        <f t="shared" si="65"/>
        <v>48</v>
      </c>
      <c r="G179" s="1">
        <f t="shared" si="60"/>
        <v>44.24</v>
      </c>
      <c r="H179" s="1">
        <v>0</v>
      </c>
      <c r="I179" s="1" t="s">
        <v>167</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4">
        <f t="shared" si="53"/>
        <v>0.65</v>
      </c>
      <c r="X179" t="s">
        <v>158</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3">
      <c r="A180" s="1" t="s">
        <v>521</v>
      </c>
      <c r="B180" s="1" t="s">
        <v>522</v>
      </c>
      <c r="C180" s="1">
        <f t="shared" si="47"/>
        <v>49.674999999999997</v>
      </c>
      <c r="D180" s="1">
        <f t="shared" si="48"/>
        <v>62.050999999999995</v>
      </c>
      <c r="E180" s="1">
        <v>48</v>
      </c>
      <c r="F180" s="1">
        <f t="shared" si="65"/>
        <v>48</v>
      </c>
      <c r="G180" s="1">
        <f t="shared" si="60"/>
        <v>44.24</v>
      </c>
      <c r="H180" s="1">
        <v>0</v>
      </c>
      <c r="I180" s="1" t="s">
        <v>167</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4">
        <f t="shared" si="53"/>
        <v>0.65</v>
      </c>
      <c r="X180" t="s">
        <v>158</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3">
      <c r="A181" s="1" t="s">
        <v>523</v>
      </c>
      <c r="B181" s="1" t="s">
        <v>524</v>
      </c>
      <c r="C181" s="1">
        <f t="shared" si="47"/>
        <v>73.674999999999997</v>
      </c>
      <c r="D181" s="1">
        <f t="shared" si="48"/>
        <v>62.050999999999995</v>
      </c>
      <c r="E181" s="1">
        <v>72</v>
      </c>
      <c r="F181" s="1">
        <f t="shared" si="65"/>
        <v>48</v>
      </c>
      <c r="G181" s="1">
        <f t="shared" si="60"/>
        <v>44.24</v>
      </c>
      <c r="H181" s="1">
        <v>0</v>
      </c>
      <c r="I181" s="1" t="s">
        <v>167</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4">
        <f t="shared" si="53"/>
        <v>0.65</v>
      </c>
      <c r="X181" t="s">
        <v>158</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3">
      <c r="A182" s="1" t="s">
        <v>525</v>
      </c>
      <c r="B182" s="1" t="s">
        <v>526</v>
      </c>
      <c r="C182" s="1">
        <f t="shared" si="47"/>
        <v>25.675000000000001</v>
      </c>
      <c r="D182" s="1">
        <f t="shared" si="48"/>
        <v>74.051000000000002</v>
      </c>
      <c r="E182" s="1">
        <v>24</v>
      </c>
      <c r="F182" s="1">
        <v>60</v>
      </c>
      <c r="G182" s="1">
        <f t="shared" si="60"/>
        <v>56.24</v>
      </c>
      <c r="H182" s="1">
        <v>0</v>
      </c>
      <c r="I182" s="1" t="s">
        <v>167</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4">
        <f t="shared" si="53"/>
        <v>0.65</v>
      </c>
      <c r="X182" t="s">
        <v>158</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3">
      <c r="A183" s="1" t="s">
        <v>527</v>
      </c>
      <c r="B183" s="1" t="s">
        <v>528</v>
      </c>
      <c r="C183" s="1">
        <f t="shared" si="47"/>
        <v>37.674999999999997</v>
      </c>
      <c r="D183" s="1">
        <f t="shared" si="48"/>
        <v>74.051000000000002</v>
      </c>
      <c r="E183" s="1">
        <v>36</v>
      </c>
      <c r="F183" s="1">
        <v>60</v>
      </c>
      <c r="G183" s="1">
        <f t="shared" si="60"/>
        <v>56.24</v>
      </c>
      <c r="H183" s="1">
        <v>0</v>
      </c>
      <c r="I183" s="1" t="s">
        <v>167</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4">
        <f t="shared" si="53"/>
        <v>0.65</v>
      </c>
      <c r="X183" t="s">
        <v>158</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3">
      <c r="A184" s="1" t="s">
        <v>529</v>
      </c>
      <c r="B184" s="1" t="s">
        <v>530</v>
      </c>
      <c r="C184" s="1">
        <f t="shared" si="47"/>
        <v>49.674999999999997</v>
      </c>
      <c r="D184" s="1">
        <f t="shared" si="48"/>
        <v>74.051000000000002</v>
      </c>
      <c r="E184" s="1">
        <v>48</v>
      </c>
      <c r="F184" s="1">
        <v>60</v>
      </c>
      <c r="G184" s="1">
        <f t="shared" si="60"/>
        <v>56.24</v>
      </c>
      <c r="H184" s="1">
        <v>0</v>
      </c>
      <c r="I184" s="1" t="s">
        <v>167</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4">
        <f t="shared" si="53"/>
        <v>0.65</v>
      </c>
      <c r="X184" t="s">
        <v>158</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3">
      <c r="A185" s="1" t="s">
        <v>531</v>
      </c>
      <c r="B185" s="1" t="s">
        <v>532</v>
      </c>
      <c r="C185" s="1">
        <f t="shared" si="47"/>
        <v>73.674999999999997</v>
      </c>
      <c r="D185" s="1">
        <f t="shared" si="48"/>
        <v>74.051000000000002</v>
      </c>
      <c r="E185" s="1">
        <v>72</v>
      </c>
      <c r="F185" s="1">
        <v>60</v>
      </c>
      <c r="G185" s="1">
        <f t="shared" si="60"/>
        <v>56.24</v>
      </c>
      <c r="H185" s="1">
        <v>0</v>
      </c>
      <c r="I185" s="1" t="s">
        <v>167</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4">
        <f t="shared" si="53"/>
        <v>0.65</v>
      </c>
      <c r="X185" t="s">
        <v>158</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3">
      <c r="A186" s="1" t="s">
        <v>533</v>
      </c>
      <c r="B186" s="1" t="s">
        <v>534</v>
      </c>
      <c r="C186" s="1">
        <f t="shared" si="47"/>
        <v>25.675000000000001</v>
      </c>
      <c r="D186" s="1">
        <f t="shared" si="48"/>
        <v>86.051000000000002</v>
      </c>
      <c r="E186" s="1">
        <v>24</v>
      </c>
      <c r="F186" s="1">
        <v>72</v>
      </c>
      <c r="G186" s="1">
        <f t="shared" si="60"/>
        <v>68.239999999999995</v>
      </c>
      <c r="H186" s="1">
        <v>0</v>
      </c>
      <c r="I186" s="1" t="s">
        <v>167</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4">
        <f t="shared" si="53"/>
        <v>0.65</v>
      </c>
      <c r="X186" t="s">
        <v>158</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3">
      <c r="A187" s="1" t="s">
        <v>535</v>
      </c>
      <c r="B187" s="1" t="s">
        <v>536</v>
      </c>
      <c r="C187" s="1">
        <f t="shared" si="47"/>
        <v>37.674999999999997</v>
      </c>
      <c r="D187" s="1">
        <f t="shared" si="48"/>
        <v>86.051000000000002</v>
      </c>
      <c r="E187" s="1">
        <v>36</v>
      </c>
      <c r="F187" s="1">
        <v>72</v>
      </c>
      <c r="G187" s="1">
        <f t="shared" si="60"/>
        <v>68.239999999999995</v>
      </c>
      <c r="H187" s="1">
        <v>0</v>
      </c>
      <c r="I187" s="1" t="s">
        <v>167</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4">
        <f t="shared" si="53"/>
        <v>0.65</v>
      </c>
      <c r="X187" t="s">
        <v>158</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3">
      <c r="A188" s="1" t="s">
        <v>537</v>
      </c>
      <c r="B188" s="1" t="s">
        <v>538</v>
      </c>
      <c r="C188" s="1">
        <f t="shared" si="47"/>
        <v>49.674999999999997</v>
      </c>
      <c r="D188" s="1">
        <f t="shared" si="48"/>
        <v>86.051000000000002</v>
      </c>
      <c r="E188" s="1">
        <v>48</v>
      </c>
      <c r="F188" s="1">
        <v>72</v>
      </c>
      <c r="G188" s="1">
        <f t="shared" si="60"/>
        <v>68.239999999999995</v>
      </c>
      <c r="H188" s="1">
        <v>0</v>
      </c>
      <c r="I188" s="1" t="s">
        <v>167</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4">
        <f t="shared" si="53"/>
        <v>0.65</v>
      </c>
      <c r="X188" t="s">
        <v>158</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3">
      <c r="A189" s="1" t="s">
        <v>539</v>
      </c>
      <c r="B189" s="1" t="s">
        <v>540</v>
      </c>
      <c r="C189" s="1">
        <f t="shared" si="47"/>
        <v>73.674999999999997</v>
      </c>
      <c r="D189" s="1">
        <f t="shared" si="48"/>
        <v>86.051000000000002</v>
      </c>
      <c r="E189" s="1">
        <v>72</v>
      </c>
      <c r="F189" s="1">
        <v>72</v>
      </c>
      <c r="G189" s="1">
        <f t="shared" si="60"/>
        <v>68.239999999999995</v>
      </c>
      <c r="H189" s="1">
        <v>0</v>
      </c>
      <c r="I189" s="1" t="s">
        <v>167</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4">
        <f t="shared" si="53"/>
        <v>0.65</v>
      </c>
      <c r="X189" t="s">
        <v>158</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3">
      <c r="A190" s="1" t="s">
        <v>541</v>
      </c>
      <c r="B190" s="1" t="s">
        <v>542</v>
      </c>
      <c r="C190" s="1">
        <f t="shared" si="47"/>
        <v>25.675000000000001</v>
      </c>
      <c r="D190" s="1">
        <f t="shared" si="48"/>
        <v>98.051000000000002</v>
      </c>
      <c r="E190" s="1">
        <v>24</v>
      </c>
      <c r="F190" s="1">
        <v>84</v>
      </c>
      <c r="G190" s="1">
        <f t="shared" si="60"/>
        <v>80.239999999999995</v>
      </c>
      <c r="H190" s="1">
        <v>0</v>
      </c>
      <c r="I190" s="1" t="s">
        <v>167</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4">
        <f t="shared" si="53"/>
        <v>0.65</v>
      </c>
      <c r="X190" t="s">
        <v>158</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3">
      <c r="A191" s="1" t="s">
        <v>543</v>
      </c>
      <c r="B191" s="1" t="s">
        <v>544</v>
      </c>
      <c r="C191" s="1">
        <f t="shared" si="47"/>
        <v>37.674999999999997</v>
      </c>
      <c r="D191" s="1">
        <f t="shared" si="48"/>
        <v>98.051000000000002</v>
      </c>
      <c r="E191" s="1">
        <v>36</v>
      </c>
      <c r="F191" s="1">
        <v>84</v>
      </c>
      <c r="G191" s="1">
        <f t="shared" si="60"/>
        <v>80.239999999999995</v>
      </c>
      <c r="H191" s="1">
        <v>0</v>
      </c>
      <c r="I191" s="1" t="s">
        <v>167</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4">
        <f t="shared" si="53"/>
        <v>0.65</v>
      </c>
      <c r="X191" t="s">
        <v>158</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3">
      <c r="A192" s="1" t="s">
        <v>545</v>
      </c>
      <c r="B192" s="1" t="s">
        <v>546</v>
      </c>
      <c r="C192" s="1">
        <f t="shared" si="47"/>
        <v>49.674999999999997</v>
      </c>
      <c r="D192" s="1">
        <f t="shared" si="48"/>
        <v>98.051000000000002</v>
      </c>
      <c r="E192" s="1">
        <v>48</v>
      </c>
      <c r="F192" s="1">
        <v>84</v>
      </c>
      <c r="G192" s="1">
        <f t="shared" si="60"/>
        <v>80.239999999999995</v>
      </c>
      <c r="H192" s="1">
        <v>0</v>
      </c>
      <c r="I192" s="1" t="s">
        <v>167</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4">
        <f t="shared" si="53"/>
        <v>0.65</v>
      </c>
      <c r="X192" t="s">
        <v>158</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3">
      <c r="A193" s="1" t="s">
        <v>547</v>
      </c>
      <c r="B193" s="1" t="s">
        <v>548</v>
      </c>
      <c r="C193" s="1">
        <f t="shared" si="47"/>
        <v>73.674999999999997</v>
      </c>
      <c r="D193" s="1">
        <f t="shared" si="48"/>
        <v>98.051000000000002</v>
      </c>
      <c r="E193" s="1">
        <v>72</v>
      </c>
      <c r="F193" s="1">
        <v>84</v>
      </c>
      <c r="G193" s="1">
        <f t="shared" si="60"/>
        <v>80.239999999999995</v>
      </c>
      <c r="H193" s="1">
        <v>0</v>
      </c>
      <c r="I193" s="1" t="s">
        <v>167</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4">
        <f t="shared" si="53"/>
        <v>0.65</v>
      </c>
      <c r="X193" t="s">
        <v>174</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3">
      <c r="A194" s="1" t="s">
        <v>549</v>
      </c>
      <c r="B194" s="1" t="s">
        <v>550</v>
      </c>
      <c r="C194" s="1">
        <f t="shared" ref="C194:C241" si="66">E194+1.675</f>
        <v>25.675000000000001</v>
      </c>
      <c r="D194" s="1">
        <f t="shared" ref="D194:D241" si="67">F194+1.675+12.376</f>
        <v>34.051000000000002</v>
      </c>
      <c r="E194" s="1">
        <v>24</v>
      </c>
      <c r="F194" s="1">
        <v>20</v>
      </c>
      <c r="G194" s="1">
        <f>F194-(1.88*2)</f>
        <v>16.240000000000002</v>
      </c>
      <c r="H194" s="1">
        <v>1</v>
      </c>
      <c r="I194" s="1" t="s">
        <v>167</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4">
        <f t="shared" si="53"/>
        <v>0.65</v>
      </c>
      <c r="X194" t="s">
        <v>174</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3">
      <c r="A195" s="1" t="s">
        <v>551</v>
      </c>
      <c r="B195" s="1" t="s">
        <v>552</v>
      </c>
      <c r="C195" s="1">
        <f t="shared" si="66"/>
        <v>37.674999999999997</v>
      </c>
      <c r="D195" s="1">
        <f t="shared" si="67"/>
        <v>34.051000000000002</v>
      </c>
      <c r="E195" s="1">
        <v>36</v>
      </c>
      <c r="F195" s="1">
        <f>F194</f>
        <v>20</v>
      </c>
      <c r="G195" s="1">
        <f t="shared" ref="G195:G217" si="70">F195-(1.88*2)</f>
        <v>16.240000000000002</v>
      </c>
      <c r="H195" s="1">
        <v>1</v>
      </c>
      <c r="I195" s="1" t="s">
        <v>167</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4">
        <f t="shared" si="53"/>
        <v>0.65</v>
      </c>
      <c r="X195" t="s">
        <v>174</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3">
      <c r="A196" s="1" t="s">
        <v>553</v>
      </c>
      <c r="B196" s="1" t="s">
        <v>554</v>
      </c>
      <c r="C196" s="1">
        <f t="shared" si="66"/>
        <v>49.674999999999997</v>
      </c>
      <c r="D196" s="1">
        <f t="shared" si="67"/>
        <v>34.051000000000002</v>
      </c>
      <c r="E196" s="1">
        <v>48</v>
      </c>
      <c r="F196" s="1">
        <f t="shared" ref="F196:F197" si="75">F195</f>
        <v>20</v>
      </c>
      <c r="G196" s="1">
        <f t="shared" si="70"/>
        <v>16.240000000000002</v>
      </c>
      <c r="H196" s="1">
        <v>1</v>
      </c>
      <c r="I196" s="1" t="s">
        <v>167</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4">
        <f t="shared" ref="W196:W241" si="76">W195</f>
        <v>0.65</v>
      </c>
      <c r="X196" t="s">
        <v>174</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3">
      <c r="A197" s="1" t="s">
        <v>555</v>
      </c>
      <c r="B197" s="1" t="s">
        <v>556</v>
      </c>
      <c r="C197" s="1">
        <f t="shared" si="66"/>
        <v>73.674999999999997</v>
      </c>
      <c r="D197" s="1">
        <f t="shared" si="67"/>
        <v>34.051000000000002</v>
      </c>
      <c r="E197" s="1">
        <v>72</v>
      </c>
      <c r="F197" s="1">
        <f t="shared" si="75"/>
        <v>20</v>
      </c>
      <c r="G197" s="1">
        <f t="shared" si="70"/>
        <v>16.240000000000002</v>
      </c>
      <c r="H197" s="1">
        <v>1</v>
      </c>
      <c r="I197" s="1" t="s">
        <v>167</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4">
        <f t="shared" si="76"/>
        <v>0.65</v>
      </c>
      <c r="X197" t="s">
        <v>174</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3">
      <c r="A198" s="1" t="s">
        <v>557</v>
      </c>
      <c r="B198" s="1" t="s">
        <v>558</v>
      </c>
      <c r="C198" s="1">
        <f t="shared" si="66"/>
        <v>25.675000000000001</v>
      </c>
      <c r="D198" s="1">
        <f t="shared" si="67"/>
        <v>50.050999999999995</v>
      </c>
      <c r="E198" s="1">
        <v>24</v>
      </c>
      <c r="F198" s="1">
        <v>36</v>
      </c>
      <c r="G198" s="1">
        <f t="shared" si="70"/>
        <v>32.24</v>
      </c>
      <c r="H198" s="1">
        <v>1</v>
      </c>
      <c r="I198" s="1" t="s">
        <v>167</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4">
        <f t="shared" si="76"/>
        <v>0.65</v>
      </c>
      <c r="X198" t="s">
        <v>174</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3">
      <c r="A199" s="1" t="s">
        <v>559</v>
      </c>
      <c r="B199" s="1" t="s">
        <v>560</v>
      </c>
      <c r="C199" s="1">
        <f t="shared" si="66"/>
        <v>37.674999999999997</v>
      </c>
      <c r="D199" s="1">
        <f t="shared" si="67"/>
        <v>50.050999999999995</v>
      </c>
      <c r="E199" s="1">
        <v>36</v>
      </c>
      <c r="F199" s="1">
        <f>F198</f>
        <v>36</v>
      </c>
      <c r="G199" s="1">
        <f t="shared" si="70"/>
        <v>32.24</v>
      </c>
      <c r="H199" s="1">
        <v>1</v>
      </c>
      <c r="I199" s="1" t="s">
        <v>167</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4">
        <f t="shared" si="76"/>
        <v>0.65</v>
      </c>
      <c r="X199" t="s">
        <v>174</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3">
      <c r="A200" s="1" t="s">
        <v>561</v>
      </c>
      <c r="B200" s="1" t="s">
        <v>562</v>
      </c>
      <c r="C200" s="1">
        <f t="shared" si="66"/>
        <v>49.674999999999997</v>
      </c>
      <c r="D200" s="1">
        <f t="shared" si="67"/>
        <v>50.050999999999995</v>
      </c>
      <c r="E200" s="1">
        <v>48</v>
      </c>
      <c r="F200" s="1">
        <f t="shared" ref="F200:F205" si="77">F199</f>
        <v>36</v>
      </c>
      <c r="G200" s="1">
        <f t="shared" si="70"/>
        <v>32.24</v>
      </c>
      <c r="H200" s="1">
        <v>1</v>
      </c>
      <c r="I200" s="1" t="s">
        <v>167</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4">
        <f t="shared" si="76"/>
        <v>0.65</v>
      </c>
      <c r="X200" t="s">
        <v>174</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3">
      <c r="A201" s="1" t="s">
        <v>563</v>
      </c>
      <c r="B201" s="1" t="s">
        <v>564</v>
      </c>
      <c r="C201" s="1">
        <f t="shared" si="66"/>
        <v>73.674999999999997</v>
      </c>
      <c r="D201" s="1">
        <f t="shared" si="67"/>
        <v>50.050999999999995</v>
      </c>
      <c r="E201" s="1">
        <v>72</v>
      </c>
      <c r="F201" s="1">
        <f t="shared" si="77"/>
        <v>36</v>
      </c>
      <c r="G201" s="1">
        <f t="shared" si="70"/>
        <v>32.24</v>
      </c>
      <c r="H201" s="1">
        <v>1</v>
      </c>
      <c r="I201" s="1" t="s">
        <v>167</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4">
        <f t="shared" si="76"/>
        <v>0.65</v>
      </c>
      <c r="X201" t="s">
        <v>174</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3">
      <c r="A202" s="1" t="s">
        <v>565</v>
      </c>
      <c r="B202" s="1" t="s">
        <v>566</v>
      </c>
      <c r="C202" s="1">
        <f t="shared" si="66"/>
        <v>25.675000000000001</v>
      </c>
      <c r="D202" s="1">
        <f t="shared" si="67"/>
        <v>62.050999999999995</v>
      </c>
      <c r="E202" s="1">
        <v>24</v>
      </c>
      <c r="F202" s="1">
        <v>48</v>
      </c>
      <c r="G202" s="1">
        <f t="shared" si="70"/>
        <v>44.24</v>
      </c>
      <c r="H202" s="1">
        <v>1</v>
      </c>
      <c r="I202" s="1" t="s">
        <v>167</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4">
        <f t="shared" si="76"/>
        <v>0.65</v>
      </c>
      <c r="X202" t="s">
        <v>174</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3">
      <c r="A203" s="1" t="s">
        <v>567</v>
      </c>
      <c r="B203" s="1" t="s">
        <v>568</v>
      </c>
      <c r="C203" s="1">
        <f t="shared" si="66"/>
        <v>37.674999999999997</v>
      </c>
      <c r="D203" s="1">
        <f t="shared" si="67"/>
        <v>62.050999999999995</v>
      </c>
      <c r="E203" s="1">
        <v>36</v>
      </c>
      <c r="F203" s="1">
        <f t="shared" si="77"/>
        <v>48</v>
      </c>
      <c r="G203" s="1">
        <f t="shared" si="70"/>
        <v>44.24</v>
      </c>
      <c r="H203" s="1">
        <v>1</v>
      </c>
      <c r="I203" s="1" t="s">
        <v>167</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4">
        <f t="shared" si="76"/>
        <v>0.65</v>
      </c>
      <c r="X203" t="s">
        <v>174</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3">
      <c r="A204" s="1" t="s">
        <v>569</v>
      </c>
      <c r="B204" s="1" t="s">
        <v>570</v>
      </c>
      <c r="C204" s="1">
        <f t="shared" si="66"/>
        <v>49.674999999999997</v>
      </c>
      <c r="D204" s="1">
        <f t="shared" si="67"/>
        <v>62.050999999999995</v>
      </c>
      <c r="E204" s="1">
        <v>48</v>
      </c>
      <c r="F204" s="1">
        <f t="shared" si="77"/>
        <v>48</v>
      </c>
      <c r="G204" s="1">
        <f t="shared" si="70"/>
        <v>44.24</v>
      </c>
      <c r="H204" s="1">
        <v>1</v>
      </c>
      <c r="I204" s="1" t="s">
        <v>167</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4">
        <f t="shared" si="76"/>
        <v>0.65</v>
      </c>
      <c r="X204" t="s">
        <v>174</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3">
      <c r="A205" s="1" t="s">
        <v>571</v>
      </c>
      <c r="B205" s="1" t="s">
        <v>572</v>
      </c>
      <c r="C205" s="1">
        <f t="shared" si="66"/>
        <v>73.674999999999997</v>
      </c>
      <c r="D205" s="1">
        <f t="shared" si="67"/>
        <v>62.050999999999995</v>
      </c>
      <c r="E205" s="1">
        <v>72</v>
      </c>
      <c r="F205" s="1">
        <f t="shared" si="77"/>
        <v>48</v>
      </c>
      <c r="G205" s="1">
        <f t="shared" si="70"/>
        <v>44.24</v>
      </c>
      <c r="H205" s="1">
        <v>1</v>
      </c>
      <c r="I205" s="1" t="s">
        <v>167</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4">
        <f t="shared" si="76"/>
        <v>0.65</v>
      </c>
      <c r="X205" t="s">
        <v>174</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3">
      <c r="A206" s="1" t="s">
        <v>573</v>
      </c>
      <c r="B206" s="1" t="s">
        <v>574</v>
      </c>
      <c r="C206" s="1">
        <f t="shared" si="66"/>
        <v>25.675000000000001</v>
      </c>
      <c r="D206" s="1">
        <f t="shared" si="67"/>
        <v>74.051000000000002</v>
      </c>
      <c r="E206" s="1">
        <v>24</v>
      </c>
      <c r="F206" s="1">
        <v>60</v>
      </c>
      <c r="G206" s="1">
        <f t="shared" si="70"/>
        <v>56.24</v>
      </c>
      <c r="H206" s="1">
        <v>1</v>
      </c>
      <c r="I206" s="1" t="s">
        <v>167</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4">
        <f t="shared" si="76"/>
        <v>0.65</v>
      </c>
      <c r="X206" t="s">
        <v>174</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3">
      <c r="A207" s="1" t="s">
        <v>575</v>
      </c>
      <c r="B207" s="1" t="s">
        <v>576</v>
      </c>
      <c r="C207" s="1">
        <f t="shared" si="66"/>
        <v>37.674999999999997</v>
      </c>
      <c r="D207" s="1">
        <f t="shared" si="67"/>
        <v>74.051000000000002</v>
      </c>
      <c r="E207" s="1">
        <v>36</v>
      </c>
      <c r="F207" s="1">
        <v>60</v>
      </c>
      <c r="G207" s="1">
        <f t="shared" si="70"/>
        <v>56.24</v>
      </c>
      <c r="H207" s="1">
        <v>1</v>
      </c>
      <c r="I207" s="1" t="s">
        <v>167</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4">
        <f t="shared" si="76"/>
        <v>0.65</v>
      </c>
      <c r="X207" t="s">
        <v>174</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3">
      <c r="A208" s="1" t="s">
        <v>577</v>
      </c>
      <c r="B208" s="1" t="s">
        <v>578</v>
      </c>
      <c r="C208" s="1">
        <f t="shared" si="66"/>
        <v>49.674999999999997</v>
      </c>
      <c r="D208" s="1">
        <f t="shared" si="67"/>
        <v>74.051000000000002</v>
      </c>
      <c r="E208" s="1">
        <v>48</v>
      </c>
      <c r="F208" s="1">
        <v>60</v>
      </c>
      <c r="G208" s="1">
        <f t="shared" si="70"/>
        <v>56.24</v>
      </c>
      <c r="H208" s="1">
        <v>1</v>
      </c>
      <c r="I208" s="1" t="s">
        <v>167</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4">
        <f t="shared" si="76"/>
        <v>0.65</v>
      </c>
      <c r="X208" t="s">
        <v>174</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3">
      <c r="A209" s="1" t="s">
        <v>579</v>
      </c>
      <c r="B209" s="1" t="s">
        <v>580</v>
      </c>
      <c r="C209" s="1">
        <f t="shared" si="66"/>
        <v>73.674999999999997</v>
      </c>
      <c r="D209" s="1">
        <f t="shared" si="67"/>
        <v>74.051000000000002</v>
      </c>
      <c r="E209" s="1">
        <v>72</v>
      </c>
      <c r="F209" s="1">
        <v>60</v>
      </c>
      <c r="G209" s="1">
        <f t="shared" si="70"/>
        <v>56.24</v>
      </c>
      <c r="H209" s="1">
        <v>1</v>
      </c>
      <c r="I209" s="1" t="s">
        <v>167</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4">
        <f t="shared" si="76"/>
        <v>0.65</v>
      </c>
      <c r="X209" t="s">
        <v>174</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3">
      <c r="A210" s="1" t="s">
        <v>581</v>
      </c>
      <c r="B210" s="1" t="s">
        <v>582</v>
      </c>
      <c r="C210" s="1">
        <f t="shared" si="66"/>
        <v>25.675000000000001</v>
      </c>
      <c r="D210" s="1">
        <f t="shared" si="67"/>
        <v>86.051000000000002</v>
      </c>
      <c r="E210" s="1">
        <v>24</v>
      </c>
      <c r="F210" s="1">
        <v>72</v>
      </c>
      <c r="G210" s="1">
        <f t="shared" si="70"/>
        <v>68.239999999999995</v>
      </c>
      <c r="H210" s="1">
        <v>1</v>
      </c>
      <c r="I210" s="1" t="s">
        <v>167</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4">
        <f t="shared" si="76"/>
        <v>0.65</v>
      </c>
      <c r="X210" t="s">
        <v>174</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3">
      <c r="A211" s="1" t="s">
        <v>583</v>
      </c>
      <c r="B211" s="1" t="s">
        <v>584</v>
      </c>
      <c r="C211" s="1">
        <f t="shared" si="66"/>
        <v>37.674999999999997</v>
      </c>
      <c r="D211" s="1">
        <f t="shared" si="67"/>
        <v>86.051000000000002</v>
      </c>
      <c r="E211" s="1">
        <v>36</v>
      </c>
      <c r="F211" s="1">
        <v>72</v>
      </c>
      <c r="G211" s="1">
        <f t="shared" si="70"/>
        <v>68.239999999999995</v>
      </c>
      <c r="H211" s="1">
        <v>1</v>
      </c>
      <c r="I211" s="1" t="s">
        <v>167</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4">
        <f t="shared" si="76"/>
        <v>0.65</v>
      </c>
      <c r="X211" t="s">
        <v>174</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3">
      <c r="A212" s="1" t="s">
        <v>585</v>
      </c>
      <c r="B212" s="1" t="s">
        <v>586</v>
      </c>
      <c r="C212" s="1">
        <f t="shared" si="66"/>
        <v>49.674999999999997</v>
      </c>
      <c r="D212" s="1">
        <f t="shared" si="67"/>
        <v>86.051000000000002</v>
      </c>
      <c r="E212" s="1">
        <v>48</v>
      </c>
      <c r="F212" s="1">
        <v>72</v>
      </c>
      <c r="G212" s="1">
        <f t="shared" si="70"/>
        <v>68.239999999999995</v>
      </c>
      <c r="H212" s="1">
        <v>1</v>
      </c>
      <c r="I212" s="1" t="s">
        <v>167</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4">
        <f t="shared" si="76"/>
        <v>0.65</v>
      </c>
      <c r="X212" t="s">
        <v>174</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3">
      <c r="A213" s="1" t="s">
        <v>587</v>
      </c>
      <c r="B213" s="1" t="s">
        <v>588</v>
      </c>
      <c r="C213" s="1">
        <f t="shared" si="66"/>
        <v>73.674999999999997</v>
      </c>
      <c r="D213" s="1">
        <f t="shared" si="67"/>
        <v>86.051000000000002</v>
      </c>
      <c r="E213" s="1">
        <v>72</v>
      </c>
      <c r="F213" s="1">
        <v>72</v>
      </c>
      <c r="G213" s="1">
        <f t="shared" si="70"/>
        <v>68.239999999999995</v>
      </c>
      <c r="H213" s="1">
        <v>1</v>
      </c>
      <c r="I213" s="1" t="s">
        <v>167</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4">
        <f t="shared" si="76"/>
        <v>0.65</v>
      </c>
      <c r="X213" t="s">
        <v>174</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3">
      <c r="A214" s="1" t="s">
        <v>589</v>
      </c>
      <c r="B214" s="1" t="s">
        <v>590</v>
      </c>
      <c r="C214" s="1">
        <f t="shared" si="66"/>
        <v>25.675000000000001</v>
      </c>
      <c r="D214" s="1">
        <f t="shared" si="67"/>
        <v>98.051000000000002</v>
      </c>
      <c r="E214" s="1">
        <v>24</v>
      </c>
      <c r="F214" s="1">
        <v>84</v>
      </c>
      <c r="G214" s="1">
        <f t="shared" si="70"/>
        <v>80.239999999999995</v>
      </c>
      <c r="H214" s="1">
        <v>1</v>
      </c>
      <c r="I214" s="1" t="s">
        <v>167</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4">
        <f t="shared" si="76"/>
        <v>0.65</v>
      </c>
      <c r="X214" t="s">
        <v>174</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3">
      <c r="A215" s="1" t="s">
        <v>591</v>
      </c>
      <c r="B215" s="1" t="s">
        <v>592</v>
      </c>
      <c r="C215" s="1">
        <f t="shared" si="66"/>
        <v>37.674999999999997</v>
      </c>
      <c r="D215" s="1">
        <f t="shared" si="67"/>
        <v>98.051000000000002</v>
      </c>
      <c r="E215" s="1">
        <v>36</v>
      </c>
      <c r="F215" s="1">
        <v>84</v>
      </c>
      <c r="G215" s="1">
        <f t="shared" si="70"/>
        <v>80.239999999999995</v>
      </c>
      <c r="H215" s="1">
        <v>1</v>
      </c>
      <c r="I215" s="1" t="s">
        <v>167</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4">
        <f t="shared" si="76"/>
        <v>0.65</v>
      </c>
      <c r="X215" t="s">
        <v>174</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3">
      <c r="A216" s="1" t="s">
        <v>593</v>
      </c>
      <c r="B216" s="1" t="s">
        <v>594</v>
      </c>
      <c r="C216" s="1">
        <f t="shared" si="66"/>
        <v>49.674999999999997</v>
      </c>
      <c r="D216" s="1">
        <f t="shared" si="67"/>
        <v>98.051000000000002</v>
      </c>
      <c r="E216" s="1">
        <v>48</v>
      </c>
      <c r="F216" s="1">
        <v>84</v>
      </c>
      <c r="G216" s="1">
        <f t="shared" si="70"/>
        <v>80.239999999999995</v>
      </c>
      <c r="H216" s="1">
        <v>1</v>
      </c>
      <c r="I216" s="1" t="s">
        <v>167</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4">
        <f t="shared" si="76"/>
        <v>0.65</v>
      </c>
      <c r="X216" t="s">
        <v>174</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3">
      <c r="A217" s="1" t="s">
        <v>595</v>
      </c>
      <c r="B217" s="1" t="s">
        <v>596</v>
      </c>
      <c r="C217" s="1">
        <f t="shared" si="66"/>
        <v>73.674999999999997</v>
      </c>
      <c r="D217" s="1">
        <f t="shared" si="67"/>
        <v>98.051000000000002</v>
      </c>
      <c r="E217" s="1">
        <v>72</v>
      </c>
      <c r="F217" s="1">
        <v>84</v>
      </c>
      <c r="G217" s="1">
        <f t="shared" si="70"/>
        <v>80.239999999999995</v>
      </c>
      <c r="H217" s="1">
        <v>1</v>
      </c>
      <c r="I217" s="1" t="s">
        <v>167</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4">
        <f t="shared" si="76"/>
        <v>0.65</v>
      </c>
      <c r="X217" t="s">
        <v>174</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3">
      <c r="A218" s="1" t="s">
        <v>597</v>
      </c>
      <c r="B218" s="1" t="s">
        <v>598</v>
      </c>
      <c r="C218" s="1">
        <f t="shared" si="66"/>
        <v>25.675000000000001</v>
      </c>
      <c r="D218" s="1">
        <f t="shared" si="67"/>
        <v>34.051000000000002</v>
      </c>
      <c r="E218" s="1">
        <v>24</v>
      </c>
      <c r="F218" s="1">
        <v>20</v>
      </c>
      <c r="G218" s="1">
        <f>F218-(1.88*2)</f>
        <v>16.240000000000002</v>
      </c>
      <c r="H218" s="1">
        <v>2</v>
      </c>
      <c r="I218" s="1" t="s">
        <v>167</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4">
        <f t="shared" si="76"/>
        <v>0.65</v>
      </c>
      <c r="X218" t="s">
        <v>177</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3">
      <c r="A219" s="1" t="s">
        <v>599</v>
      </c>
      <c r="B219" s="1" t="s">
        <v>600</v>
      </c>
      <c r="C219" s="1">
        <f t="shared" si="66"/>
        <v>37.674999999999997</v>
      </c>
      <c r="D219" s="1">
        <f t="shared" si="67"/>
        <v>34.051000000000002</v>
      </c>
      <c r="E219" s="1">
        <v>36</v>
      </c>
      <c r="F219" s="1">
        <f>F218</f>
        <v>20</v>
      </c>
      <c r="G219" s="1">
        <f t="shared" ref="G219:G241" si="78">F219-(1.88*2)</f>
        <v>16.240000000000002</v>
      </c>
      <c r="H219" s="1">
        <v>2</v>
      </c>
      <c r="I219" s="1" t="s">
        <v>167</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4">
        <f t="shared" si="76"/>
        <v>0.65</v>
      </c>
      <c r="X219" t="s">
        <v>177</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3">
      <c r="A220" s="1" t="s">
        <v>601</v>
      </c>
      <c r="B220" s="1" t="s">
        <v>602</v>
      </c>
      <c r="C220" s="1">
        <f t="shared" si="66"/>
        <v>49.674999999999997</v>
      </c>
      <c r="D220" s="1">
        <f t="shared" si="67"/>
        <v>34.051000000000002</v>
      </c>
      <c r="E220" s="1">
        <v>48</v>
      </c>
      <c r="F220" s="1">
        <f t="shared" ref="F220:F221" si="81">F219</f>
        <v>20</v>
      </c>
      <c r="G220" s="1">
        <f t="shared" si="78"/>
        <v>16.240000000000002</v>
      </c>
      <c r="H220" s="1">
        <v>2</v>
      </c>
      <c r="I220" s="1" t="s">
        <v>167</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4">
        <f t="shared" si="76"/>
        <v>0.65</v>
      </c>
      <c r="X220" t="s">
        <v>177</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3">
      <c r="A221" s="1" t="s">
        <v>603</v>
      </c>
      <c r="B221" s="1" t="s">
        <v>604</v>
      </c>
      <c r="C221" s="1">
        <f t="shared" si="66"/>
        <v>73.674999999999997</v>
      </c>
      <c r="D221" s="1">
        <f t="shared" si="67"/>
        <v>34.051000000000002</v>
      </c>
      <c r="E221" s="1">
        <v>72</v>
      </c>
      <c r="F221" s="1">
        <f t="shared" si="81"/>
        <v>20</v>
      </c>
      <c r="G221" s="1">
        <f t="shared" si="78"/>
        <v>16.240000000000002</v>
      </c>
      <c r="H221" s="1">
        <v>2</v>
      </c>
      <c r="I221" s="1" t="s">
        <v>167</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4">
        <f t="shared" si="76"/>
        <v>0.65</v>
      </c>
      <c r="X221" t="s">
        <v>177</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3">
      <c r="A222" s="1" t="s">
        <v>605</v>
      </c>
      <c r="B222" s="1" t="s">
        <v>606</v>
      </c>
      <c r="C222" s="1">
        <f t="shared" si="66"/>
        <v>25.675000000000001</v>
      </c>
      <c r="D222" s="1">
        <f t="shared" si="67"/>
        <v>50.050999999999995</v>
      </c>
      <c r="E222" s="1">
        <v>24</v>
      </c>
      <c r="F222" s="1">
        <v>36</v>
      </c>
      <c r="G222" s="1">
        <f t="shared" si="78"/>
        <v>32.24</v>
      </c>
      <c r="H222" s="1">
        <v>2</v>
      </c>
      <c r="I222" s="1" t="s">
        <v>167</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4">
        <f t="shared" si="76"/>
        <v>0.65</v>
      </c>
      <c r="X222" t="s">
        <v>177</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3">
      <c r="A223" s="1" t="s">
        <v>607</v>
      </c>
      <c r="B223" s="1" t="s">
        <v>608</v>
      </c>
      <c r="C223" s="1">
        <f t="shared" si="66"/>
        <v>37.674999999999997</v>
      </c>
      <c r="D223" s="1">
        <f t="shared" si="67"/>
        <v>50.050999999999995</v>
      </c>
      <c r="E223" s="1">
        <v>36</v>
      </c>
      <c r="F223" s="1">
        <f>F222</f>
        <v>36</v>
      </c>
      <c r="G223" s="1">
        <f t="shared" si="78"/>
        <v>32.24</v>
      </c>
      <c r="H223" s="1">
        <v>2</v>
      </c>
      <c r="I223" s="1" t="s">
        <v>167</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4">
        <f t="shared" si="76"/>
        <v>0.65</v>
      </c>
      <c r="X223" t="s">
        <v>177</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3">
      <c r="A224" s="1" t="s">
        <v>609</v>
      </c>
      <c r="B224" s="1" t="s">
        <v>610</v>
      </c>
      <c r="C224" s="1">
        <f t="shared" si="66"/>
        <v>49.674999999999997</v>
      </c>
      <c r="D224" s="1">
        <f t="shared" si="67"/>
        <v>50.050999999999995</v>
      </c>
      <c r="E224" s="1">
        <v>48</v>
      </c>
      <c r="F224" s="1">
        <f t="shared" ref="F224:F229" si="82">F223</f>
        <v>36</v>
      </c>
      <c r="G224" s="1">
        <f t="shared" si="78"/>
        <v>32.24</v>
      </c>
      <c r="H224" s="1">
        <v>2</v>
      </c>
      <c r="I224" s="1" t="s">
        <v>167</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4">
        <f t="shared" si="76"/>
        <v>0.65</v>
      </c>
      <c r="X224" t="s">
        <v>177</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3">
      <c r="A225" s="1" t="s">
        <v>611</v>
      </c>
      <c r="B225" s="1" t="s">
        <v>612</v>
      </c>
      <c r="C225" s="1">
        <f t="shared" si="66"/>
        <v>73.674999999999997</v>
      </c>
      <c r="D225" s="1">
        <f t="shared" si="67"/>
        <v>50.050999999999995</v>
      </c>
      <c r="E225" s="1">
        <v>72</v>
      </c>
      <c r="F225" s="1">
        <f t="shared" si="82"/>
        <v>36</v>
      </c>
      <c r="G225" s="1">
        <f t="shared" si="78"/>
        <v>32.24</v>
      </c>
      <c r="H225" s="1">
        <v>2</v>
      </c>
      <c r="I225" s="1" t="s">
        <v>167</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4">
        <f t="shared" si="76"/>
        <v>0.65</v>
      </c>
      <c r="X225" t="s">
        <v>177</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3">
      <c r="A226" s="1" t="s">
        <v>613</v>
      </c>
      <c r="B226" s="1" t="s">
        <v>614</v>
      </c>
      <c r="C226" s="1">
        <f t="shared" si="66"/>
        <v>25.675000000000001</v>
      </c>
      <c r="D226" s="1">
        <f t="shared" si="67"/>
        <v>62.050999999999995</v>
      </c>
      <c r="E226" s="1">
        <v>24</v>
      </c>
      <c r="F226" s="1">
        <v>48</v>
      </c>
      <c r="G226" s="1">
        <f t="shared" si="78"/>
        <v>44.24</v>
      </c>
      <c r="H226" s="1">
        <v>2</v>
      </c>
      <c r="I226" s="1" t="s">
        <v>167</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4">
        <f t="shared" si="76"/>
        <v>0.65</v>
      </c>
      <c r="X226" t="s">
        <v>177</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3">
      <c r="A227" s="1" t="s">
        <v>615</v>
      </c>
      <c r="B227" s="1" t="s">
        <v>616</v>
      </c>
      <c r="C227" s="1">
        <f t="shared" si="66"/>
        <v>37.674999999999997</v>
      </c>
      <c r="D227" s="1">
        <f t="shared" si="67"/>
        <v>62.050999999999995</v>
      </c>
      <c r="E227" s="1">
        <v>36</v>
      </c>
      <c r="F227" s="1">
        <f t="shared" si="82"/>
        <v>48</v>
      </c>
      <c r="G227" s="1">
        <f t="shared" si="78"/>
        <v>44.24</v>
      </c>
      <c r="H227" s="1">
        <v>2</v>
      </c>
      <c r="I227" s="1" t="s">
        <v>167</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4">
        <f t="shared" si="76"/>
        <v>0.65</v>
      </c>
      <c r="X227" t="s">
        <v>177</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3">
      <c r="A228" s="1" t="s">
        <v>617</v>
      </c>
      <c r="B228" s="1" t="s">
        <v>618</v>
      </c>
      <c r="C228" s="1">
        <f t="shared" si="66"/>
        <v>49.674999999999997</v>
      </c>
      <c r="D228" s="1">
        <f t="shared" si="67"/>
        <v>62.050999999999995</v>
      </c>
      <c r="E228" s="1">
        <v>48</v>
      </c>
      <c r="F228" s="1">
        <f t="shared" si="82"/>
        <v>48</v>
      </c>
      <c r="G228" s="1">
        <f t="shared" si="78"/>
        <v>44.24</v>
      </c>
      <c r="H228" s="1">
        <v>2</v>
      </c>
      <c r="I228" s="1" t="s">
        <v>167</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4">
        <f t="shared" si="76"/>
        <v>0.65</v>
      </c>
      <c r="X228" t="s">
        <v>177</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3">
      <c r="A229" s="1" t="s">
        <v>619</v>
      </c>
      <c r="B229" s="1" t="s">
        <v>620</v>
      </c>
      <c r="C229" s="1">
        <f t="shared" si="66"/>
        <v>73.674999999999997</v>
      </c>
      <c r="D229" s="1">
        <f t="shared" si="67"/>
        <v>62.050999999999995</v>
      </c>
      <c r="E229" s="1">
        <v>72</v>
      </c>
      <c r="F229" s="1">
        <f t="shared" si="82"/>
        <v>48</v>
      </c>
      <c r="G229" s="1">
        <f t="shared" si="78"/>
        <v>44.24</v>
      </c>
      <c r="H229" s="1">
        <v>2</v>
      </c>
      <c r="I229" s="1" t="s">
        <v>167</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4">
        <f t="shared" si="76"/>
        <v>0.65</v>
      </c>
      <c r="X229" t="s">
        <v>177</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3">
      <c r="A230" s="1" t="s">
        <v>621</v>
      </c>
      <c r="B230" s="1" t="s">
        <v>622</v>
      </c>
      <c r="C230" s="1">
        <f t="shared" si="66"/>
        <v>25.675000000000001</v>
      </c>
      <c r="D230" s="1">
        <f t="shared" si="67"/>
        <v>74.051000000000002</v>
      </c>
      <c r="E230" s="1">
        <v>24</v>
      </c>
      <c r="F230" s="1">
        <v>60</v>
      </c>
      <c r="G230" s="1">
        <f t="shared" si="78"/>
        <v>56.24</v>
      </c>
      <c r="H230" s="1">
        <v>2</v>
      </c>
      <c r="I230" s="1" t="s">
        <v>167</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4">
        <f t="shared" si="76"/>
        <v>0.65</v>
      </c>
      <c r="X230" t="s">
        <v>177</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3">
      <c r="A231" s="1" t="s">
        <v>623</v>
      </c>
      <c r="B231" s="1" t="s">
        <v>624</v>
      </c>
      <c r="C231" s="1">
        <f t="shared" si="66"/>
        <v>37.674999999999997</v>
      </c>
      <c r="D231" s="1">
        <f t="shared" si="67"/>
        <v>74.051000000000002</v>
      </c>
      <c r="E231" s="1">
        <v>36</v>
      </c>
      <c r="F231" s="1">
        <v>60</v>
      </c>
      <c r="G231" s="1">
        <f t="shared" si="78"/>
        <v>56.24</v>
      </c>
      <c r="H231" s="1">
        <v>2</v>
      </c>
      <c r="I231" s="1" t="s">
        <v>167</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4">
        <f t="shared" si="76"/>
        <v>0.65</v>
      </c>
      <c r="X231" t="s">
        <v>177</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3">
      <c r="A232" s="1" t="s">
        <v>625</v>
      </c>
      <c r="B232" s="1" t="s">
        <v>626</v>
      </c>
      <c r="C232" s="1">
        <f t="shared" si="66"/>
        <v>49.674999999999997</v>
      </c>
      <c r="D232" s="1">
        <f t="shared" si="67"/>
        <v>74.051000000000002</v>
      </c>
      <c r="E232" s="1">
        <v>48</v>
      </c>
      <c r="F232" s="1">
        <v>60</v>
      </c>
      <c r="G232" s="1">
        <f t="shared" si="78"/>
        <v>56.24</v>
      </c>
      <c r="H232" s="1">
        <v>2</v>
      </c>
      <c r="I232" s="1" t="s">
        <v>167</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4">
        <f t="shared" si="76"/>
        <v>0.65</v>
      </c>
      <c r="X232" t="s">
        <v>177</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3">
      <c r="A233" s="1" t="s">
        <v>627</v>
      </c>
      <c r="B233" s="1" t="s">
        <v>628</v>
      </c>
      <c r="C233" s="1">
        <f t="shared" si="66"/>
        <v>73.674999999999997</v>
      </c>
      <c r="D233" s="1">
        <f t="shared" si="67"/>
        <v>74.051000000000002</v>
      </c>
      <c r="E233" s="1">
        <v>72</v>
      </c>
      <c r="F233" s="1">
        <v>60</v>
      </c>
      <c r="G233" s="1">
        <f t="shared" si="78"/>
        <v>56.24</v>
      </c>
      <c r="H233" s="1">
        <v>2</v>
      </c>
      <c r="I233" s="1" t="s">
        <v>167</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4">
        <f t="shared" si="76"/>
        <v>0.65</v>
      </c>
      <c r="X233" t="s">
        <v>177</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3">
      <c r="A234" s="1" t="s">
        <v>629</v>
      </c>
      <c r="B234" s="1" t="s">
        <v>630</v>
      </c>
      <c r="C234" s="1">
        <f t="shared" si="66"/>
        <v>25.675000000000001</v>
      </c>
      <c r="D234" s="1">
        <f t="shared" si="67"/>
        <v>86.051000000000002</v>
      </c>
      <c r="E234" s="1">
        <v>24</v>
      </c>
      <c r="F234" s="1">
        <v>72</v>
      </c>
      <c r="G234" s="1">
        <f t="shared" si="78"/>
        <v>68.239999999999995</v>
      </c>
      <c r="H234" s="1">
        <v>2</v>
      </c>
      <c r="I234" s="1" t="s">
        <v>167</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4">
        <f t="shared" si="76"/>
        <v>0.65</v>
      </c>
      <c r="X234" t="s">
        <v>177</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3">
      <c r="A235" s="1" t="s">
        <v>631</v>
      </c>
      <c r="B235" s="1" t="s">
        <v>632</v>
      </c>
      <c r="C235" s="1">
        <f t="shared" si="66"/>
        <v>37.674999999999997</v>
      </c>
      <c r="D235" s="1">
        <f t="shared" si="67"/>
        <v>86.051000000000002</v>
      </c>
      <c r="E235" s="1">
        <v>36</v>
      </c>
      <c r="F235" s="1">
        <v>72</v>
      </c>
      <c r="G235" s="1">
        <f t="shared" si="78"/>
        <v>68.239999999999995</v>
      </c>
      <c r="H235" s="1">
        <v>2</v>
      </c>
      <c r="I235" s="1" t="s">
        <v>167</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4">
        <f t="shared" si="76"/>
        <v>0.65</v>
      </c>
      <c r="X235" t="s">
        <v>177</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3">
      <c r="A236" s="1" t="s">
        <v>633</v>
      </c>
      <c r="B236" s="1" t="s">
        <v>634</v>
      </c>
      <c r="C236" s="1">
        <f t="shared" si="66"/>
        <v>49.674999999999997</v>
      </c>
      <c r="D236" s="1">
        <f t="shared" si="67"/>
        <v>86.051000000000002</v>
      </c>
      <c r="E236" s="1">
        <v>48</v>
      </c>
      <c r="F236" s="1">
        <v>72</v>
      </c>
      <c r="G236" s="1">
        <f t="shared" si="78"/>
        <v>68.239999999999995</v>
      </c>
      <c r="H236" s="1">
        <v>2</v>
      </c>
      <c r="I236" s="1" t="s">
        <v>167</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4">
        <f t="shared" si="76"/>
        <v>0.65</v>
      </c>
      <c r="X236" t="s">
        <v>177</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3">
      <c r="A237" s="1" t="s">
        <v>635</v>
      </c>
      <c r="B237" s="1" t="s">
        <v>636</v>
      </c>
      <c r="C237" s="1">
        <f t="shared" si="66"/>
        <v>73.674999999999997</v>
      </c>
      <c r="D237" s="1">
        <f t="shared" si="67"/>
        <v>86.051000000000002</v>
      </c>
      <c r="E237" s="1">
        <v>72</v>
      </c>
      <c r="F237" s="1">
        <v>72</v>
      </c>
      <c r="G237" s="1">
        <f t="shared" si="78"/>
        <v>68.239999999999995</v>
      </c>
      <c r="H237" s="1">
        <v>2</v>
      </c>
      <c r="I237" s="1" t="s">
        <v>167</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4">
        <f t="shared" si="76"/>
        <v>0.65</v>
      </c>
      <c r="X237" t="s">
        <v>177</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3">
      <c r="A238" s="1" t="s">
        <v>637</v>
      </c>
      <c r="B238" s="1" t="s">
        <v>638</v>
      </c>
      <c r="C238" s="1">
        <f t="shared" si="66"/>
        <v>25.675000000000001</v>
      </c>
      <c r="D238" s="1">
        <f t="shared" si="67"/>
        <v>98.051000000000002</v>
      </c>
      <c r="E238" s="1">
        <v>24</v>
      </c>
      <c r="F238" s="1">
        <v>84</v>
      </c>
      <c r="G238" s="1">
        <f t="shared" si="78"/>
        <v>80.239999999999995</v>
      </c>
      <c r="H238" s="1">
        <v>2</v>
      </c>
      <c r="I238" s="1" t="s">
        <v>167</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4">
        <f t="shared" si="76"/>
        <v>0.65</v>
      </c>
      <c r="X238" t="s">
        <v>177</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3">
      <c r="A239" s="1" t="s">
        <v>639</v>
      </c>
      <c r="B239" s="1" t="s">
        <v>640</v>
      </c>
      <c r="C239" s="1">
        <f t="shared" si="66"/>
        <v>37.674999999999997</v>
      </c>
      <c r="D239" s="1">
        <f t="shared" si="67"/>
        <v>98.051000000000002</v>
      </c>
      <c r="E239" s="1">
        <v>36</v>
      </c>
      <c r="F239" s="1">
        <v>84</v>
      </c>
      <c r="G239" s="1">
        <f t="shared" si="78"/>
        <v>80.239999999999995</v>
      </c>
      <c r="H239" s="1">
        <v>2</v>
      </c>
      <c r="I239" s="1" t="s">
        <v>167</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4">
        <f t="shared" si="76"/>
        <v>0.65</v>
      </c>
      <c r="X239" t="s">
        <v>177</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3">
      <c r="A240" s="1" t="s">
        <v>641</v>
      </c>
      <c r="B240" s="1" t="s">
        <v>642</v>
      </c>
      <c r="C240" s="1">
        <f t="shared" si="66"/>
        <v>49.674999999999997</v>
      </c>
      <c r="D240" s="1">
        <f t="shared" si="67"/>
        <v>98.051000000000002</v>
      </c>
      <c r="E240" s="1">
        <v>48</v>
      </c>
      <c r="F240" s="1">
        <v>84</v>
      </c>
      <c r="G240" s="1">
        <f t="shared" si="78"/>
        <v>80.239999999999995</v>
      </c>
      <c r="H240" s="1">
        <v>2</v>
      </c>
      <c r="I240" s="1" t="s">
        <v>167</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4">
        <f t="shared" si="76"/>
        <v>0.65</v>
      </c>
      <c r="X240" t="s">
        <v>177</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3">
      <c r="A241" s="1" t="s">
        <v>643</v>
      </c>
      <c r="B241" s="1" t="s">
        <v>644</v>
      </c>
      <c r="C241" s="1">
        <f t="shared" si="66"/>
        <v>73.674999999999997</v>
      </c>
      <c r="D241" s="1">
        <f t="shared" si="67"/>
        <v>98.051000000000002</v>
      </c>
      <c r="E241" s="1">
        <v>72</v>
      </c>
      <c r="F241" s="1">
        <v>84</v>
      </c>
      <c r="G241" s="1">
        <f t="shared" si="78"/>
        <v>80.239999999999995</v>
      </c>
      <c r="H241" s="1">
        <v>2</v>
      </c>
      <c r="I241" s="1" t="s">
        <v>167</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4">
        <f t="shared" si="76"/>
        <v>0.65</v>
      </c>
      <c r="X241" t="s">
        <v>177</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3">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4"/>
      <c r="Z245" s="44"/>
      <c r="AA245" s="44"/>
      <c r="AB245" s="44"/>
      <c r="AC245" s="44"/>
      <c r="AD245" s="44"/>
      <c r="AE245" s="44"/>
      <c r="AF245" s="44"/>
    </row>
    <row r="246" spans="1:32" x14ac:dyDescent="0.3">
      <c r="Y246" s="44"/>
      <c r="Z246" s="44"/>
      <c r="AA246" s="44"/>
      <c r="AB246" s="44"/>
      <c r="AC246" s="44"/>
      <c r="AD246" s="44"/>
      <c r="AE246" s="44"/>
      <c r="AF246" s="44"/>
    </row>
    <row r="247" spans="1:32" x14ac:dyDescent="0.3">
      <c r="Y247" s="44"/>
      <c r="Z247" s="44"/>
      <c r="AA247" s="44"/>
      <c r="AB247" s="44"/>
      <c r="AC247" s="44"/>
      <c r="AD247" s="44"/>
      <c r="AE247" s="44"/>
      <c r="AF247" s="44"/>
    </row>
    <row r="248" spans="1:32" x14ac:dyDescent="0.3">
      <c r="Y248" s="44"/>
      <c r="Z248" s="44"/>
      <c r="AA248" s="44"/>
      <c r="AB248" s="44"/>
      <c r="AC248" s="44"/>
      <c r="AD248" s="44"/>
      <c r="AE248" s="44"/>
      <c r="AF248" s="44"/>
    </row>
    <row r="249" spans="1:32" x14ac:dyDescent="0.3">
      <c r="Y249" s="44"/>
      <c r="Z249" s="44"/>
      <c r="AA249" s="44"/>
      <c r="AB249" s="44"/>
      <c r="AC249" s="44"/>
      <c r="AD249" s="44"/>
      <c r="AE249" s="44"/>
      <c r="AF249" s="44"/>
    </row>
    <row r="250" spans="1:32" x14ac:dyDescent="0.3">
      <c r="Y250" s="44"/>
      <c r="Z250" s="44"/>
      <c r="AA250" s="44"/>
      <c r="AB250" s="44"/>
      <c r="AC250" s="44"/>
      <c r="AD250" s="44"/>
      <c r="AE250" s="44"/>
      <c r="AF250" s="44"/>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UserInfo>
        <DisplayName>Flederbach, Calvin</DisplayName>
        <AccountId>155</AccountId>
        <AccountType/>
      </UserInfo>
      <UserInfo>
        <DisplayName>Taylor, Donna</DisplayName>
        <AccountId>50</AccountId>
        <AccountType/>
      </UserInfo>
    </SharedWithUsers>
  </documentManagement>
</p:properties>
</file>

<file path=customXml/itemProps1.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2.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D2F508-54EC-44F1-B07A-2F463A62A570}">
  <ds:schemaRefs>
    <ds:schemaRef ds:uri="http://schemas.microsoft.com/DataMashup"/>
  </ds:schemaRefs>
</ds:datastoreItem>
</file>

<file path=customXml/itemProps4.xml><?xml version="1.0" encoding="utf-8"?>
<ds:datastoreItem xmlns:ds="http://schemas.openxmlformats.org/officeDocument/2006/customXml" ds:itemID="{2E9666DA-2F63-415F-99F7-AD3B438B9FB2}">
  <ds:schemaRefs>
    <ds:schemaRef ds:uri="http://purl.org/dc/elements/1.1/"/>
    <ds:schemaRef ds:uri="21230d39-7673-4100-ac72-63fcb55cb7aa"/>
    <ds:schemaRef ds:uri="http://schemas.microsoft.com/office/2006/documentManagement/types"/>
    <ds:schemaRef ds:uri="cb3764de-d77e-46e9-b8ab-67618f655149"/>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Inputs</vt:lpstr>
      <vt:lpstr>Testing</vt:lpstr>
      <vt:lpstr>Website Tests</vt:lpstr>
      <vt:lpstr>Excel Tests</vt:lpstr>
      <vt:lpstr>Calculations</vt:lpstr>
      <vt:lpstr>Duct Calcs for Span</vt:lpstr>
      <vt:lpstr>Strut loads</vt:lpstr>
      <vt:lpstr>Duct gauge weights</vt:lpstr>
      <vt:lpstr>Pictures</vt:lpstr>
      <vt:lpstr>Strut loadsAltered</vt:lpstr>
      <vt:lpstr>Hanger_list</vt:lpstr>
      <vt:lpstr>Quoting tool</vt:lpstr>
      <vt:lpstr>Pallet and shipping info</vt:lpstr>
      <vt:lpstr>reference tables</vt:lpstr>
      <vt:lpstr>H-frame item list</vt:lpstr>
      <vt:lpstr>'Website Tests'!ExternalData_1</vt:lpstr>
      <vt:lpstr>'Website Tests'!ExternalData_2</vt:lpstr>
      <vt:lpstr>'Website Tests'!ExternalData_3</vt:lpstr>
      <vt:lpstr>'Website Tests'!ExternalData_4</vt:lpstr>
      <vt:lpstr>'Website Tests'!ExternalData_5</vt:lpstr>
      <vt:lpstr>'Website Tests'!ExternalData_6</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2024-06-07T13:36:05Z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